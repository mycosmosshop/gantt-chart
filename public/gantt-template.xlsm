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AppData\Local\Temp\claude\D--Yaz-l-m\f5acb5bb-8149-461f-ad32-ad1549985918\scratchpad\"/>
    </mc:Choice>
  </mc:AlternateContent>
  <xr:revisionPtr revIDLastSave="0" documentId="13_ncr:1_{B7925543-337E-49FD-9E0B-8B2CC13DA0B8}" xr6:coauthVersionLast="36" xr6:coauthVersionMax="36" xr10:uidLastSave="{00000000-0000-0000-0000-000000000000}"/>
  <bookViews>
    <workbookView xWindow="0" yWindow="0" windowWidth="23040" windowHeight="8952" tabRatio="500" xr2:uid="{00000000-000D-0000-FFFF-FFFF00000000}"/>
  </bookViews>
  <sheets>
    <sheet name="Gantt" sheetId="1" r:id="rId1"/>
    <sheet name="Gantt Chart" sheetId="2" r:id="rId2"/>
    <sheet name="Milestone Status" sheetId="3" r:id="rId3"/>
    <sheet name="ChartData" sheetId="4" state="hidden" r:id="rId4"/>
  </sheets>
  <definedNames>
    <definedName name="_xlnm.Print_Area" localSheetId="0">Gantt!$A$1:$BF$44</definedName>
    <definedName name="_xlnm.Print_Area" localSheetId="2">'Milestone Status'!$A$1:$H$53</definedName>
    <definedName name="_xlnm.Print_Titles" localSheetId="0">Gantt!$1:$6</definedName>
  </definedNames>
  <calcPr calcId="191029" iterateDelta="1E-4"/>
</workbook>
</file>

<file path=xl/calcChain.xml><?xml version="1.0" encoding="utf-8"?>
<calcChain xmlns="http://schemas.openxmlformats.org/spreadsheetml/2006/main">
  <c r="A1" i="2" l="1"/>
  <c r="W7" i="4" l="1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A1" i="3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B3" i="4" l="1"/>
  <c r="B2" i="4"/>
  <c r="E1" i="4"/>
  <c r="D3" i="3"/>
  <c r="CB35" i="1"/>
  <c r="BZ35" i="1"/>
  <c r="BY35" i="1"/>
  <c r="BU35" i="1" s="1"/>
  <c r="BX35" i="1"/>
  <c r="BW35" i="1"/>
  <c r="BR35" i="1" s="1"/>
  <c r="BV35" i="1"/>
  <c r="BQ35" i="1" s="1"/>
  <c r="BS35" i="1"/>
  <c r="BL35" i="1"/>
  <c r="CB34" i="1"/>
  <c r="BZ34" i="1"/>
  <c r="BY34" i="1"/>
  <c r="BU34" i="1" s="1"/>
  <c r="BX34" i="1"/>
  <c r="BT34" i="1" s="1"/>
  <c r="BW34" i="1"/>
  <c r="BR34" i="1" s="1"/>
  <c r="BV34" i="1"/>
  <c r="BQ34" i="1" s="1"/>
  <c r="BS34" i="1"/>
  <c r="BL34" i="1"/>
  <c r="CB33" i="1"/>
  <c r="BZ33" i="1"/>
  <c r="BY33" i="1"/>
  <c r="BU33" i="1" s="1"/>
  <c r="BX33" i="1"/>
  <c r="BT33" i="1" s="1"/>
  <c r="BW33" i="1"/>
  <c r="BR33" i="1" s="1"/>
  <c r="BV33" i="1"/>
  <c r="BQ33" i="1" s="1"/>
  <c r="BS33" i="1"/>
  <c r="BL33" i="1"/>
  <c r="CB32" i="1"/>
  <c r="BZ32" i="1"/>
  <c r="BY32" i="1"/>
  <c r="BU32" i="1" s="1"/>
  <c r="BX32" i="1"/>
  <c r="BT32" i="1" s="1"/>
  <c r="BW32" i="1"/>
  <c r="BR32" i="1" s="1"/>
  <c r="BV32" i="1"/>
  <c r="BS32" i="1"/>
  <c r="BL32" i="1"/>
  <c r="CB31" i="1"/>
  <c r="BZ31" i="1"/>
  <c r="BY31" i="1"/>
  <c r="BU31" i="1" s="1"/>
  <c r="BX31" i="1"/>
  <c r="BT31" i="1" s="1"/>
  <c r="BW31" i="1"/>
  <c r="BR31" i="1" s="1"/>
  <c r="BV31" i="1"/>
  <c r="BQ31" i="1" s="1"/>
  <c r="BS31" i="1"/>
  <c r="BL31" i="1"/>
  <c r="CB30" i="1"/>
  <c r="BZ30" i="1"/>
  <c r="BY30" i="1"/>
  <c r="BU30" i="1" s="1"/>
  <c r="BX30" i="1"/>
  <c r="BT30" i="1" s="1"/>
  <c r="BW30" i="1"/>
  <c r="BR30" i="1" s="1"/>
  <c r="BV30" i="1"/>
  <c r="BQ30" i="1" s="1"/>
  <c r="BS30" i="1"/>
  <c r="BL30" i="1"/>
  <c r="CB29" i="1"/>
  <c r="BZ29" i="1"/>
  <c r="BY29" i="1"/>
  <c r="BU29" i="1" s="1"/>
  <c r="BX29" i="1"/>
  <c r="BT29" i="1" s="1"/>
  <c r="BW29" i="1"/>
  <c r="BR29" i="1" s="1"/>
  <c r="BV29" i="1"/>
  <c r="BQ29" i="1" s="1"/>
  <c r="BS29" i="1"/>
  <c r="BL29" i="1"/>
  <c r="CB28" i="1"/>
  <c r="BZ28" i="1"/>
  <c r="BY28" i="1"/>
  <c r="BU28" i="1" s="1"/>
  <c r="BX28" i="1"/>
  <c r="BT28" i="1" s="1"/>
  <c r="BW28" i="1"/>
  <c r="BR28" i="1" s="1"/>
  <c r="BV28" i="1"/>
  <c r="BS28" i="1"/>
  <c r="BL28" i="1"/>
  <c r="CB27" i="1"/>
  <c r="BZ27" i="1"/>
  <c r="BY27" i="1"/>
  <c r="BU27" i="1" s="1"/>
  <c r="BX27" i="1"/>
  <c r="BT27" i="1" s="1"/>
  <c r="BW27" i="1"/>
  <c r="BR27" i="1" s="1"/>
  <c r="BV27" i="1"/>
  <c r="BQ27" i="1" s="1"/>
  <c r="BS27" i="1"/>
  <c r="BL27" i="1"/>
  <c r="CB26" i="1"/>
  <c r="BZ26" i="1"/>
  <c r="BY26" i="1"/>
  <c r="BU26" i="1" s="1"/>
  <c r="BX26" i="1"/>
  <c r="BW26" i="1"/>
  <c r="BR26" i="1" s="1"/>
  <c r="BV26" i="1"/>
  <c r="BQ26" i="1" s="1"/>
  <c r="BS26" i="1"/>
  <c r="BL26" i="1"/>
  <c r="CB25" i="1"/>
  <c r="BZ25" i="1"/>
  <c r="BY25" i="1"/>
  <c r="BU25" i="1" s="1"/>
  <c r="BX25" i="1"/>
  <c r="BT25" i="1" s="1"/>
  <c r="BW25" i="1"/>
  <c r="BV25" i="1"/>
  <c r="BQ25" i="1" s="1"/>
  <c r="BS25" i="1"/>
  <c r="BR25" i="1"/>
  <c r="BL25" i="1"/>
  <c r="CB24" i="1"/>
  <c r="BZ24" i="1"/>
  <c r="BY24" i="1"/>
  <c r="BU24" i="1" s="1"/>
  <c r="BX24" i="1"/>
  <c r="BT24" i="1" s="1"/>
  <c r="BW24" i="1"/>
  <c r="BR24" i="1" s="1"/>
  <c r="BV24" i="1"/>
  <c r="BQ24" i="1" s="1"/>
  <c r="BS24" i="1"/>
  <c r="BL24" i="1"/>
  <c r="CB23" i="1"/>
  <c r="BZ23" i="1"/>
  <c r="BY23" i="1"/>
  <c r="BU23" i="1" s="1"/>
  <c r="BX23" i="1"/>
  <c r="BW23" i="1"/>
  <c r="BR23" i="1" s="1"/>
  <c r="BV23" i="1"/>
  <c r="BQ23" i="1" s="1"/>
  <c r="BS23" i="1"/>
  <c r="BL23" i="1"/>
  <c r="CB22" i="1"/>
  <c r="BZ22" i="1"/>
  <c r="BY22" i="1"/>
  <c r="BU22" i="1" s="1"/>
  <c r="BX22" i="1"/>
  <c r="BT22" i="1" s="1"/>
  <c r="BW22" i="1"/>
  <c r="BR22" i="1" s="1"/>
  <c r="BV22" i="1"/>
  <c r="BQ22" i="1" s="1"/>
  <c r="BS22" i="1"/>
  <c r="BL22" i="1"/>
  <c r="CB21" i="1"/>
  <c r="BZ21" i="1"/>
  <c r="BY21" i="1"/>
  <c r="BU21" i="1" s="1"/>
  <c r="BX21" i="1"/>
  <c r="BT21" i="1" s="1"/>
  <c r="BW21" i="1"/>
  <c r="BR21" i="1" s="1"/>
  <c r="BV21" i="1"/>
  <c r="BQ21" i="1" s="1"/>
  <c r="BS21" i="1"/>
  <c r="BL21" i="1"/>
  <c r="CB20" i="1"/>
  <c r="BZ20" i="1"/>
  <c r="BY20" i="1"/>
  <c r="BU20" i="1" s="1"/>
  <c r="BX20" i="1"/>
  <c r="BT20" i="1" s="1"/>
  <c r="BW20" i="1"/>
  <c r="BR20" i="1" s="1"/>
  <c r="BV20" i="1"/>
  <c r="BQ20" i="1" s="1"/>
  <c r="BS20" i="1"/>
  <c r="BL20" i="1"/>
  <c r="CB19" i="1"/>
  <c r="BZ19" i="1"/>
  <c r="BY19" i="1"/>
  <c r="BU19" i="1" s="1"/>
  <c r="BX19" i="1"/>
  <c r="BT19" i="1" s="1"/>
  <c r="BW19" i="1"/>
  <c r="BR19" i="1" s="1"/>
  <c r="BV19" i="1"/>
  <c r="BQ19" i="1" s="1"/>
  <c r="BS19" i="1"/>
  <c r="BL19" i="1"/>
  <c r="CB18" i="1"/>
  <c r="BZ18" i="1"/>
  <c r="BY18" i="1"/>
  <c r="BU18" i="1" s="1"/>
  <c r="BX18" i="1"/>
  <c r="BT18" i="1" s="1"/>
  <c r="BW18" i="1"/>
  <c r="BR18" i="1" s="1"/>
  <c r="BV18" i="1"/>
  <c r="BQ18" i="1" s="1"/>
  <c r="BS18" i="1"/>
  <c r="BL18" i="1"/>
  <c r="CB17" i="1"/>
  <c r="BZ17" i="1"/>
  <c r="BY17" i="1"/>
  <c r="BU17" i="1" s="1"/>
  <c r="BX17" i="1"/>
  <c r="BT17" i="1" s="1"/>
  <c r="BW17" i="1"/>
  <c r="BR17" i="1" s="1"/>
  <c r="BV17" i="1"/>
  <c r="BQ17" i="1" s="1"/>
  <c r="BS17" i="1"/>
  <c r="BL17" i="1"/>
  <c r="CB16" i="1"/>
  <c r="BZ16" i="1"/>
  <c r="BY16" i="1"/>
  <c r="BU16" i="1" s="1"/>
  <c r="BX16" i="1"/>
  <c r="BW16" i="1"/>
  <c r="BR16" i="1" s="1"/>
  <c r="BV16" i="1"/>
  <c r="BQ16" i="1" s="1"/>
  <c r="BS16" i="1"/>
  <c r="BL16" i="1"/>
  <c r="CB15" i="1"/>
  <c r="BZ15" i="1"/>
  <c r="BY15" i="1"/>
  <c r="BU15" i="1" s="1"/>
  <c r="BX15" i="1"/>
  <c r="BT15" i="1" s="1"/>
  <c r="BW15" i="1"/>
  <c r="BV15" i="1"/>
  <c r="BQ15" i="1" s="1"/>
  <c r="BS15" i="1"/>
  <c r="BL15" i="1"/>
  <c r="CB14" i="1"/>
  <c r="BZ14" i="1"/>
  <c r="BY14" i="1"/>
  <c r="BU14" i="1" s="1"/>
  <c r="BX14" i="1"/>
  <c r="BT14" i="1" s="1"/>
  <c r="BW14" i="1"/>
  <c r="BR14" i="1" s="1"/>
  <c r="BV14" i="1"/>
  <c r="BQ14" i="1" s="1"/>
  <c r="BS14" i="1"/>
  <c r="BL14" i="1"/>
  <c r="CB13" i="1"/>
  <c r="BZ13" i="1"/>
  <c r="BY13" i="1"/>
  <c r="BU13" i="1" s="1"/>
  <c r="BX13" i="1"/>
  <c r="BT13" i="1" s="1"/>
  <c r="BW13" i="1"/>
  <c r="BR13" i="1" s="1"/>
  <c r="BV13" i="1"/>
  <c r="BQ13" i="1" s="1"/>
  <c r="BS13" i="1"/>
  <c r="BL13" i="1"/>
  <c r="CB12" i="1"/>
  <c r="BZ12" i="1"/>
  <c r="BY12" i="1"/>
  <c r="BU12" i="1" s="1"/>
  <c r="BX12" i="1"/>
  <c r="BT12" i="1" s="1"/>
  <c r="BW12" i="1"/>
  <c r="BR12" i="1" s="1"/>
  <c r="BV12" i="1"/>
  <c r="BQ12" i="1" s="1"/>
  <c r="BS12" i="1"/>
  <c r="BL12" i="1"/>
  <c r="CB11" i="1"/>
  <c r="BZ11" i="1"/>
  <c r="BY11" i="1"/>
  <c r="BU11" i="1" s="1"/>
  <c r="BX11" i="1"/>
  <c r="BT11" i="1" s="1"/>
  <c r="BW11" i="1"/>
  <c r="BR11" i="1" s="1"/>
  <c r="BV11" i="1"/>
  <c r="BQ11" i="1" s="1"/>
  <c r="BS11" i="1"/>
  <c r="BP11" i="1"/>
  <c r="BO11" i="1"/>
  <c r="BL11" i="1"/>
  <c r="CB10" i="1"/>
  <c r="BZ10" i="1"/>
  <c r="BY10" i="1"/>
  <c r="BU10" i="1" s="1"/>
  <c r="BX10" i="1"/>
  <c r="BT10" i="1" s="1"/>
  <c r="BW10" i="1"/>
  <c r="BR10" i="1" s="1"/>
  <c r="BV10" i="1"/>
  <c r="BQ10" i="1" s="1"/>
  <c r="BS10" i="1"/>
  <c r="BP10" i="1"/>
  <c r="BO10" i="1"/>
  <c r="BL10" i="1"/>
  <c r="CB9" i="1"/>
  <c r="BZ9" i="1"/>
  <c r="BY9" i="1"/>
  <c r="BU9" i="1" s="1"/>
  <c r="BX9" i="1"/>
  <c r="BT9" i="1" s="1"/>
  <c r="BW9" i="1"/>
  <c r="BR9" i="1" s="1"/>
  <c r="BV9" i="1"/>
  <c r="BQ9" i="1" s="1"/>
  <c r="BS9" i="1"/>
  <c r="BP9" i="1"/>
  <c r="BO9" i="1"/>
  <c r="BL9" i="1"/>
  <c r="CB8" i="1"/>
  <c r="BZ8" i="1"/>
  <c r="BY8" i="1"/>
  <c r="BU8" i="1" s="1"/>
  <c r="BX8" i="1"/>
  <c r="BT8" i="1" s="1"/>
  <c r="BW8" i="1"/>
  <c r="BR8" i="1" s="1"/>
  <c r="BV8" i="1"/>
  <c r="BQ8" i="1" s="1"/>
  <c r="BS8" i="1"/>
  <c r="BP8" i="1"/>
  <c r="BO8" i="1"/>
  <c r="BL8" i="1"/>
  <c r="CB7" i="1"/>
  <c r="BZ7" i="1"/>
  <c r="BY7" i="1"/>
  <c r="BU7" i="1" s="1"/>
  <c r="BX7" i="1"/>
  <c r="BT7" i="1" s="1"/>
  <c r="BW7" i="1"/>
  <c r="BR7" i="1" s="1"/>
  <c r="BV7" i="1"/>
  <c r="BQ7" i="1" s="1"/>
  <c r="BS7" i="1"/>
  <c r="BP7" i="1"/>
  <c r="BO7" i="1"/>
  <c r="BL7" i="1"/>
  <c r="BM19" i="1" l="1"/>
  <c r="BM35" i="1"/>
  <c r="BM22" i="1"/>
  <c r="BM24" i="1"/>
  <c r="BM27" i="1"/>
  <c r="BN27" i="1" s="1"/>
  <c r="BM7" i="1"/>
  <c r="BN7" i="1" s="1"/>
  <c r="B12" i="4"/>
  <c r="J12" i="4" s="1"/>
  <c r="B28" i="4"/>
  <c r="J28" i="4" s="1"/>
  <c r="B44" i="4"/>
  <c r="J44" i="4" s="1"/>
  <c r="B60" i="4"/>
  <c r="J60" i="4" s="1"/>
  <c r="B76" i="4"/>
  <c r="J76" i="4" s="1"/>
  <c r="B92" i="4"/>
  <c r="J92" i="4" s="1"/>
  <c r="B108" i="4"/>
  <c r="J108" i="4" s="1"/>
  <c r="B124" i="4"/>
  <c r="J124" i="4" s="1"/>
  <c r="B22" i="4"/>
  <c r="J22" i="4" s="1"/>
  <c r="B39" i="4"/>
  <c r="J39" i="4" s="1"/>
  <c r="B56" i="4"/>
  <c r="J56" i="4" s="1"/>
  <c r="B73" i="4"/>
  <c r="J73" i="4" s="1"/>
  <c r="B90" i="4"/>
  <c r="J90" i="4" s="1"/>
  <c r="B107" i="4"/>
  <c r="J107" i="4" s="1"/>
  <c r="B125" i="4"/>
  <c r="J125" i="4" s="1"/>
  <c r="B23" i="4"/>
  <c r="J23" i="4" s="1"/>
  <c r="B57" i="4"/>
  <c r="J57" i="4" s="1"/>
  <c r="B74" i="4"/>
  <c r="J74" i="4" s="1"/>
  <c r="B109" i="4"/>
  <c r="J109" i="4" s="1"/>
  <c r="B126" i="4"/>
  <c r="J126" i="4" s="1"/>
  <c r="B27" i="4"/>
  <c r="J27" i="4" s="1"/>
  <c r="B103" i="4"/>
  <c r="J103" i="4" s="1"/>
  <c r="B40" i="4"/>
  <c r="J40" i="4" s="1"/>
  <c r="B91" i="4"/>
  <c r="J91" i="4" s="1"/>
  <c r="B10" i="4"/>
  <c r="J10" i="4" s="1"/>
  <c r="B96" i="4"/>
  <c r="J96" i="4" s="1"/>
  <c r="B7" i="4"/>
  <c r="J7" i="4" s="1"/>
  <c r="B24" i="4"/>
  <c r="J24" i="4" s="1"/>
  <c r="B41" i="4"/>
  <c r="J41" i="4" s="1"/>
  <c r="B58" i="4"/>
  <c r="J58" i="4" s="1"/>
  <c r="B75" i="4"/>
  <c r="J75" i="4" s="1"/>
  <c r="B93" i="4"/>
  <c r="J93" i="4" s="1"/>
  <c r="B110" i="4"/>
  <c r="J110" i="4" s="1"/>
  <c r="B8" i="4"/>
  <c r="J8" i="4" s="1"/>
  <c r="B25" i="4"/>
  <c r="J25" i="4" s="1"/>
  <c r="B42" i="4"/>
  <c r="J42" i="4" s="1"/>
  <c r="B59" i="4"/>
  <c r="J59" i="4" s="1"/>
  <c r="B77" i="4"/>
  <c r="J77" i="4" s="1"/>
  <c r="B94" i="4"/>
  <c r="J94" i="4" s="1"/>
  <c r="B111" i="4"/>
  <c r="J111" i="4" s="1"/>
  <c r="B9" i="4"/>
  <c r="J9" i="4" s="1"/>
  <c r="B26" i="4"/>
  <c r="J26" i="4" s="1"/>
  <c r="B43" i="4"/>
  <c r="J43" i="4" s="1"/>
  <c r="B61" i="4"/>
  <c r="J61" i="4" s="1"/>
  <c r="B78" i="4"/>
  <c r="J78" i="4" s="1"/>
  <c r="B95" i="4"/>
  <c r="J95" i="4" s="1"/>
  <c r="B112" i="4"/>
  <c r="J112" i="4" s="1"/>
  <c r="B79" i="4"/>
  <c r="J79" i="4" s="1"/>
  <c r="B62" i="4"/>
  <c r="J62" i="4" s="1"/>
  <c r="B11" i="4"/>
  <c r="J11" i="4" s="1"/>
  <c r="B29" i="4"/>
  <c r="J29" i="4" s="1"/>
  <c r="B46" i="4"/>
  <c r="J46" i="4" s="1"/>
  <c r="B63" i="4"/>
  <c r="J63" i="4" s="1"/>
  <c r="B80" i="4"/>
  <c r="J80" i="4" s="1"/>
  <c r="B97" i="4"/>
  <c r="J97" i="4" s="1"/>
  <c r="B114" i="4"/>
  <c r="J114" i="4" s="1"/>
  <c r="B30" i="4"/>
  <c r="J30" i="4" s="1"/>
  <c r="B47" i="4"/>
  <c r="J47" i="4" s="1"/>
  <c r="B81" i="4"/>
  <c r="J81" i="4" s="1"/>
  <c r="B115" i="4"/>
  <c r="J115" i="4" s="1"/>
  <c r="B14" i="4"/>
  <c r="J14" i="4" s="1"/>
  <c r="B48" i="4"/>
  <c r="J48" i="4" s="1"/>
  <c r="B82" i="4"/>
  <c r="J82" i="4" s="1"/>
  <c r="B116" i="4"/>
  <c r="J116" i="4" s="1"/>
  <c r="B15" i="4"/>
  <c r="J15" i="4" s="1"/>
  <c r="B49" i="4"/>
  <c r="J49" i="4" s="1"/>
  <c r="B83" i="4"/>
  <c r="J83" i="4" s="1"/>
  <c r="B117" i="4"/>
  <c r="J117" i="4" s="1"/>
  <c r="B33" i="4"/>
  <c r="J33" i="4" s="1"/>
  <c r="B67" i="4"/>
  <c r="J67" i="4" s="1"/>
  <c r="B101" i="4"/>
  <c r="J101" i="4" s="1"/>
  <c r="B34" i="4"/>
  <c r="J34" i="4" s="1"/>
  <c r="B68" i="4"/>
  <c r="J68" i="4" s="1"/>
  <c r="B102" i="4"/>
  <c r="J102" i="4" s="1"/>
  <c r="B18" i="4"/>
  <c r="J18" i="4" s="1"/>
  <c r="B52" i="4"/>
  <c r="J52" i="4" s="1"/>
  <c r="B86" i="4"/>
  <c r="J86" i="4" s="1"/>
  <c r="B36" i="4"/>
  <c r="J36" i="4" s="1"/>
  <c r="B70" i="4"/>
  <c r="J70" i="4" s="1"/>
  <c r="B104" i="4"/>
  <c r="J104" i="4" s="1"/>
  <c r="B13" i="4"/>
  <c r="J13" i="4" s="1"/>
  <c r="B64" i="4"/>
  <c r="J64" i="4" s="1"/>
  <c r="B98" i="4"/>
  <c r="J98" i="4" s="1"/>
  <c r="B31" i="4"/>
  <c r="J31" i="4" s="1"/>
  <c r="B65" i="4"/>
  <c r="J65" i="4" s="1"/>
  <c r="B99" i="4"/>
  <c r="J99" i="4" s="1"/>
  <c r="B32" i="4"/>
  <c r="J32" i="4" s="1"/>
  <c r="B66" i="4"/>
  <c r="J66" i="4" s="1"/>
  <c r="B100" i="4"/>
  <c r="J100" i="4" s="1"/>
  <c r="B16" i="4"/>
  <c r="J16" i="4" s="1"/>
  <c r="B50" i="4"/>
  <c r="J50" i="4" s="1"/>
  <c r="B84" i="4"/>
  <c r="J84" i="4" s="1"/>
  <c r="B118" i="4"/>
  <c r="J118" i="4" s="1"/>
  <c r="B17" i="4"/>
  <c r="J17" i="4" s="1"/>
  <c r="B51" i="4"/>
  <c r="J51" i="4" s="1"/>
  <c r="B85" i="4"/>
  <c r="J85" i="4" s="1"/>
  <c r="B119" i="4"/>
  <c r="J119" i="4" s="1"/>
  <c r="B35" i="4"/>
  <c r="J35" i="4" s="1"/>
  <c r="B69" i="4"/>
  <c r="J69" i="4" s="1"/>
  <c r="B19" i="4"/>
  <c r="J19" i="4" s="1"/>
  <c r="B53" i="4"/>
  <c r="J53" i="4" s="1"/>
  <c r="B87" i="4"/>
  <c r="J87" i="4" s="1"/>
  <c r="B121" i="4"/>
  <c r="J121" i="4" s="1"/>
  <c r="B20" i="4"/>
  <c r="J20" i="4" s="1"/>
  <c r="B37" i="4"/>
  <c r="J37" i="4" s="1"/>
  <c r="B54" i="4"/>
  <c r="J54" i="4" s="1"/>
  <c r="B71" i="4"/>
  <c r="J71" i="4" s="1"/>
  <c r="B88" i="4"/>
  <c r="J88" i="4" s="1"/>
  <c r="B105" i="4"/>
  <c r="J105" i="4" s="1"/>
  <c r="B122" i="4"/>
  <c r="J122" i="4" s="1"/>
  <c r="B21" i="4"/>
  <c r="J21" i="4" s="1"/>
  <c r="B38" i="4"/>
  <c r="J38" i="4" s="1"/>
  <c r="B55" i="4"/>
  <c r="J55" i="4" s="1"/>
  <c r="B72" i="4"/>
  <c r="J72" i="4" s="1"/>
  <c r="B89" i="4"/>
  <c r="J89" i="4" s="1"/>
  <c r="B106" i="4"/>
  <c r="J106" i="4" s="1"/>
  <c r="B123" i="4"/>
  <c r="J123" i="4" s="1"/>
  <c r="B45" i="4"/>
  <c r="J45" i="4" s="1"/>
  <c r="B113" i="4"/>
  <c r="J113" i="4" s="1"/>
  <c r="B120" i="4"/>
  <c r="J120" i="4" s="1"/>
  <c r="BM30" i="1"/>
  <c r="BM15" i="1"/>
  <c r="BN15" i="1" s="1"/>
  <c r="BM25" i="1"/>
  <c r="BM14" i="1"/>
  <c r="BM32" i="1"/>
  <c r="BN32" i="1" s="1"/>
  <c r="BM9" i="1"/>
  <c r="BM29" i="1"/>
  <c r="BM34" i="1"/>
  <c r="BN34" i="1" s="1"/>
  <c r="BM12" i="1"/>
  <c r="BN12" i="1" s="1"/>
  <c r="BM18" i="1"/>
  <c r="BN18" i="1" s="1"/>
  <c r="D9" i="1"/>
  <c r="BN35" i="1"/>
  <c r="BM8" i="1"/>
  <c r="BM17" i="1"/>
  <c r="BN17" i="1" s="1"/>
  <c r="BM11" i="1"/>
  <c r="BN11" i="1" s="1"/>
  <c r="BM20" i="1"/>
  <c r="BN20" i="1" s="1"/>
  <c r="BN19" i="1"/>
  <c r="BM21" i="1"/>
  <c r="BN21" i="1" s="1"/>
  <c r="BM31" i="1"/>
  <c r="BM26" i="1"/>
  <c r="BN26" i="1" s="1"/>
  <c r="BM10" i="1"/>
  <c r="BM16" i="1"/>
  <c r="BN16" i="1" s="1"/>
  <c r="BN10" i="1"/>
  <c r="BM28" i="1"/>
  <c r="BM33" i="1"/>
  <c r="BN33" i="1" s="1"/>
  <c r="BM23" i="1"/>
  <c r="BN23" i="1"/>
  <c r="J28" i="3"/>
  <c r="F28" i="3" s="1"/>
  <c r="J32" i="3"/>
  <c r="F32" i="3" s="1"/>
  <c r="BN22" i="1"/>
  <c r="J48" i="3"/>
  <c r="BN9" i="1"/>
  <c r="J19" i="3"/>
  <c r="BN14" i="1"/>
  <c r="BT23" i="1"/>
  <c r="BT35" i="1"/>
  <c r="J37" i="3"/>
  <c r="BM13" i="1"/>
  <c r="BN24" i="1"/>
  <c r="J23" i="3"/>
  <c r="BT26" i="1"/>
  <c r="BT16" i="1"/>
  <c r="BR15" i="1"/>
  <c r="J47" i="3"/>
  <c r="J31" i="3"/>
  <c r="J15" i="3"/>
  <c r="J38" i="3"/>
  <c r="J22" i="3"/>
  <c r="J45" i="3"/>
  <c r="J29" i="3"/>
  <c r="J13" i="3"/>
  <c r="J36" i="3"/>
  <c r="J20" i="3"/>
  <c r="J43" i="3"/>
  <c r="J27" i="3"/>
  <c r="J50" i="3"/>
  <c r="J34" i="3"/>
  <c r="J18" i="3"/>
  <c r="J41" i="3"/>
  <c r="J25" i="3"/>
  <c r="J46" i="3"/>
  <c r="J30" i="3"/>
  <c r="J14" i="3"/>
  <c r="J49" i="3"/>
  <c r="J33" i="3"/>
  <c r="J17" i="3"/>
  <c r="J40" i="3"/>
  <c r="J24" i="3"/>
  <c r="J12" i="3"/>
  <c r="J21" i="3"/>
  <c r="J16" i="3"/>
  <c r="J26" i="3"/>
  <c r="J35" i="3"/>
  <c r="J44" i="3"/>
  <c r="J39" i="3"/>
  <c r="J42" i="3"/>
  <c r="J51" i="3"/>
  <c r="BQ28" i="1"/>
  <c r="BN29" i="1"/>
  <c r="BN25" i="1"/>
  <c r="BQ32" i="1"/>
  <c r="BN30" i="1"/>
  <c r="K4" i="4"/>
  <c r="S71" i="4" l="1"/>
  <c r="H71" i="4"/>
  <c r="F71" i="4"/>
  <c r="T71" i="4"/>
  <c r="D71" i="4"/>
  <c r="I71" i="4"/>
  <c r="G71" i="4"/>
  <c r="O71" i="4" s="1"/>
  <c r="E71" i="4"/>
  <c r="C71" i="4"/>
  <c r="P71" i="4"/>
  <c r="Q71" i="4"/>
  <c r="X266" i="4"/>
  <c r="Y266" i="4" s="1"/>
  <c r="Z266" i="4" s="1"/>
  <c r="X264" i="4"/>
  <c r="Y264" i="4" s="1"/>
  <c r="Z264" i="4" s="1"/>
  <c r="X265" i="4"/>
  <c r="Y265" i="4" s="1"/>
  <c r="Z265" i="4" s="1"/>
  <c r="X263" i="4"/>
  <c r="Y263" i="4" s="1"/>
  <c r="Z263" i="4" s="1"/>
  <c r="S50" i="4"/>
  <c r="Q50" i="4"/>
  <c r="I50" i="4"/>
  <c r="G50" i="4"/>
  <c r="E50" i="4"/>
  <c r="F50" i="4"/>
  <c r="T50" i="4"/>
  <c r="P50" i="4"/>
  <c r="D50" i="4"/>
  <c r="X180" i="4"/>
  <c r="Y180" i="4" s="1"/>
  <c r="Z180" i="4" s="1"/>
  <c r="X181" i="4"/>
  <c r="Y181" i="4" s="1"/>
  <c r="Z181" i="4" s="1"/>
  <c r="C50" i="4"/>
  <c r="X179" i="4"/>
  <c r="Y179" i="4" s="1"/>
  <c r="Z179" i="4" s="1"/>
  <c r="H50" i="4"/>
  <c r="X182" i="4"/>
  <c r="Y182" i="4" s="1"/>
  <c r="Z182" i="4" s="1"/>
  <c r="S56" i="4"/>
  <c r="L56" i="4"/>
  <c r="Q56" i="4"/>
  <c r="H56" i="4"/>
  <c r="F56" i="4"/>
  <c r="I56" i="4"/>
  <c r="P56" i="4"/>
  <c r="G56" i="4"/>
  <c r="T56" i="4"/>
  <c r="E56" i="4"/>
  <c r="D56" i="4"/>
  <c r="C56" i="4"/>
  <c r="X205" i="4"/>
  <c r="Y205" i="4" s="1"/>
  <c r="Z205" i="4" s="1"/>
  <c r="X203" i="4"/>
  <c r="Y203" i="4" s="1"/>
  <c r="Z203" i="4" s="1"/>
  <c r="X204" i="4"/>
  <c r="Y204" i="4" s="1"/>
  <c r="Z204" i="4" s="1"/>
  <c r="X206" i="4"/>
  <c r="Y206" i="4" s="1"/>
  <c r="Z206" i="4" s="1"/>
  <c r="Q54" i="4"/>
  <c r="H54" i="4"/>
  <c r="F54" i="4"/>
  <c r="T54" i="4"/>
  <c r="E54" i="4"/>
  <c r="C54" i="4"/>
  <c r="I54" i="4"/>
  <c r="P54" i="4"/>
  <c r="G54" i="4"/>
  <c r="D54" i="4"/>
  <c r="S54" i="4"/>
  <c r="X198" i="4"/>
  <c r="Y198" i="4" s="1"/>
  <c r="Z198" i="4" s="1"/>
  <c r="X196" i="4"/>
  <c r="Y196" i="4" s="1"/>
  <c r="Z196" i="4" s="1"/>
  <c r="X195" i="4"/>
  <c r="Y195" i="4" s="1"/>
  <c r="Z195" i="4" s="1"/>
  <c r="X197" i="4"/>
  <c r="Y197" i="4" s="1"/>
  <c r="Z197" i="4" s="1"/>
  <c r="S39" i="4"/>
  <c r="Q39" i="4"/>
  <c r="H39" i="4"/>
  <c r="I39" i="4"/>
  <c r="P39" i="4"/>
  <c r="F39" i="4"/>
  <c r="G39" i="4"/>
  <c r="T39" i="4"/>
  <c r="E39" i="4"/>
  <c r="D39" i="4"/>
  <c r="C39" i="4"/>
  <c r="X136" i="4"/>
  <c r="Y136" i="4" s="1"/>
  <c r="Z136" i="4" s="1"/>
  <c r="X137" i="4"/>
  <c r="Y137" i="4" s="1"/>
  <c r="Z137" i="4" s="1"/>
  <c r="X138" i="4"/>
  <c r="Y138" i="4" s="1"/>
  <c r="Z138" i="4" s="1"/>
  <c r="X135" i="4"/>
  <c r="Y135" i="4" s="1"/>
  <c r="Z135" i="4" s="1"/>
  <c r="T30" i="4"/>
  <c r="P30" i="4"/>
  <c r="I30" i="4"/>
  <c r="G30" i="4"/>
  <c r="O30" i="4" s="1"/>
  <c r="D30" i="4"/>
  <c r="E30" i="4"/>
  <c r="C30" i="4"/>
  <c r="Q30" i="4"/>
  <c r="H30" i="4"/>
  <c r="S30" i="4"/>
  <c r="F30" i="4"/>
  <c r="X99" i="4"/>
  <c r="Y99" i="4" s="1"/>
  <c r="Z99" i="4" s="1"/>
  <c r="X101" i="4"/>
  <c r="Y101" i="4" s="1"/>
  <c r="Z101" i="4" s="1"/>
  <c r="X100" i="4"/>
  <c r="Y100" i="4" s="1"/>
  <c r="Z100" i="4" s="1"/>
  <c r="X102" i="4"/>
  <c r="Y102" i="4" s="1"/>
  <c r="Z102" i="4" s="1"/>
  <c r="T120" i="4"/>
  <c r="I120" i="4"/>
  <c r="P120" i="4"/>
  <c r="G120" i="4"/>
  <c r="O120" i="4" s="1"/>
  <c r="Q120" i="4"/>
  <c r="D120" i="4"/>
  <c r="C120" i="4"/>
  <c r="E120" i="4"/>
  <c r="H120" i="4"/>
  <c r="S120" i="4"/>
  <c r="F120" i="4"/>
  <c r="X459" i="4"/>
  <c r="Y459" i="4" s="1"/>
  <c r="Z459" i="4" s="1"/>
  <c r="X460" i="4"/>
  <c r="Y460" i="4" s="1"/>
  <c r="Z460" i="4" s="1"/>
  <c r="X462" i="4"/>
  <c r="Y462" i="4" s="1"/>
  <c r="Z462" i="4" s="1"/>
  <c r="X461" i="4"/>
  <c r="Y461" i="4" s="1"/>
  <c r="Z461" i="4" s="1"/>
  <c r="S20" i="4"/>
  <c r="Q20" i="4"/>
  <c r="O20" i="4"/>
  <c r="I20" i="4"/>
  <c r="G20" i="4"/>
  <c r="E20" i="4"/>
  <c r="C20" i="4"/>
  <c r="H20" i="4"/>
  <c r="F20" i="4"/>
  <c r="P20" i="4"/>
  <c r="D20" i="4"/>
  <c r="T20" i="4"/>
  <c r="X59" i="4"/>
  <c r="Y59" i="4" s="1"/>
  <c r="Z59" i="4" s="1"/>
  <c r="X60" i="4"/>
  <c r="Y60" i="4" s="1"/>
  <c r="Z60" i="4" s="1"/>
  <c r="X62" i="4"/>
  <c r="Y62" i="4" s="1"/>
  <c r="Z62" i="4" s="1"/>
  <c r="X61" i="4"/>
  <c r="Y61" i="4" s="1"/>
  <c r="Z61" i="4" s="1"/>
  <c r="S66" i="4"/>
  <c r="Q66" i="4"/>
  <c r="O66" i="4"/>
  <c r="I66" i="4"/>
  <c r="G66" i="4"/>
  <c r="T66" i="4"/>
  <c r="P66" i="4"/>
  <c r="E66" i="4"/>
  <c r="D66" i="4"/>
  <c r="C66" i="4"/>
  <c r="H66" i="4"/>
  <c r="F66" i="4"/>
  <c r="K66" i="4" s="1"/>
  <c r="X246" i="4"/>
  <c r="Y246" i="4" s="1"/>
  <c r="Z246" i="4" s="1"/>
  <c r="X245" i="4"/>
  <c r="Y245" i="4" s="1"/>
  <c r="Z245" i="4" s="1"/>
  <c r="X244" i="4"/>
  <c r="Y244" i="4" s="1"/>
  <c r="Z244" i="4" s="1"/>
  <c r="X243" i="4"/>
  <c r="Y243" i="4" s="1"/>
  <c r="Z243" i="4" s="1"/>
  <c r="S34" i="4"/>
  <c r="Q34" i="4"/>
  <c r="I34" i="4"/>
  <c r="G34" i="4"/>
  <c r="O34" i="4" s="1"/>
  <c r="E34" i="4"/>
  <c r="H34" i="4"/>
  <c r="F34" i="4"/>
  <c r="T34" i="4"/>
  <c r="C34" i="4"/>
  <c r="D34" i="4"/>
  <c r="P34" i="4"/>
  <c r="X115" i="4"/>
  <c r="Y115" i="4" s="1"/>
  <c r="Z115" i="4" s="1"/>
  <c r="X116" i="4"/>
  <c r="Y116" i="4" s="1"/>
  <c r="Z116" i="4" s="1"/>
  <c r="X117" i="4"/>
  <c r="Y117" i="4" s="1"/>
  <c r="Z117" i="4" s="1"/>
  <c r="X118" i="4"/>
  <c r="Y118" i="4" s="1"/>
  <c r="Z118" i="4" s="1"/>
  <c r="S114" i="4"/>
  <c r="Q114" i="4"/>
  <c r="I114" i="4"/>
  <c r="G114" i="4"/>
  <c r="E114" i="4"/>
  <c r="D114" i="4"/>
  <c r="H114" i="4"/>
  <c r="C114" i="4"/>
  <c r="F114" i="4"/>
  <c r="X436" i="4"/>
  <c r="Y436" i="4" s="1"/>
  <c r="Z436" i="4" s="1"/>
  <c r="X437" i="4"/>
  <c r="Y437" i="4" s="1"/>
  <c r="Z437" i="4" s="1"/>
  <c r="T114" i="4"/>
  <c r="X435" i="4"/>
  <c r="Y435" i="4" s="1"/>
  <c r="Z435" i="4" s="1"/>
  <c r="P114" i="4"/>
  <c r="X438" i="4"/>
  <c r="Y438" i="4" s="1"/>
  <c r="Z438" i="4" s="1"/>
  <c r="S111" i="4"/>
  <c r="E111" i="4"/>
  <c r="D111" i="4"/>
  <c r="F111" i="4"/>
  <c r="Q111" i="4"/>
  <c r="H111" i="4"/>
  <c r="C111" i="4"/>
  <c r="P111" i="4"/>
  <c r="I111" i="4"/>
  <c r="T111" i="4"/>
  <c r="G111" i="4"/>
  <c r="X423" i="4"/>
  <c r="Y423" i="4" s="1"/>
  <c r="Z423" i="4" s="1"/>
  <c r="X426" i="4"/>
  <c r="Y426" i="4" s="1"/>
  <c r="Z426" i="4" s="1"/>
  <c r="X424" i="4"/>
  <c r="Y424" i="4" s="1"/>
  <c r="Z424" i="4" s="1"/>
  <c r="X425" i="4"/>
  <c r="Y425" i="4" s="1"/>
  <c r="Z425" i="4" s="1"/>
  <c r="D91" i="4"/>
  <c r="C91" i="4"/>
  <c r="Q91" i="4"/>
  <c r="H91" i="4"/>
  <c r="F91" i="4"/>
  <c r="T91" i="4"/>
  <c r="G91" i="4"/>
  <c r="O91" i="4" s="1"/>
  <c r="I91" i="4"/>
  <c r="P91" i="4"/>
  <c r="S91" i="4"/>
  <c r="E91" i="4"/>
  <c r="X345" i="4"/>
  <c r="Y345" i="4" s="1"/>
  <c r="Z345" i="4" s="1"/>
  <c r="X343" i="4"/>
  <c r="Y343" i="4" s="1"/>
  <c r="Z343" i="4" s="1"/>
  <c r="X346" i="4"/>
  <c r="Y346" i="4" s="1"/>
  <c r="Z346" i="4" s="1"/>
  <c r="X344" i="4"/>
  <c r="Y344" i="4" s="1"/>
  <c r="Z344" i="4" s="1"/>
  <c r="T124" i="4"/>
  <c r="P124" i="4"/>
  <c r="H124" i="4"/>
  <c r="F124" i="4"/>
  <c r="D124" i="4"/>
  <c r="I124" i="4"/>
  <c r="G124" i="4"/>
  <c r="S124" i="4"/>
  <c r="Q124" i="4"/>
  <c r="E124" i="4"/>
  <c r="C124" i="4"/>
  <c r="X475" i="4"/>
  <c r="Y475" i="4" s="1"/>
  <c r="Z475" i="4" s="1"/>
  <c r="X476" i="4"/>
  <c r="Y476" i="4" s="1"/>
  <c r="Z476" i="4" s="1"/>
  <c r="X478" i="4"/>
  <c r="Y478" i="4" s="1"/>
  <c r="Z478" i="4" s="1"/>
  <c r="X477" i="4"/>
  <c r="Y477" i="4" s="1"/>
  <c r="Z477" i="4" s="1"/>
  <c r="E7" i="4"/>
  <c r="Q7" i="4"/>
  <c r="X10" i="4"/>
  <c r="Y10" i="4" s="1"/>
  <c r="Z10" i="4" s="1"/>
  <c r="X7" i="4"/>
  <c r="Y7" i="4" s="1"/>
  <c r="Z7" i="4" s="1"/>
  <c r="X8" i="4"/>
  <c r="Y8" i="4" s="1"/>
  <c r="Z8" i="4" s="1"/>
  <c r="X9" i="4"/>
  <c r="Y9" i="4" s="1"/>
  <c r="Z9" i="4" s="1"/>
  <c r="F123" i="4"/>
  <c r="T123" i="4"/>
  <c r="I123" i="4"/>
  <c r="P123" i="4"/>
  <c r="Q123" i="4"/>
  <c r="E123" i="4"/>
  <c r="G123" i="4"/>
  <c r="O123" i="4" s="1"/>
  <c r="S123" i="4"/>
  <c r="H123" i="4"/>
  <c r="D123" i="4"/>
  <c r="C123" i="4"/>
  <c r="X471" i="4"/>
  <c r="Y471" i="4" s="1"/>
  <c r="Z471" i="4" s="1"/>
  <c r="X474" i="4"/>
  <c r="Y474" i="4" s="1"/>
  <c r="Z474" i="4" s="1"/>
  <c r="X472" i="4"/>
  <c r="Y472" i="4" s="1"/>
  <c r="Z472" i="4" s="1"/>
  <c r="X473" i="4"/>
  <c r="Y473" i="4" s="1"/>
  <c r="Z473" i="4" s="1"/>
  <c r="H53" i="4"/>
  <c r="F53" i="4"/>
  <c r="T53" i="4"/>
  <c r="G53" i="4"/>
  <c r="O53" i="4" s="1"/>
  <c r="E53" i="4"/>
  <c r="D53" i="4"/>
  <c r="C53" i="4"/>
  <c r="I53" i="4"/>
  <c r="S53" i="4"/>
  <c r="P53" i="4"/>
  <c r="Q53" i="4"/>
  <c r="X192" i="4"/>
  <c r="Y192" i="4" s="1"/>
  <c r="Z192" i="4" s="1"/>
  <c r="X194" i="4"/>
  <c r="Y194" i="4" s="1"/>
  <c r="Z194" i="4" s="1"/>
  <c r="X193" i="4"/>
  <c r="Y193" i="4" s="1"/>
  <c r="Z193" i="4" s="1"/>
  <c r="X191" i="4"/>
  <c r="Y191" i="4" s="1"/>
  <c r="Z191" i="4" s="1"/>
  <c r="P65" i="4"/>
  <c r="I65" i="4"/>
  <c r="F65" i="4"/>
  <c r="G65" i="4"/>
  <c r="D65" i="4"/>
  <c r="C65" i="4"/>
  <c r="Q65" i="4"/>
  <c r="H65" i="4"/>
  <c r="E65" i="4"/>
  <c r="S65" i="4"/>
  <c r="T65" i="4"/>
  <c r="X241" i="4"/>
  <c r="Y241" i="4" s="1"/>
  <c r="Z241" i="4" s="1"/>
  <c r="X242" i="4"/>
  <c r="Y242" i="4" s="1"/>
  <c r="Z242" i="4" s="1"/>
  <c r="X239" i="4"/>
  <c r="Y239" i="4" s="1"/>
  <c r="Z239" i="4" s="1"/>
  <c r="X240" i="4"/>
  <c r="Y240" i="4" s="1"/>
  <c r="Z240" i="4" s="1"/>
  <c r="F33" i="4"/>
  <c r="T33" i="4"/>
  <c r="C33" i="4"/>
  <c r="E33" i="4"/>
  <c r="P33" i="4"/>
  <c r="I33" i="4"/>
  <c r="D33" i="4"/>
  <c r="G33" i="4"/>
  <c r="Q33" i="4"/>
  <c r="H33" i="4"/>
  <c r="S33" i="4"/>
  <c r="X111" i="4"/>
  <c r="Y111" i="4" s="1"/>
  <c r="Z111" i="4" s="1"/>
  <c r="X112" i="4"/>
  <c r="Y112" i="4" s="1"/>
  <c r="Z112" i="4" s="1"/>
  <c r="X114" i="4"/>
  <c r="Y114" i="4" s="1"/>
  <c r="Z114" i="4" s="1"/>
  <c r="X113" i="4"/>
  <c r="Y113" i="4" s="1"/>
  <c r="Z113" i="4" s="1"/>
  <c r="P63" i="4"/>
  <c r="I63" i="4"/>
  <c r="G63" i="4"/>
  <c r="O63" i="4" s="1"/>
  <c r="E63" i="4"/>
  <c r="D63" i="4"/>
  <c r="C63" i="4"/>
  <c r="F63" i="4"/>
  <c r="T63" i="4"/>
  <c r="S63" i="4"/>
  <c r="Q63" i="4"/>
  <c r="H63" i="4"/>
  <c r="X232" i="4"/>
  <c r="Y232" i="4" s="1"/>
  <c r="Z232" i="4" s="1"/>
  <c r="X234" i="4"/>
  <c r="Y234" i="4" s="1"/>
  <c r="Z234" i="4" s="1"/>
  <c r="X233" i="4"/>
  <c r="Y233" i="4" s="1"/>
  <c r="Z233" i="4" s="1"/>
  <c r="X231" i="4"/>
  <c r="Y231" i="4" s="1"/>
  <c r="Z231" i="4" s="1"/>
  <c r="E59" i="4"/>
  <c r="D59" i="4"/>
  <c r="C59" i="4"/>
  <c r="S59" i="4"/>
  <c r="Q59" i="4"/>
  <c r="H59" i="4"/>
  <c r="F59" i="4"/>
  <c r="I59" i="4"/>
  <c r="T59" i="4"/>
  <c r="P59" i="4"/>
  <c r="G59" i="4"/>
  <c r="O59" i="4" s="1"/>
  <c r="X218" i="4"/>
  <c r="Y218" i="4" s="1"/>
  <c r="Z218" i="4" s="1"/>
  <c r="X216" i="4"/>
  <c r="Y216" i="4" s="1"/>
  <c r="Z216" i="4" s="1"/>
  <c r="X217" i="4"/>
  <c r="Y217" i="4" s="1"/>
  <c r="Z217" i="4" s="1"/>
  <c r="X215" i="4"/>
  <c r="Y215" i="4" s="1"/>
  <c r="Z215" i="4" s="1"/>
  <c r="I27" i="4"/>
  <c r="E27" i="4"/>
  <c r="P27" i="4"/>
  <c r="G27" i="4"/>
  <c r="D27" i="4"/>
  <c r="C27" i="4"/>
  <c r="S27" i="4"/>
  <c r="H27" i="4"/>
  <c r="F27" i="4"/>
  <c r="Q27" i="4"/>
  <c r="T27" i="4"/>
  <c r="X89" i="4"/>
  <c r="Y89" i="4" s="1"/>
  <c r="Z89" i="4" s="1"/>
  <c r="X90" i="4"/>
  <c r="Y90" i="4" s="1"/>
  <c r="Z90" i="4" s="1"/>
  <c r="X87" i="4"/>
  <c r="Y87" i="4" s="1"/>
  <c r="Z87" i="4" s="1"/>
  <c r="X88" i="4"/>
  <c r="Y88" i="4" s="1"/>
  <c r="Z88" i="4" s="1"/>
  <c r="T76" i="4"/>
  <c r="P76" i="4"/>
  <c r="H76" i="4"/>
  <c r="F76" i="4"/>
  <c r="D76" i="4"/>
  <c r="E76" i="4"/>
  <c r="S76" i="4"/>
  <c r="C76" i="4"/>
  <c r="Q76" i="4"/>
  <c r="X285" i="4"/>
  <c r="Y285" i="4" s="1"/>
  <c r="Z285" i="4" s="1"/>
  <c r="I76" i="4"/>
  <c r="G76" i="4"/>
  <c r="X286" i="4"/>
  <c r="Y286" i="4" s="1"/>
  <c r="Z286" i="4" s="1"/>
  <c r="X283" i="4"/>
  <c r="Y283" i="4" s="1"/>
  <c r="Z283" i="4" s="1"/>
  <c r="X284" i="4"/>
  <c r="Y284" i="4" s="1"/>
  <c r="Z284" i="4" s="1"/>
  <c r="G96" i="4"/>
  <c r="S96" i="4"/>
  <c r="E96" i="4"/>
  <c r="D96" i="4"/>
  <c r="C96" i="4"/>
  <c r="Q96" i="4"/>
  <c r="H96" i="4"/>
  <c r="F96" i="4"/>
  <c r="T96" i="4"/>
  <c r="P96" i="4"/>
  <c r="I96" i="4"/>
  <c r="X365" i="4"/>
  <c r="Y365" i="4" s="1"/>
  <c r="Z365" i="4" s="1"/>
  <c r="X366" i="4"/>
  <c r="Y366" i="4" s="1"/>
  <c r="Z366" i="4" s="1"/>
  <c r="X363" i="4"/>
  <c r="Y363" i="4" s="1"/>
  <c r="Z363" i="4" s="1"/>
  <c r="X364" i="4"/>
  <c r="Y364" i="4" s="1"/>
  <c r="Z364" i="4" s="1"/>
  <c r="S68" i="4"/>
  <c r="Q68" i="4"/>
  <c r="I68" i="4"/>
  <c r="G68" i="4"/>
  <c r="O68" i="4" s="1"/>
  <c r="E68" i="4"/>
  <c r="C68" i="4"/>
  <c r="F68" i="4"/>
  <c r="T68" i="4"/>
  <c r="P68" i="4"/>
  <c r="D68" i="4"/>
  <c r="H68" i="4"/>
  <c r="X253" i="4"/>
  <c r="Y253" i="4" s="1"/>
  <c r="Z253" i="4" s="1"/>
  <c r="X252" i="4"/>
  <c r="Y252" i="4" s="1"/>
  <c r="Z252" i="4" s="1"/>
  <c r="X251" i="4"/>
  <c r="Y251" i="4" s="1"/>
  <c r="Z251" i="4" s="1"/>
  <c r="X254" i="4"/>
  <c r="Y254" i="4" s="1"/>
  <c r="Z254" i="4" s="1"/>
  <c r="F32" i="4"/>
  <c r="T32" i="4"/>
  <c r="P32" i="4"/>
  <c r="I32" i="4"/>
  <c r="S32" i="4"/>
  <c r="G32" i="4"/>
  <c r="D32" i="4"/>
  <c r="C32" i="4"/>
  <c r="E32" i="4"/>
  <c r="Q32" i="4"/>
  <c r="H32" i="4"/>
  <c r="X110" i="4"/>
  <c r="Y110" i="4" s="1"/>
  <c r="Z110" i="4" s="1"/>
  <c r="X107" i="4"/>
  <c r="Y107" i="4" s="1"/>
  <c r="Z107" i="4" s="1"/>
  <c r="X109" i="4"/>
  <c r="Y109" i="4" s="1"/>
  <c r="Z109" i="4" s="1"/>
  <c r="X108" i="4"/>
  <c r="Y108" i="4" s="1"/>
  <c r="Z108" i="4" s="1"/>
  <c r="E40" i="4"/>
  <c r="D40" i="4"/>
  <c r="C40" i="4"/>
  <c r="S40" i="4"/>
  <c r="Q40" i="4"/>
  <c r="H40" i="4"/>
  <c r="F40" i="4"/>
  <c r="I40" i="4"/>
  <c r="T40" i="4"/>
  <c r="P40" i="4"/>
  <c r="G40" i="4"/>
  <c r="X140" i="4"/>
  <c r="Y140" i="4" s="1"/>
  <c r="Z140" i="4" s="1"/>
  <c r="X141" i="4"/>
  <c r="Y141" i="4" s="1"/>
  <c r="Z141" i="4" s="1"/>
  <c r="X139" i="4"/>
  <c r="Y139" i="4" s="1"/>
  <c r="Z139" i="4" s="1"/>
  <c r="X142" i="4"/>
  <c r="Y142" i="4" s="1"/>
  <c r="Z142" i="4" s="1"/>
  <c r="T92" i="4"/>
  <c r="P92" i="4"/>
  <c r="H92" i="4"/>
  <c r="F92" i="4"/>
  <c r="D92" i="4"/>
  <c r="S92" i="4"/>
  <c r="E92" i="4"/>
  <c r="C92" i="4"/>
  <c r="Q92" i="4"/>
  <c r="I92" i="4"/>
  <c r="G92" i="4"/>
  <c r="X348" i="4"/>
  <c r="Y348" i="4" s="1"/>
  <c r="Z348" i="4" s="1"/>
  <c r="X350" i="4"/>
  <c r="Y350" i="4" s="1"/>
  <c r="Z350" i="4" s="1"/>
  <c r="X349" i="4"/>
  <c r="Y349" i="4" s="1"/>
  <c r="Z349" i="4" s="1"/>
  <c r="X347" i="4"/>
  <c r="Y347" i="4" s="1"/>
  <c r="Z347" i="4" s="1"/>
  <c r="T106" i="4"/>
  <c r="P106" i="4"/>
  <c r="H106" i="4"/>
  <c r="F106" i="4"/>
  <c r="I106" i="4"/>
  <c r="S106" i="4"/>
  <c r="G106" i="4"/>
  <c r="E106" i="4"/>
  <c r="Q106" i="4"/>
  <c r="D106" i="4"/>
  <c r="C106" i="4"/>
  <c r="X405" i="4"/>
  <c r="Y405" i="4" s="1"/>
  <c r="Z405" i="4" s="1"/>
  <c r="X403" i="4"/>
  <c r="Y403" i="4" s="1"/>
  <c r="Z403" i="4" s="1"/>
  <c r="X406" i="4"/>
  <c r="Y406" i="4" s="1"/>
  <c r="Z406" i="4" s="1"/>
  <c r="X404" i="4"/>
  <c r="Y404" i="4" s="1"/>
  <c r="Z404" i="4" s="1"/>
  <c r="S19" i="4"/>
  <c r="Q19" i="4"/>
  <c r="H19" i="4"/>
  <c r="F19" i="4"/>
  <c r="I19" i="4"/>
  <c r="P19" i="4"/>
  <c r="C19" i="4"/>
  <c r="T19" i="4"/>
  <c r="G19" i="4"/>
  <c r="D19" i="4"/>
  <c r="E19" i="4"/>
  <c r="X56" i="4"/>
  <c r="Y56" i="4" s="1"/>
  <c r="Z56" i="4" s="1"/>
  <c r="X57" i="4"/>
  <c r="Y57" i="4" s="1"/>
  <c r="Z57" i="4" s="1"/>
  <c r="X55" i="4"/>
  <c r="Y55" i="4" s="1"/>
  <c r="Z55" i="4" s="1"/>
  <c r="X58" i="4"/>
  <c r="Y58" i="4" s="1"/>
  <c r="Z58" i="4" s="1"/>
  <c r="T31" i="4"/>
  <c r="P31" i="4"/>
  <c r="I31" i="4"/>
  <c r="G31" i="4"/>
  <c r="D31" i="4"/>
  <c r="C31" i="4"/>
  <c r="S31" i="4"/>
  <c r="H31" i="4"/>
  <c r="E31" i="4"/>
  <c r="Q31" i="4"/>
  <c r="O31" i="4"/>
  <c r="F31" i="4"/>
  <c r="K31" i="4" s="1"/>
  <c r="X106" i="4"/>
  <c r="Y106" i="4" s="1"/>
  <c r="Z106" i="4" s="1"/>
  <c r="X104" i="4"/>
  <c r="Y104" i="4" s="1"/>
  <c r="Z104" i="4" s="1"/>
  <c r="X105" i="4"/>
  <c r="Y105" i="4" s="1"/>
  <c r="Z105" i="4" s="1"/>
  <c r="X103" i="4"/>
  <c r="Y103" i="4" s="1"/>
  <c r="Z103" i="4" s="1"/>
  <c r="P117" i="4"/>
  <c r="G117" i="4"/>
  <c r="O117" i="4" s="1"/>
  <c r="S117" i="4"/>
  <c r="E117" i="4"/>
  <c r="D117" i="4"/>
  <c r="H117" i="4"/>
  <c r="F117" i="4"/>
  <c r="Q117" i="4"/>
  <c r="C117" i="4"/>
  <c r="T117" i="4"/>
  <c r="I117" i="4"/>
  <c r="X448" i="4"/>
  <c r="Y448" i="4" s="1"/>
  <c r="Z448" i="4" s="1"/>
  <c r="X449" i="4"/>
  <c r="Y449" i="4" s="1"/>
  <c r="Z449" i="4" s="1"/>
  <c r="X447" i="4"/>
  <c r="Y447" i="4" s="1"/>
  <c r="Z447" i="4" s="1"/>
  <c r="X450" i="4"/>
  <c r="Y450" i="4" s="1"/>
  <c r="Z450" i="4" s="1"/>
  <c r="P46" i="4"/>
  <c r="I46" i="4"/>
  <c r="G46" i="4"/>
  <c r="O46" i="4" s="1"/>
  <c r="E46" i="4"/>
  <c r="C46" i="4"/>
  <c r="H46" i="4"/>
  <c r="S46" i="4"/>
  <c r="Q46" i="4"/>
  <c r="F46" i="4"/>
  <c r="T46" i="4"/>
  <c r="D46" i="4"/>
  <c r="X165" i="4"/>
  <c r="Y165" i="4" s="1"/>
  <c r="Z165" i="4" s="1"/>
  <c r="X166" i="4"/>
  <c r="Y166" i="4" s="1"/>
  <c r="Z166" i="4" s="1"/>
  <c r="X164" i="4"/>
  <c r="Y164" i="4" s="1"/>
  <c r="Z164" i="4" s="1"/>
  <c r="X163" i="4"/>
  <c r="Y163" i="4" s="1"/>
  <c r="Z163" i="4" s="1"/>
  <c r="T42" i="4"/>
  <c r="P42" i="4"/>
  <c r="H42" i="4"/>
  <c r="F42" i="4"/>
  <c r="G42" i="4"/>
  <c r="E42" i="4"/>
  <c r="D42" i="4"/>
  <c r="C42" i="4"/>
  <c r="S42" i="4"/>
  <c r="Q42" i="4"/>
  <c r="I42" i="4"/>
  <c r="X147" i="4"/>
  <c r="Y147" i="4" s="1"/>
  <c r="Z147" i="4" s="1"/>
  <c r="X149" i="4"/>
  <c r="Y149" i="4" s="1"/>
  <c r="Z149" i="4" s="1"/>
  <c r="X148" i="4"/>
  <c r="Y148" i="4" s="1"/>
  <c r="Z148" i="4" s="1"/>
  <c r="X150" i="4"/>
  <c r="Y150" i="4" s="1"/>
  <c r="Z150" i="4" s="1"/>
  <c r="Q126" i="4"/>
  <c r="H126" i="4"/>
  <c r="E126" i="4"/>
  <c r="D126" i="4"/>
  <c r="C126" i="4"/>
  <c r="F126" i="4"/>
  <c r="T126" i="4"/>
  <c r="P126" i="4"/>
  <c r="I126" i="4"/>
  <c r="G126" i="4"/>
  <c r="O126" i="4" s="1"/>
  <c r="X485" i="4"/>
  <c r="Y485" i="4" s="1"/>
  <c r="Z485" i="4" s="1"/>
  <c r="X483" i="4"/>
  <c r="Y483" i="4" s="1"/>
  <c r="Z483" i="4" s="1"/>
  <c r="S126" i="4"/>
  <c r="X484" i="4"/>
  <c r="Y484" i="4" s="1"/>
  <c r="Z484" i="4" s="1"/>
  <c r="X486" i="4"/>
  <c r="Y486" i="4" s="1"/>
  <c r="Z486" i="4" s="1"/>
  <c r="T60" i="4"/>
  <c r="P60" i="4"/>
  <c r="H60" i="4"/>
  <c r="F60" i="4"/>
  <c r="D60" i="4"/>
  <c r="G60" i="4"/>
  <c r="O60" i="4" s="1"/>
  <c r="E60" i="4"/>
  <c r="C60" i="4"/>
  <c r="S60" i="4"/>
  <c r="Q60" i="4"/>
  <c r="I60" i="4"/>
  <c r="X219" i="4"/>
  <c r="Y219" i="4" s="1"/>
  <c r="Z219" i="4" s="1"/>
  <c r="X222" i="4"/>
  <c r="Y222" i="4" s="1"/>
  <c r="Z222" i="4" s="1"/>
  <c r="X221" i="4"/>
  <c r="Y221" i="4" s="1"/>
  <c r="Z221" i="4" s="1"/>
  <c r="X220" i="4"/>
  <c r="Y220" i="4" s="1"/>
  <c r="Z220" i="4" s="1"/>
  <c r="S18" i="4"/>
  <c r="Q18" i="4"/>
  <c r="I18" i="4"/>
  <c r="G18" i="4"/>
  <c r="E18" i="4"/>
  <c r="H18" i="4"/>
  <c r="F18" i="4"/>
  <c r="T18" i="4"/>
  <c r="C18" i="4"/>
  <c r="P18" i="4"/>
  <c r="D18" i="4"/>
  <c r="X54" i="4"/>
  <c r="Y54" i="4" s="1"/>
  <c r="Z54" i="4" s="1"/>
  <c r="X51" i="4"/>
  <c r="Y51" i="4" s="1"/>
  <c r="Z51" i="4" s="1"/>
  <c r="X53" i="4"/>
  <c r="Y53" i="4" s="1"/>
  <c r="Z53" i="4" s="1"/>
  <c r="X52" i="4"/>
  <c r="Y52" i="4" s="1"/>
  <c r="Z52" i="4" s="1"/>
  <c r="Q37" i="4"/>
  <c r="H37" i="4"/>
  <c r="F37" i="4"/>
  <c r="G37" i="4"/>
  <c r="O37" i="4" s="1"/>
  <c r="D37" i="4"/>
  <c r="T37" i="4"/>
  <c r="P37" i="4"/>
  <c r="E37" i="4"/>
  <c r="C37" i="4"/>
  <c r="I37" i="4"/>
  <c r="X130" i="4"/>
  <c r="Y130" i="4" s="1"/>
  <c r="Z130" i="4" s="1"/>
  <c r="S37" i="4"/>
  <c r="X127" i="4"/>
  <c r="Y127" i="4" s="1"/>
  <c r="Z127" i="4" s="1"/>
  <c r="X128" i="4"/>
  <c r="Y128" i="4" s="1"/>
  <c r="Z128" i="4" s="1"/>
  <c r="X129" i="4"/>
  <c r="Y129" i="4" s="1"/>
  <c r="Z129" i="4" s="1"/>
  <c r="S100" i="4"/>
  <c r="Q100" i="4"/>
  <c r="I100" i="4"/>
  <c r="G100" i="4"/>
  <c r="O100" i="4" s="1"/>
  <c r="E100" i="4"/>
  <c r="C100" i="4"/>
  <c r="P100" i="4"/>
  <c r="H100" i="4"/>
  <c r="D100" i="4"/>
  <c r="F100" i="4"/>
  <c r="T100" i="4"/>
  <c r="X382" i="4"/>
  <c r="Y382" i="4" s="1"/>
  <c r="Z382" i="4" s="1"/>
  <c r="X381" i="4"/>
  <c r="Y381" i="4" s="1"/>
  <c r="Z381" i="4" s="1"/>
  <c r="X379" i="4"/>
  <c r="Y379" i="4" s="1"/>
  <c r="Z379" i="4" s="1"/>
  <c r="X380" i="4"/>
  <c r="Y380" i="4" s="1"/>
  <c r="Z380" i="4" s="1"/>
  <c r="P80" i="4"/>
  <c r="I80" i="4"/>
  <c r="G80" i="4"/>
  <c r="E80" i="4"/>
  <c r="D80" i="4"/>
  <c r="S80" i="4"/>
  <c r="C80" i="4"/>
  <c r="H80" i="4"/>
  <c r="T80" i="4"/>
  <c r="F80" i="4"/>
  <c r="Q80" i="4"/>
  <c r="X301" i="4"/>
  <c r="Y301" i="4" s="1"/>
  <c r="Z301" i="4" s="1"/>
  <c r="X299" i="4"/>
  <c r="Y299" i="4" s="1"/>
  <c r="Z299" i="4" s="1"/>
  <c r="X300" i="4"/>
  <c r="Y300" i="4" s="1"/>
  <c r="Z300" i="4" s="1"/>
  <c r="X302" i="4"/>
  <c r="Y302" i="4" s="1"/>
  <c r="Z302" i="4" s="1"/>
  <c r="P47" i="4"/>
  <c r="I47" i="4"/>
  <c r="D47" i="4"/>
  <c r="E47" i="4"/>
  <c r="C47" i="4"/>
  <c r="H47" i="4"/>
  <c r="F47" i="4"/>
  <c r="M47" i="4" s="1"/>
  <c r="Q47" i="4"/>
  <c r="S47" i="4"/>
  <c r="T47" i="4"/>
  <c r="G47" i="4"/>
  <c r="X170" i="4"/>
  <c r="Y170" i="4" s="1"/>
  <c r="Z170" i="4" s="1"/>
  <c r="X168" i="4"/>
  <c r="Y168" i="4" s="1"/>
  <c r="Z168" i="4" s="1"/>
  <c r="X169" i="4"/>
  <c r="Y169" i="4" s="1"/>
  <c r="Z169" i="4" s="1"/>
  <c r="X167" i="4"/>
  <c r="Y167" i="4" s="1"/>
  <c r="Z167" i="4" s="1"/>
  <c r="E22" i="4"/>
  <c r="S22" i="4"/>
  <c r="Q22" i="4"/>
  <c r="H22" i="4"/>
  <c r="I22" i="4"/>
  <c r="F22" i="4"/>
  <c r="T22" i="4"/>
  <c r="P22" i="4"/>
  <c r="G22" i="4"/>
  <c r="O22" i="4" s="1"/>
  <c r="D22" i="4"/>
  <c r="C22" i="4"/>
  <c r="X70" i="4"/>
  <c r="Y70" i="4" s="1"/>
  <c r="Z70" i="4" s="1"/>
  <c r="X69" i="4"/>
  <c r="Y69" i="4" s="1"/>
  <c r="Z69" i="4" s="1"/>
  <c r="X67" i="4"/>
  <c r="Y67" i="4" s="1"/>
  <c r="Z67" i="4" s="1"/>
  <c r="X68" i="4"/>
  <c r="Y68" i="4" s="1"/>
  <c r="Z68" i="4" s="1"/>
  <c r="I101" i="4"/>
  <c r="P101" i="4"/>
  <c r="G101" i="4"/>
  <c r="O101" i="4" s="1"/>
  <c r="C101" i="4"/>
  <c r="H101" i="4"/>
  <c r="F101" i="4"/>
  <c r="S101" i="4"/>
  <c r="E101" i="4"/>
  <c r="D101" i="4"/>
  <c r="Q101" i="4"/>
  <c r="X386" i="4"/>
  <c r="Y386" i="4" s="1"/>
  <c r="Z386" i="4" s="1"/>
  <c r="T101" i="4"/>
  <c r="X383" i="4"/>
  <c r="Y383" i="4" s="1"/>
  <c r="Z383" i="4" s="1"/>
  <c r="X384" i="4"/>
  <c r="Y384" i="4" s="1"/>
  <c r="Z384" i="4" s="1"/>
  <c r="X385" i="4"/>
  <c r="Y385" i="4" s="1"/>
  <c r="Z385" i="4" s="1"/>
  <c r="T67" i="4"/>
  <c r="I67" i="4"/>
  <c r="P67" i="4"/>
  <c r="G67" i="4"/>
  <c r="O67" i="4" s="1"/>
  <c r="C67" i="4"/>
  <c r="H67" i="4"/>
  <c r="E67" i="4"/>
  <c r="D67" i="4"/>
  <c r="Q67" i="4"/>
  <c r="S67" i="4"/>
  <c r="F67" i="4"/>
  <c r="X250" i="4"/>
  <c r="Y250" i="4" s="1"/>
  <c r="Z250" i="4" s="1"/>
  <c r="X249" i="4"/>
  <c r="Y249" i="4" s="1"/>
  <c r="Z249" i="4" s="1"/>
  <c r="X248" i="4"/>
  <c r="Y248" i="4" s="1"/>
  <c r="Z248" i="4" s="1"/>
  <c r="X247" i="4"/>
  <c r="Y247" i="4" s="1"/>
  <c r="Z247" i="4" s="1"/>
  <c r="H89" i="4"/>
  <c r="F89" i="4"/>
  <c r="T89" i="4"/>
  <c r="G89" i="4"/>
  <c r="S89" i="4"/>
  <c r="E89" i="4"/>
  <c r="I89" i="4"/>
  <c r="X338" i="4"/>
  <c r="Y338" i="4" s="1"/>
  <c r="Z338" i="4" s="1"/>
  <c r="P89" i="4"/>
  <c r="D89" i="4"/>
  <c r="C89" i="4"/>
  <c r="Q89" i="4"/>
  <c r="X335" i="4"/>
  <c r="Y335" i="4" s="1"/>
  <c r="Z335" i="4" s="1"/>
  <c r="X336" i="4"/>
  <c r="Y336" i="4" s="1"/>
  <c r="Z336" i="4" s="1"/>
  <c r="X337" i="4"/>
  <c r="Y337" i="4" s="1"/>
  <c r="Z337" i="4" s="1"/>
  <c r="T44" i="4"/>
  <c r="P44" i="4"/>
  <c r="H44" i="4"/>
  <c r="F44" i="4"/>
  <c r="D44" i="4"/>
  <c r="I44" i="4"/>
  <c r="G44" i="4"/>
  <c r="E44" i="4"/>
  <c r="C44" i="4"/>
  <c r="S44" i="4"/>
  <c r="Q44" i="4"/>
  <c r="X157" i="4"/>
  <c r="Y157" i="4" s="1"/>
  <c r="Z157" i="4" s="1"/>
  <c r="X155" i="4"/>
  <c r="Y155" i="4" s="1"/>
  <c r="Z155" i="4" s="1"/>
  <c r="X158" i="4"/>
  <c r="Y158" i="4" s="1"/>
  <c r="Z158" i="4" s="1"/>
  <c r="X156" i="4"/>
  <c r="Y156" i="4" s="1"/>
  <c r="Z156" i="4" s="1"/>
  <c r="Q55" i="4"/>
  <c r="H55" i="4"/>
  <c r="F55" i="4"/>
  <c r="P55" i="4"/>
  <c r="E55" i="4"/>
  <c r="T55" i="4"/>
  <c r="I55" i="4"/>
  <c r="G55" i="4"/>
  <c r="K55" i="4" s="1"/>
  <c r="D55" i="4"/>
  <c r="C55" i="4"/>
  <c r="S55" i="4"/>
  <c r="X202" i="4"/>
  <c r="Y202" i="4" s="1"/>
  <c r="Z202" i="4" s="1"/>
  <c r="X200" i="4"/>
  <c r="Y200" i="4" s="1"/>
  <c r="Z200" i="4" s="1"/>
  <c r="X199" i="4"/>
  <c r="Y199" i="4" s="1"/>
  <c r="Z199" i="4" s="1"/>
  <c r="X201" i="4"/>
  <c r="Y201" i="4" s="1"/>
  <c r="Z201" i="4" s="1"/>
  <c r="I119" i="4"/>
  <c r="P119" i="4"/>
  <c r="G119" i="4"/>
  <c r="O119" i="4" s="1"/>
  <c r="D119" i="4"/>
  <c r="C119" i="4"/>
  <c r="H119" i="4"/>
  <c r="S119" i="4"/>
  <c r="E119" i="4"/>
  <c r="F119" i="4"/>
  <c r="Q119" i="4"/>
  <c r="T119" i="4"/>
  <c r="X455" i="4"/>
  <c r="Y455" i="4" s="1"/>
  <c r="Z455" i="4" s="1"/>
  <c r="X458" i="4"/>
  <c r="Y458" i="4" s="1"/>
  <c r="Z458" i="4" s="1"/>
  <c r="X456" i="4"/>
  <c r="Y456" i="4" s="1"/>
  <c r="Z456" i="4" s="1"/>
  <c r="X457" i="4"/>
  <c r="Y457" i="4" s="1"/>
  <c r="Z457" i="4" s="1"/>
  <c r="T13" i="4"/>
  <c r="P13" i="4"/>
  <c r="I13" i="4"/>
  <c r="D13" i="4"/>
  <c r="C13" i="4"/>
  <c r="E13" i="4"/>
  <c r="Q13" i="4"/>
  <c r="G13" i="4"/>
  <c r="S13" i="4"/>
  <c r="X34" i="4"/>
  <c r="Y34" i="4" s="1"/>
  <c r="Z34" i="4" s="1"/>
  <c r="H13" i="4"/>
  <c r="F13" i="4"/>
  <c r="X31" i="4"/>
  <c r="Y31" i="4" s="1"/>
  <c r="Z31" i="4" s="1"/>
  <c r="X32" i="4"/>
  <c r="Y32" i="4" s="1"/>
  <c r="Z32" i="4" s="1"/>
  <c r="X33" i="4"/>
  <c r="Y33" i="4" s="1"/>
  <c r="Z33" i="4" s="1"/>
  <c r="F15" i="4"/>
  <c r="T15" i="4"/>
  <c r="D15" i="4"/>
  <c r="C15" i="4"/>
  <c r="S15" i="4"/>
  <c r="P15" i="4"/>
  <c r="I15" i="4"/>
  <c r="G15" i="4"/>
  <c r="E15" i="4"/>
  <c r="Q15" i="4"/>
  <c r="H15" i="4"/>
  <c r="X39" i="4"/>
  <c r="Y39" i="4" s="1"/>
  <c r="Z39" i="4" s="1"/>
  <c r="X40" i="4"/>
  <c r="Y40" i="4" s="1"/>
  <c r="Z40" i="4" s="1"/>
  <c r="X41" i="4"/>
  <c r="Y41" i="4" s="1"/>
  <c r="Z41" i="4" s="1"/>
  <c r="X42" i="4"/>
  <c r="Y42" i="4" s="1"/>
  <c r="Z42" i="4" s="1"/>
  <c r="P62" i="4"/>
  <c r="I62" i="4"/>
  <c r="G62" i="4"/>
  <c r="E62" i="4"/>
  <c r="D62" i="4"/>
  <c r="C62" i="4"/>
  <c r="S62" i="4"/>
  <c r="F62" i="4"/>
  <c r="H62" i="4"/>
  <c r="X229" i="4"/>
  <c r="Y229" i="4" s="1"/>
  <c r="Z229" i="4" s="1"/>
  <c r="T62" i="4"/>
  <c r="Q62" i="4"/>
  <c r="X227" i="4"/>
  <c r="Y227" i="4" s="1"/>
  <c r="Z227" i="4" s="1"/>
  <c r="X228" i="4"/>
  <c r="Y228" i="4" s="1"/>
  <c r="Z228" i="4" s="1"/>
  <c r="X230" i="4"/>
  <c r="Y230" i="4" s="1"/>
  <c r="Z230" i="4" s="1"/>
  <c r="S110" i="4"/>
  <c r="E110" i="4"/>
  <c r="D110" i="4"/>
  <c r="Q110" i="4"/>
  <c r="H110" i="4"/>
  <c r="C110" i="4"/>
  <c r="F110" i="4"/>
  <c r="T110" i="4"/>
  <c r="P110" i="4"/>
  <c r="I110" i="4"/>
  <c r="G110" i="4"/>
  <c r="X420" i="4"/>
  <c r="Y420" i="4" s="1"/>
  <c r="Z420" i="4" s="1"/>
  <c r="X422" i="4"/>
  <c r="Y422" i="4" s="1"/>
  <c r="Z422" i="4" s="1"/>
  <c r="X421" i="4"/>
  <c r="Y421" i="4" s="1"/>
  <c r="Z421" i="4" s="1"/>
  <c r="X419" i="4"/>
  <c r="Y419" i="4" s="1"/>
  <c r="Z419" i="4" s="1"/>
  <c r="D57" i="4"/>
  <c r="C57" i="4"/>
  <c r="S57" i="4"/>
  <c r="Q57" i="4"/>
  <c r="H57" i="4"/>
  <c r="F57" i="4"/>
  <c r="G57" i="4"/>
  <c r="O57" i="4" s="1"/>
  <c r="I57" i="4"/>
  <c r="P57" i="4"/>
  <c r="T57" i="4"/>
  <c r="E57" i="4"/>
  <c r="X207" i="4"/>
  <c r="Y207" i="4" s="1"/>
  <c r="Z207" i="4" s="1"/>
  <c r="X209" i="4"/>
  <c r="Y209" i="4" s="1"/>
  <c r="Z209" i="4" s="1"/>
  <c r="X210" i="4"/>
  <c r="Y210" i="4" s="1"/>
  <c r="Z210" i="4" s="1"/>
  <c r="X208" i="4"/>
  <c r="Y208" i="4" s="1"/>
  <c r="Z208" i="4" s="1"/>
  <c r="T12" i="4"/>
  <c r="P12" i="4"/>
  <c r="H12" i="4"/>
  <c r="F12" i="4"/>
  <c r="D12" i="4"/>
  <c r="I12" i="4"/>
  <c r="G12" i="4"/>
  <c r="C12" i="4"/>
  <c r="Q12" i="4"/>
  <c r="E12" i="4"/>
  <c r="X29" i="4"/>
  <c r="Y29" i="4" s="1"/>
  <c r="Z29" i="4" s="1"/>
  <c r="S12" i="4"/>
  <c r="X30" i="4"/>
  <c r="Y30" i="4" s="1"/>
  <c r="Z30" i="4" s="1"/>
  <c r="X27" i="4"/>
  <c r="Y27" i="4" s="1"/>
  <c r="Z27" i="4" s="1"/>
  <c r="X28" i="4"/>
  <c r="Y28" i="4" s="1"/>
  <c r="Z28" i="4" s="1"/>
  <c r="Q16" i="4"/>
  <c r="H16" i="4"/>
  <c r="F16" i="4"/>
  <c r="T16" i="4"/>
  <c r="D16" i="4"/>
  <c r="E16" i="4"/>
  <c r="I16" i="4"/>
  <c r="G16" i="4"/>
  <c r="O16" i="4" s="1"/>
  <c r="C16" i="4"/>
  <c r="P16" i="4"/>
  <c r="S16" i="4"/>
  <c r="X43" i="4"/>
  <c r="Y43" i="4" s="1"/>
  <c r="Z43" i="4" s="1"/>
  <c r="X45" i="4"/>
  <c r="Y45" i="4" s="1"/>
  <c r="Z45" i="4" s="1"/>
  <c r="X44" i="4"/>
  <c r="Y44" i="4" s="1"/>
  <c r="Z44" i="4" s="1"/>
  <c r="X46" i="4"/>
  <c r="Y46" i="4" s="1"/>
  <c r="Z46" i="4" s="1"/>
  <c r="S94" i="4"/>
  <c r="E94" i="4"/>
  <c r="D94" i="4"/>
  <c r="C94" i="4"/>
  <c r="Q94" i="4"/>
  <c r="H94" i="4"/>
  <c r="F94" i="4"/>
  <c r="I94" i="4"/>
  <c r="P94" i="4"/>
  <c r="T94" i="4"/>
  <c r="G94" i="4"/>
  <c r="X356" i="4"/>
  <c r="Y356" i="4" s="1"/>
  <c r="Z356" i="4" s="1"/>
  <c r="X357" i="4"/>
  <c r="Y357" i="4" s="1"/>
  <c r="Z357" i="4" s="1"/>
  <c r="X358" i="4"/>
  <c r="Y358" i="4" s="1"/>
  <c r="Z358" i="4" s="1"/>
  <c r="X355" i="4"/>
  <c r="Y355" i="4" s="1"/>
  <c r="Z355" i="4" s="1"/>
  <c r="E77" i="4"/>
  <c r="D77" i="4"/>
  <c r="S77" i="4"/>
  <c r="C77" i="4"/>
  <c r="Q77" i="4"/>
  <c r="H77" i="4"/>
  <c r="X290" i="4"/>
  <c r="Y290" i="4" s="1"/>
  <c r="Z290" i="4" s="1"/>
  <c r="P77" i="4"/>
  <c r="I77" i="4"/>
  <c r="F77" i="4"/>
  <c r="T77" i="4"/>
  <c r="G77" i="4"/>
  <c r="X287" i="4"/>
  <c r="Y287" i="4" s="1"/>
  <c r="Z287" i="4" s="1"/>
  <c r="X288" i="4"/>
  <c r="Y288" i="4" s="1"/>
  <c r="Z288" i="4" s="1"/>
  <c r="X289" i="4"/>
  <c r="Y289" i="4" s="1"/>
  <c r="Z289" i="4" s="1"/>
  <c r="T11" i="4"/>
  <c r="G11" i="4"/>
  <c r="I11" i="4"/>
  <c r="P11" i="4"/>
  <c r="D11" i="4"/>
  <c r="C11" i="4"/>
  <c r="E11" i="4"/>
  <c r="H11" i="4"/>
  <c r="Q11" i="4"/>
  <c r="S11" i="4"/>
  <c r="F11" i="4"/>
  <c r="X26" i="4"/>
  <c r="Y26" i="4" s="1"/>
  <c r="Z26" i="4" s="1"/>
  <c r="X24" i="4"/>
  <c r="Y24" i="4" s="1"/>
  <c r="Z24" i="4" s="1"/>
  <c r="X25" i="4"/>
  <c r="Y25" i="4" s="1"/>
  <c r="Z25" i="4" s="1"/>
  <c r="X23" i="4"/>
  <c r="Y23" i="4" s="1"/>
  <c r="Z23" i="4" s="1"/>
  <c r="S38" i="4"/>
  <c r="Q38" i="4"/>
  <c r="H38" i="4"/>
  <c r="F38" i="4"/>
  <c r="P38" i="4"/>
  <c r="I38" i="4"/>
  <c r="X131" i="4"/>
  <c r="Y131" i="4" s="1"/>
  <c r="Z131" i="4" s="1"/>
  <c r="G38" i="4"/>
  <c r="O38" i="4" s="1"/>
  <c r="X132" i="4"/>
  <c r="Y132" i="4" s="1"/>
  <c r="Z132" i="4" s="1"/>
  <c r="T38" i="4"/>
  <c r="E38" i="4"/>
  <c r="D38" i="4"/>
  <c r="C38" i="4"/>
  <c r="X133" i="4"/>
  <c r="Y133" i="4" s="1"/>
  <c r="Z133" i="4" s="1"/>
  <c r="X134" i="4"/>
  <c r="Y134" i="4" s="1"/>
  <c r="Z134" i="4" s="1"/>
  <c r="T85" i="4"/>
  <c r="I85" i="4"/>
  <c r="P85" i="4"/>
  <c r="G85" i="4"/>
  <c r="E85" i="4"/>
  <c r="D85" i="4"/>
  <c r="C85" i="4"/>
  <c r="Q85" i="4"/>
  <c r="H85" i="4"/>
  <c r="S85" i="4"/>
  <c r="F85" i="4"/>
  <c r="X321" i="4"/>
  <c r="Y321" i="4" s="1"/>
  <c r="Z321" i="4" s="1"/>
  <c r="X319" i="4"/>
  <c r="Y319" i="4" s="1"/>
  <c r="Z319" i="4" s="1"/>
  <c r="X320" i="4"/>
  <c r="Y320" i="4" s="1"/>
  <c r="Z320" i="4" s="1"/>
  <c r="X322" i="4"/>
  <c r="Y322" i="4" s="1"/>
  <c r="Z322" i="4" s="1"/>
  <c r="F104" i="4"/>
  <c r="T104" i="4"/>
  <c r="I104" i="4"/>
  <c r="P104" i="4"/>
  <c r="G104" i="4"/>
  <c r="O104" i="4" s="1"/>
  <c r="D104" i="4"/>
  <c r="E104" i="4"/>
  <c r="Q104" i="4"/>
  <c r="C104" i="4"/>
  <c r="S104" i="4"/>
  <c r="H104" i="4"/>
  <c r="X397" i="4"/>
  <c r="Y397" i="4" s="1"/>
  <c r="Z397" i="4" s="1"/>
  <c r="X396" i="4"/>
  <c r="Y396" i="4" s="1"/>
  <c r="Z396" i="4" s="1"/>
  <c r="X395" i="4"/>
  <c r="Y395" i="4" s="1"/>
  <c r="Z395" i="4" s="1"/>
  <c r="X398" i="4"/>
  <c r="Y398" i="4" s="1"/>
  <c r="Z398" i="4" s="1"/>
  <c r="S116" i="4"/>
  <c r="Q116" i="4"/>
  <c r="I116" i="4"/>
  <c r="G116" i="4"/>
  <c r="E116" i="4"/>
  <c r="C116" i="4"/>
  <c r="P116" i="4"/>
  <c r="T116" i="4"/>
  <c r="D116" i="4"/>
  <c r="H116" i="4"/>
  <c r="F116" i="4"/>
  <c r="X443" i="4"/>
  <c r="Y443" i="4" s="1"/>
  <c r="Z443" i="4" s="1"/>
  <c r="X446" i="4"/>
  <c r="Y446" i="4" s="1"/>
  <c r="Z446" i="4" s="1"/>
  <c r="X444" i="4"/>
  <c r="Y444" i="4" s="1"/>
  <c r="Z444" i="4" s="1"/>
  <c r="X445" i="4"/>
  <c r="Y445" i="4" s="1"/>
  <c r="Z445" i="4" s="1"/>
  <c r="G79" i="4"/>
  <c r="O79" i="4" s="1"/>
  <c r="T79" i="4"/>
  <c r="C79" i="4"/>
  <c r="E79" i="4"/>
  <c r="D79" i="4"/>
  <c r="S79" i="4"/>
  <c r="Q79" i="4"/>
  <c r="H79" i="4"/>
  <c r="F79" i="4"/>
  <c r="P79" i="4"/>
  <c r="I79" i="4"/>
  <c r="X296" i="4"/>
  <c r="Y296" i="4" s="1"/>
  <c r="Z296" i="4" s="1"/>
  <c r="X297" i="4"/>
  <c r="Y297" i="4" s="1"/>
  <c r="Z297" i="4" s="1"/>
  <c r="X295" i="4"/>
  <c r="Y295" i="4" s="1"/>
  <c r="Z295" i="4" s="1"/>
  <c r="X298" i="4"/>
  <c r="Y298" i="4" s="1"/>
  <c r="Z298" i="4" s="1"/>
  <c r="S93" i="4"/>
  <c r="E93" i="4"/>
  <c r="D93" i="4"/>
  <c r="C93" i="4"/>
  <c r="Q93" i="4"/>
  <c r="H93" i="4"/>
  <c r="F93" i="4"/>
  <c r="I93" i="4"/>
  <c r="G93" i="4"/>
  <c r="T93" i="4"/>
  <c r="P93" i="4"/>
  <c r="X353" i="4"/>
  <c r="Y353" i="4" s="1"/>
  <c r="Z353" i="4" s="1"/>
  <c r="X352" i="4"/>
  <c r="Y352" i="4" s="1"/>
  <c r="Z352" i="4" s="1"/>
  <c r="X351" i="4"/>
  <c r="Y351" i="4" s="1"/>
  <c r="Z351" i="4" s="1"/>
  <c r="X354" i="4"/>
  <c r="Y354" i="4" s="1"/>
  <c r="Z354" i="4" s="1"/>
  <c r="D23" i="4"/>
  <c r="C23" i="4"/>
  <c r="E23" i="4"/>
  <c r="S23" i="4"/>
  <c r="Q23" i="4"/>
  <c r="H23" i="4"/>
  <c r="F23" i="4"/>
  <c r="I23" i="4"/>
  <c r="P23" i="4"/>
  <c r="G23" i="4"/>
  <c r="T23" i="4"/>
  <c r="X72" i="4"/>
  <c r="Y72" i="4" s="1"/>
  <c r="Z72" i="4" s="1"/>
  <c r="X71" i="4"/>
  <c r="Y71" i="4" s="1"/>
  <c r="Z71" i="4" s="1"/>
  <c r="X73" i="4"/>
  <c r="Y73" i="4" s="1"/>
  <c r="Z73" i="4" s="1"/>
  <c r="X74" i="4"/>
  <c r="Y74" i="4" s="1"/>
  <c r="Z74" i="4" s="1"/>
  <c r="P43" i="4"/>
  <c r="G43" i="4"/>
  <c r="E43" i="4"/>
  <c r="D43" i="4"/>
  <c r="C43" i="4"/>
  <c r="S43" i="4"/>
  <c r="H43" i="4"/>
  <c r="T43" i="4"/>
  <c r="Q43" i="4"/>
  <c r="F43" i="4"/>
  <c r="K43" i="4" s="1"/>
  <c r="I43" i="4"/>
  <c r="X151" i="4"/>
  <c r="Y151" i="4" s="1"/>
  <c r="Z151" i="4" s="1"/>
  <c r="X153" i="4"/>
  <c r="Y153" i="4" s="1"/>
  <c r="Z153" i="4" s="1"/>
  <c r="X154" i="4"/>
  <c r="Y154" i="4" s="1"/>
  <c r="Z154" i="4" s="1"/>
  <c r="X152" i="4"/>
  <c r="Y152" i="4" s="1"/>
  <c r="Z152" i="4" s="1"/>
  <c r="T102" i="4"/>
  <c r="I102" i="4"/>
  <c r="P102" i="4"/>
  <c r="G102" i="4"/>
  <c r="C102" i="4"/>
  <c r="X387" i="4"/>
  <c r="Y387" i="4" s="1"/>
  <c r="Z387" i="4" s="1"/>
  <c r="X388" i="4"/>
  <c r="Y388" i="4" s="1"/>
  <c r="Z388" i="4" s="1"/>
  <c r="E102" i="4"/>
  <c r="Q102" i="4"/>
  <c r="D102" i="4"/>
  <c r="H102" i="4"/>
  <c r="S102" i="4"/>
  <c r="F102" i="4"/>
  <c r="X390" i="4"/>
  <c r="Y390" i="4" s="1"/>
  <c r="Z390" i="4" s="1"/>
  <c r="X389" i="4"/>
  <c r="Y389" i="4" s="1"/>
  <c r="Z389" i="4" s="1"/>
  <c r="I9" i="4"/>
  <c r="P9" i="4"/>
  <c r="G9" i="4"/>
  <c r="O9" i="4" s="1"/>
  <c r="D9" i="4"/>
  <c r="C9" i="4"/>
  <c r="E9" i="4"/>
  <c r="H9" i="4"/>
  <c r="F9" i="4"/>
  <c r="S9" i="4"/>
  <c r="Q9" i="4"/>
  <c r="T9" i="4"/>
  <c r="X18" i="4"/>
  <c r="Y18" i="4" s="1"/>
  <c r="Z18" i="4" s="1"/>
  <c r="X15" i="4"/>
  <c r="Y15" i="4" s="1"/>
  <c r="Z15" i="4" s="1"/>
  <c r="X16" i="4"/>
  <c r="Y16" i="4" s="1"/>
  <c r="Z16" i="4" s="1"/>
  <c r="X17" i="4"/>
  <c r="Y17" i="4" s="1"/>
  <c r="Z17" i="4" s="1"/>
  <c r="F87" i="4"/>
  <c r="T87" i="4"/>
  <c r="I87" i="4"/>
  <c r="E87" i="4"/>
  <c r="C87" i="4"/>
  <c r="Q87" i="4"/>
  <c r="P87" i="4"/>
  <c r="G87" i="4"/>
  <c r="O87" i="4" s="1"/>
  <c r="S87" i="4"/>
  <c r="D87" i="4"/>
  <c r="H87" i="4"/>
  <c r="X328" i="4"/>
  <c r="Y328" i="4" s="1"/>
  <c r="Z328" i="4" s="1"/>
  <c r="X329" i="4"/>
  <c r="Y329" i="4" s="1"/>
  <c r="Z329" i="4" s="1"/>
  <c r="X327" i="4"/>
  <c r="Y327" i="4" s="1"/>
  <c r="Z327" i="4" s="1"/>
  <c r="X330" i="4"/>
  <c r="Y330" i="4" s="1"/>
  <c r="Z330" i="4" s="1"/>
  <c r="P29" i="4"/>
  <c r="I29" i="4"/>
  <c r="G29" i="4"/>
  <c r="D29" i="4"/>
  <c r="C29" i="4"/>
  <c r="Q29" i="4"/>
  <c r="H29" i="4"/>
  <c r="E29" i="4"/>
  <c r="F29" i="4"/>
  <c r="S29" i="4"/>
  <c r="T29" i="4"/>
  <c r="X96" i="4"/>
  <c r="Y96" i="4" s="1"/>
  <c r="Z96" i="4" s="1"/>
  <c r="X95" i="4"/>
  <c r="Y95" i="4" s="1"/>
  <c r="Z95" i="4" s="1"/>
  <c r="X98" i="4"/>
  <c r="Y98" i="4" s="1"/>
  <c r="Z98" i="4" s="1"/>
  <c r="X97" i="4"/>
  <c r="Y97" i="4" s="1"/>
  <c r="Z97" i="4" s="1"/>
  <c r="F8" i="4"/>
  <c r="Q8" i="4"/>
  <c r="X11" i="4"/>
  <c r="Y11" i="4" s="1"/>
  <c r="Z11" i="4" s="1"/>
  <c r="X12" i="4"/>
  <c r="Y12" i="4" s="1"/>
  <c r="Z12" i="4" s="1"/>
  <c r="X14" i="4"/>
  <c r="Y14" i="4" s="1"/>
  <c r="Z14" i="4" s="1"/>
  <c r="X13" i="4"/>
  <c r="Y13" i="4" s="1"/>
  <c r="Z13" i="4" s="1"/>
  <c r="S21" i="4"/>
  <c r="Q21" i="4"/>
  <c r="H21" i="4"/>
  <c r="F21" i="4"/>
  <c r="I21" i="4"/>
  <c r="G21" i="4"/>
  <c r="P21" i="4"/>
  <c r="T21" i="4"/>
  <c r="D21" i="4"/>
  <c r="C21" i="4"/>
  <c r="E21" i="4"/>
  <c r="X63" i="4"/>
  <c r="Y63" i="4" s="1"/>
  <c r="Z63" i="4" s="1"/>
  <c r="X64" i="4"/>
  <c r="Y64" i="4" s="1"/>
  <c r="Z64" i="4" s="1"/>
  <c r="X66" i="4"/>
  <c r="Y66" i="4" s="1"/>
  <c r="Z66" i="4" s="1"/>
  <c r="X65" i="4"/>
  <c r="Y65" i="4" s="1"/>
  <c r="Z65" i="4" s="1"/>
  <c r="F51" i="4"/>
  <c r="T51" i="4"/>
  <c r="I51" i="4"/>
  <c r="G51" i="4"/>
  <c r="E51" i="4"/>
  <c r="D51" i="4"/>
  <c r="P51" i="4"/>
  <c r="C51" i="4"/>
  <c r="S51" i="4"/>
  <c r="Q51" i="4"/>
  <c r="H51" i="4"/>
  <c r="X186" i="4"/>
  <c r="Y186" i="4" s="1"/>
  <c r="Z186" i="4" s="1"/>
  <c r="X184" i="4"/>
  <c r="Y184" i="4" s="1"/>
  <c r="Z184" i="4" s="1"/>
  <c r="X183" i="4"/>
  <c r="Y183" i="4" s="1"/>
  <c r="Z183" i="4" s="1"/>
  <c r="X185" i="4"/>
  <c r="Y185" i="4" s="1"/>
  <c r="Z185" i="4" s="1"/>
  <c r="H70" i="4"/>
  <c r="F70" i="4"/>
  <c r="T70" i="4"/>
  <c r="D70" i="4"/>
  <c r="I70" i="4"/>
  <c r="S70" i="4"/>
  <c r="G70" i="4"/>
  <c r="O70" i="4" s="1"/>
  <c r="E70" i="4"/>
  <c r="C70" i="4"/>
  <c r="P70" i="4"/>
  <c r="Q70" i="4"/>
  <c r="X260" i="4"/>
  <c r="Y260" i="4" s="1"/>
  <c r="Z260" i="4" s="1"/>
  <c r="X262" i="4"/>
  <c r="Y262" i="4" s="1"/>
  <c r="Z262" i="4" s="1"/>
  <c r="X259" i="4"/>
  <c r="Y259" i="4" s="1"/>
  <c r="Z259" i="4" s="1"/>
  <c r="X261" i="4"/>
  <c r="Y261" i="4" s="1"/>
  <c r="Z261" i="4" s="1"/>
  <c r="S82" i="4"/>
  <c r="Q82" i="4"/>
  <c r="I82" i="4"/>
  <c r="G82" i="4"/>
  <c r="P82" i="4"/>
  <c r="E82" i="4"/>
  <c r="F82" i="4"/>
  <c r="D82" i="4"/>
  <c r="C82" i="4"/>
  <c r="H82" i="4"/>
  <c r="T82" i="4"/>
  <c r="X310" i="4"/>
  <c r="Y310" i="4" s="1"/>
  <c r="Z310" i="4" s="1"/>
  <c r="X308" i="4"/>
  <c r="Y308" i="4" s="1"/>
  <c r="Z308" i="4" s="1"/>
  <c r="X307" i="4"/>
  <c r="Y307" i="4" s="1"/>
  <c r="Z307" i="4" s="1"/>
  <c r="X309" i="4"/>
  <c r="Y309" i="4" s="1"/>
  <c r="Z309" i="4" s="1"/>
  <c r="S112" i="4"/>
  <c r="E112" i="4"/>
  <c r="D112" i="4"/>
  <c r="Q112" i="4"/>
  <c r="H112" i="4"/>
  <c r="C112" i="4"/>
  <c r="F112" i="4"/>
  <c r="P112" i="4"/>
  <c r="I112" i="4"/>
  <c r="T112" i="4"/>
  <c r="G112" i="4"/>
  <c r="O112" i="4" s="1"/>
  <c r="X427" i="4"/>
  <c r="Y427" i="4" s="1"/>
  <c r="Z427" i="4" s="1"/>
  <c r="X430" i="4"/>
  <c r="Y430" i="4" s="1"/>
  <c r="Z430" i="4" s="1"/>
  <c r="X428" i="4"/>
  <c r="Y428" i="4" s="1"/>
  <c r="Z428" i="4" s="1"/>
  <c r="X429" i="4"/>
  <c r="Y429" i="4" s="1"/>
  <c r="Z429" i="4" s="1"/>
  <c r="E75" i="4"/>
  <c r="S75" i="4"/>
  <c r="D75" i="4"/>
  <c r="C75" i="4"/>
  <c r="Q75" i="4"/>
  <c r="H75" i="4"/>
  <c r="F75" i="4"/>
  <c r="I75" i="4"/>
  <c r="P75" i="4"/>
  <c r="G75" i="4"/>
  <c r="T75" i="4"/>
  <c r="X282" i="4"/>
  <c r="Y282" i="4" s="1"/>
  <c r="Z282" i="4" s="1"/>
  <c r="X279" i="4"/>
  <c r="Y279" i="4" s="1"/>
  <c r="Z279" i="4" s="1"/>
  <c r="X280" i="4"/>
  <c r="Y280" i="4" s="1"/>
  <c r="Z280" i="4" s="1"/>
  <c r="X281" i="4"/>
  <c r="Y281" i="4" s="1"/>
  <c r="Z281" i="4" s="1"/>
  <c r="C125" i="4"/>
  <c r="F125" i="4"/>
  <c r="T125" i="4"/>
  <c r="G125" i="4"/>
  <c r="P125" i="4"/>
  <c r="I125" i="4"/>
  <c r="S125" i="4"/>
  <c r="Q125" i="4"/>
  <c r="H125" i="4"/>
  <c r="E125" i="4"/>
  <c r="D125" i="4"/>
  <c r="X479" i="4"/>
  <c r="Y479" i="4" s="1"/>
  <c r="Z479" i="4" s="1"/>
  <c r="X481" i="4"/>
  <c r="Y481" i="4" s="1"/>
  <c r="Z481" i="4" s="1"/>
  <c r="X482" i="4"/>
  <c r="Y482" i="4" s="1"/>
  <c r="Z482" i="4" s="1"/>
  <c r="X480" i="4"/>
  <c r="Y480" i="4" s="1"/>
  <c r="Z480" i="4" s="1"/>
  <c r="T103" i="4"/>
  <c r="I103" i="4"/>
  <c r="P103" i="4"/>
  <c r="G103" i="4"/>
  <c r="E103" i="4"/>
  <c r="Q103" i="4"/>
  <c r="H103" i="4"/>
  <c r="D103" i="4"/>
  <c r="S103" i="4"/>
  <c r="C103" i="4"/>
  <c r="F103" i="4"/>
  <c r="X391" i="4"/>
  <c r="Y391" i="4" s="1"/>
  <c r="Z391" i="4" s="1"/>
  <c r="X393" i="4"/>
  <c r="Y393" i="4" s="1"/>
  <c r="Z393" i="4" s="1"/>
  <c r="X394" i="4"/>
  <c r="Y394" i="4" s="1"/>
  <c r="Z394" i="4" s="1"/>
  <c r="X392" i="4"/>
  <c r="Y392" i="4" s="1"/>
  <c r="Z392" i="4" s="1"/>
  <c r="S98" i="4"/>
  <c r="Q98" i="4"/>
  <c r="I98" i="4"/>
  <c r="G98" i="4"/>
  <c r="P98" i="4"/>
  <c r="E98" i="4"/>
  <c r="D98" i="4"/>
  <c r="F98" i="4"/>
  <c r="C98" i="4"/>
  <c r="H98" i="4"/>
  <c r="T98" i="4"/>
  <c r="X374" i="4"/>
  <c r="Y374" i="4" s="1"/>
  <c r="Z374" i="4" s="1"/>
  <c r="X371" i="4"/>
  <c r="Y371" i="4" s="1"/>
  <c r="Z371" i="4" s="1"/>
  <c r="X373" i="4"/>
  <c r="Y373" i="4" s="1"/>
  <c r="Z373" i="4" s="1"/>
  <c r="X372" i="4"/>
  <c r="Y372" i="4" s="1"/>
  <c r="Z372" i="4" s="1"/>
  <c r="E109" i="4"/>
  <c r="D109" i="4"/>
  <c r="C109" i="4"/>
  <c r="Q109" i="4"/>
  <c r="H109" i="4"/>
  <c r="F109" i="4"/>
  <c r="T109" i="4"/>
  <c r="G109" i="4"/>
  <c r="P109" i="4"/>
  <c r="I109" i="4"/>
  <c r="S109" i="4"/>
  <c r="X417" i="4"/>
  <c r="Y417" i="4" s="1"/>
  <c r="Z417" i="4" s="1"/>
  <c r="X418" i="4"/>
  <c r="Y418" i="4" s="1"/>
  <c r="Z418" i="4" s="1"/>
  <c r="X416" i="4"/>
  <c r="Y416" i="4" s="1"/>
  <c r="Z416" i="4" s="1"/>
  <c r="X415" i="4"/>
  <c r="Y415" i="4" s="1"/>
  <c r="Z415" i="4" s="1"/>
  <c r="Q35" i="4"/>
  <c r="H35" i="4"/>
  <c r="F35" i="4"/>
  <c r="T35" i="4"/>
  <c r="I35" i="4"/>
  <c r="G35" i="4"/>
  <c r="D35" i="4"/>
  <c r="E35" i="4"/>
  <c r="C35" i="4"/>
  <c r="P35" i="4"/>
  <c r="S35" i="4"/>
  <c r="X120" i="4"/>
  <c r="Y120" i="4" s="1"/>
  <c r="Z120" i="4" s="1"/>
  <c r="X122" i="4"/>
  <c r="Y122" i="4" s="1"/>
  <c r="Z122" i="4" s="1"/>
  <c r="X119" i="4"/>
  <c r="Y119" i="4" s="1"/>
  <c r="Z119" i="4" s="1"/>
  <c r="X121" i="4"/>
  <c r="Y121" i="4" s="1"/>
  <c r="Z121" i="4" s="1"/>
  <c r="T28" i="4"/>
  <c r="P28" i="4"/>
  <c r="H28" i="4"/>
  <c r="F28" i="4"/>
  <c r="D28" i="4"/>
  <c r="I28" i="4"/>
  <c r="G28" i="4"/>
  <c r="C28" i="4"/>
  <c r="E28" i="4"/>
  <c r="Q28" i="4"/>
  <c r="S28" i="4"/>
  <c r="X92" i="4"/>
  <c r="Y92" i="4" s="1"/>
  <c r="Z92" i="4" s="1"/>
  <c r="X94" i="4"/>
  <c r="Y94" i="4" s="1"/>
  <c r="Z94" i="4" s="1"/>
  <c r="X93" i="4"/>
  <c r="Y93" i="4" s="1"/>
  <c r="Z93" i="4" s="1"/>
  <c r="X91" i="4"/>
  <c r="Y91" i="4" s="1"/>
  <c r="Z91" i="4" s="1"/>
  <c r="T122" i="4"/>
  <c r="P122" i="4"/>
  <c r="H122" i="4"/>
  <c r="F122" i="4"/>
  <c r="I122" i="4"/>
  <c r="G122" i="4"/>
  <c r="O122" i="4" s="1"/>
  <c r="Q122" i="4"/>
  <c r="E122" i="4"/>
  <c r="C122" i="4"/>
  <c r="D122" i="4"/>
  <c r="S122" i="4"/>
  <c r="X469" i="4"/>
  <c r="Y469" i="4" s="1"/>
  <c r="Z469" i="4" s="1"/>
  <c r="X467" i="4"/>
  <c r="Y467" i="4" s="1"/>
  <c r="Z467" i="4" s="1"/>
  <c r="X470" i="4"/>
  <c r="Y470" i="4" s="1"/>
  <c r="Z470" i="4" s="1"/>
  <c r="X468" i="4"/>
  <c r="Y468" i="4" s="1"/>
  <c r="Z468" i="4" s="1"/>
  <c r="Q17" i="4"/>
  <c r="H17" i="4"/>
  <c r="F17" i="4"/>
  <c r="T17" i="4"/>
  <c r="D17" i="4"/>
  <c r="G17" i="4"/>
  <c r="O17" i="4" s="1"/>
  <c r="E17" i="4"/>
  <c r="C17" i="4"/>
  <c r="P17" i="4"/>
  <c r="I17" i="4"/>
  <c r="S17" i="4"/>
  <c r="X47" i="4"/>
  <c r="Y47" i="4" s="1"/>
  <c r="Z47" i="4" s="1"/>
  <c r="X49" i="4"/>
  <c r="Y49" i="4" s="1"/>
  <c r="Z49" i="4" s="1"/>
  <c r="X48" i="4"/>
  <c r="Y48" i="4" s="1"/>
  <c r="Z48" i="4" s="1"/>
  <c r="X50" i="4"/>
  <c r="Y50" i="4" s="1"/>
  <c r="Z50" i="4" s="1"/>
  <c r="S36" i="4"/>
  <c r="Q36" i="4"/>
  <c r="I36" i="4"/>
  <c r="G36" i="4"/>
  <c r="E36" i="4"/>
  <c r="C36" i="4"/>
  <c r="H36" i="4"/>
  <c r="F36" i="4"/>
  <c r="T36" i="4"/>
  <c r="P36" i="4"/>
  <c r="D36" i="4"/>
  <c r="X125" i="4"/>
  <c r="Y125" i="4" s="1"/>
  <c r="Z125" i="4" s="1"/>
  <c r="X126" i="4"/>
  <c r="Y126" i="4" s="1"/>
  <c r="Z126" i="4" s="1"/>
  <c r="X123" i="4"/>
  <c r="Y123" i="4" s="1"/>
  <c r="Z123" i="4" s="1"/>
  <c r="X124" i="4"/>
  <c r="Y124" i="4" s="1"/>
  <c r="Z124" i="4" s="1"/>
  <c r="T48" i="4"/>
  <c r="P48" i="4"/>
  <c r="I48" i="4"/>
  <c r="G48" i="4"/>
  <c r="O48" i="4" s="1"/>
  <c r="Q48" i="4"/>
  <c r="H48" i="4"/>
  <c r="D48" i="4"/>
  <c r="E48" i="4"/>
  <c r="C48" i="4"/>
  <c r="S48" i="4"/>
  <c r="F48" i="4"/>
  <c r="X173" i="4"/>
  <c r="Y173" i="4" s="1"/>
  <c r="Z173" i="4" s="1"/>
  <c r="X171" i="4"/>
  <c r="Y171" i="4" s="1"/>
  <c r="Z171" i="4" s="1"/>
  <c r="X172" i="4"/>
  <c r="Y172" i="4" s="1"/>
  <c r="Z172" i="4" s="1"/>
  <c r="X174" i="4"/>
  <c r="Y174" i="4" s="1"/>
  <c r="Z174" i="4" s="1"/>
  <c r="S95" i="4"/>
  <c r="E95" i="4"/>
  <c r="D95" i="4"/>
  <c r="C95" i="4"/>
  <c r="Q95" i="4"/>
  <c r="H95" i="4"/>
  <c r="F95" i="4"/>
  <c r="P95" i="4"/>
  <c r="I95" i="4"/>
  <c r="T95" i="4"/>
  <c r="G95" i="4"/>
  <c r="X359" i="4"/>
  <c r="Y359" i="4" s="1"/>
  <c r="Z359" i="4" s="1"/>
  <c r="X362" i="4"/>
  <c r="Y362" i="4" s="1"/>
  <c r="Z362" i="4" s="1"/>
  <c r="X360" i="4"/>
  <c r="Y360" i="4" s="1"/>
  <c r="Z360" i="4" s="1"/>
  <c r="X361" i="4"/>
  <c r="Y361" i="4" s="1"/>
  <c r="Z361" i="4" s="1"/>
  <c r="T58" i="4"/>
  <c r="P58" i="4"/>
  <c r="H58" i="4"/>
  <c r="F58" i="4"/>
  <c r="E58" i="4"/>
  <c r="C58" i="4"/>
  <c r="D58" i="4"/>
  <c r="S58" i="4"/>
  <c r="Q58" i="4"/>
  <c r="I58" i="4"/>
  <c r="G58" i="4"/>
  <c r="X211" i="4"/>
  <c r="Y211" i="4" s="1"/>
  <c r="Z211" i="4" s="1"/>
  <c r="X214" i="4"/>
  <c r="Y214" i="4" s="1"/>
  <c r="Z214" i="4" s="1"/>
  <c r="X212" i="4"/>
  <c r="Y212" i="4" s="1"/>
  <c r="Z212" i="4" s="1"/>
  <c r="X213" i="4"/>
  <c r="Y213" i="4" s="1"/>
  <c r="Z213" i="4" s="1"/>
  <c r="H107" i="4"/>
  <c r="S107" i="4"/>
  <c r="F107" i="4"/>
  <c r="T107" i="4"/>
  <c r="I107" i="4"/>
  <c r="G107" i="4"/>
  <c r="O107" i="4" s="1"/>
  <c r="P107" i="4"/>
  <c r="E107" i="4"/>
  <c r="Q107" i="4"/>
  <c r="D107" i="4"/>
  <c r="C107" i="4"/>
  <c r="X409" i="4"/>
  <c r="Y409" i="4" s="1"/>
  <c r="Z409" i="4" s="1"/>
  <c r="X407" i="4"/>
  <c r="Y407" i="4" s="1"/>
  <c r="Z407" i="4" s="1"/>
  <c r="X410" i="4"/>
  <c r="Y410" i="4" s="1"/>
  <c r="Z410" i="4" s="1"/>
  <c r="X408" i="4"/>
  <c r="Y408" i="4" s="1"/>
  <c r="Z408" i="4" s="1"/>
  <c r="C113" i="4"/>
  <c r="S113" i="4"/>
  <c r="E113" i="4"/>
  <c r="D113" i="4"/>
  <c r="Q113" i="4"/>
  <c r="H113" i="4"/>
  <c r="P113" i="4"/>
  <c r="I113" i="4"/>
  <c r="F113" i="4"/>
  <c r="T113" i="4"/>
  <c r="X434" i="4"/>
  <c r="Y434" i="4" s="1"/>
  <c r="Z434" i="4" s="1"/>
  <c r="G113" i="4"/>
  <c r="O113" i="4" s="1"/>
  <c r="X432" i="4"/>
  <c r="Y432" i="4" s="1"/>
  <c r="Z432" i="4" s="1"/>
  <c r="X433" i="4"/>
  <c r="Y433" i="4" s="1"/>
  <c r="Z433" i="4" s="1"/>
  <c r="X431" i="4"/>
  <c r="Y431" i="4" s="1"/>
  <c r="Z431" i="4" s="1"/>
  <c r="T108" i="4"/>
  <c r="P108" i="4"/>
  <c r="H108" i="4"/>
  <c r="F108" i="4"/>
  <c r="D108" i="4"/>
  <c r="Q108" i="4"/>
  <c r="C108" i="4"/>
  <c r="I108" i="4"/>
  <c r="G108" i="4"/>
  <c r="S108" i="4"/>
  <c r="E108" i="4"/>
  <c r="X413" i="4"/>
  <c r="Y413" i="4" s="1"/>
  <c r="Z413" i="4" s="1"/>
  <c r="X412" i="4"/>
  <c r="Y412" i="4" s="1"/>
  <c r="Z412" i="4" s="1"/>
  <c r="X411" i="4"/>
  <c r="Y411" i="4" s="1"/>
  <c r="Z411" i="4" s="1"/>
  <c r="X414" i="4"/>
  <c r="Y414" i="4" s="1"/>
  <c r="Z414" i="4" s="1"/>
  <c r="I99" i="4"/>
  <c r="P99" i="4"/>
  <c r="G99" i="4"/>
  <c r="O99" i="4" s="1"/>
  <c r="T99" i="4"/>
  <c r="S99" i="4"/>
  <c r="D99" i="4"/>
  <c r="C99" i="4"/>
  <c r="F99" i="4"/>
  <c r="E99" i="4"/>
  <c r="Q99" i="4"/>
  <c r="H99" i="4"/>
  <c r="X378" i="4"/>
  <c r="Y378" i="4" s="1"/>
  <c r="Z378" i="4" s="1"/>
  <c r="X376" i="4"/>
  <c r="Y376" i="4" s="1"/>
  <c r="Z376" i="4" s="1"/>
  <c r="X375" i="4"/>
  <c r="Y375" i="4" s="1"/>
  <c r="Z375" i="4" s="1"/>
  <c r="X377" i="4"/>
  <c r="Y377" i="4" s="1"/>
  <c r="Z377" i="4" s="1"/>
  <c r="F69" i="4"/>
  <c r="T69" i="4"/>
  <c r="I69" i="4"/>
  <c r="S69" i="4"/>
  <c r="C69" i="4"/>
  <c r="P69" i="4"/>
  <c r="G69" i="4"/>
  <c r="E69" i="4"/>
  <c r="Q69" i="4"/>
  <c r="D69" i="4"/>
  <c r="H69" i="4"/>
  <c r="X257" i="4"/>
  <c r="Y257" i="4" s="1"/>
  <c r="Z257" i="4" s="1"/>
  <c r="X258" i="4"/>
  <c r="Y258" i="4" s="1"/>
  <c r="Z258" i="4" s="1"/>
  <c r="X255" i="4"/>
  <c r="Y255" i="4" s="1"/>
  <c r="Z255" i="4" s="1"/>
  <c r="X256" i="4"/>
  <c r="Y256" i="4" s="1"/>
  <c r="Z256" i="4" s="1"/>
  <c r="P25" i="4"/>
  <c r="G25" i="4"/>
  <c r="D25" i="4"/>
  <c r="C25" i="4"/>
  <c r="E25" i="4"/>
  <c r="S25" i="4"/>
  <c r="F25" i="4"/>
  <c r="X82" i="4"/>
  <c r="Y82" i="4" s="1"/>
  <c r="Z82" i="4" s="1"/>
  <c r="T25" i="4"/>
  <c r="Q25" i="4"/>
  <c r="H25" i="4"/>
  <c r="I25" i="4"/>
  <c r="X79" i="4"/>
  <c r="Y79" i="4" s="1"/>
  <c r="Z79" i="4" s="1"/>
  <c r="X80" i="4"/>
  <c r="Y80" i="4" s="1"/>
  <c r="Z80" i="4" s="1"/>
  <c r="X81" i="4"/>
  <c r="Y81" i="4" s="1"/>
  <c r="Z81" i="4" s="1"/>
  <c r="BN8" i="1"/>
  <c r="E8" i="4" s="1"/>
  <c r="C8" i="1"/>
  <c r="C8" i="4" s="1"/>
  <c r="F105" i="4"/>
  <c r="T105" i="4"/>
  <c r="I105" i="4"/>
  <c r="S105" i="4"/>
  <c r="D105" i="4"/>
  <c r="P105" i="4"/>
  <c r="G105" i="4"/>
  <c r="E105" i="4"/>
  <c r="Q105" i="4"/>
  <c r="C105" i="4"/>
  <c r="H105" i="4"/>
  <c r="X399" i="4"/>
  <c r="Y399" i="4" s="1"/>
  <c r="Z399" i="4" s="1"/>
  <c r="X400" i="4"/>
  <c r="Y400" i="4" s="1"/>
  <c r="Z400" i="4" s="1"/>
  <c r="X402" i="4"/>
  <c r="Y402" i="4" s="1"/>
  <c r="Z402" i="4" s="1"/>
  <c r="X401" i="4"/>
  <c r="Y401" i="4" s="1"/>
  <c r="Z401" i="4" s="1"/>
  <c r="I118" i="4"/>
  <c r="P118" i="4"/>
  <c r="G118" i="4"/>
  <c r="S118" i="4"/>
  <c r="E118" i="4"/>
  <c r="C118" i="4"/>
  <c r="H118" i="4"/>
  <c r="F118" i="4"/>
  <c r="Q118" i="4"/>
  <c r="D118" i="4"/>
  <c r="T118" i="4"/>
  <c r="X454" i="4"/>
  <c r="Y454" i="4" s="1"/>
  <c r="Z454" i="4" s="1"/>
  <c r="X453" i="4"/>
  <c r="Y453" i="4" s="1"/>
  <c r="Z453" i="4" s="1"/>
  <c r="X451" i="4"/>
  <c r="Y451" i="4" s="1"/>
  <c r="Z451" i="4" s="1"/>
  <c r="X452" i="4"/>
  <c r="Y452" i="4" s="1"/>
  <c r="Z452" i="4" s="1"/>
  <c r="F86" i="4"/>
  <c r="T86" i="4"/>
  <c r="I86" i="4"/>
  <c r="P86" i="4"/>
  <c r="G86" i="4"/>
  <c r="O86" i="4" s="1"/>
  <c r="D86" i="4"/>
  <c r="Q86" i="4"/>
  <c r="C86" i="4"/>
  <c r="E86" i="4"/>
  <c r="S86" i="4"/>
  <c r="H86" i="4"/>
  <c r="X323" i="4"/>
  <c r="Y323" i="4" s="1"/>
  <c r="Z323" i="4" s="1"/>
  <c r="X324" i="4"/>
  <c r="Y324" i="4" s="1"/>
  <c r="Z324" i="4" s="1"/>
  <c r="X325" i="4"/>
  <c r="Y325" i="4" s="1"/>
  <c r="Z325" i="4" s="1"/>
  <c r="X326" i="4"/>
  <c r="Y326" i="4" s="1"/>
  <c r="Z326" i="4" s="1"/>
  <c r="F14" i="4"/>
  <c r="T14" i="4"/>
  <c r="P14" i="4"/>
  <c r="I14" i="4"/>
  <c r="G14" i="4"/>
  <c r="E14" i="4"/>
  <c r="D14" i="4"/>
  <c r="C14" i="4"/>
  <c r="S14" i="4"/>
  <c r="Q14" i="4"/>
  <c r="H14" i="4"/>
  <c r="X38" i="4"/>
  <c r="Y38" i="4" s="1"/>
  <c r="Z38" i="4" s="1"/>
  <c r="X35" i="4"/>
  <c r="Y35" i="4" s="1"/>
  <c r="Z35" i="4" s="1"/>
  <c r="X37" i="4"/>
  <c r="Y37" i="4" s="1"/>
  <c r="Z37" i="4" s="1"/>
  <c r="X36" i="4"/>
  <c r="Y36" i="4" s="1"/>
  <c r="Z36" i="4" s="1"/>
  <c r="G78" i="4"/>
  <c r="E78" i="4"/>
  <c r="D78" i="4"/>
  <c r="S78" i="4"/>
  <c r="C78" i="4"/>
  <c r="Q78" i="4"/>
  <c r="H78" i="4"/>
  <c r="F78" i="4"/>
  <c r="T78" i="4"/>
  <c r="P78" i="4"/>
  <c r="I78" i="4"/>
  <c r="X292" i="4"/>
  <c r="Y292" i="4" s="1"/>
  <c r="Z292" i="4" s="1"/>
  <c r="X291" i="4"/>
  <c r="Y291" i="4" s="1"/>
  <c r="Z291" i="4" s="1"/>
  <c r="X294" i="4"/>
  <c r="Y294" i="4" s="1"/>
  <c r="Z294" i="4" s="1"/>
  <c r="X293" i="4"/>
  <c r="Y293" i="4" s="1"/>
  <c r="Z293" i="4" s="1"/>
  <c r="E41" i="4"/>
  <c r="D41" i="4"/>
  <c r="C41" i="4"/>
  <c r="T41" i="4"/>
  <c r="S41" i="4"/>
  <c r="Q41" i="4"/>
  <c r="F41" i="4"/>
  <c r="I41" i="4"/>
  <c r="H41" i="4"/>
  <c r="P41" i="4"/>
  <c r="G41" i="4"/>
  <c r="O41" i="4" s="1"/>
  <c r="X143" i="4"/>
  <c r="Y143" i="4" s="1"/>
  <c r="Z143" i="4" s="1"/>
  <c r="X144" i="4"/>
  <c r="Y144" i="4" s="1"/>
  <c r="Z144" i="4" s="1"/>
  <c r="X146" i="4"/>
  <c r="Y146" i="4" s="1"/>
  <c r="Z146" i="4" s="1"/>
  <c r="X145" i="4"/>
  <c r="Y145" i="4" s="1"/>
  <c r="Z145" i="4" s="1"/>
  <c r="T90" i="4"/>
  <c r="P90" i="4"/>
  <c r="H90" i="4"/>
  <c r="F90" i="4"/>
  <c r="Q90" i="4"/>
  <c r="I90" i="4"/>
  <c r="G90" i="4"/>
  <c r="X339" i="4"/>
  <c r="Y339" i="4" s="1"/>
  <c r="Z339" i="4" s="1"/>
  <c r="S90" i="4"/>
  <c r="E90" i="4"/>
  <c r="D90" i="4"/>
  <c r="C90" i="4"/>
  <c r="X340" i="4"/>
  <c r="Y340" i="4" s="1"/>
  <c r="Z340" i="4" s="1"/>
  <c r="X341" i="4"/>
  <c r="Y341" i="4" s="1"/>
  <c r="Z341" i="4" s="1"/>
  <c r="X342" i="4"/>
  <c r="Y342" i="4" s="1"/>
  <c r="Z342" i="4" s="1"/>
  <c r="F7" i="1"/>
  <c r="F7" i="4" s="1"/>
  <c r="P81" i="4"/>
  <c r="I81" i="4"/>
  <c r="G81" i="4"/>
  <c r="O81" i="4" s="1"/>
  <c r="E81" i="4"/>
  <c r="D81" i="4"/>
  <c r="C81" i="4"/>
  <c r="F81" i="4"/>
  <c r="S81" i="4"/>
  <c r="T81" i="4"/>
  <c r="Q81" i="4"/>
  <c r="H81" i="4"/>
  <c r="X306" i="4"/>
  <c r="Y306" i="4" s="1"/>
  <c r="Z306" i="4" s="1"/>
  <c r="X303" i="4"/>
  <c r="Y303" i="4" s="1"/>
  <c r="Z303" i="4" s="1"/>
  <c r="X304" i="4"/>
  <c r="Y304" i="4" s="1"/>
  <c r="Z304" i="4" s="1"/>
  <c r="X305" i="4"/>
  <c r="Y305" i="4" s="1"/>
  <c r="Z305" i="4" s="1"/>
  <c r="T26" i="4"/>
  <c r="P26" i="4"/>
  <c r="H26" i="4"/>
  <c r="F26" i="4"/>
  <c r="I26" i="4"/>
  <c r="G26" i="4"/>
  <c r="O26" i="4" s="1"/>
  <c r="D26" i="4"/>
  <c r="C26" i="4"/>
  <c r="E26" i="4"/>
  <c r="S26" i="4"/>
  <c r="X83" i="4"/>
  <c r="Y83" i="4" s="1"/>
  <c r="Z83" i="4" s="1"/>
  <c r="Q26" i="4"/>
  <c r="X85" i="4"/>
  <c r="Y85" i="4" s="1"/>
  <c r="Z85" i="4" s="1"/>
  <c r="X86" i="4"/>
  <c r="Y86" i="4" s="1"/>
  <c r="Z86" i="4" s="1"/>
  <c r="X84" i="4"/>
  <c r="Y84" i="4" s="1"/>
  <c r="Z84" i="4" s="1"/>
  <c r="T10" i="4"/>
  <c r="P10" i="4"/>
  <c r="H10" i="4"/>
  <c r="F10" i="4"/>
  <c r="I10" i="4"/>
  <c r="G10" i="4"/>
  <c r="O10" i="4" s="1"/>
  <c r="D10" i="4"/>
  <c r="C10" i="4"/>
  <c r="E10" i="4"/>
  <c r="Q10" i="4"/>
  <c r="S10" i="4"/>
  <c r="X20" i="4"/>
  <c r="Y20" i="4" s="1"/>
  <c r="Z20" i="4" s="1"/>
  <c r="X19" i="4"/>
  <c r="Y19" i="4" s="1"/>
  <c r="Z19" i="4" s="1"/>
  <c r="X22" i="4"/>
  <c r="Y22" i="4" s="1"/>
  <c r="Z22" i="4" s="1"/>
  <c r="X21" i="4"/>
  <c r="Y21" i="4" s="1"/>
  <c r="Z21" i="4" s="1"/>
  <c r="T121" i="4"/>
  <c r="I121" i="4"/>
  <c r="P121" i="4"/>
  <c r="G121" i="4"/>
  <c r="E121" i="4"/>
  <c r="Q121" i="4"/>
  <c r="D121" i="4"/>
  <c r="C121" i="4"/>
  <c r="H121" i="4"/>
  <c r="S121" i="4"/>
  <c r="F121" i="4"/>
  <c r="X466" i="4"/>
  <c r="Y466" i="4" s="1"/>
  <c r="Z466" i="4" s="1"/>
  <c r="X465" i="4"/>
  <c r="Y465" i="4" s="1"/>
  <c r="Z465" i="4" s="1"/>
  <c r="X463" i="4"/>
  <c r="Y463" i="4" s="1"/>
  <c r="Z463" i="4" s="1"/>
  <c r="X464" i="4"/>
  <c r="Y464" i="4" s="1"/>
  <c r="Z464" i="4" s="1"/>
  <c r="D97" i="4"/>
  <c r="G97" i="4"/>
  <c r="T97" i="4"/>
  <c r="S97" i="4"/>
  <c r="E97" i="4"/>
  <c r="C97" i="4"/>
  <c r="F97" i="4"/>
  <c r="Q97" i="4"/>
  <c r="H97" i="4"/>
  <c r="P97" i="4"/>
  <c r="I97" i="4"/>
  <c r="X367" i="4"/>
  <c r="Y367" i="4" s="1"/>
  <c r="Z367" i="4" s="1"/>
  <c r="X368" i="4"/>
  <c r="Y368" i="4" s="1"/>
  <c r="Z368" i="4" s="1"/>
  <c r="X369" i="4"/>
  <c r="Y369" i="4" s="1"/>
  <c r="Z369" i="4" s="1"/>
  <c r="X370" i="4"/>
  <c r="Y370" i="4" s="1"/>
  <c r="Z370" i="4" s="1"/>
  <c r="P45" i="4"/>
  <c r="I45" i="4"/>
  <c r="G45" i="4"/>
  <c r="D45" i="4"/>
  <c r="E45" i="4"/>
  <c r="F45" i="4"/>
  <c r="S45" i="4"/>
  <c r="T45" i="4"/>
  <c r="Q45" i="4"/>
  <c r="H45" i="4"/>
  <c r="C45" i="4"/>
  <c r="X160" i="4"/>
  <c r="Y160" i="4" s="1"/>
  <c r="Z160" i="4" s="1"/>
  <c r="X161" i="4"/>
  <c r="Y161" i="4" s="1"/>
  <c r="Z161" i="4" s="1"/>
  <c r="X162" i="4"/>
  <c r="Y162" i="4" s="1"/>
  <c r="Z162" i="4" s="1"/>
  <c r="X159" i="4"/>
  <c r="Y159" i="4" s="1"/>
  <c r="Z159" i="4" s="1"/>
  <c r="I83" i="4"/>
  <c r="P83" i="4"/>
  <c r="G83" i="4"/>
  <c r="D83" i="4"/>
  <c r="Q83" i="4"/>
  <c r="H83" i="4"/>
  <c r="F83" i="4"/>
  <c r="S83" i="4"/>
  <c r="E83" i="4"/>
  <c r="C83" i="4"/>
  <c r="T83" i="4"/>
  <c r="X312" i="4"/>
  <c r="Y312" i="4" s="1"/>
  <c r="Z312" i="4" s="1"/>
  <c r="X313" i="4"/>
  <c r="Y313" i="4" s="1"/>
  <c r="Z313" i="4" s="1"/>
  <c r="X311" i="4"/>
  <c r="Y311" i="4" s="1"/>
  <c r="Z311" i="4" s="1"/>
  <c r="X314" i="4"/>
  <c r="Y314" i="4" s="1"/>
  <c r="Z314" i="4" s="1"/>
  <c r="Q72" i="4"/>
  <c r="H72" i="4"/>
  <c r="F72" i="4"/>
  <c r="T72" i="4"/>
  <c r="P72" i="4"/>
  <c r="G72" i="4"/>
  <c r="E72" i="4"/>
  <c r="I72" i="4"/>
  <c r="S72" i="4"/>
  <c r="D72" i="4"/>
  <c r="C72" i="4"/>
  <c r="X269" i="4"/>
  <c r="Y269" i="4" s="1"/>
  <c r="Z269" i="4" s="1"/>
  <c r="X267" i="4"/>
  <c r="Y267" i="4" s="1"/>
  <c r="Z267" i="4" s="1"/>
  <c r="X268" i="4"/>
  <c r="Y268" i="4" s="1"/>
  <c r="Z268" i="4" s="1"/>
  <c r="X270" i="4"/>
  <c r="Y270" i="4" s="1"/>
  <c r="Z270" i="4" s="1"/>
  <c r="P64" i="4"/>
  <c r="I64" i="4"/>
  <c r="G64" i="4"/>
  <c r="O64" i="4" s="1"/>
  <c r="E64" i="4"/>
  <c r="D64" i="4"/>
  <c r="C64" i="4"/>
  <c r="Q64" i="4"/>
  <c r="F64" i="4"/>
  <c r="X237" i="4"/>
  <c r="Y237" i="4" s="1"/>
  <c r="Z237" i="4" s="1"/>
  <c r="S64" i="4"/>
  <c r="H64" i="4"/>
  <c r="T64" i="4"/>
  <c r="X235" i="4"/>
  <c r="Y235" i="4" s="1"/>
  <c r="Z235" i="4" s="1"/>
  <c r="X236" i="4"/>
  <c r="Y236" i="4" s="1"/>
  <c r="Z236" i="4" s="1"/>
  <c r="X238" i="4"/>
  <c r="Y238" i="4" s="1"/>
  <c r="Z238" i="4" s="1"/>
  <c r="T49" i="4"/>
  <c r="P49" i="4"/>
  <c r="I49" i="4"/>
  <c r="D49" i="4"/>
  <c r="E49" i="4"/>
  <c r="C49" i="4"/>
  <c r="Q49" i="4"/>
  <c r="G49" i="4"/>
  <c r="O49" i="4" s="1"/>
  <c r="S49" i="4"/>
  <c r="H49" i="4"/>
  <c r="X178" i="4"/>
  <c r="Y178" i="4" s="1"/>
  <c r="Z178" i="4" s="1"/>
  <c r="F49" i="4"/>
  <c r="X176" i="4"/>
  <c r="Y176" i="4" s="1"/>
  <c r="Z176" i="4" s="1"/>
  <c r="X177" i="4"/>
  <c r="Y177" i="4" s="1"/>
  <c r="Z177" i="4" s="1"/>
  <c r="X175" i="4"/>
  <c r="Y175" i="4" s="1"/>
  <c r="Z175" i="4" s="1"/>
  <c r="T74" i="4"/>
  <c r="P74" i="4"/>
  <c r="H74" i="4"/>
  <c r="F74" i="4"/>
  <c r="S74" i="4"/>
  <c r="D74" i="4"/>
  <c r="C74" i="4"/>
  <c r="Q74" i="4"/>
  <c r="I74" i="4"/>
  <c r="G74" i="4"/>
  <c r="O74" i="4" s="1"/>
  <c r="E74" i="4"/>
  <c r="X276" i="4"/>
  <c r="Y276" i="4" s="1"/>
  <c r="Z276" i="4" s="1"/>
  <c r="X278" i="4"/>
  <c r="Y278" i="4" s="1"/>
  <c r="Z278" i="4" s="1"/>
  <c r="X277" i="4"/>
  <c r="Y277" i="4" s="1"/>
  <c r="Z277" i="4" s="1"/>
  <c r="X275" i="4"/>
  <c r="Y275" i="4" s="1"/>
  <c r="Z275" i="4" s="1"/>
  <c r="H88" i="4"/>
  <c r="F88" i="4"/>
  <c r="T88" i="4"/>
  <c r="I88" i="4"/>
  <c r="G88" i="4"/>
  <c r="O88" i="4" s="1"/>
  <c r="E88" i="4"/>
  <c r="C88" i="4"/>
  <c r="S88" i="4"/>
  <c r="D88" i="4"/>
  <c r="P88" i="4"/>
  <c r="X333" i="4"/>
  <c r="Y333" i="4" s="1"/>
  <c r="Z333" i="4" s="1"/>
  <c r="Q88" i="4"/>
  <c r="X332" i="4"/>
  <c r="Y332" i="4" s="1"/>
  <c r="Z332" i="4" s="1"/>
  <c r="X334" i="4"/>
  <c r="Y334" i="4" s="1"/>
  <c r="Z334" i="4" s="1"/>
  <c r="X331" i="4"/>
  <c r="Y331" i="4" s="1"/>
  <c r="Z331" i="4" s="1"/>
  <c r="S84" i="4"/>
  <c r="Q84" i="4"/>
  <c r="I84" i="4"/>
  <c r="G84" i="4"/>
  <c r="O84" i="4" s="1"/>
  <c r="E84" i="4"/>
  <c r="C84" i="4"/>
  <c r="T84" i="4"/>
  <c r="P84" i="4"/>
  <c r="D84" i="4"/>
  <c r="H84" i="4"/>
  <c r="F84" i="4"/>
  <c r="X315" i="4"/>
  <c r="Y315" i="4" s="1"/>
  <c r="Z315" i="4" s="1"/>
  <c r="X317" i="4"/>
  <c r="Y317" i="4" s="1"/>
  <c r="Z317" i="4" s="1"/>
  <c r="X316" i="4"/>
  <c r="Y316" i="4" s="1"/>
  <c r="Z316" i="4" s="1"/>
  <c r="X318" i="4"/>
  <c r="Y318" i="4" s="1"/>
  <c r="Z318" i="4" s="1"/>
  <c r="S52" i="4"/>
  <c r="Q52" i="4"/>
  <c r="I52" i="4"/>
  <c r="G52" i="4"/>
  <c r="O52" i="4" s="1"/>
  <c r="E52" i="4"/>
  <c r="C52" i="4"/>
  <c r="H52" i="4"/>
  <c r="F52" i="4"/>
  <c r="T52" i="4"/>
  <c r="D52" i="4"/>
  <c r="P52" i="4"/>
  <c r="X189" i="4"/>
  <c r="Y189" i="4" s="1"/>
  <c r="Z189" i="4" s="1"/>
  <c r="X187" i="4"/>
  <c r="Y187" i="4" s="1"/>
  <c r="Z187" i="4" s="1"/>
  <c r="X188" i="4"/>
  <c r="Y188" i="4" s="1"/>
  <c r="Z188" i="4" s="1"/>
  <c r="X190" i="4"/>
  <c r="Y190" i="4" s="1"/>
  <c r="Z190" i="4" s="1"/>
  <c r="G115" i="4"/>
  <c r="T115" i="4"/>
  <c r="S115" i="4"/>
  <c r="Q115" i="4"/>
  <c r="E115" i="4"/>
  <c r="D115" i="4"/>
  <c r="C115" i="4"/>
  <c r="H115" i="4"/>
  <c r="F115" i="4"/>
  <c r="I115" i="4"/>
  <c r="P115" i="4"/>
  <c r="X439" i="4"/>
  <c r="Y439" i="4" s="1"/>
  <c r="Z439" i="4" s="1"/>
  <c r="X442" i="4"/>
  <c r="Y442" i="4" s="1"/>
  <c r="Z442" i="4" s="1"/>
  <c r="X440" i="4"/>
  <c r="Y440" i="4" s="1"/>
  <c r="Z440" i="4" s="1"/>
  <c r="X441" i="4"/>
  <c r="Y441" i="4" s="1"/>
  <c r="Z441" i="4" s="1"/>
  <c r="G61" i="4"/>
  <c r="O61" i="4" s="1"/>
  <c r="E61" i="4"/>
  <c r="D61" i="4"/>
  <c r="C61" i="4"/>
  <c r="S61" i="4"/>
  <c r="Q61" i="4"/>
  <c r="H61" i="4"/>
  <c r="F61" i="4"/>
  <c r="T61" i="4"/>
  <c r="P61" i="4"/>
  <c r="I61" i="4"/>
  <c r="X225" i="4"/>
  <c r="Y225" i="4" s="1"/>
  <c r="Z225" i="4" s="1"/>
  <c r="X226" i="4"/>
  <c r="Y226" i="4" s="1"/>
  <c r="Z226" i="4" s="1"/>
  <c r="X223" i="4"/>
  <c r="Y223" i="4" s="1"/>
  <c r="Z223" i="4" s="1"/>
  <c r="X224" i="4"/>
  <c r="Y224" i="4" s="1"/>
  <c r="Z224" i="4" s="1"/>
  <c r="P24" i="4"/>
  <c r="G24" i="4"/>
  <c r="D24" i="4"/>
  <c r="C24" i="4"/>
  <c r="E24" i="4"/>
  <c r="S24" i="4"/>
  <c r="Q24" i="4"/>
  <c r="H24" i="4"/>
  <c r="F24" i="4"/>
  <c r="T24" i="4"/>
  <c r="X77" i="4"/>
  <c r="Y77" i="4" s="1"/>
  <c r="Z77" i="4" s="1"/>
  <c r="I24" i="4"/>
  <c r="X76" i="4"/>
  <c r="Y76" i="4" s="1"/>
  <c r="Z76" i="4" s="1"/>
  <c r="X78" i="4"/>
  <c r="Y78" i="4" s="1"/>
  <c r="Z78" i="4" s="1"/>
  <c r="X75" i="4"/>
  <c r="Y75" i="4" s="1"/>
  <c r="Z75" i="4" s="1"/>
  <c r="Q73" i="4"/>
  <c r="H73" i="4"/>
  <c r="F73" i="4"/>
  <c r="I73" i="4"/>
  <c r="G73" i="4"/>
  <c r="T73" i="4"/>
  <c r="P73" i="4"/>
  <c r="E73" i="4"/>
  <c r="S73" i="4"/>
  <c r="D73" i="4"/>
  <c r="C73" i="4"/>
  <c r="X274" i="4"/>
  <c r="Y274" i="4" s="1"/>
  <c r="Z274" i="4" s="1"/>
  <c r="X271" i="4"/>
  <c r="Y271" i="4" s="1"/>
  <c r="Z271" i="4" s="1"/>
  <c r="X272" i="4"/>
  <c r="Y272" i="4" s="1"/>
  <c r="Z272" i="4" s="1"/>
  <c r="X273" i="4"/>
  <c r="Y273" i="4" s="1"/>
  <c r="Z273" i="4" s="1"/>
  <c r="D11" i="1"/>
  <c r="D10" i="1"/>
  <c r="BN31" i="1"/>
  <c r="BN28" i="1"/>
  <c r="G32" i="3"/>
  <c r="BP12" i="1"/>
  <c r="BO12" i="1" s="1"/>
  <c r="D32" i="3"/>
  <c r="E32" i="3"/>
  <c r="A32" i="3"/>
  <c r="B32" i="3"/>
  <c r="H32" i="3"/>
  <c r="C32" i="3"/>
  <c r="A28" i="3"/>
  <c r="D28" i="3"/>
  <c r="C28" i="3"/>
  <c r="B28" i="3"/>
  <c r="G28" i="3"/>
  <c r="E28" i="3"/>
  <c r="H28" i="3"/>
  <c r="A39" i="3"/>
  <c r="H39" i="3"/>
  <c r="C39" i="3"/>
  <c r="B39" i="3"/>
  <c r="G39" i="3"/>
  <c r="E39" i="3"/>
  <c r="F39" i="3"/>
  <c r="D39" i="3"/>
  <c r="F41" i="3"/>
  <c r="A41" i="3"/>
  <c r="G41" i="3"/>
  <c r="E41" i="3"/>
  <c r="D41" i="3"/>
  <c r="C41" i="3"/>
  <c r="B41" i="3"/>
  <c r="H41" i="3"/>
  <c r="F26" i="3"/>
  <c r="E26" i="3"/>
  <c r="C26" i="3"/>
  <c r="B26" i="3"/>
  <c r="A26" i="3"/>
  <c r="H26" i="3"/>
  <c r="G26" i="3"/>
  <c r="H50" i="3"/>
  <c r="E50" i="3"/>
  <c r="G50" i="3"/>
  <c r="F50" i="3"/>
  <c r="D50" i="3"/>
  <c r="C50" i="3"/>
  <c r="B50" i="3"/>
  <c r="A50" i="3"/>
  <c r="C12" i="3"/>
  <c r="B12" i="3"/>
  <c r="A12" i="3"/>
  <c r="F12" i="3"/>
  <c r="H12" i="3"/>
  <c r="G12" i="3"/>
  <c r="H20" i="3"/>
  <c r="G20" i="3"/>
  <c r="F20" i="3"/>
  <c r="C20" i="3"/>
  <c r="E20" i="3"/>
  <c r="B20" i="3"/>
  <c r="A20" i="3"/>
  <c r="H43" i="3"/>
  <c r="G43" i="3"/>
  <c r="D43" i="3"/>
  <c r="F43" i="3"/>
  <c r="E43" i="3"/>
  <c r="C43" i="3"/>
  <c r="B43" i="3"/>
  <c r="A43" i="3"/>
  <c r="H24" i="3"/>
  <c r="G24" i="3"/>
  <c r="F24" i="3"/>
  <c r="E24" i="3"/>
  <c r="C24" i="3"/>
  <c r="B24" i="3"/>
  <c r="A24" i="3"/>
  <c r="H36" i="3"/>
  <c r="G36" i="3"/>
  <c r="F36" i="3"/>
  <c r="C36" i="3"/>
  <c r="E36" i="3"/>
  <c r="D36" i="3"/>
  <c r="B36" i="3"/>
  <c r="A36" i="3"/>
  <c r="C21" i="3"/>
  <c r="B21" i="3"/>
  <c r="A21" i="3"/>
  <c r="E21" i="3"/>
  <c r="H21" i="3"/>
  <c r="G21" i="3"/>
  <c r="F21" i="3"/>
  <c r="A23" i="3"/>
  <c r="H23" i="3"/>
  <c r="C23" i="3"/>
  <c r="B23" i="3"/>
  <c r="F23" i="3"/>
  <c r="E23" i="3"/>
  <c r="G23" i="3"/>
  <c r="H40" i="3"/>
  <c r="G40" i="3"/>
  <c r="F40" i="3"/>
  <c r="E40" i="3"/>
  <c r="D40" i="3"/>
  <c r="C40" i="3"/>
  <c r="B40" i="3"/>
  <c r="A40" i="3"/>
  <c r="H13" i="3"/>
  <c r="G13" i="3"/>
  <c r="B13" i="3"/>
  <c r="C13" i="3"/>
  <c r="A13" i="3"/>
  <c r="C37" i="3"/>
  <c r="B37" i="3"/>
  <c r="A37" i="3"/>
  <c r="E37" i="3"/>
  <c r="D37" i="3"/>
  <c r="F37" i="3"/>
  <c r="H37" i="3"/>
  <c r="G37" i="3"/>
  <c r="G17" i="3"/>
  <c r="F17" i="3"/>
  <c r="C17" i="3"/>
  <c r="B17" i="3"/>
  <c r="A17" i="3"/>
  <c r="H17" i="3"/>
  <c r="H29" i="3"/>
  <c r="G29" i="3"/>
  <c r="F29" i="3"/>
  <c r="E29" i="3"/>
  <c r="B29" i="3"/>
  <c r="D29" i="3"/>
  <c r="A29" i="3"/>
  <c r="C29" i="3"/>
  <c r="BN13" i="1"/>
  <c r="H18" i="3"/>
  <c r="E18" i="3"/>
  <c r="C18" i="3"/>
  <c r="B18" i="3"/>
  <c r="A18" i="3"/>
  <c r="F18" i="3"/>
  <c r="G18" i="3"/>
  <c r="G33" i="3"/>
  <c r="F33" i="3"/>
  <c r="E33" i="3"/>
  <c r="D33" i="3"/>
  <c r="C33" i="3"/>
  <c r="B33" i="3"/>
  <c r="A33" i="3"/>
  <c r="H33" i="3"/>
  <c r="H45" i="3"/>
  <c r="G45" i="3"/>
  <c r="F45" i="3"/>
  <c r="E45" i="3"/>
  <c r="B45" i="3"/>
  <c r="D45" i="3"/>
  <c r="C45" i="3"/>
  <c r="A45" i="3"/>
  <c r="G16" i="3"/>
  <c r="B16" i="3"/>
  <c r="A16" i="3"/>
  <c r="H16" i="3"/>
  <c r="F16" i="3"/>
  <c r="C16" i="3"/>
  <c r="G49" i="3"/>
  <c r="F49" i="3"/>
  <c r="E49" i="3"/>
  <c r="D49" i="3"/>
  <c r="C49" i="3"/>
  <c r="B49" i="3"/>
  <c r="A49" i="3"/>
  <c r="H49" i="3"/>
  <c r="H22" i="3"/>
  <c r="G22" i="3"/>
  <c r="F22" i="3"/>
  <c r="E22" i="3"/>
  <c r="A22" i="3"/>
  <c r="C22" i="3"/>
  <c r="B22" i="3"/>
  <c r="G48" i="3"/>
  <c r="B48" i="3"/>
  <c r="A48" i="3"/>
  <c r="F48" i="3"/>
  <c r="C48" i="3"/>
  <c r="D48" i="3"/>
  <c r="E48" i="3"/>
  <c r="H48" i="3"/>
  <c r="B14" i="3"/>
  <c r="A14" i="3"/>
  <c r="C14" i="3"/>
  <c r="H14" i="3"/>
  <c r="G14" i="3"/>
  <c r="H38" i="3"/>
  <c r="G38" i="3"/>
  <c r="F38" i="3"/>
  <c r="E38" i="3"/>
  <c r="D38" i="3"/>
  <c r="A38" i="3"/>
  <c r="C38" i="3"/>
  <c r="B38" i="3"/>
  <c r="D44" i="3"/>
  <c r="C44" i="3"/>
  <c r="B44" i="3"/>
  <c r="A44" i="3"/>
  <c r="F44" i="3"/>
  <c r="E44" i="3"/>
  <c r="H44" i="3"/>
  <c r="G44" i="3"/>
  <c r="B30" i="3"/>
  <c r="A30" i="3"/>
  <c r="D30" i="3"/>
  <c r="C30" i="3"/>
  <c r="H30" i="3"/>
  <c r="F30" i="3"/>
  <c r="G30" i="3"/>
  <c r="E30" i="3"/>
  <c r="H15" i="3"/>
  <c r="G15" i="3"/>
  <c r="F15" i="3"/>
  <c r="C15" i="3"/>
  <c r="B15" i="3"/>
  <c r="A15" i="3"/>
  <c r="E35" i="3"/>
  <c r="D35" i="3"/>
  <c r="C35" i="3"/>
  <c r="B35" i="3"/>
  <c r="A35" i="3"/>
  <c r="G35" i="3"/>
  <c r="F35" i="3"/>
  <c r="H35" i="3"/>
  <c r="E51" i="3"/>
  <c r="D51" i="3"/>
  <c r="C51" i="3"/>
  <c r="B51" i="3"/>
  <c r="A51" i="3"/>
  <c r="G51" i="3"/>
  <c r="F51" i="3"/>
  <c r="H51" i="3"/>
  <c r="B46" i="3"/>
  <c r="A46" i="3"/>
  <c r="D46" i="3"/>
  <c r="C46" i="3"/>
  <c r="G46" i="3"/>
  <c r="F46" i="3"/>
  <c r="E46" i="3"/>
  <c r="H46" i="3"/>
  <c r="H31" i="3"/>
  <c r="G31" i="3"/>
  <c r="F31" i="3"/>
  <c r="E31" i="3"/>
  <c r="D31" i="3"/>
  <c r="C31" i="3"/>
  <c r="B31" i="3"/>
  <c r="A31" i="3"/>
  <c r="D12" i="3"/>
  <c r="E19" i="3"/>
  <c r="C19" i="3"/>
  <c r="B19" i="3"/>
  <c r="A19" i="3"/>
  <c r="G19" i="3"/>
  <c r="F19" i="3"/>
  <c r="H19" i="3"/>
  <c r="H34" i="3"/>
  <c r="E34" i="3"/>
  <c r="G34" i="3"/>
  <c r="D34" i="3"/>
  <c r="B34" i="3"/>
  <c r="A34" i="3"/>
  <c r="C34" i="3"/>
  <c r="F34" i="3"/>
  <c r="H27" i="3"/>
  <c r="G27" i="3"/>
  <c r="D27" i="3"/>
  <c r="E27" i="3"/>
  <c r="C27" i="3"/>
  <c r="B27" i="3"/>
  <c r="A27" i="3"/>
  <c r="F27" i="3"/>
  <c r="F42" i="3"/>
  <c r="E42" i="3"/>
  <c r="D42" i="3"/>
  <c r="C42" i="3"/>
  <c r="B42" i="3"/>
  <c r="A42" i="3"/>
  <c r="H42" i="3"/>
  <c r="G42" i="3"/>
  <c r="F25" i="3"/>
  <c r="A25" i="3"/>
  <c r="E25" i="3"/>
  <c r="H25" i="3"/>
  <c r="G25" i="3"/>
  <c r="C25" i="3"/>
  <c r="B25" i="3"/>
  <c r="H47" i="3"/>
  <c r="G47" i="3"/>
  <c r="F47" i="3"/>
  <c r="E47" i="3"/>
  <c r="D47" i="3"/>
  <c r="C47" i="3"/>
  <c r="A47" i="3"/>
  <c r="B47" i="3"/>
  <c r="N119" i="4" l="1"/>
  <c r="L30" i="4"/>
  <c r="R11" i="4"/>
  <c r="R34" i="4"/>
  <c r="M30" i="4"/>
  <c r="K111" i="4"/>
  <c r="R108" i="4"/>
  <c r="L47" i="4"/>
  <c r="L68" i="4"/>
  <c r="L73" i="4"/>
  <c r="M95" i="4"/>
  <c r="K97" i="4"/>
  <c r="D8" i="1"/>
  <c r="D8" i="4" s="1"/>
  <c r="G8" i="4" s="1"/>
  <c r="L8" i="4" s="1"/>
  <c r="R77" i="4"/>
  <c r="C7" i="1"/>
  <c r="C7" i="4" s="1"/>
  <c r="K52" i="4"/>
  <c r="L43" i="4"/>
  <c r="N72" i="4"/>
  <c r="R45" i="4"/>
  <c r="K51" i="4"/>
  <c r="K69" i="4"/>
  <c r="K102" i="4"/>
  <c r="N12" i="4"/>
  <c r="N32" i="4"/>
  <c r="N34" i="4"/>
  <c r="N24" i="4"/>
  <c r="K61" i="4"/>
  <c r="K76" i="4"/>
  <c r="R53" i="4"/>
  <c r="N91" i="4"/>
  <c r="R57" i="4"/>
  <c r="N73" i="4"/>
  <c r="M40" i="4"/>
  <c r="K73" i="4"/>
  <c r="M92" i="4"/>
  <c r="L34" i="4"/>
  <c r="O43" i="4"/>
  <c r="L91" i="4"/>
  <c r="N105" i="4"/>
  <c r="M89" i="4"/>
  <c r="L32" i="4"/>
  <c r="M94" i="4"/>
  <c r="O92" i="4"/>
  <c r="L120" i="4"/>
  <c r="L96" i="4"/>
  <c r="L37" i="4"/>
  <c r="K95" i="4"/>
  <c r="N125" i="4"/>
  <c r="N106" i="4"/>
  <c r="M76" i="4"/>
  <c r="R124" i="4"/>
  <c r="K47" i="4"/>
  <c r="M85" i="4"/>
  <c r="N58" i="4"/>
  <c r="K48" i="4"/>
  <c r="M28" i="4"/>
  <c r="R100" i="4"/>
  <c r="R117" i="4"/>
  <c r="L76" i="4"/>
  <c r="K124" i="4"/>
  <c r="K39" i="4"/>
  <c r="R80" i="4"/>
  <c r="M99" i="4"/>
  <c r="N121" i="4"/>
  <c r="N67" i="4"/>
  <c r="O47" i="4"/>
  <c r="R26" i="4"/>
  <c r="R95" i="4"/>
  <c r="R31" i="4"/>
  <c r="M23" i="4"/>
  <c r="M93" i="4"/>
  <c r="O85" i="4"/>
  <c r="L83" i="4"/>
  <c r="K58" i="4"/>
  <c r="M51" i="4"/>
  <c r="K11" i="4"/>
  <c r="K117" i="4"/>
  <c r="L65" i="4"/>
  <c r="L126" i="4"/>
  <c r="O58" i="4"/>
  <c r="K83" i="4"/>
  <c r="K53" i="4"/>
  <c r="N109" i="4"/>
  <c r="K103" i="4"/>
  <c r="R60" i="4"/>
  <c r="R68" i="4"/>
  <c r="K63" i="4"/>
  <c r="O51" i="4"/>
  <c r="K88" i="4"/>
  <c r="R41" i="4"/>
  <c r="R98" i="4"/>
  <c r="K29" i="4"/>
  <c r="R87" i="4"/>
  <c r="R33" i="4"/>
  <c r="R65" i="4"/>
  <c r="K85" i="4"/>
  <c r="L15" i="4"/>
  <c r="L80" i="4"/>
  <c r="M117" i="4"/>
  <c r="M58" i="4"/>
  <c r="N116" i="4"/>
  <c r="M62" i="4"/>
  <c r="N47" i="4"/>
  <c r="N92" i="4"/>
  <c r="O111" i="4"/>
  <c r="N49" i="4"/>
  <c r="L14" i="4"/>
  <c r="R69" i="4"/>
  <c r="K122" i="4"/>
  <c r="O11" i="4"/>
  <c r="L12" i="4"/>
  <c r="N104" i="4"/>
  <c r="L22" i="4"/>
  <c r="L13" i="4"/>
  <c r="N11" i="4"/>
  <c r="L72" i="4"/>
  <c r="L41" i="4"/>
  <c r="L48" i="4"/>
  <c r="L36" i="4"/>
  <c r="L17" i="4"/>
  <c r="R38" i="4"/>
  <c r="L84" i="4"/>
  <c r="K90" i="4"/>
  <c r="R58" i="4"/>
  <c r="M79" i="4"/>
  <c r="O55" i="4"/>
  <c r="N76" i="4"/>
  <c r="K59" i="4"/>
  <c r="M42" i="4"/>
  <c r="M73" i="4"/>
  <c r="R84" i="4"/>
  <c r="L88" i="4"/>
  <c r="R64" i="4"/>
  <c r="K26" i="4"/>
  <c r="K87" i="4"/>
  <c r="M43" i="4"/>
  <c r="N13" i="4"/>
  <c r="M119" i="4"/>
  <c r="N22" i="4"/>
  <c r="M80" i="4"/>
  <c r="K42" i="4"/>
  <c r="N19" i="4"/>
  <c r="R59" i="4"/>
  <c r="M65" i="4"/>
  <c r="M53" i="4"/>
  <c r="M120" i="4"/>
  <c r="O93" i="4"/>
  <c r="R12" i="4"/>
  <c r="N18" i="4"/>
  <c r="M60" i="4"/>
  <c r="M46" i="4"/>
  <c r="M63" i="4"/>
  <c r="L118" i="4"/>
  <c r="R52" i="4"/>
  <c r="R72" i="4"/>
  <c r="M26" i="4"/>
  <c r="N25" i="4"/>
  <c r="R36" i="4"/>
  <c r="N103" i="4"/>
  <c r="N87" i="4"/>
  <c r="M11" i="4"/>
  <c r="L62" i="4"/>
  <c r="M44" i="4"/>
  <c r="R47" i="4"/>
  <c r="M37" i="4"/>
  <c r="M96" i="4"/>
  <c r="N27" i="4"/>
  <c r="R86" i="4"/>
  <c r="O45" i="4"/>
  <c r="N41" i="4"/>
  <c r="M78" i="4"/>
  <c r="K86" i="4"/>
  <c r="N113" i="4"/>
  <c r="N36" i="4"/>
  <c r="R75" i="4"/>
  <c r="N79" i="4"/>
  <c r="M110" i="4"/>
  <c r="N62" i="4"/>
  <c r="K15" i="4"/>
  <c r="L89" i="4"/>
  <c r="M22" i="4"/>
  <c r="K40" i="4"/>
  <c r="K33" i="4"/>
  <c r="L114" i="4"/>
  <c r="O73" i="4"/>
  <c r="L24" i="4"/>
  <c r="M52" i="4"/>
  <c r="N84" i="4"/>
  <c r="M88" i="4"/>
  <c r="M86" i="4"/>
  <c r="M21" i="4"/>
  <c r="O12" i="4"/>
  <c r="R15" i="4"/>
  <c r="R101" i="4"/>
  <c r="K22" i="4"/>
  <c r="N31" i="4"/>
  <c r="M91" i="4"/>
  <c r="R114" i="4"/>
  <c r="N115" i="4"/>
  <c r="K72" i="4"/>
  <c r="R109" i="4"/>
  <c r="O103" i="4"/>
  <c r="L79" i="4"/>
  <c r="L116" i="4"/>
  <c r="N85" i="4"/>
  <c r="N117" i="4"/>
  <c r="R92" i="4"/>
  <c r="O40" i="4"/>
  <c r="N111" i="4"/>
  <c r="R66" i="4"/>
  <c r="L20" i="4"/>
  <c r="M45" i="4"/>
  <c r="R48" i="4"/>
  <c r="K35" i="4"/>
  <c r="L98" i="4"/>
  <c r="M104" i="4"/>
  <c r="R55" i="4"/>
  <c r="L117" i="4"/>
  <c r="M32" i="4"/>
  <c r="R76" i="4"/>
  <c r="N53" i="4"/>
  <c r="R20" i="4"/>
  <c r="L54" i="4"/>
  <c r="M41" i="4"/>
  <c r="N48" i="4"/>
  <c r="N17" i="4"/>
  <c r="N82" i="4"/>
  <c r="L93" i="4"/>
  <c r="O116" i="4"/>
  <c r="K62" i="4"/>
  <c r="R13" i="4"/>
  <c r="R22" i="4"/>
  <c r="R106" i="4"/>
  <c r="L92" i="4"/>
  <c r="O96" i="4"/>
  <c r="M59" i="4"/>
  <c r="L63" i="4"/>
  <c r="M66" i="4"/>
  <c r="M56" i="4"/>
  <c r="L109" i="4"/>
  <c r="R110" i="4"/>
  <c r="R67" i="4"/>
  <c r="N96" i="4"/>
  <c r="K93" i="4"/>
  <c r="M72" i="4"/>
  <c r="N83" i="4"/>
  <c r="R90" i="4"/>
  <c r="R99" i="4"/>
  <c r="R113" i="4"/>
  <c r="M35" i="4"/>
  <c r="O109" i="4"/>
  <c r="R93" i="4"/>
  <c r="L85" i="4"/>
  <c r="K38" i="4"/>
  <c r="L11" i="4"/>
  <c r="N110" i="4"/>
  <c r="O89" i="4"/>
  <c r="K67" i="4"/>
  <c r="K96" i="4"/>
  <c r="N63" i="4"/>
  <c r="N65" i="4"/>
  <c r="L53" i="4"/>
  <c r="K120" i="4"/>
  <c r="N30" i="4"/>
  <c r="R96" i="4"/>
  <c r="N59" i="4"/>
  <c r="O65" i="4"/>
  <c r="M39" i="4"/>
  <c r="K99" i="4"/>
  <c r="N9" i="4"/>
  <c r="N93" i="4"/>
  <c r="O72" i="4"/>
  <c r="L45" i="4"/>
  <c r="N26" i="4"/>
  <c r="K41" i="4"/>
  <c r="M48" i="4"/>
  <c r="O35" i="4"/>
  <c r="R23" i="4"/>
  <c r="M57" i="4"/>
  <c r="O13" i="4"/>
  <c r="L100" i="4"/>
  <c r="R32" i="4"/>
  <c r="K68" i="4"/>
  <c r="O76" i="4"/>
  <c r="O33" i="4"/>
  <c r="K123" i="4"/>
  <c r="R50" i="4"/>
  <c r="L86" i="4"/>
  <c r="O115" i="4"/>
  <c r="N52" i="4"/>
  <c r="L81" i="4"/>
  <c r="L69" i="4"/>
  <c r="R116" i="4"/>
  <c r="R85" i="4"/>
  <c r="N38" i="4"/>
  <c r="K57" i="4"/>
  <c r="K110" i="4"/>
  <c r="N100" i="4"/>
  <c r="O32" i="4"/>
  <c r="M68" i="4"/>
  <c r="R63" i="4"/>
  <c r="K30" i="4"/>
  <c r="O56" i="4"/>
  <c r="N99" i="4"/>
  <c r="N29" i="4"/>
  <c r="L87" i="4"/>
  <c r="N102" i="4"/>
  <c r="O23" i="4"/>
  <c r="R30" i="4"/>
  <c r="CE427" i="4"/>
  <c r="CD427" i="4"/>
  <c r="CC427" i="4"/>
  <c r="CQ1269" i="4" s="1"/>
  <c r="CB427" i="4"/>
  <c r="CP1269" i="4" s="1"/>
  <c r="CA427" i="4"/>
  <c r="CG427" i="4"/>
  <c r="CF427" i="4"/>
  <c r="BT427" i="4"/>
  <c r="CP1267" i="4" s="1"/>
  <c r="BS427" i="4"/>
  <c r="BR427" i="4"/>
  <c r="BQ427" i="4"/>
  <c r="BP427" i="4"/>
  <c r="BV427" i="4"/>
  <c r="BO427" i="4"/>
  <c r="BN427" i="4"/>
  <c r="BX427" i="4"/>
  <c r="CP1268" i="4" s="1"/>
  <c r="BZ427" i="4"/>
  <c r="BY427" i="4"/>
  <c r="CQ1268" i="4" s="1"/>
  <c r="BU427" i="4"/>
  <c r="CQ1267" i="4" s="1"/>
  <c r="BK427" i="4"/>
  <c r="BJ427" i="4"/>
  <c r="BI427" i="4"/>
  <c r="BW427" i="4"/>
  <c r="BM427" i="4"/>
  <c r="BL427" i="4"/>
  <c r="BF427" i="4"/>
  <c r="AV427" i="4"/>
  <c r="BG427" i="4"/>
  <c r="AY427" i="4"/>
  <c r="BE427" i="4"/>
  <c r="AW427" i="4"/>
  <c r="AX427" i="4"/>
  <c r="AT427" i="4"/>
  <c r="CI1269" i="4" s="1"/>
  <c r="AS427" i="4"/>
  <c r="AR427" i="4"/>
  <c r="BH427" i="4"/>
  <c r="AQ427" i="4"/>
  <c r="CJ1268" i="4" s="1"/>
  <c r="AU427" i="4"/>
  <c r="CJ1269" i="4" s="1"/>
  <c r="AP427" i="4"/>
  <c r="CI1268" i="4" s="1"/>
  <c r="AO427" i="4"/>
  <c r="AM427" i="4"/>
  <c r="CJ1267" i="4" s="1"/>
  <c r="AN427" i="4"/>
  <c r="AL427" i="4"/>
  <c r="CI1267" i="4" s="1"/>
  <c r="AI427" i="4"/>
  <c r="AJ427" i="4"/>
  <c r="AF427" i="4"/>
  <c r="AK427" i="4"/>
  <c r="AH427" i="4"/>
  <c r="AG427" i="4"/>
  <c r="AA427" i="4"/>
  <c r="AE427" i="4"/>
  <c r="AC427" i="4"/>
  <c r="AD427" i="4"/>
  <c r="AB427" i="4"/>
  <c r="CG274" i="4"/>
  <c r="BZ274" i="4"/>
  <c r="BY274" i="4"/>
  <c r="CQ809" i="4" s="1"/>
  <c r="BX274" i="4"/>
  <c r="CP809" i="4" s="1"/>
  <c r="BW274" i="4"/>
  <c r="CF274" i="4"/>
  <c r="CD274" i="4"/>
  <c r="CB274" i="4"/>
  <c r="CP810" i="4" s="1"/>
  <c r="CE274" i="4"/>
  <c r="CC274" i="4"/>
  <c r="CQ810" i="4" s="1"/>
  <c r="BS274" i="4"/>
  <c r="BR274" i="4"/>
  <c r="BQ274" i="4"/>
  <c r="BP274" i="4"/>
  <c r="BO274" i="4"/>
  <c r="CA274" i="4"/>
  <c r="BN274" i="4"/>
  <c r="BV274" i="4"/>
  <c r="BT274" i="4"/>
  <c r="CP808" i="4" s="1"/>
  <c r="BL274" i="4"/>
  <c r="BU274" i="4"/>
  <c r="CQ808" i="4" s="1"/>
  <c r="BM274" i="4"/>
  <c r="BI274" i="4"/>
  <c r="BH274" i="4"/>
  <c r="BJ274" i="4"/>
  <c r="BF274" i="4"/>
  <c r="AV274" i="4"/>
  <c r="AY274" i="4"/>
  <c r="BE274" i="4"/>
  <c r="BG274" i="4"/>
  <c r="AU274" i="4"/>
  <c r="CJ810" i="4" s="1"/>
  <c r="BK274" i="4"/>
  <c r="AW274" i="4"/>
  <c r="AT274" i="4"/>
  <c r="CI810" i="4" s="1"/>
  <c r="AS274" i="4"/>
  <c r="AX274" i="4"/>
  <c r="AP274" i="4"/>
  <c r="CI809" i="4" s="1"/>
  <c r="AO274" i="4"/>
  <c r="AR274" i="4"/>
  <c r="AQ274" i="4"/>
  <c r="CJ809" i="4" s="1"/>
  <c r="AI274" i="4"/>
  <c r="AM274" i="4"/>
  <c r="CJ808" i="4" s="1"/>
  <c r="AN274" i="4"/>
  <c r="AK274" i="4"/>
  <c r="AG274" i="4"/>
  <c r="AL274" i="4"/>
  <c r="CI808" i="4" s="1"/>
  <c r="AJ274" i="4"/>
  <c r="AH274" i="4"/>
  <c r="AD274" i="4"/>
  <c r="AE274" i="4"/>
  <c r="AA274" i="4"/>
  <c r="AF274" i="4"/>
  <c r="AB274" i="4"/>
  <c r="AC274" i="4"/>
  <c r="CE275" i="4"/>
  <c r="CF275" i="4"/>
  <c r="BZ275" i="4"/>
  <c r="BY275" i="4"/>
  <c r="CQ812" i="4" s="1"/>
  <c r="CB275" i="4"/>
  <c r="CP813" i="4" s="1"/>
  <c r="CA275" i="4"/>
  <c r="BW275" i="4"/>
  <c r="CC275" i="4"/>
  <c r="CQ813" i="4" s="1"/>
  <c r="CG275" i="4"/>
  <c r="BS275" i="4"/>
  <c r="BR275" i="4"/>
  <c r="BQ275" i="4"/>
  <c r="BP275" i="4"/>
  <c r="BO275" i="4"/>
  <c r="BV275" i="4"/>
  <c r="BT275" i="4"/>
  <c r="CP811" i="4" s="1"/>
  <c r="CD275" i="4"/>
  <c r="BX275" i="4"/>
  <c r="CP812" i="4" s="1"/>
  <c r="BN275" i="4"/>
  <c r="BL275" i="4"/>
  <c r="BJ275" i="4"/>
  <c r="BI275" i="4"/>
  <c r="BH275" i="4"/>
  <c r="BU275" i="4"/>
  <c r="CQ811" i="4" s="1"/>
  <c r="BM275" i="4"/>
  <c r="BF275" i="4"/>
  <c r="BK275" i="4"/>
  <c r="AY275" i="4"/>
  <c r="AT275" i="4"/>
  <c r="CI813" i="4" s="1"/>
  <c r="BG275" i="4"/>
  <c r="AU275" i="4"/>
  <c r="CJ813" i="4" s="1"/>
  <c r="AW275" i="4"/>
  <c r="AX275" i="4"/>
  <c r="BE275" i="4"/>
  <c r="AS275" i="4"/>
  <c r="AR275" i="4"/>
  <c r="AV275" i="4"/>
  <c r="AL275" i="4"/>
  <c r="CI811" i="4" s="1"/>
  <c r="AK275" i="4"/>
  <c r="AJ275" i="4"/>
  <c r="AQ275" i="4"/>
  <c r="CJ812" i="4" s="1"/>
  <c r="AO275" i="4"/>
  <c r="AN275" i="4"/>
  <c r="AM275" i="4"/>
  <c r="CJ811" i="4" s="1"/>
  <c r="AH275" i="4"/>
  <c r="AG275" i="4"/>
  <c r="AE275" i="4"/>
  <c r="AD275" i="4"/>
  <c r="AI275" i="4"/>
  <c r="AF275" i="4"/>
  <c r="AP275" i="4"/>
  <c r="CI812" i="4" s="1"/>
  <c r="AB275" i="4"/>
  <c r="AC275" i="4"/>
  <c r="AA275" i="4"/>
  <c r="L74" i="4"/>
  <c r="CG268" i="4"/>
  <c r="CF268" i="4"/>
  <c r="CE268" i="4"/>
  <c r="CD268" i="4"/>
  <c r="CB268" i="4"/>
  <c r="CP792" i="4" s="1"/>
  <c r="CC268" i="4"/>
  <c r="CQ792" i="4" s="1"/>
  <c r="CA268" i="4"/>
  <c r="BS268" i="4"/>
  <c r="BR268" i="4"/>
  <c r="BZ268" i="4"/>
  <c r="BU268" i="4"/>
  <c r="CQ790" i="4" s="1"/>
  <c r="BY268" i="4"/>
  <c r="CQ791" i="4" s="1"/>
  <c r="BT268" i="4"/>
  <c r="CP790" i="4" s="1"/>
  <c r="BV268" i="4"/>
  <c r="BO268" i="4"/>
  <c r="BP268" i="4"/>
  <c r="BW268" i="4"/>
  <c r="BM268" i="4"/>
  <c r="BL268" i="4"/>
  <c r="BQ268" i="4"/>
  <c r="BX268" i="4"/>
  <c r="CP791" i="4" s="1"/>
  <c r="BJ268" i="4"/>
  <c r="BI268" i="4"/>
  <c r="BH268" i="4"/>
  <c r="BN268" i="4"/>
  <c r="BK268" i="4"/>
  <c r="BG268" i="4"/>
  <c r="BF268" i="4"/>
  <c r="BE268" i="4"/>
  <c r="AX268" i="4"/>
  <c r="AW268" i="4"/>
  <c r="AT268" i="4"/>
  <c r="CI792" i="4" s="1"/>
  <c r="AV268" i="4"/>
  <c r="AY268" i="4"/>
  <c r="AO268" i="4"/>
  <c r="AU268" i="4"/>
  <c r="CJ792" i="4" s="1"/>
  <c r="AS268" i="4"/>
  <c r="AM268" i="4"/>
  <c r="CJ790" i="4" s="1"/>
  <c r="AP268" i="4"/>
  <c r="CI791" i="4" s="1"/>
  <c r="AJ268" i="4"/>
  <c r="AN268" i="4"/>
  <c r="AH268" i="4"/>
  <c r="AG268" i="4"/>
  <c r="AR268" i="4"/>
  <c r="AF268" i="4"/>
  <c r="AE268" i="4"/>
  <c r="AD268" i="4"/>
  <c r="AC268" i="4"/>
  <c r="AQ268" i="4"/>
  <c r="CJ791" i="4" s="1"/>
  <c r="AL268" i="4"/>
  <c r="CI790" i="4" s="1"/>
  <c r="AI268" i="4"/>
  <c r="AK268" i="4"/>
  <c r="AA268" i="4"/>
  <c r="AB268" i="4"/>
  <c r="CE368" i="4"/>
  <c r="CF368" i="4"/>
  <c r="CD368" i="4"/>
  <c r="CB368" i="4"/>
  <c r="CP1092" i="4" s="1"/>
  <c r="BV368" i="4"/>
  <c r="BZ368" i="4"/>
  <c r="CG368" i="4"/>
  <c r="BU368" i="4"/>
  <c r="CQ1090" i="4" s="1"/>
  <c r="BY368" i="4"/>
  <c r="CQ1091" i="4" s="1"/>
  <c r="BW368" i="4"/>
  <c r="BX368" i="4"/>
  <c r="CP1091" i="4" s="1"/>
  <c r="CC368" i="4"/>
  <c r="CQ1092" i="4" s="1"/>
  <c r="BT368" i="4"/>
  <c r="CP1090" i="4" s="1"/>
  <c r="BS368" i="4"/>
  <c r="BO368" i="4"/>
  <c r="BM368" i="4"/>
  <c r="BL368" i="4"/>
  <c r="BK368" i="4"/>
  <c r="BQ368" i="4"/>
  <c r="BP368" i="4"/>
  <c r="BJ368" i="4"/>
  <c r="BR368" i="4"/>
  <c r="BN368" i="4"/>
  <c r="CA368" i="4"/>
  <c r="BH368" i="4"/>
  <c r="BG368" i="4"/>
  <c r="BI368" i="4"/>
  <c r="BF368" i="4"/>
  <c r="BE368" i="4"/>
  <c r="AY368" i="4"/>
  <c r="AX368" i="4"/>
  <c r="AV368" i="4"/>
  <c r="AU368" i="4"/>
  <c r="CJ1092" i="4" s="1"/>
  <c r="AW368" i="4"/>
  <c r="AT368" i="4"/>
  <c r="CI1092" i="4" s="1"/>
  <c r="AS368" i="4"/>
  <c r="AQ368" i="4"/>
  <c r="CJ1091" i="4" s="1"/>
  <c r="AO368" i="4"/>
  <c r="AN368" i="4"/>
  <c r="AP368" i="4"/>
  <c r="CI1091" i="4" s="1"/>
  <c r="AJ368" i="4"/>
  <c r="AI368" i="4"/>
  <c r="AH368" i="4"/>
  <c r="AG368" i="4"/>
  <c r="AM368" i="4"/>
  <c r="CJ1090" i="4" s="1"/>
  <c r="AR368" i="4"/>
  <c r="AL368" i="4"/>
  <c r="CI1090" i="4" s="1"/>
  <c r="AE368" i="4"/>
  <c r="AK368" i="4"/>
  <c r="AF368" i="4"/>
  <c r="AB368" i="4"/>
  <c r="AC368" i="4"/>
  <c r="AD368" i="4"/>
  <c r="AA368" i="4"/>
  <c r="O121" i="4"/>
  <c r="CF143" i="4"/>
  <c r="CE143" i="4"/>
  <c r="CD143" i="4"/>
  <c r="CG143" i="4"/>
  <c r="CB143" i="4"/>
  <c r="CP417" i="4" s="1"/>
  <c r="CC143" i="4"/>
  <c r="CQ417" i="4" s="1"/>
  <c r="BZ143" i="4"/>
  <c r="BY143" i="4"/>
  <c r="CQ416" i="4" s="1"/>
  <c r="BX143" i="4"/>
  <c r="CP416" i="4" s="1"/>
  <c r="BU143" i="4"/>
  <c r="CQ415" i="4" s="1"/>
  <c r="CA143" i="4"/>
  <c r="BT143" i="4"/>
  <c r="CP415" i="4" s="1"/>
  <c r="BS143" i="4"/>
  <c r="BR143" i="4"/>
  <c r="BQ143" i="4"/>
  <c r="BW143" i="4"/>
  <c r="BV143" i="4"/>
  <c r="BL143" i="4"/>
  <c r="BK143" i="4"/>
  <c r="BM143" i="4"/>
  <c r="BP143" i="4"/>
  <c r="BJ143" i="4"/>
  <c r="BN143" i="4"/>
  <c r="BO143" i="4"/>
  <c r="BG143" i="4"/>
  <c r="BF143" i="4"/>
  <c r="BI143" i="4"/>
  <c r="BH143" i="4"/>
  <c r="BE143" i="4"/>
  <c r="AY143" i="4"/>
  <c r="AX143" i="4"/>
  <c r="AV143" i="4"/>
  <c r="AR143" i="4"/>
  <c r="AU143" i="4"/>
  <c r="CJ417" i="4" s="1"/>
  <c r="AT143" i="4"/>
  <c r="CI417" i="4" s="1"/>
  <c r="AS143" i="4"/>
  <c r="AP143" i="4"/>
  <c r="CI416" i="4" s="1"/>
  <c r="AO143" i="4"/>
  <c r="AQ143" i="4"/>
  <c r="CJ416" i="4" s="1"/>
  <c r="AW143" i="4"/>
  <c r="AN143" i="4"/>
  <c r="AK143" i="4"/>
  <c r="AI143" i="4"/>
  <c r="AL143" i="4"/>
  <c r="CI415" i="4" s="1"/>
  <c r="AD143" i="4"/>
  <c r="AM143" i="4"/>
  <c r="CJ415" i="4" s="1"/>
  <c r="AG143" i="4"/>
  <c r="AC143" i="4"/>
  <c r="AJ143" i="4"/>
  <c r="AF143" i="4"/>
  <c r="AA143" i="4"/>
  <c r="AE143" i="4"/>
  <c r="AH143" i="4"/>
  <c r="AB143" i="4"/>
  <c r="CG211" i="4"/>
  <c r="CF211" i="4"/>
  <c r="CE211" i="4"/>
  <c r="BZ211" i="4"/>
  <c r="BY211" i="4"/>
  <c r="CQ620" i="4" s="1"/>
  <c r="CC211" i="4"/>
  <c r="CQ621" i="4" s="1"/>
  <c r="CA211" i="4"/>
  <c r="CB211" i="4"/>
  <c r="CP621" i="4" s="1"/>
  <c r="BU211" i="4"/>
  <c r="CQ619" i="4" s="1"/>
  <c r="BT211" i="4"/>
  <c r="CP619" i="4" s="1"/>
  <c r="BW211" i="4"/>
  <c r="BS211" i="4"/>
  <c r="BR211" i="4"/>
  <c r="BQ211" i="4"/>
  <c r="BP211" i="4"/>
  <c r="BO211" i="4"/>
  <c r="BX211" i="4"/>
  <c r="CP620" i="4" s="1"/>
  <c r="BV211" i="4"/>
  <c r="CD211" i="4"/>
  <c r="BL211" i="4"/>
  <c r="BJ211" i="4"/>
  <c r="BI211" i="4"/>
  <c r="BH211" i="4"/>
  <c r="BN211" i="4"/>
  <c r="BK211" i="4"/>
  <c r="BG211" i="4"/>
  <c r="BF211" i="4"/>
  <c r="BM211" i="4"/>
  <c r="AX211" i="4"/>
  <c r="AV211" i="4"/>
  <c r="AR211" i="4"/>
  <c r="BE211" i="4"/>
  <c r="AW211" i="4"/>
  <c r="AS211" i="4"/>
  <c r="AU211" i="4"/>
  <c r="CJ621" i="4" s="1"/>
  <c r="AT211" i="4"/>
  <c r="CI621" i="4" s="1"/>
  <c r="AY211" i="4"/>
  <c r="AL211" i="4"/>
  <c r="CI619" i="4" s="1"/>
  <c r="AK211" i="4"/>
  <c r="AJ211" i="4"/>
  <c r="AQ211" i="4"/>
  <c r="CJ620" i="4" s="1"/>
  <c r="AN211" i="4"/>
  <c r="AO211" i="4"/>
  <c r="AM211" i="4"/>
  <c r="CJ619" i="4" s="1"/>
  <c r="AP211" i="4"/>
  <c r="CI620" i="4" s="1"/>
  <c r="AI211" i="4"/>
  <c r="AG211" i="4"/>
  <c r="AH211" i="4"/>
  <c r="AD211" i="4"/>
  <c r="AE211" i="4"/>
  <c r="AF211" i="4"/>
  <c r="AC211" i="4"/>
  <c r="AB211" i="4"/>
  <c r="AA211" i="4"/>
  <c r="CF125" i="4"/>
  <c r="CE125" i="4"/>
  <c r="CD125" i="4"/>
  <c r="CC125" i="4"/>
  <c r="CQ363" i="4" s="1"/>
  <c r="BX125" i="4"/>
  <c r="CP362" i="4" s="1"/>
  <c r="BT125" i="4"/>
  <c r="CP361" i="4" s="1"/>
  <c r="CB125" i="4"/>
  <c r="CP363" i="4" s="1"/>
  <c r="BS125" i="4"/>
  <c r="BR125" i="4"/>
  <c r="BQ125" i="4"/>
  <c r="CG125" i="4"/>
  <c r="BY125" i="4"/>
  <c r="CQ362" i="4" s="1"/>
  <c r="BW125" i="4"/>
  <c r="BV125" i="4"/>
  <c r="BO125" i="4"/>
  <c r="BP125" i="4"/>
  <c r="BL125" i="4"/>
  <c r="BK125" i="4"/>
  <c r="BU125" i="4"/>
  <c r="CQ361" i="4" s="1"/>
  <c r="BZ125" i="4"/>
  <c r="BM125" i="4"/>
  <c r="CA125" i="4"/>
  <c r="BN125" i="4"/>
  <c r="BJ125" i="4"/>
  <c r="BG125" i="4"/>
  <c r="BF125" i="4"/>
  <c r="BE125" i="4"/>
  <c r="AX125" i="4"/>
  <c r="BH125" i="4"/>
  <c r="AV125" i="4"/>
  <c r="AW125" i="4"/>
  <c r="BI125" i="4"/>
  <c r="AS125" i="4"/>
  <c r="AQ125" i="4"/>
  <c r="CJ362" i="4" s="1"/>
  <c r="AR125" i="4"/>
  <c r="AT125" i="4"/>
  <c r="CI363" i="4" s="1"/>
  <c r="AO125" i="4"/>
  <c r="AY125" i="4"/>
  <c r="AU125" i="4"/>
  <c r="CJ363" i="4" s="1"/>
  <c r="AN125" i="4"/>
  <c r="AJ125" i="4"/>
  <c r="AK125" i="4"/>
  <c r="AM125" i="4"/>
  <c r="CJ361" i="4" s="1"/>
  <c r="AL125" i="4"/>
  <c r="CI361" i="4" s="1"/>
  <c r="AP125" i="4"/>
  <c r="CI362" i="4" s="1"/>
  <c r="AG125" i="4"/>
  <c r="AF125" i="4"/>
  <c r="AH125" i="4"/>
  <c r="AC125" i="4"/>
  <c r="AA125" i="4"/>
  <c r="AD125" i="4"/>
  <c r="AE125" i="4"/>
  <c r="AB125" i="4"/>
  <c r="AI125" i="4"/>
  <c r="M17" i="4"/>
  <c r="CG121" i="4"/>
  <c r="CD121" i="4"/>
  <c r="CA121" i="4"/>
  <c r="BZ121" i="4"/>
  <c r="BY121" i="4"/>
  <c r="CQ350" i="4" s="1"/>
  <c r="BX121" i="4"/>
  <c r="CP350" i="4" s="1"/>
  <c r="CB121" i="4"/>
  <c r="CP351" i="4" s="1"/>
  <c r="CE121" i="4"/>
  <c r="CF121" i="4"/>
  <c r="CC121" i="4"/>
  <c r="CQ351" i="4" s="1"/>
  <c r="BV121" i="4"/>
  <c r="BW121" i="4"/>
  <c r="BO121" i="4"/>
  <c r="BR121" i="4"/>
  <c r="BP121" i="4"/>
  <c r="BL121" i="4"/>
  <c r="BN121" i="4"/>
  <c r="BU121" i="4"/>
  <c r="CQ349" i="4" s="1"/>
  <c r="BQ121" i="4"/>
  <c r="BM121" i="4"/>
  <c r="BT121" i="4"/>
  <c r="CP349" i="4" s="1"/>
  <c r="BS121" i="4"/>
  <c r="BK121" i="4"/>
  <c r="BF121" i="4"/>
  <c r="AY121" i="4"/>
  <c r="BE121" i="4"/>
  <c r="BH121" i="4"/>
  <c r="AV121" i="4"/>
  <c r="AT121" i="4"/>
  <c r="CI351" i="4" s="1"/>
  <c r="BI121" i="4"/>
  <c r="BG121" i="4"/>
  <c r="BJ121" i="4"/>
  <c r="AW121" i="4"/>
  <c r="AU121" i="4"/>
  <c r="CJ351" i="4" s="1"/>
  <c r="AX121" i="4"/>
  <c r="AS121" i="4"/>
  <c r="AR121" i="4"/>
  <c r="AQ121" i="4"/>
  <c r="CJ350" i="4" s="1"/>
  <c r="AL121" i="4"/>
  <c r="CI349" i="4" s="1"/>
  <c r="AP121" i="4"/>
  <c r="CI350" i="4" s="1"/>
  <c r="AF121" i="4"/>
  <c r="AM121" i="4"/>
  <c r="CJ349" i="4" s="1"/>
  <c r="AI121" i="4"/>
  <c r="AO121" i="4"/>
  <c r="AG121" i="4"/>
  <c r="AH121" i="4"/>
  <c r="AJ121" i="4"/>
  <c r="AN121" i="4"/>
  <c r="AE121" i="4"/>
  <c r="AB121" i="4"/>
  <c r="AC121" i="4"/>
  <c r="AA121" i="4"/>
  <c r="AK121" i="4"/>
  <c r="AD121" i="4"/>
  <c r="CG394" i="4"/>
  <c r="CE394" i="4"/>
  <c r="CD394" i="4"/>
  <c r="CC394" i="4"/>
  <c r="CQ1170" i="4" s="1"/>
  <c r="CB394" i="4"/>
  <c r="CP1170" i="4" s="1"/>
  <c r="CA394" i="4"/>
  <c r="BZ394" i="4"/>
  <c r="BY394" i="4"/>
  <c r="CQ1169" i="4" s="1"/>
  <c r="BX394" i="4"/>
  <c r="CP1169" i="4" s="1"/>
  <c r="BT394" i="4"/>
  <c r="CP1168" i="4" s="1"/>
  <c r="BS394" i="4"/>
  <c r="BR394" i="4"/>
  <c r="BQ394" i="4"/>
  <c r="BP394" i="4"/>
  <c r="CF394" i="4"/>
  <c r="BW394" i="4"/>
  <c r="BV394" i="4"/>
  <c r="BO394" i="4"/>
  <c r="BN394" i="4"/>
  <c r="BM394" i="4"/>
  <c r="BU394" i="4"/>
  <c r="CQ1168" i="4" s="1"/>
  <c r="BK394" i="4"/>
  <c r="BJ394" i="4"/>
  <c r="BI394" i="4"/>
  <c r="BF394" i="4"/>
  <c r="BL394" i="4"/>
  <c r="BE394" i="4"/>
  <c r="AY394" i="4"/>
  <c r="BH394" i="4"/>
  <c r="BG394" i="4"/>
  <c r="AV394" i="4"/>
  <c r="AW394" i="4"/>
  <c r="AU394" i="4"/>
  <c r="CJ1170" i="4" s="1"/>
  <c r="AX394" i="4"/>
  <c r="AS394" i="4"/>
  <c r="AT394" i="4"/>
  <c r="CI1170" i="4" s="1"/>
  <c r="AN394" i="4"/>
  <c r="AL394" i="4"/>
  <c r="CI1168" i="4" s="1"/>
  <c r="AO394" i="4"/>
  <c r="AQ394" i="4"/>
  <c r="CJ1169" i="4" s="1"/>
  <c r="AK394" i="4"/>
  <c r="AI394" i="4"/>
  <c r="AH394" i="4"/>
  <c r="AM394" i="4"/>
  <c r="CJ1168" i="4" s="1"/>
  <c r="AJ394" i="4"/>
  <c r="AG394" i="4"/>
  <c r="AR394" i="4"/>
  <c r="AP394" i="4"/>
  <c r="CI1169" i="4" s="1"/>
  <c r="AE394" i="4"/>
  <c r="AD394" i="4"/>
  <c r="AB394" i="4"/>
  <c r="AF394" i="4"/>
  <c r="AC394" i="4"/>
  <c r="AA394" i="4"/>
  <c r="K75" i="4"/>
  <c r="CG428" i="4"/>
  <c r="CA428" i="4"/>
  <c r="CF428" i="4"/>
  <c r="BT428" i="4"/>
  <c r="CP1270" i="4" s="1"/>
  <c r="BS428" i="4"/>
  <c r="BR428" i="4"/>
  <c r="CC428" i="4"/>
  <c r="CQ1272" i="4" s="1"/>
  <c r="CD428" i="4"/>
  <c r="BV428" i="4"/>
  <c r="BU428" i="4"/>
  <c r="CQ1270" i="4" s="1"/>
  <c r="BO428" i="4"/>
  <c r="BN428" i="4"/>
  <c r="BX428" i="4"/>
  <c r="CP1271" i="4" s="1"/>
  <c r="BM428" i="4"/>
  <c r="BL428" i="4"/>
  <c r="CB428" i="4"/>
  <c r="CP1272" i="4" s="1"/>
  <c r="BZ428" i="4"/>
  <c r="BY428" i="4"/>
  <c r="CQ1271" i="4" s="1"/>
  <c r="BQ428" i="4"/>
  <c r="CE428" i="4"/>
  <c r="BW428" i="4"/>
  <c r="BP428" i="4"/>
  <c r="BK428" i="4"/>
  <c r="BJ428" i="4"/>
  <c r="BI428" i="4"/>
  <c r="BF428" i="4"/>
  <c r="BG428" i="4"/>
  <c r="BE428" i="4"/>
  <c r="AY428" i="4"/>
  <c r="BH428" i="4"/>
  <c r="AV428" i="4"/>
  <c r="AW428" i="4"/>
  <c r="AX428" i="4"/>
  <c r="AU428" i="4"/>
  <c r="CJ1272" i="4" s="1"/>
  <c r="AR428" i="4"/>
  <c r="AS428" i="4"/>
  <c r="AT428" i="4"/>
  <c r="CI1272" i="4" s="1"/>
  <c r="AP428" i="4"/>
  <c r="CI1271" i="4" s="1"/>
  <c r="AQ428" i="4"/>
  <c r="CJ1271" i="4" s="1"/>
  <c r="AO428" i="4"/>
  <c r="AM428" i="4"/>
  <c r="CJ1270" i="4" s="1"/>
  <c r="AL428" i="4"/>
  <c r="CI1270" i="4" s="1"/>
  <c r="AI428" i="4"/>
  <c r="AF428" i="4"/>
  <c r="AE428" i="4"/>
  <c r="AD428" i="4"/>
  <c r="AC428" i="4"/>
  <c r="AH428" i="4"/>
  <c r="AJ428" i="4"/>
  <c r="AN428" i="4"/>
  <c r="AB428" i="4"/>
  <c r="AG428" i="4"/>
  <c r="AA428" i="4"/>
  <c r="AK428" i="4"/>
  <c r="CG184" i="4"/>
  <c r="CD184" i="4"/>
  <c r="CC184" i="4"/>
  <c r="CQ540" i="4" s="1"/>
  <c r="CF184" i="4"/>
  <c r="BZ184" i="4"/>
  <c r="BY184" i="4"/>
  <c r="CQ539" i="4" s="1"/>
  <c r="BX184" i="4"/>
  <c r="CP539" i="4" s="1"/>
  <c r="BW184" i="4"/>
  <c r="CE184" i="4"/>
  <c r="CA184" i="4"/>
  <c r="CB184" i="4"/>
  <c r="CP540" i="4" s="1"/>
  <c r="BT184" i="4"/>
  <c r="CP538" i="4" s="1"/>
  <c r="BV184" i="4"/>
  <c r="BS184" i="4"/>
  <c r="BR184" i="4"/>
  <c r="BQ184" i="4"/>
  <c r="BP184" i="4"/>
  <c r="BO184" i="4"/>
  <c r="BM184" i="4"/>
  <c r="BL184" i="4"/>
  <c r="BK184" i="4"/>
  <c r="BN184" i="4"/>
  <c r="BU184" i="4"/>
  <c r="CQ538" i="4" s="1"/>
  <c r="BE184" i="4"/>
  <c r="AY184" i="4"/>
  <c r="BJ184" i="4"/>
  <c r="BH184" i="4"/>
  <c r="BG184" i="4"/>
  <c r="BI184" i="4"/>
  <c r="AX184" i="4"/>
  <c r="AW184" i="4"/>
  <c r="BF184" i="4"/>
  <c r="AU184" i="4"/>
  <c r="CJ540" i="4" s="1"/>
  <c r="AR184" i="4"/>
  <c r="AV184" i="4"/>
  <c r="AP184" i="4"/>
  <c r="CI539" i="4" s="1"/>
  <c r="AS184" i="4"/>
  <c r="AN184" i="4"/>
  <c r="AT184" i="4"/>
  <c r="CI540" i="4" s="1"/>
  <c r="AO184" i="4"/>
  <c r="AQ184" i="4"/>
  <c r="CJ539" i="4" s="1"/>
  <c r="AF184" i="4"/>
  <c r="AH184" i="4"/>
  <c r="AL184" i="4"/>
  <c r="CI538" i="4" s="1"/>
  <c r="AM184" i="4"/>
  <c r="CJ538" i="4" s="1"/>
  <c r="AI184" i="4"/>
  <c r="AE184" i="4"/>
  <c r="AJ184" i="4"/>
  <c r="AA184" i="4"/>
  <c r="AG184" i="4"/>
  <c r="AB184" i="4"/>
  <c r="AC184" i="4"/>
  <c r="AK184" i="4"/>
  <c r="AD184" i="4"/>
  <c r="CF96" i="4"/>
  <c r="CG96" i="4"/>
  <c r="CE96" i="4"/>
  <c r="CD96" i="4"/>
  <c r="CA96" i="4"/>
  <c r="CB96" i="4"/>
  <c r="CP276" i="4" s="1"/>
  <c r="BX96" i="4"/>
  <c r="CP275" i="4" s="1"/>
  <c r="BV96" i="4"/>
  <c r="BU96" i="4"/>
  <c r="CQ274" i="4" s="1"/>
  <c r="BZ96" i="4"/>
  <c r="BY96" i="4"/>
  <c r="CQ275" i="4" s="1"/>
  <c r="BS96" i="4"/>
  <c r="BO96" i="4"/>
  <c r="BT96" i="4"/>
  <c r="CP274" i="4" s="1"/>
  <c r="BP96" i="4"/>
  <c r="BR96" i="4"/>
  <c r="BW96" i="4"/>
  <c r="CC96" i="4"/>
  <c r="CQ276" i="4" s="1"/>
  <c r="BL96" i="4"/>
  <c r="BK96" i="4"/>
  <c r="BM96" i="4"/>
  <c r="BQ96" i="4"/>
  <c r="BJ96" i="4"/>
  <c r="BI96" i="4"/>
  <c r="BN96" i="4"/>
  <c r="AY96" i="4"/>
  <c r="BF96" i="4"/>
  <c r="AX96" i="4"/>
  <c r="AW96" i="4"/>
  <c r="AV96" i="4"/>
  <c r="BG96" i="4"/>
  <c r="BE96" i="4"/>
  <c r="AU96" i="4"/>
  <c r="CJ276" i="4" s="1"/>
  <c r="AQ96" i="4"/>
  <c r="CJ275" i="4" s="1"/>
  <c r="BH96" i="4"/>
  <c r="AT96" i="4"/>
  <c r="CI276" i="4" s="1"/>
  <c r="AR96" i="4"/>
  <c r="AN96" i="4"/>
  <c r="AP96" i="4"/>
  <c r="CI275" i="4" s="1"/>
  <c r="AO96" i="4"/>
  <c r="AS96" i="4"/>
  <c r="AL96" i="4"/>
  <c r="CI274" i="4" s="1"/>
  <c r="AH96" i="4"/>
  <c r="AG96" i="4"/>
  <c r="AM96" i="4"/>
  <c r="CJ274" i="4" s="1"/>
  <c r="AI96" i="4"/>
  <c r="AJ96" i="4"/>
  <c r="AK96" i="4"/>
  <c r="AE96" i="4"/>
  <c r="AB96" i="4"/>
  <c r="AF96" i="4"/>
  <c r="AD96" i="4"/>
  <c r="AC96" i="4"/>
  <c r="AA96" i="4"/>
  <c r="L9" i="4"/>
  <c r="CG322" i="4"/>
  <c r="CF322" i="4"/>
  <c r="BZ322" i="4"/>
  <c r="BY322" i="4"/>
  <c r="CQ953" i="4" s="1"/>
  <c r="BX322" i="4"/>
  <c r="CP953" i="4" s="1"/>
  <c r="BW322" i="4"/>
  <c r="CA322" i="4"/>
  <c r="CC322" i="4"/>
  <c r="CQ954" i="4" s="1"/>
  <c r="CD322" i="4"/>
  <c r="BV322" i="4"/>
  <c r="BU322" i="4"/>
  <c r="CQ952" i="4" s="1"/>
  <c r="BS322" i="4"/>
  <c r="BR322" i="4"/>
  <c r="BQ322" i="4"/>
  <c r="BP322" i="4"/>
  <c r="CB322" i="4"/>
  <c r="CP954" i="4" s="1"/>
  <c r="BO322" i="4"/>
  <c r="CE322" i="4"/>
  <c r="BT322" i="4"/>
  <c r="CP952" i="4" s="1"/>
  <c r="BK322" i="4"/>
  <c r="BN322" i="4"/>
  <c r="BL322" i="4"/>
  <c r="BM322" i="4"/>
  <c r="BJ322" i="4"/>
  <c r="BH322" i="4"/>
  <c r="AY322" i="4"/>
  <c r="BE322" i="4"/>
  <c r="BF322" i="4"/>
  <c r="AX322" i="4"/>
  <c r="AW322" i="4"/>
  <c r="AT322" i="4"/>
  <c r="CI954" i="4" s="1"/>
  <c r="BI322" i="4"/>
  <c r="AS322" i="4"/>
  <c r="AU322" i="4"/>
  <c r="CJ954" i="4" s="1"/>
  <c r="BG322" i="4"/>
  <c r="AR322" i="4"/>
  <c r="AO322" i="4"/>
  <c r="AV322" i="4"/>
  <c r="AP322" i="4"/>
  <c r="CI953" i="4" s="1"/>
  <c r="AQ322" i="4"/>
  <c r="CJ953" i="4" s="1"/>
  <c r="AM322" i="4"/>
  <c r="CJ952" i="4" s="1"/>
  <c r="AI322" i="4"/>
  <c r="AJ322" i="4"/>
  <c r="AH322" i="4"/>
  <c r="AG322" i="4"/>
  <c r="AL322" i="4"/>
  <c r="CI952" i="4" s="1"/>
  <c r="AK322" i="4"/>
  <c r="AN322" i="4"/>
  <c r="AA322" i="4"/>
  <c r="AC322" i="4"/>
  <c r="AF322" i="4"/>
  <c r="AD322" i="4"/>
  <c r="AE322" i="4"/>
  <c r="AB322" i="4"/>
  <c r="CD288" i="4"/>
  <c r="CG288" i="4"/>
  <c r="CB288" i="4"/>
  <c r="CP852" i="4" s="1"/>
  <c r="CC288" i="4"/>
  <c r="CQ852" i="4" s="1"/>
  <c r="CA288" i="4"/>
  <c r="BY288" i="4"/>
  <c r="CQ851" i="4" s="1"/>
  <c r="CE288" i="4"/>
  <c r="BX288" i="4"/>
  <c r="CP851" i="4" s="1"/>
  <c r="BU288" i="4"/>
  <c r="CQ850" i="4" s="1"/>
  <c r="BW288" i="4"/>
  <c r="BP288" i="4"/>
  <c r="BZ288" i="4"/>
  <c r="BQ288" i="4"/>
  <c r="BV288" i="4"/>
  <c r="BT288" i="4"/>
  <c r="CP850" i="4" s="1"/>
  <c r="BM288" i="4"/>
  <c r="BL288" i="4"/>
  <c r="BK288" i="4"/>
  <c r="BR288" i="4"/>
  <c r="BO288" i="4"/>
  <c r="BS288" i="4"/>
  <c r="CF288" i="4"/>
  <c r="BJ288" i="4"/>
  <c r="BI288" i="4"/>
  <c r="BN288" i="4"/>
  <c r="BE288" i="4"/>
  <c r="AY288" i="4"/>
  <c r="BG288" i="4"/>
  <c r="AX288" i="4"/>
  <c r="AU288" i="4"/>
  <c r="CJ852" i="4" s="1"/>
  <c r="BF288" i="4"/>
  <c r="AV288" i="4"/>
  <c r="AT288" i="4"/>
  <c r="CI852" i="4" s="1"/>
  <c r="AS288" i="4"/>
  <c r="AW288" i="4"/>
  <c r="AO288" i="4"/>
  <c r="AQ288" i="4"/>
  <c r="CJ851" i="4" s="1"/>
  <c r="BH288" i="4"/>
  <c r="AI288" i="4"/>
  <c r="AH288" i="4"/>
  <c r="AG288" i="4"/>
  <c r="AN288" i="4"/>
  <c r="AL288" i="4"/>
  <c r="CI850" i="4" s="1"/>
  <c r="AJ288" i="4"/>
  <c r="AR288" i="4"/>
  <c r="AM288" i="4"/>
  <c r="CJ850" i="4" s="1"/>
  <c r="AP288" i="4"/>
  <c r="CI851" i="4" s="1"/>
  <c r="AK288" i="4"/>
  <c r="AF288" i="4"/>
  <c r="AA288" i="4"/>
  <c r="AC288" i="4"/>
  <c r="AE288" i="4"/>
  <c r="AD288" i="4"/>
  <c r="AB288" i="4"/>
  <c r="L16" i="4"/>
  <c r="CG27" i="4"/>
  <c r="CD27" i="4"/>
  <c r="CC27" i="4"/>
  <c r="CQ69" i="4" s="1"/>
  <c r="CB27" i="4"/>
  <c r="CP69" i="4" s="1"/>
  <c r="CA27" i="4"/>
  <c r="BZ27" i="4"/>
  <c r="CE27" i="4"/>
  <c r="BS27" i="4"/>
  <c r="BR27" i="4"/>
  <c r="BQ27" i="4"/>
  <c r="BP27" i="4"/>
  <c r="BO27" i="4"/>
  <c r="CF27" i="4"/>
  <c r="BU27" i="4"/>
  <c r="CQ67" i="4" s="1"/>
  <c r="BT27" i="4"/>
  <c r="CP67" i="4" s="1"/>
  <c r="BV27" i="4"/>
  <c r="BX27" i="4"/>
  <c r="CP68" i="4" s="1"/>
  <c r="BY27" i="4"/>
  <c r="CQ68" i="4" s="1"/>
  <c r="BW27" i="4"/>
  <c r="BI27" i="4"/>
  <c r="BH27" i="4"/>
  <c r="BK27" i="4"/>
  <c r="BJ27" i="4"/>
  <c r="BM27" i="4"/>
  <c r="BN27" i="4"/>
  <c r="BL27" i="4"/>
  <c r="BG27" i="4"/>
  <c r="BF27" i="4"/>
  <c r="BE27" i="4"/>
  <c r="AW27" i="4"/>
  <c r="AY27" i="4"/>
  <c r="AV27" i="4"/>
  <c r="AT27" i="4"/>
  <c r="CI69" i="4" s="1"/>
  <c r="AS27" i="4"/>
  <c r="AU27" i="4"/>
  <c r="CJ69" i="4" s="1"/>
  <c r="AQ27" i="4"/>
  <c r="CJ68" i="4" s="1"/>
  <c r="AX27" i="4"/>
  <c r="AR27" i="4"/>
  <c r="AN27" i="4"/>
  <c r="AL27" i="4"/>
  <c r="CI67" i="4" s="1"/>
  <c r="AP27" i="4"/>
  <c r="CI68" i="4" s="1"/>
  <c r="AJ27" i="4"/>
  <c r="AK27" i="4"/>
  <c r="AI27" i="4"/>
  <c r="AG27" i="4"/>
  <c r="AM27" i="4"/>
  <c r="CJ67" i="4" s="1"/>
  <c r="AH27" i="4"/>
  <c r="AO27" i="4"/>
  <c r="AB27" i="4"/>
  <c r="AF27" i="4"/>
  <c r="AE27" i="4"/>
  <c r="AC27" i="4"/>
  <c r="AD27" i="4"/>
  <c r="AA27" i="4"/>
  <c r="CG455" i="4"/>
  <c r="CF455" i="4"/>
  <c r="CE455" i="4"/>
  <c r="CD455" i="4"/>
  <c r="CC455" i="4"/>
  <c r="CQ1353" i="4" s="1"/>
  <c r="CB455" i="4"/>
  <c r="CP1353" i="4" s="1"/>
  <c r="BZ455" i="4"/>
  <c r="BY455" i="4"/>
  <c r="CQ1352" i="4" s="1"/>
  <c r="BX455" i="4"/>
  <c r="CP1352" i="4" s="1"/>
  <c r="BW455" i="4"/>
  <c r="BV455" i="4"/>
  <c r="BU455" i="4"/>
  <c r="CQ1351" i="4" s="1"/>
  <c r="CA455" i="4"/>
  <c r="BM455" i="4"/>
  <c r="BL455" i="4"/>
  <c r="BT455" i="4"/>
  <c r="CP1351" i="4" s="1"/>
  <c r="BQ455" i="4"/>
  <c r="BR455" i="4"/>
  <c r="BP455" i="4"/>
  <c r="BS455" i="4"/>
  <c r="BN455" i="4"/>
  <c r="BK455" i="4"/>
  <c r="BH455" i="4"/>
  <c r="BF455" i="4"/>
  <c r="BO455" i="4"/>
  <c r="BE455" i="4"/>
  <c r="BI455" i="4"/>
  <c r="AW455" i="4"/>
  <c r="BJ455" i="4"/>
  <c r="AT455" i="4"/>
  <c r="CI1353" i="4" s="1"/>
  <c r="AU455" i="4"/>
  <c r="CJ1353" i="4" s="1"/>
  <c r="AV455" i="4"/>
  <c r="AQ455" i="4"/>
  <c r="CJ1352" i="4" s="1"/>
  <c r="BG455" i="4"/>
  <c r="AY455" i="4"/>
  <c r="AX455" i="4"/>
  <c r="AP455" i="4"/>
  <c r="CI1352" i="4" s="1"/>
  <c r="AR455" i="4"/>
  <c r="AO455" i="4"/>
  <c r="AS455" i="4"/>
  <c r="AG455" i="4"/>
  <c r="AM455" i="4"/>
  <c r="CJ1351" i="4" s="1"/>
  <c r="AL455" i="4"/>
  <c r="CI1351" i="4" s="1"/>
  <c r="AK455" i="4"/>
  <c r="AN455" i="4"/>
  <c r="AI455" i="4"/>
  <c r="AJ455" i="4"/>
  <c r="AH455" i="4"/>
  <c r="AF455" i="4"/>
  <c r="AD455" i="4"/>
  <c r="AB455" i="4"/>
  <c r="AA455" i="4"/>
  <c r="AC455" i="4"/>
  <c r="AE455" i="4"/>
  <c r="L101" i="4"/>
  <c r="CG167" i="4"/>
  <c r="CF167" i="4"/>
  <c r="CE167" i="4"/>
  <c r="CD167" i="4"/>
  <c r="CC167" i="4"/>
  <c r="CQ489" i="4" s="1"/>
  <c r="CB167" i="4"/>
  <c r="CP489" i="4" s="1"/>
  <c r="CA167" i="4"/>
  <c r="BZ167" i="4"/>
  <c r="BY167" i="4"/>
  <c r="CQ488" i="4" s="1"/>
  <c r="BX167" i="4"/>
  <c r="CP488" i="4" s="1"/>
  <c r="BW167" i="4"/>
  <c r="BT167" i="4"/>
  <c r="CP487" i="4" s="1"/>
  <c r="BM167" i="4"/>
  <c r="BL167" i="4"/>
  <c r="BK167" i="4"/>
  <c r="BV167" i="4"/>
  <c r="BR167" i="4"/>
  <c r="BU167" i="4"/>
  <c r="CQ487" i="4" s="1"/>
  <c r="BQ167" i="4"/>
  <c r="BS167" i="4"/>
  <c r="BN167" i="4"/>
  <c r="BP167" i="4"/>
  <c r="BI167" i="4"/>
  <c r="BO167" i="4"/>
  <c r="BH167" i="4"/>
  <c r="BG167" i="4"/>
  <c r="BE167" i="4"/>
  <c r="AY167" i="4"/>
  <c r="BF167" i="4"/>
  <c r="AX167" i="4"/>
  <c r="AV167" i="4"/>
  <c r="BJ167" i="4"/>
  <c r="AR167" i="4"/>
  <c r="AW167" i="4"/>
  <c r="AU167" i="4"/>
  <c r="CJ489" i="4" s="1"/>
  <c r="AT167" i="4"/>
  <c r="CI489" i="4" s="1"/>
  <c r="AP167" i="4"/>
  <c r="CI488" i="4" s="1"/>
  <c r="AN167" i="4"/>
  <c r="AM167" i="4"/>
  <c r="CJ487" i="4" s="1"/>
  <c r="AJ167" i="4"/>
  <c r="AH167" i="4"/>
  <c r="AK167" i="4"/>
  <c r="AQ167" i="4"/>
  <c r="CJ488" i="4" s="1"/>
  <c r="AF167" i="4"/>
  <c r="AE167" i="4"/>
  <c r="AA167" i="4"/>
  <c r="AS167" i="4"/>
  <c r="AO167" i="4"/>
  <c r="AI167" i="4"/>
  <c r="AG167" i="4"/>
  <c r="AB167" i="4"/>
  <c r="AC167" i="4"/>
  <c r="AL167" i="4"/>
  <c r="CI487" i="4" s="1"/>
  <c r="AD167" i="4"/>
  <c r="CF128" i="4"/>
  <c r="CE128" i="4"/>
  <c r="CD128" i="4"/>
  <c r="CG128" i="4"/>
  <c r="BW128" i="4"/>
  <c r="BZ128" i="4"/>
  <c r="BX128" i="4"/>
  <c r="CP371" i="4" s="1"/>
  <c r="BU128" i="4"/>
  <c r="CQ370" i="4" s="1"/>
  <c r="CC128" i="4"/>
  <c r="CQ372" i="4" s="1"/>
  <c r="CB128" i="4"/>
  <c r="CP372" i="4" s="1"/>
  <c r="BT128" i="4"/>
  <c r="CP370" i="4" s="1"/>
  <c r="CA128" i="4"/>
  <c r="BV128" i="4"/>
  <c r="BR128" i="4"/>
  <c r="BY128" i="4"/>
  <c r="CQ371" i="4" s="1"/>
  <c r="BO128" i="4"/>
  <c r="BP128" i="4"/>
  <c r="BN128" i="4"/>
  <c r="BL128" i="4"/>
  <c r="BK128" i="4"/>
  <c r="BS128" i="4"/>
  <c r="BJ128" i="4"/>
  <c r="BI128" i="4"/>
  <c r="BQ128" i="4"/>
  <c r="BM128" i="4"/>
  <c r="BG128" i="4"/>
  <c r="AY128" i="4"/>
  <c r="BE128" i="4"/>
  <c r="BF128" i="4"/>
  <c r="AX128" i="4"/>
  <c r="BH128" i="4"/>
  <c r="AW128" i="4"/>
  <c r="AV128" i="4"/>
  <c r="AS128" i="4"/>
  <c r="AP128" i="4"/>
  <c r="CI371" i="4" s="1"/>
  <c r="AU128" i="4"/>
  <c r="CJ372" i="4" s="1"/>
  <c r="AT128" i="4"/>
  <c r="CI372" i="4" s="1"/>
  <c r="AR128" i="4"/>
  <c r="AO128" i="4"/>
  <c r="AM128" i="4"/>
  <c r="CJ370" i="4" s="1"/>
  <c r="AQ128" i="4"/>
  <c r="CJ371" i="4" s="1"/>
  <c r="AH128" i="4"/>
  <c r="AG128" i="4"/>
  <c r="AN128" i="4"/>
  <c r="AJ128" i="4"/>
  <c r="AK128" i="4"/>
  <c r="AL128" i="4"/>
  <c r="CI370" i="4" s="1"/>
  <c r="AI128" i="4"/>
  <c r="AF128" i="4"/>
  <c r="AD128" i="4"/>
  <c r="AC128" i="4"/>
  <c r="AA128" i="4"/>
  <c r="AB128" i="4"/>
  <c r="AE128" i="4"/>
  <c r="CG484" i="4"/>
  <c r="CF484" i="4"/>
  <c r="CD484" i="4"/>
  <c r="CB484" i="4"/>
  <c r="CP1440" i="4" s="1"/>
  <c r="CE484" i="4"/>
  <c r="BU484" i="4"/>
  <c r="CQ1438" i="4" s="1"/>
  <c r="CA484" i="4"/>
  <c r="BZ484" i="4"/>
  <c r="CC484" i="4"/>
  <c r="CQ1440" i="4" s="1"/>
  <c r="BV484" i="4"/>
  <c r="BX484" i="4"/>
  <c r="CP1439" i="4" s="1"/>
  <c r="BS484" i="4"/>
  <c r="BQ484" i="4"/>
  <c r="BO484" i="4"/>
  <c r="BY484" i="4"/>
  <c r="CQ1439" i="4" s="1"/>
  <c r="BT484" i="4"/>
  <c r="CP1438" i="4" s="1"/>
  <c r="BK484" i="4"/>
  <c r="BR484" i="4"/>
  <c r="BM484" i="4"/>
  <c r="BJ484" i="4"/>
  <c r="BI484" i="4"/>
  <c r="BN484" i="4"/>
  <c r="BH484" i="4"/>
  <c r="BL484" i="4"/>
  <c r="BG484" i="4"/>
  <c r="BF484" i="4"/>
  <c r="BW484" i="4"/>
  <c r="AX484" i="4"/>
  <c r="BP484" i="4"/>
  <c r="AV484" i="4"/>
  <c r="AR484" i="4"/>
  <c r="AW484" i="4"/>
  <c r="AY484" i="4"/>
  <c r="BE484" i="4"/>
  <c r="AU484" i="4"/>
  <c r="CJ1440" i="4" s="1"/>
  <c r="AT484" i="4"/>
  <c r="CI1440" i="4" s="1"/>
  <c r="AS484" i="4"/>
  <c r="AQ484" i="4"/>
  <c r="CJ1439" i="4" s="1"/>
  <c r="AP484" i="4"/>
  <c r="CI1439" i="4" s="1"/>
  <c r="AM484" i="4"/>
  <c r="CJ1438" i="4" s="1"/>
  <c r="AO484" i="4"/>
  <c r="AN484" i="4"/>
  <c r="AI484" i="4"/>
  <c r="AJ484" i="4"/>
  <c r="AK484" i="4"/>
  <c r="AH484" i="4"/>
  <c r="AL484" i="4"/>
  <c r="CI1438" i="4" s="1"/>
  <c r="AF484" i="4"/>
  <c r="AG484" i="4"/>
  <c r="AE484" i="4"/>
  <c r="AC484" i="4"/>
  <c r="AB484" i="4"/>
  <c r="AA484" i="4"/>
  <c r="AD484" i="4"/>
  <c r="CF449" i="4"/>
  <c r="CG449" i="4"/>
  <c r="BZ449" i="4"/>
  <c r="BY449" i="4"/>
  <c r="CQ1334" i="4" s="1"/>
  <c r="BX449" i="4"/>
  <c r="CP1334" i="4" s="1"/>
  <c r="BW449" i="4"/>
  <c r="CA449" i="4"/>
  <c r="CC449" i="4"/>
  <c r="CQ1335" i="4" s="1"/>
  <c r="BT449" i="4"/>
  <c r="CP1333" i="4" s="1"/>
  <c r="BS449" i="4"/>
  <c r="BR449" i="4"/>
  <c r="BQ449" i="4"/>
  <c r="BP449" i="4"/>
  <c r="CE449" i="4"/>
  <c r="CD449" i="4"/>
  <c r="BV449" i="4"/>
  <c r="BO449" i="4"/>
  <c r="BN449" i="4"/>
  <c r="CB449" i="4"/>
  <c r="CP1335" i="4" s="1"/>
  <c r="BU449" i="4"/>
  <c r="CQ1333" i="4" s="1"/>
  <c r="BK449" i="4"/>
  <c r="BM449" i="4"/>
  <c r="BJ449" i="4"/>
  <c r="BI449" i="4"/>
  <c r="BH449" i="4"/>
  <c r="BG449" i="4"/>
  <c r="BF449" i="4"/>
  <c r="BL449" i="4"/>
  <c r="BE449" i="4"/>
  <c r="AY449" i="4"/>
  <c r="AX449" i="4"/>
  <c r="AV449" i="4"/>
  <c r="AW449" i="4"/>
  <c r="AU449" i="4"/>
  <c r="CJ1335" i="4" s="1"/>
  <c r="AS449" i="4"/>
  <c r="AT449" i="4"/>
  <c r="CI1335" i="4" s="1"/>
  <c r="AR449" i="4"/>
  <c r="AO449" i="4"/>
  <c r="AL449" i="4"/>
  <c r="CI1333" i="4" s="1"/>
  <c r="AQ449" i="4"/>
  <c r="CJ1334" i="4" s="1"/>
  <c r="AM449" i="4"/>
  <c r="CJ1333" i="4" s="1"/>
  <c r="AK449" i="4"/>
  <c r="AP449" i="4"/>
  <c r="CI1334" i="4" s="1"/>
  <c r="AI449" i="4"/>
  <c r="AN449" i="4"/>
  <c r="AH449" i="4"/>
  <c r="AJ449" i="4"/>
  <c r="AF449" i="4"/>
  <c r="AG449" i="4"/>
  <c r="AD449" i="4"/>
  <c r="AE449" i="4"/>
  <c r="AB449" i="4"/>
  <c r="AA449" i="4"/>
  <c r="AC449" i="4"/>
  <c r="CF405" i="4"/>
  <c r="CE405" i="4"/>
  <c r="CA405" i="4"/>
  <c r="CD405" i="4"/>
  <c r="BZ405" i="4"/>
  <c r="BY405" i="4"/>
  <c r="CQ1202" i="4" s="1"/>
  <c r="BX405" i="4"/>
  <c r="CP1202" i="4" s="1"/>
  <c r="BW405" i="4"/>
  <c r="BV405" i="4"/>
  <c r="BU405" i="4"/>
  <c r="CQ1201" i="4" s="1"/>
  <c r="CG405" i="4"/>
  <c r="CC405" i="4"/>
  <c r="CQ1203" i="4" s="1"/>
  <c r="CB405" i="4"/>
  <c r="CP1203" i="4" s="1"/>
  <c r="BP405" i="4"/>
  <c r="BT405" i="4"/>
  <c r="CP1201" i="4" s="1"/>
  <c r="BS405" i="4"/>
  <c r="BM405" i="4"/>
  <c r="BL405" i="4"/>
  <c r="BN405" i="4"/>
  <c r="BR405" i="4"/>
  <c r="BJ405" i="4"/>
  <c r="BQ405" i="4"/>
  <c r="BH405" i="4"/>
  <c r="BO405" i="4"/>
  <c r="BG405" i="4"/>
  <c r="BK405" i="4"/>
  <c r="BF405" i="4"/>
  <c r="AX405" i="4"/>
  <c r="BE405" i="4"/>
  <c r="AY405" i="4"/>
  <c r="AW405" i="4"/>
  <c r="AR405" i="4"/>
  <c r="BI405" i="4"/>
  <c r="AV405" i="4"/>
  <c r="AS405" i="4"/>
  <c r="AU405" i="4"/>
  <c r="CJ1203" i="4" s="1"/>
  <c r="AT405" i="4"/>
  <c r="CI1203" i="4" s="1"/>
  <c r="AQ405" i="4"/>
  <c r="CJ1202" i="4" s="1"/>
  <c r="AL405" i="4"/>
  <c r="CI1201" i="4" s="1"/>
  <c r="AO405" i="4"/>
  <c r="AK405" i="4"/>
  <c r="AM405" i="4"/>
  <c r="CJ1201" i="4" s="1"/>
  <c r="AJ405" i="4"/>
  <c r="AN405" i="4"/>
  <c r="AH405" i="4"/>
  <c r="AP405" i="4"/>
  <c r="CI1202" i="4" s="1"/>
  <c r="AI405" i="4"/>
  <c r="AG405" i="4"/>
  <c r="AF405" i="4"/>
  <c r="AB405" i="4"/>
  <c r="AC405" i="4"/>
  <c r="AE405" i="4"/>
  <c r="AA405" i="4"/>
  <c r="AD405" i="4"/>
  <c r="R40" i="4"/>
  <c r="CG88" i="4"/>
  <c r="CE88" i="4"/>
  <c r="CD88" i="4"/>
  <c r="CC88" i="4"/>
  <c r="CQ252" i="4" s="1"/>
  <c r="CB88" i="4"/>
  <c r="CP252" i="4" s="1"/>
  <c r="CF88" i="4"/>
  <c r="BZ88" i="4"/>
  <c r="BY88" i="4"/>
  <c r="CQ251" i="4" s="1"/>
  <c r="BX88" i="4"/>
  <c r="CP251" i="4" s="1"/>
  <c r="BW88" i="4"/>
  <c r="CA88" i="4"/>
  <c r="BT88" i="4"/>
  <c r="CP250" i="4" s="1"/>
  <c r="BS88" i="4"/>
  <c r="BR88" i="4"/>
  <c r="BQ88" i="4"/>
  <c r="BP88" i="4"/>
  <c r="BO88" i="4"/>
  <c r="BL88" i="4"/>
  <c r="BK88" i="4"/>
  <c r="BN88" i="4"/>
  <c r="BV88" i="4"/>
  <c r="BM88" i="4"/>
  <c r="BU88" i="4"/>
  <c r="CQ250" i="4" s="1"/>
  <c r="AY88" i="4"/>
  <c r="BF88" i="4"/>
  <c r="BH88" i="4"/>
  <c r="BI88" i="4"/>
  <c r="BJ88" i="4"/>
  <c r="BG88" i="4"/>
  <c r="AW88" i="4"/>
  <c r="AV88" i="4"/>
  <c r="AT88" i="4"/>
  <c r="CI252" i="4" s="1"/>
  <c r="BE88" i="4"/>
  <c r="AS88" i="4"/>
  <c r="AO88" i="4"/>
  <c r="AR88" i="4"/>
  <c r="AP88" i="4"/>
  <c r="CI251" i="4" s="1"/>
  <c r="AM88" i="4"/>
  <c r="CJ250" i="4" s="1"/>
  <c r="AX88" i="4"/>
  <c r="AN88" i="4"/>
  <c r="AF88" i="4"/>
  <c r="AJ88" i="4"/>
  <c r="AL88" i="4"/>
  <c r="CI250" i="4" s="1"/>
  <c r="AK88" i="4"/>
  <c r="AU88" i="4"/>
  <c r="CJ252" i="4" s="1"/>
  <c r="AQ88" i="4"/>
  <c r="CJ251" i="4" s="1"/>
  <c r="AG88" i="4"/>
  <c r="AH88" i="4"/>
  <c r="AI88" i="4"/>
  <c r="AA88" i="4"/>
  <c r="AC88" i="4"/>
  <c r="AD88" i="4"/>
  <c r="AB88" i="4"/>
  <c r="AE88" i="4"/>
  <c r="CG114" i="4"/>
  <c r="CF114" i="4"/>
  <c r="CE114" i="4"/>
  <c r="CA114" i="4"/>
  <c r="BZ114" i="4"/>
  <c r="BY114" i="4"/>
  <c r="CQ329" i="4" s="1"/>
  <c r="BX114" i="4"/>
  <c r="CP329" i="4" s="1"/>
  <c r="BW114" i="4"/>
  <c r="CD114" i="4"/>
  <c r="CB114" i="4"/>
  <c r="CP330" i="4" s="1"/>
  <c r="CC114" i="4"/>
  <c r="CQ330" i="4" s="1"/>
  <c r="BV114" i="4"/>
  <c r="BU114" i="4"/>
  <c r="CQ328" i="4" s="1"/>
  <c r="BT114" i="4"/>
  <c r="CP328" i="4" s="1"/>
  <c r="BS114" i="4"/>
  <c r="BR114" i="4"/>
  <c r="BQ114" i="4"/>
  <c r="BP114" i="4"/>
  <c r="BO114" i="4"/>
  <c r="BM114" i="4"/>
  <c r="BL114" i="4"/>
  <c r="BK114" i="4"/>
  <c r="BH114" i="4"/>
  <c r="BJ114" i="4"/>
  <c r="BI114" i="4"/>
  <c r="BF114" i="4"/>
  <c r="BN114" i="4"/>
  <c r="BG114" i="4"/>
  <c r="BE114" i="4"/>
  <c r="AW114" i="4"/>
  <c r="AY114" i="4"/>
  <c r="AV114" i="4"/>
  <c r="AX114" i="4"/>
  <c r="AS114" i="4"/>
  <c r="AT114" i="4"/>
  <c r="CI330" i="4" s="1"/>
  <c r="AU114" i="4"/>
  <c r="CJ330" i="4" s="1"/>
  <c r="AQ114" i="4"/>
  <c r="CJ329" i="4" s="1"/>
  <c r="AO114" i="4"/>
  <c r="AM114" i="4"/>
  <c r="CJ328" i="4" s="1"/>
  <c r="AL114" i="4"/>
  <c r="CI328" i="4" s="1"/>
  <c r="AP114" i="4"/>
  <c r="CI329" i="4" s="1"/>
  <c r="AJ114" i="4"/>
  <c r="AH114" i="4"/>
  <c r="AN114" i="4"/>
  <c r="AI114" i="4"/>
  <c r="AG114" i="4"/>
  <c r="AR114" i="4"/>
  <c r="AE114" i="4"/>
  <c r="AK114" i="4"/>
  <c r="AF114" i="4"/>
  <c r="AB114" i="4"/>
  <c r="AD114" i="4"/>
  <c r="AC114" i="4"/>
  <c r="AA114" i="4"/>
  <c r="M33" i="4"/>
  <c r="CE474" i="4"/>
  <c r="CD474" i="4"/>
  <c r="CC474" i="4"/>
  <c r="CQ1410" i="4" s="1"/>
  <c r="CB474" i="4"/>
  <c r="CP1410" i="4" s="1"/>
  <c r="CA474" i="4"/>
  <c r="CG474" i="4"/>
  <c r="CF474" i="4"/>
  <c r="BZ474" i="4"/>
  <c r="BY474" i="4"/>
  <c r="CQ1409" i="4" s="1"/>
  <c r="BX474" i="4"/>
  <c r="CP1409" i="4" s="1"/>
  <c r="BT474" i="4"/>
  <c r="CP1408" i="4" s="1"/>
  <c r="BS474" i="4"/>
  <c r="BR474" i="4"/>
  <c r="BQ474" i="4"/>
  <c r="BP474" i="4"/>
  <c r="BV474" i="4"/>
  <c r="BW474" i="4"/>
  <c r="BU474" i="4"/>
  <c r="CQ1408" i="4" s="1"/>
  <c r="BM474" i="4"/>
  <c r="BN474" i="4"/>
  <c r="BO474" i="4"/>
  <c r="BL474" i="4"/>
  <c r="BK474" i="4"/>
  <c r="BJ474" i="4"/>
  <c r="BI474" i="4"/>
  <c r="BH474" i="4"/>
  <c r="BG474" i="4"/>
  <c r="BE474" i="4"/>
  <c r="BF474" i="4"/>
  <c r="AY474" i="4"/>
  <c r="AX474" i="4"/>
  <c r="AV474" i="4"/>
  <c r="AU474" i="4"/>
  <c r="CJ1410" i="4" s="1"/>
  <c r="AR474" i="4"/>
  <c r="AT474" i="4"/>
  <c r="CI1410" i="4" s="1"/>
  <c r="AP474" i="4"/>
  <c r="CI1409" i="4" s="1"/>
  <c r="AW474" i="4"/>
  <c r="AO474" i="4"/>
  <c r="AL474" i="4"/>
  <c r="CI1408" i="4" s="1"/>
  <c r="AH474" i="4"/>
  <c r="AK474" i="4"/>
  <c r="AQ474" i="4"/>
  <c r="CJ1409" i="4" s="1"/>
  <c r="AS474" i="4"/>
  <c r="AN474" i="4"/>
  <c r="AG474" i="4"/>
  <c r="AM474" i="4"/>
  <c r="CJ1408" i="4" s="1"/>
  <c r="AA474" i="4"/>
  <c r="AD474" i="4"/>
  <c r="AI474" i="4"/>
  <c r="AF474" i="4"/>
  <c r="AJ474" i="4"/>
  <c r="AC474" i="4"/>
  <c r="AB474" i="4"/>
  <c r="AE474" i="4"/>
  <c r="CE345" i="4"/>
  <c r="CG345" i="4"/>
  <c r="CC345" i="4"/>
  <c r="CQ1023" i="4" s="1"/>
  <c r="BZ345" i="4"/>
  <c r="BY345" i="4"/>
  <c r="CQ1022" i="4" s="1"/>
  <c r="CB345" i="4"/>
  <c r="CP1023" i="4" s="1"/>
  <c r="BW345" i="4"/>
  <c r="CD345" i="4"/>
  <c r="CA345" i="4"/>
  <c r="BX345" i="4"/>
  <c r="CP1022" i="4" s="1"/>
  <c r="CF345" i="4"/>
  <c r="BP345" i="4"/>
  <c r="BS345" i="4"/>
  <c r="BM345" i="4"/>
  <c r="BL345" i="4"/>
  <c r="BU345" i="4"/>
  <c r="CQ1021" i="4" s="1"/>
  <c r="BR345" i="4"/>
  <c r="BO345" i="4"/>
  <c r="BN345" i="4"/>
  <c r="BQ345" i="4"/>
  <c r="BV345" i="4"/>
  <c r="BK345" i="4"/>
  <c r="BJ345" i="4"/>
  <c r="BG345" i="4"/>
  <c r="BE345" i="4"/>
  <c r="AY345" i="4"/>
  <c r="BF345" i="4"/>
  <c r="BT345" i="4"/>
  <c r="CP1021" i="4" s="1"/>
  <c r="AW345" i="4"/>
  <c r="AU345" i="4"/>
  <c r="CJ1023" i="4" s="1"/>
  <c r="BH345" i="4"/>
  <c r="AV345" i="4"/>
  <c r="AX345" i="4"/>
  <c r="BI345" i="4"/>
  <c r="AR345" i="4"/>
  <c r="AQ345" i="4"/>
  <c r="CJ1022" i="4" s="1"/>
  <c r="AT345" i="4"/>
  <c r="CI1023" i="4" s="1"/>
  <c r="AS345" i="4"/>
  <c r="AO345" i="4"/>
  <c r="AP345" i="4"/>
  <c r="CI1022" i="4" s="1"/>
  <c r="AM345" i="4"/>
  <c r="CJ1021" i="4" s="1"/>
  <c r="AJ345" i="4"/>
  <c r="AN345" i="4"/>
  <c r="AL345" i="4"/>
  <c r="CI1021" i="4" s="1"/>
  <c r="AH345" i="4"/>
  <c r="AI345" i="4"/>
  <c r="AG345" i="4"/>
  <c r="AK345" i="4"/>
  <c r="AE345" i="4"/>
  <c r="AA345" i="4"/>
  <c r="AB345" i="4"/>
  <c r="AD345" i="4"/>
  <c r="AF345" i="4"/>
  <c r="AC345" i="4"/>
  <c r="CG102" i="4"/>
  <c r="CE102" i="4"/>
  <c r="CC102" i="4"/>
  <c r="CQ294" i="4" s="1"/>
  <c r="CA102" i="4"/>
  <c r="BX102" i="4"/>
  <c r="CP293" i="4" s="1"/>
  <c r="CD102" i="4"/>
  <c r="BU102" i="4"/>
  <c r="CQ292" i="4" s="1"/>
  <c r="CF102" i="4"/>
  <c r="CB102" i="4"/>
  <c r="CP294" i="4" s="1"/>
  <c r="BY102" i="4"/>
  <c r="CQ293" i="4" s="1"/>
  <c r="BN102" i="4"/>
  <c r="BM102" i="4"/>
  <c r="BZ102" i="4"/>
  <c r="BS102" i="4"/>
  <c r="BO102" i="4"/>
  <c r="BT102" i="4"/>
  <c r="CP292" i="4" s="1"/>
  <c r="BR102" i="4"/>
  <c r="BW102" i="4"/>
  <c r="BV102" i="4"/>
  <c r="BL102" i="4"/>
  <c r="BQ102" i="4"/>
  <c r="BK102" i="4"/>
  <c r="BI102" i="4"/>
  <c r="BE102" i="4"/>
  <c r="BP102" i="4"/>
  <c r="BJ102" i="4"/>
  <c r="BG102" i="4"/>
  <c r="AS102" i="4"/>
  <c r="AR102" i="4"/>
  <c r="AQ102" i="4"/>
  <c r="CJ293" i="4" s="1"/>
  <c r="AP102" i="4"/>
  <c r="CI293" i="4" s="1"/>
  <c r="AY102" i="4"/>
  <c r="AT102" i="4"/>
  <c r="CI294" i="4" s="1"/>
  <c r="AU102" i="4"/>
  <c r="CJ294" i="4" s="1"/>
  <c r="AO102" i="4"/>
  <c r="AN102" i="4"/>
  <c r="AM102" i="4"/>
  <c r="CJ292" i="4" s="1"/>
  <c r="AL102" i="4"/>
  <c r="CI292" i="4" s="1"/>
  <c r="BH102" i="4"/>
  <c r="BF102" i="4"/>
  <c r="AV102" i="4"/>
  <c r="AX102" i="4"/>
  <c r="AI102" i="4"/>
  <c r="AG102" i="4"/>
  <c r="AH102" i="4"/>
  <c r="AJ102" i="4"/>
  <c r="AW102" i="4"/>
  <c r="AF102" i="4"/>
  <c r="AK102" i="4"/>
  <c r="AE102" i="4"/>
  <c r="AB102" i="4"/>
  <c r="AD102" i="4"/>
  <c r="AC102" i="4"/>
  <c r="AA102" i="4"/>
  <c r="R54" i="4"/>
  <c r="CD204" i="4"/>
  <c r="CE204" i="4"/>
  <c r="CB204" i="4"/>
  <c r="CP600" i="4" s="1"/>
  <c r="CG204" i="4"/>
  <c r="CF204" i="4"/>
  <c r="BV204" i="4"/>
  <c r="BS204" i="4"/>
  <c r="BR204" i="4"/>
  <c r="BW204" i="4"/>
  <c r="CC204" i="4"/>
  <c r="CQ600" i="4" s="1"/>
  <c r="CA204" i="4"/>
  <c r="BX204" i="4"/>
  <c r="CP599" i="4" s="1"/>
  <c r="BU204" i="4"/>
  <c r="CQ598" i="4" s="1"/>
  <c r="BY204" i="4"/>
  <c r="CQ599" i="4" s="1"/>
  <c r="BP204" i="4"/>
  <c r="BN204" i="4"/>
  <c r="BZ204" i="4"/>
  <c r="BM204" i="4"/>
  <c r="BL204" i="4"/>
  <c r="BK204" i="4"/>
  <c r="BQ204" i="4"/>
  <c r="BO204" i="4"/>
  <c r="BJ204" i="4"/>
  <c r="BI204" i="4"/>
  <c r="BH204" i="4"/>
  <c r="BT204" i="4"/>
  <c r="CP598" i="4" s="1"/>
  <c r="BE204" i="4"/>
  <c r="BG204" i="4"/>
  <c r="AY204" i="4"/>
  <c r="AX204" i="4"/>
  <c r="BF204" i="4"/>
  <c r="AV204" i="4"/>
  <c r="AT204" i="4"/>
  <c r="CI600" i="4" s="1"/>
  <c r="AW204" i="4"/>
  <c r="AU204" i="4"/>
  <c r="CJ600" i="4" s="1"/>
  <c r="AQ204" i="4"/>
  <c r="CJ599" i="4" s="1"/>
  <c r="AS204" i="4"/>
  <c r="AN204" i="4"/>
  <c r="AO204" i="4"/>
  <c r="AR204" i="4"/>
  <c r="AP204" i="4"/>
  <c r="CI599" i="4" s="1"/>
  <c r="AJ204" i="4"/>
  <c r="AL204" i="4"/>
  <c r="CI598" i="4" s="1"/>
  <c r="AH204" i="4"/>
  <c r="AF204" i="4"/>
  <c r="AE204" i="4"/>
  <c r="AD204" i="4"/>
  <c r="AC204" i="4"/>
  <c r="AG204" i="4"/>
  <c r="AM204" i="4"/>
  <c r="CJ598" i="4" s="1"/>
  <c r="AI204" i="4"/>
  <c r="AB204" i="4"/>
  <c r="AA204" i="4"/>
  <c r="AK204" i="4"/>
  <c r="L71" i="4"/>
  <c r="CE190" i="4"/>
  <c r="CG190" i="4"/>
  <c r="CD190" i="4"/>
  <c r="CC190" i="4"/>
  <c r="CQ558" i="4" s="1"/>
  <c r="CB190" i="4"/>
  <c r="CP558" i="4" s="1"/>
  <c r="CF190" i="4"/>
  <c r="CA190" i="4"/>
  <c r="BX190" i="4"/>
  <c r="CP557" i="4" s="1"/>
  <c r="BV190" i="4"/>
  <c r="BS190" i="4"/>
  <c r="BR190" i="4"/>
  <c r="BQ190" i="4"/>
  <c r="BP190" i="4"/>
  <c r="BO190" i="4"/>
  <c r="BN190" i="4"/>
  <c r="BZ190" i="4"/>
  <c r="BT190" i="4"/>
  <c r="CP556" i="4" s="1"/>
  <c r="BY190" i="4"/>
  <c r="CQ557" i="4" s="1"/>
  <c r="BW190" i="4"/>
  <c r="BK190" i="4"/>
  <c r="BU190" i="4"/>
  <c r="CQ556" i="4" s="1"/>
  <c r="BM190" i="4"/>
  <c r="BJ190" i="4"/>
  <c r="BF190" i="4"/>
  <c r="BI190" i="4"/>
  <c r="BE190" i="4"/>
  <c r="AY190" i="4"/>
  <c r="AX190" i="4"/>
  <c r="AW190" i="4"/>
  <c r="AV190" i="4"/>
  <c r="AU190" i="4"/>
  <c r="CJ558" i="4" s="1"/>
  <c r="AT190" i="4"/>
  <c r="CI558" i="4" s="1"/>
  <c r="BH190" i="4"/>
  <c r="BL190" i="4"/>
  <c r="BG190" i="4"/>
  <c r="AS190" i="4"/>
  <c r="AQ190" i="4"/>
  <c r="CJ557" i="4" s="1"/>
  <c r="AP190" i="4"/>
  <c r="CI557" i="4" s="1"/>
  <c r="AR190" i="4"/>
  <c r="AN190" i="4"/>
  <c r="AL190" i="4"/>
  <c r="CI556" i="4" s="1"/>
  <c r="AI190" i="4"/>
  <c r="AO190" i="4"/>
  <c r="AK190" i="4"/>
  <c r="AJ190" i="4"/>
  <c r="AF190" i="4"/>
  <c r="AE190" i="4"/>
  <c r="AD190" i="4"/>
  <c r="AC190" i="4"/>
  <c r="AB190" i="4"/>
  <c r="AA190" i="4"/>
  <c r="AH190" i="4"/>
  <c r="AM190" i="4"/>
  <c r="CJ556" i="4" s="1"/>
  <c r="AG190" i="4"/>
  <c r="CF277" i="4"/>
  <c r="CE277" i="4"/>
  <c r="CD277" i="4"/>
  <c r="CA277" i="4"/>
  <c r="BZ277" i="4"/>
  <c r="BY277" i="4"/>
  <c r="CQ818" i="4" s="1"/>
  <c r="BX277" i="4"/>
  <c r="CP818" i="4" s="1"/>
  <c r="BW277" i="4"/>
  <c r="BV277" i="4"/>
  <c r="BU277" i="4"/>
  <c r="CQ817" i="4" s="1"/>
  <c r="BT277" i="4"/>
  <c r="CP817" i="4" s="1"/>
  <c r="CC277" i="4"/>
  <c r="CQ819" i="4" s="1"/>
  <c r="CG277" i="4"/>
  <c r="BN277" i="4"/>
  <c r="BS277" i="4"/>
  <c r="CB277" i="4"/>
  <c r="CP819" i="4" s="1"/>
  <c r="BP277" i="4"/>
  <c r="BM277" i="4"/>
  <c r="BL277" i="4"/>
  <c r="BQ277" i="4"/>
  <c r="BO277" i="4"/>
  <c r="BR277" i="4"/>
  <c r="BG277" i="4"/>
  <c r="BI277" i="4"/>
  <c r="BF277" i="4"/>
  <c r="BH277" i="4"/>
  <c r="BJ277" i="4"/>
  <c r="BK277" i="4"/>
  <c r="AW277" i="4"/>
  <c r="AY277" i="4"/>
  <c r="AU277" i="4"/>
  <c r="CJ819" i="4" s="1"/>
  <c r="BE277" i="4"/>
  <c r="AV277" i="4"/>
  <c r="AX277" i="4"/>
  <c r="AT277" i="4"/>
  <c r="CI819" i="4" s="1"/>
  <c r="AS277" i="4"/>
  <c r="AL277" i="4"/>
  <c r="CI817" i="4" s="1"/>
  <c r="AK277" i="4"/>
  <c r="AO277" i="4"/>
  <c r="AR277" i="4"/>
  <c r="AQ277" i="4"/>
  <c r="CJ818" i="4" s="1"/>
  <c r="AP277" i="4"/>
  <c r="CI818" i="4" s="1"/>
  <c r="AM277" i="4"/>
  <c r="CJ817" i="4" s="1"/>
  <c r="AN277" i="4"/>
  <c r="AH277" i="4"/>
  <c r="AJ277" i="4"/>
  <c r="AE277" i="4"/>
  <c r="AI277" i="4"/>
  <c r="AB277" i="4"/>
  <c r="AD277" i="4"/>
  <c r="AA277" i="4"/>
  <c r="AF277" i="4"/>
  <c r="AG277" i="4"/>
  <c r="AC277" i="4"/>
  <c r="N74" i="4"/>
  <c r="CD237" i="4"/>
  <c r="CC237" i="4"/>
  <c r="CQ699" i="4" s="1"/>
  <c r="CG237" i="4"/>
  <c r="CF237" i="4"/>
  <c r="CE237" i="4"/>
  <c r="CB237" i="4"/>
  <c r="CP699" i="4" s="1"/>
  <c r="CA237" i="4"/>
  <c r="BS237" i="4"/>
  <c r="BR237" i="4"/>
  <c r="BQ237" i="4"/>
  <c r="BU237" i="4"/>
  <c r="CQ697" i="4" s="1"/>
  <c r="BZ237" i="4"/>
  <c r="BX237" i="4"/>
  <c r="CP698" i="4" s="1"/>
  <c r="BN237" i="4"/>
  <c r="BO237" i="4"/>
  <c r="BP237" i="4"/>
  <c r="BY237" i="4"/>
  <c r="CQ698" i="4" s="1"/>
  <c r="BT237" i="4"/>
  <c r="CP697" i="4" s="1"/>
  <c r="BM237" i="4"/>
  <c r="BL237" i="4"/>
  <c r="BV237" i="4"/>
  <c r="BJ237" i="4"/>
  <c r="BW237" i="4"/>
  <c r="BK237" i="4"/>
  <c r="BE237" i="4"/>
  <c r="BH237" i="4"/>
  <c r="BG237" i="4"/>
  <c r="BI237" i="4"/>
  <c r="AW237" i="4"/>
  <c r="AU237" i="4"/>
  <c r="CJ699" i="4" s="1"/>
  <c r="AY237" i="4"/>
  <c r="AS237" i="4"/>
  <c r="AX237" i="4"/>
  <c r="AQ237" i="4"/>
  <c r="CJ698" i="4" s="1"/>
  <c r="AT237" i="4"/>
  <c r="CI699" i="4" s="1"/>
  <c r="AR237" i="4"/>
  <c r="BF237" i="4"/>
  <c r="AO237" i="4"/>
  <c r="AV237" i="4"/>
  <c r="AN237" i="4"/>
  <c r="AP237" i="4"/>
  <c r="CI698" i="4" s="1"/>
  <c r="AH237" i="4"/>
  <c r="AL237" i="4"/>
  <c r="CI697" i="4" s="1"/>
  <c r="AM237" i="4"/>
  <c r="CJ697" i="4" s="1"/>
  <c r="AK237" i="4"/>
  <c r="AB237" i="4"/>
  <c r="AJ237" i="4"/>
  <c r="AE237" i="4"/>
  <c r="AI237" i="4"/>
  <c r="AA237" i="4"/>
  <c r="AG237" i="4"/>
  <c r="AC237" i="4"/>
  <c r="AD237" i="4"/>
  <c r="AF237" i="4"/>
  <c r="CG267" i="4"/>
  <c r="CD267" i="4"/>
  <c r="CC267" i="4"/>
  <c r="CQ789" i="4" s="1"/>
  <c r="CB267" i="4"/>
  <c r="CP789" i="4" s="1"/>
  <c r="CA267" i="4"/>
  <c r="CF267" i="4"/>
  <c r="CE267" i="4"/>
  <c r="BS267" i="4"/>
  <c r="BR267" i="4"/>
  <c r="BQ267" i="4"/>
  <c r="BP267" i="4"/>
  <c r="BO267" i="4"/>
  <c r="BZ267" i="4"/>
  <c r="BU267" i="4"/>
  <c r="CQ787" i="4" s="1"/>
  <c r="BV267" i="4"/>
  <c r="BX267" i="4"/>
  <c r="CP788" i="4" s="1"/>
  <c r="BW267" i="4"/>
  <c r="BT267" i="4"/>
  <c r="CP787" i="4" s="1"/>
  <c r="BJ267" i="4"/>
  <c r="BI267" i="4"/>
  <c r="BH267" i="4"/>
  <c r="BN267" i="4"/>
  <c r="BK267" i="4"/>
  <c r="BM267" i="4"/>
  <c r="BY267" i="4"/>
  <c r="CQ788" i="4" s="1"/>
  <c r="BF267" i="4"/>
  <c r="BL267" i="4"/>
  <c r="AW267" i="4"/>
  <c r="AY267" i="4"/>
  <c r="AT267" i="4"/>
  <c r="CI789" i="4" s="1"/>
  <c r="AV267" i="4"/>
  <c r="AQ267" i="4"/>
  <c r="CJ788" i="4" s="1"/>
  <c r="BE267" i="4"/>
  <c r="BG267" i="4"/>
  <c r="AU267" i="4"/>
  <c r="CJ789" i="4" s="1"/>
  <c r="AO267" i="4"/>
  <c r="AN267" i="4"/>
  <c r="AS267" i="4"/>
  <c r="AP267" i="4"/>
  <c r="CI788" i="4" s="1"/>
  <c r="AX267" i="4"/>
  <c r="AL267" i="4"/>
  <c r="CI787" i="4" s="1"/>
  <c r="AM267" i="4"/>
  <c r="CJ787" i="4" s="1"/>
  <c r="AG267" i="4"/>
  <c r="AR267" i="4"/>
  <c r="AJ267" i="4"/>
  <c r="AI267" i="4"/>
  <c r="AH267" i="4"/>
  <c r="AF267" i="4"/>
  <c r="AK267" i="4"/>
  <c r="AC267" i="4"/>
  <c r="AB267" i="4"/>
  <c r="AE267" i="4"/>
  <c r="AA267" i="4"/>
  <c r="AD267" i="4"/>
  <c r="CF367" i="4"/>
  <c r="CE367" i="4"/>
  <c r="CC367" i="4"/>
  <c r="CQ1089" i="4" s="1"/>
  <c r="CD367" i="4"/>
  <c r="CA367" i="4"/>
  <c r="BZ367" i="4"/>
  <c r="BY367" i="4"/>
  <c r="CQ1088" i="4" s="1"/>
  <c r="BV367" i="4"/>
  <c r="CG367" i="4"/>
  <c r="BU367" i="4"/>
  <c r="CQ1087" i="4" s="1"/>
  <c r="BW367" i="4"/>
  <c r="BT367" i="4"/>
  <c r="CP1087" i="4" s="1"/>
  <c r="BS367" i="4"/>
  <c r="BR367" i="4"/>
  <c r="CB367" i="4"/>
  <c r="CP1089" i="4" s="1"/>
  <c r="BX367" i="4"/>
  <c r="CP1088" i="4" s="1"/>
  <c r="BM367" i="4"/>
  <c r="BL367" i="4"/>
  <c r="BQ367" i="4"/>
  <c r="BN367" i="4"/>
  <c r="BP367" i="4"/>
  <c r="BJ367" i="4"/>
  <c r="BH367" i="4"/>
  <c r="BO367" i="4"/>
  <c r="BG367" i="4"/>
  <c r="BI367" i="4"/>
  <c r="BE367" i="4"/>
  <c r="AX367" i="4"/>
  <c r="AW367" i="4"/>
  <c r="BK367" i="4"/>
  <c r="BF367" i="4"/>
  <c r="AS367" i="4"/>
  <c r="AV367" i="4"/>
  <c r="AU367" i="4"/>
  <c r="CJ1089" i="4" s="1"/>
  <c r="AY367" i="4"/>
  <c r="AP367" i="4"/>
  <c r="CI1088" i="4" s="1"/>
  <c r="AT367" i="4"/>
  <c r="CI1089" i="4" s="1"/>
  <c r="AQ367" i="4"/>
  <c r="CJ1088" i="4" s="1"/>
  <c r="AO367" i="4"/>
  <c r="AM367" i="4"/>
  <c r="CJ1087" i="4" s="1"/>
  <c r="AR367" i="4"/>
  <c r="AL367" i="4"/>
  <c r="CI1087" i="4" s="1"/>
  <c r="AJ367" i="4"/>
  <c r="AN367" i="4"/>
  <c r="AE367" i="4"/>
  <c r="AD367" i="4"/>
  <c r="AH367" i="4"/>
  <c r="AG367" i="4"/>
  <c r="AK367" i="4"/>
  <c r="AB367" i="4"/>
  <c r="AC367" i="4"/>
  <c r="AI367" i="4"/>
  <c r="AF367" i="4"/>
  <c r="AA367" i="4"/>
  <c r="N97" i="4"/>
  <c r="CF452" i="4"/>
  <c r="CE452" i="4"/>
  <c r="CG452" i="4"/>
  <c r="CA452" i="4"/>
  <c r="CB452" i="4"/>
  <c r="CP1344" i="4" s="1"/>
  <c r="BV452" i="4"/>
  <c r="BU452" i="4"/>
  <c r="CQ1342" i="4" s="1"/>
  <c r="BY452" i="4"/>
  <c r="CQ1343" i="4" s="1"/>
  <c r="CC452" i="4"/>
  <c r="CQ1344" i="4" s="1"/>
  <c r="BW452" i="4"/>
  <c r="CD452" i="4"/>
  <c r="BT452" i="4"/>
  <c r="CP1342" i="4" s="1"/>
  <c r="BQ452" i="4"/>
  <c r="BS452" i="4"/>
  <c r="BN452" i="4"/>
  <c r="BR452" i="4"/>
  <c r="BP452" i="4"/>
  <c r="BK452" i="4"/>
  <c r="BX452" i="4"/>
  <c r="CP1343" i="4" s="1"/>
  <c r="BJ452" i="4"/>
  <c r="BI452" i="4"/>
  <c r="BH452" i="4"/>
  <c r="BG452" i="4"/>
  <c r="BM452" i="4"/>
  <c r="BZ452" i="4"/>
  <c r="BF452" i="4"/>
  <c r="AX452" i="4"/>
  <c r="AW452" i="4"/>
  <c r="AY452" i="4"/>
  <c r="BL452" i="4"/>
  <c r="AU452" i="4"/>
  <c r="CJ1344" i="4" s="1"/>
  <c r="AS452" i="4"/>
  <c r="AV452" i="4"/>
  <c r="AP452" i="4"/>
  <c r="CI1343" i="4" s="1"/>
  <c r="BO452" i="4"/>
  <c r="AT452" i="4"/>
  <c r="CI1344" i="4" s="1"/>
  <c r="BE452" i="4"/>
  <c r="AR452" i="4"/>
  <c r="AO452" i="4"/>
  <c r="AN452" i="4"/>
  <c r="AL452" i="4"/>
  <c r="CI1342" i="4" s="1"/>
  <c r="AQ452" i="4"/>
  <c r="CJ1343" i="4" s="1"/>
  <c r="AM452" i="4"/>
  <c r="CJ1342" i="4" s="1"/>
  <c r="AK452" i="4"/>
  <c r="AI452" i="4"/>
  <c r="AJ452" i="4"/>
  <c r="AH452" i="4"/>
  <c r="AG452" i="4"/>
  <c r="AF452" i="4"/>
  <c r="AD452" i="4"/>
  <c r="AA452" i="4"/>
  <c r="AC452" i="4"/>
  <c r="AB452" i="4"/>
  <c r="AE452" i="4"/>
  <c r="N118" i="4"/>
  <c r="R25" i="4"/>
  <c r="CF431" i="4"/>
  <c r="CG431" i="4"/>
  <c r="CE431" i="4"/>
  <c r="CD431" i="4"/>
  <c r="CA431" i="4"/>
  <c r="BZ431" i="4"/>
  <c r="BY431" i="4"/>
  <c r="CQ1280" i="4" s="1"/>
  <c r="BW431" i="4"/>
  <c r="BT431" i="4"/>
  <c r="CP1279" i="4" s="1"/>
  <c r="BS431" i="4"/>
  <c r="BR431" i="4"/>
  <c r="CB431" i="4"/>
  <c r="CP1281" i="4" s="1"/>
  <c r="CC431" i="4"/>
  <c r="CQ1281" i="4" s="1"/>
  <c r="BX431" i="4"/>
  <c r="CP1280" i="4" s="1"/>
  <c r="BU431" i="4"/>
  <c r="CQ1279" i="4" s="1"/>
  <c r="BP431" i="4"/>
  <c r="BO431" i="4"/>
  <c r="BN431" i="4"/>
  <c r="BM431" i="4"/>
  <c r="BL431" i="4"/>
  <c r="BV431" i="4"/>
  <c r="BQ431" i="4"/>
  <c r="BK431" i="4"/>
  <c r="BJ431" i="4"/>
  <c r="BG431" i="4"/>
  <c r="BI431" i="4"/>
  <c r="BH431" i="4"/>
  <c r="AW431" i="4"/>
  <c r="BF431" i="4"/>
  <c r="AU431" i="4"/>
  <c r="CJ1281" i="4" s="1"/>
  <c r="BE431" i="4"/>
  <c r="AV431" i="4"/>
  <c r="AX431" i="4"/>
  <c r="AY431" i="4"/>
  <c r="AS431" i="4"/>
  <c r="AT431" i="4"/>
  <c r="CI1281" i="4" s="1"/>
  <c r="AO431" i="4"/>
  <c r="AQ431" i="4"/>
  <c r="CJ1280" i="4" s="1"/>
  <c r="AR431" i="4"/>
  <c r="AN431" i="4"/>
  <c r="AL431" i="4"/>
  <c r="CI1279" i="4" s="1"/>
  <c r="AP431" i="4"/>
  <c r="CI1280" i="4" s="1"/>
  <c r="AK431" i="4"/>
  <c r="AI431" i="4"/>
  <c r="AM431" i="4"/>
  <c r="CJ1279" i="4" s="1"/>
  <c r="AH431" i="4"/>
  <c r="AJ431" i="4"/>
  <c r="AG431" i="4"/>
  <c r="AF431" i="4"/>
  <c r="AD431" i="4"/>
  <c r="AA431" i="4"/>
  <c r="AB431" i="4"/>
  <c r="AE431" i="4"/>
  <c r="AC431" i="4"/>
  <c r="N107" i="4"/>
  <c r="CG50" i="4"/>
  <c r="BZ50" i="4"/>
  <c r="BY50" i="4"/>
  <c r="CQ137" i="4" s="1"/>
  <c r="BX50" i="4"/>
  <c r="CP137" i="4" s="1"/>
  <c r="BW50" i="4"/>
  <c r="BV50" i="4"/>
  <c r="CF50" i="4"/>
  <c r="CD50" i="4"/>
  <c r="CA50" i="4"/>
  <c r="CB50" i="4"/>
  <c r="CP138" i="4" s="1"/>
  <c r="CC50" i="4"/>
  <c r="CQ138" i="4" s="1"/>
  <c r="CE50" i="4"/>
  <c r="BS50" i="4"/>
  <c r="BR50" i="4"/>
  <c r="BQ50" i="4"/>
  <c r="BP50" i="4"/>
  <c r="BO50" i="4"/>
  <c r="BU50" i="4"/>
  <c r="CQ136" i="4" s="1"/>
  <c r="BN50" i="4"/>
  <c r="BM50" i="4"/>
  <c r="BT50" i="4"/>
  <c r="CP136" i="4" s="1"/>
  <c r="BK50" i="4"/>
  <c r="BL50" i="4"/>
  <c r="BJ50" i="4"/>
  <c r="BI50" i="4"/>
  <c r="BE50" i="4"/>
  <c r="AU50" i="4"/>
  <c r="CJ138" i="4" s="1"/>
  <c r="BH50" i="4"/>
  <c r="BF50" i="4"/>
  <c r="BG50" i="4"/>
  <c r="AX50" i="4"/>
  <c r="AT50" i="4"/>
  <c r="CI138" i="4" s="1"/>
  <c r="AW50" i="4"/>
  <c r="AV50" i="4"/>
  <c r="AQ50" i="4"/>
  <c r="CJ137" i="4" s="1"/>
  <c r="AS50" i="4"/>
  <c r="AR50" i="4"/>
  <c r="AY50" i="4"/>
  <c r="AP50" i="4"/>
  <c r="CI137" i="4" s="1"/>
  <c r="AN50" i="4"/>
  <c r="AM50" i="4"/>
  <c r="CJ136" i="4" s="1"/>
  <c r="AH50" i="4"/>
  <c r="AJ50" i="4"/>
  <c r="AL50" i="4"/>
  <c r="CI136" i="4" s="1"/>
  <c r="AI50" i="4"/>
  <c r="AO50" i="4"/>
  <c r="AG50" i="4"/>
  <c r="AF50" i="4"/>
  <c r="AC50" i="4"/>
  <c r="AD50" i="4"/>
  <c r="AK50" i="4"/>
  <c r="AA50" i="4"/>
  <c r="AE50" i="4"/>
  <c r="AB50" i="4"/>
  <c r="O28" i="4"/>
  <c r="CF119" i="4"/>
  <c r="CE119" i="4"/>
  <c r="CG119" i="4"/>
  <c r="CD119" i="4"/>
  <c r="CC119" i="4"/>
  <c r="CQ345" i="4" s="1"/>
  <c r="CB119" i="4"/>
  <c r="CP345" i="4" s="1"/>
  <c r="CA119" i="4"/>
  <c r="BZ119" i="4"/>
  <c r="BY119" i="4"/>
  <c r="CQ344" i="4" s="1"/>
  <c r="BX119" i="4"/>
  <c r="CP344" i="4" s="1"/>
  <c r="BW119" i="4"/>
  <c r="BV119" i="4"/>
  <c r="BU119" i="4"/>
  <c r="CQ343" i="4" s="1"/>
  <c r="BR119" i="4"/>
  <c r="BL119" i="4"/>
  <c r="BK119" i="4"/>
  <c r="BP119" i="4"/>
  <c r="BN119" i="4"/>
  <c r="BM119" i="4"/>
  <c r="BQ119" i="4"/>
  <c r="BS119" i="4"/>
  <c r="BT119" i="4"/>
  <c r="CP343" i="4" s="1"/>
  <c r="BO119" i="4"/>
  <c r="BE119" i="4"/>
  <c r="BH119" i="4"/>
  <c r="AY119" i="4"/>
  <c r="BF119" i="4"/>
  <c r="BI119" i="4"/>
  <c r="BG119" i="4"/>
  <c r="BJ119" i="4"/>
  <c r="AW119" i="4"/>
  <c r="AU119" i="4"/>
  <c r="CJ345" i="4" s="1"/>
  <c r="AT119" i="4"/>
  <c r="CI345" i="4" s="1"/>
  <c r="AX119" i="4"/>
  <c r="AV119" i="4"/>
  <c r="AS119" i="4"/>
  <c r="AN119" i="4"/>
  <c r="AP119" i="4"/>
  <c r="CI344" i="4" s="1"/>
  <c r="AR119" i="4"/>
  <c r="AQ119" i="4"/>
  <c r="CJ344" i="4" s="1"/>
  <c r="AL119" i="4"/>
  <c r="CI343" i="4" s="1"/>
  <c r="AK119" i="4"/>
  <c r="AO119" i="4"/>
  <c r="AM119" i="4"/>
  <c r="CJ343" i="4" s="1"/>
  <c r="AI119" i="4"/>
  <c r="AG119" i="4"/>
  <c r="AH119" i="4"/>
  <c r="AF119" i="4"/>
  <c r="AJ119" i="4"/>
  <c r="AB119" i="4"/>
  <c r="AE119" i="4"/>
  <c r="AA119" i="4"/>
  <c r="AC119" i="4"/>
  <c r="AD119" i="4"/>
  <c r="M109" i="4"/>
  <c r="CG393" i="4"/>
  <c r="CB393" i="4"/>
  <c r="CP1167" i="4" s="1"/>
  <c r="CE393" i="4"/>
  <c r="CC393" i="4"/>
  <c r="CQ1167" i="4" s="1"/>
  <c r="CA393" i="4"/>
  <c r="BZ393" i="4"/>
  <c r="BY393" i="4"/>
  <c r="CQ1166" i="4" s="1"/>
  <c r="CF393" i="4"/>
  <c r="BW393" i="4"/>
  <c r="BX393" i="4"/>
  <c r="CP1166" i="4" s="1"/>
  <c r="BV393" i="4"/>
  <c r="BO393" i="4"/>
  <c r="BN393" i="4"/>
  <c r="BM393" i="4"/>
  <c r="BL393" i="4"/>
  <c r="BU393" i="4"/>
  <c r="CQ1165" i="4" s="1"/>
  <c r="BS393" i="4"/>
  <c r="BT393" i="4"/>
  <c r="CP1165" i="4" s="1"/>
  <c r="BK393" i="4"/>
  <c r="CD393" i="4"/>
  <c r="BQ393" i="4"/>
  <c r="BR393" i="4"/>
  <c r="BP393" i="4"/>
  <c r="BE393" i="4"/>
  <c r="AY393" i="4"/>
  <c r="BJ393" i="4"/>
  <c r="BI393" i="4"/>
  <c r="BF393" i="4"/>
  <c r="AV393" i="4"/>
  <c r="BH393" i="4"/>
  <c r="BG393" i="4"/>
  <c r="AX393" i="4"/>
  <c r="AT393" i="4"/>
  <c r="CI1167" i="4" s="1"/>
  <c r="AS393" i="4"/>
  <c r="AW393" i="4"/>
  <c r="AU393" i="4"/>
  <c r="CJ1167" i="4" s="1"/>
  <c r="AN393" i="4"/>
  <c r="AQ393" i="4"/>
  <c r="CJ1166" i="4" s="1"/>
  <c r="AR393" i="4"/>
  <c r="AK393" i="4"/>
  <c r="AI393" i="4"/>
  <c r="AM393" i="4"/>
  <c r="CJ1165" i="4" s="1"/>
  <c r="AP393" i="4"/>
  <c r="CI1166" i="4" s="1"/>
  <c r="AL393" i="4"/>
  <c r="CI1165" i="4" s="1"/>
  <c r="AO393" i="4"/>
  <c r="AH393" i="4"/>
  <c r="AF393" i="4"/>
  <c r="AJ393" i="4"/>
  <c r="AG393" i="4"/>
  <c r="AE393" i="4"/>
  <c r="AD393" i="4"/>
  <c r="AA393" i="4"/>
  <c r="AB393" i="4"/>
  <c r="AC393" i="4"/>
  <c r="R103" i="4"/>
  <c r="L125" i="4"/>
  <c r="CG430" i="4"/>
  <c r="CE430" i="4"/>
  <c r="CD430" i="4"/>
  <c r="CC430" i="4"/>
  <c r="CQ1278" i="4" s="1"/>
  <c r="CB430" i="4"/>
  <c r="CP1278" i="4" s="1"/>
  <c r="CF430" i="4"/>
  <c r="CA430" i="4"/>
  <c r="BT430" i="4"/>
  <c r="CP1276" i="4" s="1"/>
  <c r="BS430" i="4"/>
  <c r="BR430" i="4"/>
  <c r="BQ430" i="4"/>
  <c r="BP430" i="4"/>
  <c r="BO430" i="4"/>
  <c r="BN430" i="4"/>
  <c r="BU430" i="4"/>
  <c r="CQ1276" i="4" s="1"/>
  <c r="BX430" i="4"/>
  <c r="CP1277" i="4" s="1"/>
  <c r="BY430" i="4"/>
  <c r="CQ1277" i="4" s="1"/>
  <c r="BZ430" i="4"/>
  <c r="BV430" i="4"/>
  <c r="BW430" i="4"/>
  <c r="BK430" i="4"/>
  <c r="BJ430" i="4"/>
  <c r="BL430" i="4"/>
  <c r="BG430" i="4"/>
  <c r="BM430" i="4"/>
  <c r="BF430" i="4"/>
  <c r="BE430" i="4"/>
  <c r="AY430" i="4"/>
  <c r="AX430" i="4"/>
  <c r="AW430" i="4"/>
  <c r="AV430" i="4"/>
  <c r="AU430" i="4"/>
  <c r="CJ1278" i="4" s="1"/>
  <c r="BH430" i="4"/>
  <c r="BI430" i="4"/>
  <c r="AR430" i="4"/>
  <c r="AS430" i="4"/>
  <c r="AL430" i="4"/>
  <c r="CI1276" i="4" s="1"/>
  <c r="AQ430" i="4"/>
  <c r="CJ1277" i="4" s="1"/>
  <c r="AT430" i="4"/>
  <c r="CI1278" i="4" s="1"/>
  <c r="AP430" i="4"/>
  <c r="CI1277" i="4" s="1"/>
  <c r="AO430" i="4"/>
  <c r="AM430" i="4"/>
  <c r="CJ1276" i="4" s="1"/>
  <c r="AK430" i="4"/>
  <c r="AI430" i="4"/>
  <c r="AF430" i="4"/>
  <c r="AE430" i="4"/>
  <c r="AD430" i="4"/>
  <c r="AC430" i="4"/>
  <c r="AB430" i="4"/>
  <c r="AH430" i="4"/>
  <c r="AG430" i="4"/>
  <c r="AA430" i="4"/>
  <c r="AN430" i="4"/>
  <c r="AJ430" i="4"/>
  <c r="R82" i="4"/>
  <c r="N70" i="4"/>
  <c r="CD186" i="4"/>
  <c r="CC186" i="4"/>
  <c r="CQ546" i="4" s="1"/>
  <c r="CB186" i="4"/>
  <c r="CP546" i="4" s="1"/>
  <c r="CA186" i="4"/>
  <c r="CF186" i="4"/>
  <c r="CG186" i="4"/>
  <c r="BZ186" i="4"/>
  <c r="BY186" i="4"/>
  <c r="CQ545" i="4" s="1"/>
  <c r="BX186" i="4"/>
  <c r="CP545" i="4" s="1"/>
  <c r="BV186" i="4"/>
  <c r="BS186" i="4"/>
  <c r="BR186" i="4"/>
  <c r="BQ186" i="4"/>
  <c r="BP186" i="4"/>
  <c r="BO186" i="4"/>
  <c r="CE186" i="4"/>
  <c r="BU186" i="4"/>
  <c r="CQ544" i="4" s="1"/>
  <c r="BN186" i="4"/>
  <c r="BT186" i="4"/>
  <c r="CP544" i="4" s="1"/>
  <c r="BM186" i="4"/>
  <c r="BW186" i="4"/>
  <c r="BL186" i="4"/>
  <c r="BK186" i="4"/>
  <c r="BJ186" i="4"/>
  <c r="BI186" i="4"/>
  <c r="BH186" i="4"/>
  <c r="BF186" i="4"/>
  <c r="BE186" i="4"/>
  <c r="BG186" i="4"/>
  <c r="AW186" i="4"/>
  <c r="AS186" i="4"/>
  <c r="AV186" i="4"/>
  <c r="AT186" i="4"/>
  <c r="CI546" i="4" s="1"/>
  <c r="AQ186" i="4"/>
  <c r="CJ545" i="4" s="1"/>
  <c r="AY186" i="4"/>
  <c r="AX186" i="4"/>
  <c r="AP186" i="4"/>
  <c r="CI545" i="4" s="1"/>
  <c r="AR186" i="4"/>
  <c r="AM186" i="4"/>
  <c r="CJ544" i="4" s="1"/>
  <c r="AU186" i="4"/>
  <c r="CJ546" i="4" s="1"/>
  <c r="AO186" i="4"/>
  <c r="AK186" i="4"/>
  <c r="AJ186" i="4"/>
  <c r="AH186" i="4"/>
  <c r="AL186" i="4"/>
  <c r="CI544" i="4" s="1"/>
  <c r="AF186" i="4"/>
  <c r="AE186" i="4"/>
  <c r="AB186" i="4"/>
  <c r="AG186" i="4"/>
  <c r="AI186" i="4"/>
  <c r="AN186" i="4"/>
  <c r="AC186" i="4"/>
  <c r="AA186" i="4"/>
  <c r="AD186" i="4"/>
  <c r="M29" i="4"/>
  <c r="R29" i="4"/>
  <c r="CG152" i="4"/>
  <c r="CD152" i="4"/>
  <c r="CC152" i="4"/>
  <c r="CQ444" i="4" s="1"/>
  <c r="CB152" i="4"/>
  <c r="CP444" i="4" s="1"/>
  <c r="CA152" i="4"/>
  <c r="BZ152" i="4"/>
  <c r="BY152" i="4"/>
  <c r="CQ443" i="4" s="1"/>
  <c r="BX152" i="4"/>
  <c r="CP443" i="4" s="1"/>
  <c r="BW152" i="4"/>
  <c r="BV152" i="4"/>
  <c r="CF152" i="4"/>
  <c r="CE152" i="4"/>
  <c r="BU152" i="4"/>
  <c r="CQ442" i="4" s="1"/>
  <c r="BS152" i="4"/>
  <c r="BR152" i="4"/>
  <c r="BQ152" i="4"/>
  <c r="BP152" i="4"/>
  <c r="BO152" i="4"/>
  <c r="BN152" i="4"/>
  <c r="BL152" i="4"/>
  <c r="BK152" i="4"/>
  <c r="BM152" i="4"/>
  <c r="BT152" i="4"/>
  <c r="CP442" i="4" s="1"/>
  <c r="BE152" i="4"/>
  <c r="AY152" i="4"/>
  <c r="BJ152" i="4"/>
  <c r="AU152" i="4"/>
  <c r="CJ444" i="4" s="1"/>
  <c r="BG152" i="4"/>
  <c r="BF152" i="4"/>
  <c r="AX152" i="4"/>
  <c r="AW152" i="4"/>
  <c r="AS152" i="4"/>
  <c r="BH152" i="4"/>
  <c r="AQ152" i="4"/>
  <c r="CJ443" i="4" s="1"/>
  <c r="BI152" i="4"/>
  <c r="AV152" i="4"/>
  <c r="AP152" i="4"/>
  <c r="CI443" i="4" s="1"/>
  <c r="AR152" i="4"/>
  <c r="AT152" i="4"/>
  <c r="CI444" i="4" s="1"/>
  <c r="AN152" i="4"/>
  <c r="AO152" i="4"/>
  <c r="AI152" i="4"/>
  <c r="AF152" i="4"/>
  <c r="AL152" i="4"/>
  <c r="CI442" i="4" s="1"/>
  <c r="AH152" i="4"/>
  <c r="AJ152" i="4"/>
  <c r="AK152" i="4"/>
  <c r="AM152" i="4"/>
  <c r="CJ442" i="4" s="1"/>
  <c r="AB152" i="4"/>
  <c r="AG152" i="4"/>
  <c r="AD152" i="4"/>
  <c r="AE152" i="4"/>
  <c r="AC152" i="4"/>
  <c r="AA152" i="4"/>
  <c r="CF298" i="4"/>
  <c r="CD298" i="4"/>
  <c r="CC298" i="4"/>
  <c r="CQ882" i="4" s="1"/>
  <c r="CB298" i="4"/>
  <c r="CP882" i="4" s="1"/>
  <c r="CA298" i="4"/>
  <c r="CE298" i="4"/>
  <c r="CG298" i="4"/>
  <c r="BZ298" i="4"/>
  <c r="BY298" i="4"/>
  <c r="CQ881" i="4" s="1"/>
  <c r="BX298" i="4"/>
  <c r="CP881" i="4" s="1"/>
  <c r="BS298" i="4"/>
  <c r="BR298" i="4"/>
  <c r="BQ298" i="4"/>
  <c r="BP298" i="4"/>
  <c r="BO298" i="4"/>
  <c r="BU298" i="4"/>
  <c r="CQ880" i="4" s="1"/>
  <c r="BV298" i="4"/>
  <c r="BW298" i="4"/>
  <c r="BT298" i="4"/>
  <c r="CP880" i="4" s="1"/>
  <c r="BM298" i="4"/>
  <c r="BN298" i="4"/>
  <c r="BK298" i="4"/>
  <c r="BJ298" i="4"/>
  <c r="BI298" i="4"/>
  <c r="BH298" i="4"/>
  <c r="BG298" i="4"/>
  <c r="BF298" i="4"/>
  <c r="BL298" i="4"/>
  <c r="AY298" i="4"/>
  <c r="AX298" i="4"/>
  <c r="AW298" i="4"/>
  <c r="BE298" i="4"/>
  <c r="AV298" i="4"/>
  <c r="AR298" i="4"/>
  <c r="AQ298" i="4"/>
  <c r="CJ881" i="4" s="1"/>
  <c r="AT298" i="4"/>
  <c r="CI882" i="4" s="1"/>
  <c r="AU298" i="4"/>
  <c r="CJ882" i="4" s="1"/>
  <c r="AS298" i="4"/>
  <c r="AP298" i="4"/>
  <c r="CI881" i="4" s="1"/>
  <c r="AI298" i="4"/>
  <c r="AK298" i="4"/>
  <c r="AO298" i="4"/>
  <c r="AN298" i="4"/>
  <c r="AM298" i="4"/>
  <c r="CJ880" i="4" s="1"/>
  <c r="AH298" i="4"/>
  <c r="AF298" i="4"/>
  <c r="AL298" i="4"/>
  <c r="CI880" i="4" s="1"/>
  <c r="AJ298" i="4"/>
  <c r="AB298" i="4"/>
  <c r="AE298" i="4"/>
  <c r="AG298" i="4"/>
  <c r="AC298" i="4"/>
  <c r="AA298" i="4"/>
  <c r="AD298" i="4"/>
  <c r="CG320" i="4"/>
  <c r="CF320" i="4"/>
  <c r="CC320" i="4"/>
  <c r="CQ948" i="4" s="1"/>
  <c r="CE320" i="4"/>
  <c r="BW320" i="4"/>
  <c r="CB320" i="4"/>
  <c r="CP948" i="4" s="1"/>
  <c r="BT320" i="4"/>
  <c r="CP946" i="4" s="1"/>
  <c r="BX320" i="4"/>
  <c r="CP947" i="4" s="1"/>
  <c r="CD320" i="4"/>
  <c r="BO320" i="4"/>
  <c r="BV320" i="4"/>
  <c r="BQ320" i="4"/>
  <c r="BP320" i="4"/>
  <c r="CA320" i="4"/>
  <c r="BY320" i="4"/>
  <c r="CQ947" i="4" s="1"/>
  <c r="BZ320" i="4"/>
  <c r="BS320" i="4"/>
  <c r="BM320" i="4"/>
  <c r="BL320" i="4"/>
  <c r="BK320" i="4"/>
  <c r="BJ320" i="4"/>
  <c r="BI320" i="4"/>
  <c r="BN320" i="4"/>
  <c r="BR320" i="4"/>
  <c r="BH320" i="4"/>
  <c r="BE320" i="4"/>
  <c r="AY320" i="4"/>
  <c r="BG320" i="4"/>
  <c r="AX320" i="4"/>
  <c r="BU320" i="4"/>
  <c r="CQ946" i="4" s="1"/>
  <c r="AW320" i="4"/>
  <c r="BF320" i="4"/>
  <c r="AR320" i="4"/>
  <c r="AV320" i="4"/>
  <c r="AT320" i="4"/>
  <c r="CI948" i="4" s="1"/>
  <c r="AS320" i="4"/>
  <c r="AN320" i="4"/>
  <c r="AQ320" i="4"/>
  <c r="CJ947" i="4" s="1"/>
  <c r="AP320" i="4"/>
  <c r="CI947" i="4" s="1"/>
  <c r="AL320" i="4"/>
  <c r="CI946" i="4" s="1"/>
  <c r="AI320" i="4"/>
  <c r="AH320" i="4"/>
  <c r="AG320" i="4"/>
  <c r="AU320" i="4"/>
  <c r="CJ948" i="4" s="1"/>
  <c r="AO320" i="4"/>
  <c r="AM320" i="4"/>
  <c r="CJ946" i="4" s="1"/>
  <c r="AK320" i="4"/>
  <c r="AF320" i="4"/>
  <c r="AE320" i="4"/>
  <c r="AC320" i="4"/>
  <c r="AJ320" i="4"/>
  <c r="AD320" i="4"/>
  <c r="AB320" i="4"/>
  <c r="AA320" i="4"/>
  <c r="CG287" i="4"/>
  <c r="CF287" i="4"/>
  <c r="CB287" i="4"/>
  <c r="CP849" i="4" s="1"/>
  <c r="CC287" i="4"/>
  <c r="CQ849" i="4" s="1"/>
  <c r="CA287" i="4"/>
  <c r="CE287" i="4"/>
  <c r="BZ287" i="4"/>
  <c r="BY287" i="4"/>
  <c r="CQ848" i="4" s="1"/>
  <c r="BS287" i="4"/>
  <c r="BR287" i="4"/>
  <c r="CD287" i="4"/>
  <c r="BU287" i="4"/>
  <c r="CQ847" i="4" s="1"/>
  <c r="BV287" i="4"/>
  <c r="BT287" i="4"/>
  <c r="CP847" i="4" s="1"/>
  <c r="BQ287" i="4"/>
  <c r="BX287" i="4"/>
  <c r="CP848" i="4" s="1"/>
  <c r="BM287" i="4"/>
  <c r="BL287" i="4"/>
  <c r="BN287" i="4"/>
  <c r="BP287" i="4"/>
  <c r="BJ287" i="4"/>
  <c r="BK287" i="4"/>
  <c r="BO287" i="4"/>
  <c r="BW287" i="4"/>
  <c r="BI287" i="4"/>
  <c r="BG287" i="4"/>
  <c r="BE287" i="4"/>
  <c r="BH287" i="4"/>
  <c r="AX287" i="4"/>
  <c r="BF287" i="4"/>
  <c r="AY287" i="4"/>
  <c r="AV287" i="4"/>
  <c r="AT287" i="4"/>
  <c r="CI849" i="4" s="1"/>
  <c r="AS287" i="4"/>
  <c r="AW287" i="4"/>
  <c r="AU287" i="4"/>
  <c r="CJ849" i="4" s="1"/>
  <c r="AQ287" i="4"/>
  <c r="CJ848" i="4" s="1"/>
  <c r="AN287" i="4"/>
  <c r="AM287" i="4"/>
  <c r="CJ847" i="4" s="1"/>
  <c r="AP287" i="4"/>
  <c r="CI848" i="4" s="1"/>
  <c r="AR287" i="4"/>
  <c r="AL287" i="4"/>
  <c r="CI847" i="4" s="1"/>
  <c r="AH287" i="4"/>
  <c r="AJ287" i="4"/>
  <c r="AG287" i="4"/>
  <c r="AO287" i="4"/>
  <c r="AI287" i="4"/>
  <c r="AK287" i="4"/>
  <c r="AF287" i="4"/>
  <c r="AA287" i="4"/>
  <c r="AE287" i="4"/>
  <c r="AC287" i="4"/>
  <c r="AD287" i="4"/>
  <c r="AB287" i="4"/>
  <c r="O94" i="4"/>
  <c r="CG30" i="4"/>
  <c r="CD30" i="4"/>
  <c r="CC30" i="4"/>
  <c r="CQ78" i="4" s="1"/>
  <c r="CB30" i="4"/>
  <c r="CP78" i="4" s="1"/>
  <c r="CA30" i="4"/>
  <c r="CF30" i="4"/>
  <c r="CE30" i="4"/>
  <c r="BY30" i="4"/>
  <c r="CQ77" i="4" s="1"/>
  <c r="BX30" i="4"/>
  <c r="CP77" i="4" s="1"/>
  <c r="BS30" i="4"/>
  <c r="BR30" i="4"/>
  <c r="BQ30" i="4"/>
  <c r="BP30" i="4"/>
  <c r="BO30" i="4"/>
  <c r="BN30" i="4"/>
  <c r="BM30" i="4"/>
  <c r="BT30" i="4"/>
  <c r="CP76" i="4" s="1"/>
  <c r="BU30" i="4"/>
  <c r="CQ76" i="4" s="1"/>
  <c r="BV30" i="4"/>
  <c r="BW30" i="4"/>
  <c r="BJ30" i="4"/>
  <c r="BL30" i="4"/>
  <c r="BH30" i="4"/>
  <c r="BZ30" i="4"/>
  <c r="BK30" i="4"/>
  <c r="AY30" i="4"/>
  <c r="AX30" i="4"/>
  <c r="AW30" i="4"/>
  <c r="AV30" i="4"/>
  <c r="AU30" i="4"/>
  <c r="CJ78" i="4" s="1"/>
  <c r="AT30" i="4"/>
  <c r="CI78" i="4" s="1"/>
  <c r="BI30" i="4"/>
  <c r="BG30" i="4"/>
  <c r="BF30" i="4"/>
  <c r="BE30" i="4"/>
  <c r="AS30" i="4"/>
  <c r="AR30" i="4"/>
  <c r="AQ30" i="4"/>
  <c r="CJ77" i="4" s="1"/>
  <c r="AN30" i="4"/>
  <c r="AP30" i="4"/>
  <c r="CI77" i="4" s="1"/>
  <c r="AM30" i="4"/>
  <c r="CJ76" i="4" s="1"/>
  <c r="AO30" i="4"/>
  <c r="AJ30" i="4"/>
  <c r="AG30" i="4"/>
  <c r="AF30" i="4"/>
  <c r="AE30" i="4"/>
  <c r="AD30" i="4"/>
  <c r="AC30" i="4"/>
  <c r="AB30" i="4"/>
  <c r="AA30" i="4"/>
  <c r="AL30" i="4"/>
  <c r="CI76" i="4" s="1"/>
  <c r="AI30" i="4"/>
  <c r="AK30" i="4"/>
  <c r="AH30" i="4"/>
  <c r="R62" i="4"/>
  <c r="K119" i="4"/>
  <c r="R119" i="4"/>
  <c r="CG247" i="4"/>
  <c r="CF247" i="4"/>
  <c r="CE247" i="4"/>
  <c r="CD247" i="4"/>
  <c r="CC247" i="4"/>
  <c r="CQ729" i="4" s="1"/>
  <c r="CB247" i="4"/>
  <c r="CP729" i="4" s="1"/>
  <c r="CA247" i="4"/>
  <c r="BZ247" i="4"/>
  <c r="BY247" i="4"/>
  <c r="CQ728" i="4" s="1"/>
  <c r="BX247" i="4"/>
  <c r="CP728" i="4" s="1"/>
  <c r="BW247" i="4"/>
  <c r="BU247" i="4"/>
  <c r="CQ727" i="4" s="1"/>
  <c r="BT247" i="4"/>
  <c r="CP727" i="4" s="1"/>
  <c r="BV247" i="4"/>
  <c r="BR247" i="4"/>
  <c r="BM247" i="4"/>
  <c r="BL247" i="4"/>
  <c r="BK247" i="4"/>
  <c r="BP247" i="4"/>
  <c r="BN247" i="4"/>
  <c r="BQ247" i="4"/>
  <c r="BS247" i="4"/>
  <c r="BO247" i="4"/>
  <c r="BI247" i="4"/>
  <c r="BG247" i="4"/>
  <c r="BF247" i="4"/>
  <c r="BH247" i="4"/>
  <c r="BE247" i="4"/>
  <c r="AY247" i="4"/>
  <c r="AX247" i="4"/>
  <c r="BJ247" i="4"/>
  <c r="AW247" i="4"/>
  <c r="AV247" i="4"/>
  <c r="AS247" i="4"/>
  <c r="AU247" i="4"/>
  <c r="CJ729" i="4" s="1"/>
  <c r="AT247" i="4"/>
  <c r="CI729" i="4" s="1"/>
  <c r="AP247" i="4"/>
  <c r="CI728" i="4" s="1"/>
  <c r="AL247" i="4"/>
  <c r="CI727" i="4" s="1"/>
  <c r="AM247" i="4"/>
  <c r="CJ727" i="4" s="1"/>
  <c r="AK247" i="4"/>
  <c r="AO247" i="4"/>
  <c r="AR247" i="4"/>
  <c r="AN247" i="4"/>
  <c r="AQ247" i="4"/>
  <c r="CJ728" i="4" s="1"/>
  <c r="AI247" i="4"/>
  <c r="AJ247" i="4"/>
  <c r="AH247" i="4"/>
  <c r="AF247" i="4"/>
  <c r="AE247" i="4"/>
  <c r="AB247" i="4"/>
  <c r="AG247" i="4"/>
  <c r="AC247" i="4"/>
  <c r="AD247" i="4"/>
  <c r="AA247" i="4"/>
  <c r="CD169" i="4"/>
  <c r="CA169" i="4"/>
  <c r="BZ169" i="4"/>
  <c r="BY169" i="4"/>
  <c r="CQ494" i="4" s="1"/>
  <c r="BX169" i="4"/>
  <c r="CP494" i="4" s="1"/>
  <c r="BV169" i="4"/>
  <c r="BU169" i="4"/>
  <c r="CQ493" i="4" s="1"/>
  <c r="CC169" i="4"/>
  <c r="CQ495" i="4" s="1"/>
  <c r="BN169" i="4"/>
  <c r="BM169" i="4"/>
  <c r="BL169" i="4"/>
  <c r="BR169" i="4"/>
  <c r="CF169" i="4"/>
  <c r="BW169" i="4"/>
  <c r="CG169" i="4"/>
  <c r="BS169" i="4"/>
  <c r="BK169" i="4"/>
  <c r="CB169" i="4"/>
  <c r="CP495" i="4" s="1"/>
  <c r="BQ169" i="4"/>
  <c r="BO169" i="4"/>
  <c r="BT169" i="4"/>
  <c r="CP493" i="4" s="1"/>
  <c r="BE169" i="4"/>
  <c r="AY169" i="4"/>
  <c r="CE169" i="4"/>
  <c r="BP169" i="4"/>
  <c r="BI169" i="4"/>
  <c r="BJ169" i="4"/>
  <c r="AU169" i="4"/>
  <c r="CJ495" i="4" s="1"/>
  <c r="BF169" i="4"/>
  <c r="BG169" i="4"/>
  <c r="AV169" i="4"/>
  <c r="AX169" i="4"/>
  <c r="AS169" i="4"/>
  <c r="BH169" i="4"/>
  <c r="AT169" i="4"/>
  <c r="CI495" i="4" s="1"/>
  <c r="AR169" i="4"/>
  <c r="AW169" i="4"/>
  <c r="AQ169" i="4"/>
  <c r="CJ494" i="4" s="1"/>
  <c r="AP169" i="4"/>
  <c r="CI494" i="4" s="1"/>
  <c r="AO169" i="4"/>
  <c r="AN169" i="4"/>
  <c r="AM169" i="4"/>
  <c r="CJ493" i="4" s="1"/>
  <c r="AJ169" i="4"/>
  <c r="AH169" i="4"/>
  <c r="AK169" i="4"/>
  <c r="AL169" i="4"/>
  <c r="CI493" i="4" s="1"/>
  <c r="AF169" i="4"/>
  <c r="AE169" i="4"/>
  <c r="AB169" i="4"/>
  <c r="AD169" i="4"/>
  <c r="AA169" i="4"/>
  <c r="AG169" i="4"/>
  <c r="AC169" i="4"/>
  <c r="AI169" i="4"/>
  <c r="CF127" i="4"/>
  <c r="CG127" i="4"/>
  <c r="CE127" i="4"/>
  <c r="CC127" i="4"/>
  <c r="CQ369" i="4" s="1"/>
  <c r="BZ127" i="4"/>
  <c r="BY127" i="4"/>
  <c r="CQ368" i="4" s="1"/>
  <c r="BX127" i="4"/>
  <c r="CP368" i="4" s="1"/>
  <c r="BU127" i="4"/>
  <c r="CQ367" i="4" s="1"/>
  <c r="CB127" i="4"/>
  <c r="CP369" i="4" s="1"/>
  <c r="BT127" i="4"/>
  <c r="CP367" i="4" s="1"/>
  <c r="BS127" i="4"/>
  <c r="BR127" i="4"/>
  <c r="BQ127" i="4"/>
  <c r="CD127" i="4"/>
  <c r="BW127" i="4"/>
  <c r="BO127" i="4"/>
  <c r="BV127" i="4"/>
  <c r="BP127" i="4"/>
  <c r="BN127" i="4"/>
  <c r="BL127" i="4"/>
  <c r="BK127" i="4"/>
  <c r="CA127" i="4"/>
  <c r="BJ127" i="4"/>
  <c r="BM127" i="4"/>
  <c r="BG127" i="4"/>
  <c r="BF127" i="4"/>
  <c r="BE127" i="4"/>
  <c r="BI127" i="4"/>
  <c r="AX127" i="4"/>
  <c r="BH127" i="4"/>
  <c r="AY127" i="4"/>
  <c r="AU127" i="4"/>
  <c r="CJ369" i="4" s="1"/>
  <c r="AW127" i="4"/>
  <c r="AT127" i="4"/>
  <c r="CI369" i="4" s="1"/>
  <c r="AR127" i="4"/>
  <c r="AS127" i="4"/>
  <c r="AP127" i="4"/>
  <c r="CI368" i="4" s="1"/>
  <c r="AO127" i="4"/>
  <c r="AV127" i="4"/>
  <c r="AM127" i="4"/>
  <c r="CJ367" i="4" s="1"/>
  <c r="AQ127" i="4"/>
  <c r="CJ368" i="4" s="1"/>
  <c r="AI127" i="4"/>
  <c r="AN127" i="4"/>
  <c r="AJ127" i="4"/>
  <c r="AK127" i="4"/>
  <c r="AL127" i="4"/>
  <c r="CI367" i="4" s="1"/>
  <c r="AF127" i="4"/>
  <c r="AH127" i="4"/>
  <c r="AG127" i="4"/>
  <c r="AD127" i="4"/>
  <c r="AC127" i="4"/>
  <c r="AA127" i="4"/>
  <c r="AE127" i="4"/>
  <c r="AB127" i="4"/>
  <c r="K60" i="4"/>
  <c r="CF448" i="4"/>
  <c r="CG448" i="4"/>
  <c r="CE448" i="4"/>
  <c r="CC448" i="4"/>
  <c r="CQ1332" i="4" s="1"/>
  <c r="BZ448" i="4"/>
  <c r="BY448" i="4"/>
  <c r="CQ1331" i="4" s="1"/>
  <c r="BX448" i="4"/>
  <c r="CP1331" i="4" s="1"/>
  <c r="BU448" i="4"/>
  <c r="CQ1330" i="4" s="1"/>
  <c r="CA448" i="4"/>
  <c r="BT448" i="4"/>
  <c r="CP1330" i="4" s="1"/>
  <c r="BQ448" i="4"/>
  <c r="BW448" i="4"/>
  <c r="BO448" i="4"/>
  <c r="BN448" i="4"/>
  <c r="BS448" i="4"/>
  <c r="CB448" i="4"/>
  <c r="CP1332" i="4" s="1"/>
  <c r="BM448" i="4"/>
  <c r="BL448" i="4"/>
  <c r="BK448" i="4"/>
  <c r="CD448" i="4"/>
  <c r="BV448" i="4"/>
  <c r="BR448" i="4"/>
  <c r="BP448" i="4"/>
  <c r="BJ448" i="4"/>
  <c r="BG448" i="4"/>
  <c r="BE448" i="4"/>
  <c r="AY448" i="4"/>
  <c r="BH448" i="4"/>
  <c r="AW448" i="4"/>
  <c r="BI448" i="4"/>
  <c r="AU448" i="4"/>
  <c r="CJ1332" i="4" s="1"/>
  <c r="BF448" i="4"/>
  <c r="AV448" i="4"/>
  <c r="AT448" i="4"/>
  <c r="CI1332" i="4" s="1"/>
  <c r="AR448" i="4"/>
  <c r="AS448" i="4"/>
  <c r="AQ448" i="4"/>
  <c r="CJ1331" i="4" s="1"/>
  <c r="AP448" i="4"/>
  <c r="CI1331" i="4" s="1"/>
  <c r="AL448" i="4"/>
  <c r="CI1330" i="4" s="1"/>
  <c r="AO448" i="4"/>
  <c r="AI448" i="4"/>
  <c r="AH448" i="4"/>
  <c r="AG448" i="4"/>
  <c r="AX448" i="4"/>
  <c r="AN448" i="4"/>
  <c r="AJ448" i="4"/>
  <c r="AM448" i="4"/>
  <c r="CJ1330" i="4" s="1"/>
  <c r="AF448" i="4"/>
  <c r="AE448" i="4"/>
  <c r="AK448" i="4"/>
  <c r="AB448" i="4"/>
  <c r="AA448" i="4"/>
  <c r="AC448" i="4"/>
  <c r="AD448" i="4"/>
  <c r="CG254" i="4"/>
  <c r="CD254" i="4"/>
  <c r="CC254" i="4"/>
  <c r="CQ750" i="4" s="1"/>
  <c r="CB254" i="4"/>
  <c r="CP750" i="4" s="1"/>
  <c r="CE254" i="4"/>
  <c r="CF254" i="4"/>
  <c r="BZ254" i="4"/>
  <c r="BY254" i="4"/>
  <c r="CQ749" i="4" s="1"/>
  <c r="BX254" i="4"/>
  <c r="CP749" i="4" s="1"/>
  <c r="BS254" i="4"/>
  <c r="BR254" i="4"/>
  <c r="BQ254" i="4"/>
  <c r="BP254" i="4"/>
  <c r="BO254" i="4"/>
  <c r="BN254" i="4"/>
  <c r="BU254" i="4"/>
  <c r="CQ748" i="4" s="1"/>
  <c r="BW254" i="4"/>
  <c r="BT254" i="4"/>
  <c r="CP748" i="4" s="1"/>
  <c r="BJ254" i="4"/>
  <c r="CA254" i="4"/>
  <c r="BV254" i="4"/>
  <c r="BM254" i="4"/>
  <c r="BH254" i="4"/>
  <c r="BL254" i="4"/>
  <c r="BK254" i="4"/>
  <c r="BI254" i="4"/>
  <c r="BE254" i="4"/>
  <c r="AY254" i="4"/>
  <c r="AX254" i="4"/>
  <c r="AW254" i="4"/>
  <c r="AV254" i="4"/>
  <c r="AU254" i="4"/>
  <c r="CJ750" i="4" s="1"/>
  <c r="AT254" i="4"/>
  <c r="CI750" i="4" s="1"/>
  <c r="BF254" i="4"/>
  <c r="AS254" i="4"/>
  <c r="BG254" i="4"/>
  <c r="AQ254" i="4"/>
  <c r="CJ749" i="4" s="1"/>
  <c r="AR254" i="4"/>
  <c r="AO254" i="4"/>
  <c r="AP254" i="4"/>
  <c r="CI749" i="4" s="1"/>
  <c r="AM254" i="4"/>
  <c r="CJ748" i="4" s="1"/>
  <c r="AH254" i="4"/>
  <c r="AK254" i="4"/>
  <c r="AF254" i="4"/>
  <c r="AE254" i="4"/>
  <c r="AD254" i="4"/>
  <c r="AC254" i="4"/>
  <c r="AB254" i="4"/>
  <c r="AA254" i="4"/>
  <c r="AJ254" i="4"/>
  <c r="AN254" i="4"/>
  <c r="AG254" i="4"/>
  <c r="AL254" i="4"/>
  <c r="CI748" i="4" s="1"/>
  <c r="AI254" i="4"/>
  <c r="CG285" i="4"/>
  <c r="CD285" i="4"/>
  <c r="CC285" i="4"/>
  <c r="CQ843" i="4" s="1"/>
  <c r="CF285" i="4"/>
  <c r="CE285" i="4"/>
  <c r="CB285" i="4"/>
  <c r="CP843" i="4" s="1"/>
  <c r="CA285" i="4"/>
  <c r="BS285" i="4"/>
  <c r="BR285" i="4"/>
  <c r="BQ285" i="4"/>
  <c r="BX285" i="4"/>
  <c r="CP842" i="4" s="1"/>
  <c r="BU285" i="4"/>
  <c r="CQ841" i="4" s="1"/>
  <c r="BV285" i="4"/>
  <c r="BT285" i="4"/>
  <c r="CP841" i="4" s="1"/>
  <c r="BZ285" i="4"/>
  <c r="BM285" i="4"/>
  <c r="BL285" i="4"/>
  <c r="BW285" i="4"/>
  <c r="BP285" i="4"/>
  <c r="BY285" i="4"/>
  <c r="CQ842" i="4" s="1"/>
  <c r="BJ285" i="4"/>
  <c r="BK285" i="4"/>
  <c r="BO285" i="4"/>
  <c r="BN285" i="4"/>
  <c r="BE285" i="4"/>
  <c r="BI285" i="4"/>
  <c r="BG285" i="4"/>
  <c r="BH285" i="4"/>
  <c r="AX285" i="4"/>
  <c r="BF285" i="4"/>
  <c r="AW285" i="4"/>
  <c r="AY285" i="4"/>
  <c r="AV285" i="4"/>
  <c r="AT285" i="4"/>
  <c r="CI843" i="4" s="1"/>
  <c r="AU285" i="4"/>
  <c r="CJ843" i="4" s="1"/>
  <c r="AS285" i="4"/>
  <c r="AO285" i="4"/>
  <c r="AR285" i="4"/>
  <c r="AM285" i="4"/>
  <c r="CJ841" i="4" s="1"/>
  <c r="AP285" i="4"/>
  <c r="CI842" i="4" s="1"/>
  <c r="AQ285" i="4"/>
  <c r="CJ842" i="4" s="1"/>
  <c r="AL285" i="4"/>
  <c r="CI841" i="4" s="1"/>
  <c r="AJ285" i="4"/>
  <c r="AH285" i="4"/>
  <c r="AG285" i="4"/>
  <c r="AI285" i="4"/>
  <c r="AN285" i="4"/>
  <c r="AK285" i="4"/>
  <c r="AC285" i="4"/>
  <c r="AE285" i="4"/>
  <c r="AB285" i="4"/>
  <c r="AA285" i="4"/>
  <c r="AD285" i="4"/>
  <c r="AF285" i="4"/>
  <c r="CF87" i="4"/>
  <c r="CE87" i="4"/>
  <c r="CD87" i="4"/>
  <c r="CC87" i="4"/>
  <c r="CQ249" i="4" s="1"/>
  <c r="CB87" i="4"/>
  <c r="CP249" i="4" s="1"/>
  <c r="BZ87" i="4"/>
  <c r="BY87" i="4"/>
  <c r="CQ248" i="4" s="1"/>
  <c r="BX87" i="4"/>
  <c r="CP248" i="4" s="1"/>
  <c r="BW87" i="4"/>
  <c r="CG87" i="4"/>
  <c r="BV87" i="4"/>
  <c r="BS87" i="4"/>
  <c r="BL87" i="4"/>
  <c r="BK87" i="4"/>
  <c r="BT87" i="4"/>
  <c r="CP247" i="4" s="1"/>
  <c r="BN87" i="4"/>
  <c r="BR87" i="4"/>
  <c r="BM87" i="4"/>
  <c r="CA87" i="4"/>
  <c r="BU87" i="4"/>
  <c r="CQ247" i="4" s="1"/>
  <c r="BQ87" i="4"/>
  <c r="BO87" i="4"/>
  <c r="BP87" i="4"/>
  <c r="BF87" i="4"/>
  <c r="BE87" i="4"/>
  <c r="BH87" i="4"/>
  <c r="BI87" i="4"/>
  <c r="BJ87" i="4"/>
  <c r="AY87" i="4"/>
  <c r="AV87" i="4"/>
  <c r="AT87" i="4"/>
  <c r="CI249" i="4" s="1"/>
  <c r="AX87" i="4"/>
  <c r="AW87" i="4"/>
  <c r="AQ87" i="4"/>
  <c r="CJ248" i="4" s="1"/>
  <c r="AU87" i="4"/>
  <c r="CJ249" i="4" s="1"/>
  <c r="AR87" i="4"/>
  <c r="AS87" i="4"/>
  <c r="AP87" i="4"/>
  <c r="CI248" i="4" s="1"/>
  <c r="AN87" i="4"/>
  <c r="AO87" i="4"/>
  <c r="BG87" i="4"/>
  <c r="AJ87" i="4"/>
  <c r="AL87" i="4"/>
  <c r="CI247" i="4" s="1"/>
  <c r="AK87" i="4"/>
  <c r="AG87" i="4"/>
  <c r="AM87" i="4"/>
  <c r="CJ247" i="4" s="1"/>
  <c r="AD87" i="4"/>
  <c r="AI87" i="4"/>
  <c r="AC87" i="4"/>
  <c r="AF87" i="4"/>
  <c r="AH87" i="4"/>
  <c r="AA87" i="4"/>
  <c r="AE87" i="4"/>
  <c r="AB87" i="4"/>
  <c r="CG112" i="4"/>
  <c r="CE112" i="4"/>
  <c r="CD112" i="4"/>
  <c r="CB112" i="4"/>
  <c r="CP324" i="4" s="1"/>
  <c r="CF112" i="4"/>
  <c r="BV112" i="4"/>
  <c r="BU112" i="4"/>
  <c r="CQ322" i="4" s="1"/>
  <c r="BY112" i="4"/>
  <c r="CQ323" i="4" s="1"/>
  <c r="BW112" i="4"/>
  <c r="BT112" i="4"/>
  <c r="CP322" i="4" s="1"/>
  <c r="CA112" i="4"/>
  <c r="CC112" i="4"/>
  <c r="CQ324" i="4" s="1"/>
  <c r="BQ112" i="4"/>
  <c r="BX112" i="4"/>
  <c r="CP323" i="4" s="1"/>
  <c r="BZ112" i="4"/>
  <c r="BS112" i="4"/>
  <c r="BL112" i="4"/>
  <c r="BK112" i="4"/>
  <c r="BR112" i="4"/>
  <c r="BO112" i="4"/>
  <c r="BJ112" i="4"/>
  <c r="BI112" i="4"/>
  <c r="BM112" i="4"/>
  <c r="BP112" i="4"/>
  <c r="BH112" i="4"/>
  <c r="BG112" i="4"/>
  <c r="BF112" i="4"/>
  <c r="AY112" i="4"/>
  <c r="BN112" i="4"/>
  <c r="BE112" i="4"/>
  <c r="AX112" i="4"/>
  <c r="AV112" i="4"/>
  <c r="AW112" i="4"/>
  <c r="AQ112" i="4"/>
  <c r="CJ323" i="4" s="1"/>
  <c r="AR112" i="4"/>
  <c r="AL112" i="4"/>
  <c r="CI322" i="4" s="1"/>
  <c r="AP112" i="4"/>
  <c r="CI323" i="4" s="1"/>
  <c r="AT112" i="4"/>
  <c r="CI324" i="4" s="1"/>
  <c r="AU112" i="4"/>
  <c r="CJ324" i="4" s="1"/>
  <c r="AS112" i="4"/>
  <c r="AJ112" i="4"/>
  <c r="AH112" i="4"/>
  <c r="AG112" i="4"/>
  <c r="AO112" i="4"/>
  <c r="AM112" i="4"/>
  <c r="CJ322" i="4" s="1"/>
  <c r="AI112" i="4"/>
  <c r="AN112" i="4"/>
  <c r="AK112" i="4"/>
  <c r="AE112" i="4"/>
  <c r="AF112" i="4"/>
  <c r="AB112" i="4"/>
  <c r="AD112" i="4"/>
  <c r="AA112" i="4"/>
  <c r="AC112" i="4"/>
  <c r="CG471" i="4"/>
  <c r="CF471" i="4"/>
  <c r="CE471" i="4"/>
  <c r="CD471" i="4"/>
  <c r="CC471" i="4"/>
  <c r="CQ1401" i="4" s="1"/>
  <c r="CB471" i="4"/>
  <c r="CP1401" i="4" s="1"/>
  <c r="BZ471" i="4"/>
  <c r="BY471" i="4"/>
  <c r="CQ1400" i="4" s="1"/>
  <c r="BX471" i="4"/>
  <c r="CP1400" i="4" s="1"/>
  <c r="BV471" i="4"/>
  <c r="BU471" i="4"/>
  <c r="CQ1399" i="4" s="1"/>
  <c r="BS471" i="4"/>
  <c r="BM471" i="4"/>
  <c r="BL471" i="4"/>
  <c r="BR471" i="4"/>
  <c r="CA471" i="4"/>
  <c r="BW471" i="4"/>
  <c r="BO471" i="4"/>
  <c r="BQ471" i="4"/>
  <c r="BT471" i="4"/>
  <c r="CP1399" i="4" s="1"/>
  <c r="BP471" i="4"/>
  <c r="BJ471" i="4"/>
  <c r="BN471" i="4"/>
  <c r="BH471" i="4"/>
  <c r="BG471" i="4"/>
  <c r="BI471" i="4"/>
  <c r="BF471" i="4"/>
  <c r="BE471" i="4"/>
  <c r="BK471" i="4"/>
  <c r="AX471" i="4"/>
  <c r="AY471" i="4"/>
  <c r="AW471" i="4"/>
  <c r="AV471" i="4"/>
  <c r="AU471" i="4"/>
  <c r="CJ1401" i="4" s="1"/>
  <c r="AT471" i="4"/>
  <c r="CI1401" i="4" s="1"/>
  <c r="AR471" i="4"/>
  <c r="AO471" i="4"/>
  <c r="AQ471" i="4"/>
  <c r="CJ1400" i="4" s="1"/>
  <c r="AN471" i="4"/>
  <c r="AS471" i="4"/>
  <c r="AJ471" i="4"/>
  <c r="AL471" i="4"/>
  <c r="CI1399" i="4" s="1"/>
  <c r="AP471" i="4"/>
  <c r="CI1400" i="4" s="1"/>
  <c r="AG471" i="4"/>
  <c r="AK471" i="4"/>
  <c r="AI471" i="4"/>
  <c r="AM471" i="4"/>
  <c r="CJ1399" i="4" s="1"/>
  <c r="AC471" i="4"/>
  <c r="AF471" i="4"/>
  <c r="AH471" i="4"/>
  <c r="AD471" i="4"/>
  <c r="AE471" i="4"/>
  <c r="AB471" i="4"/>
  <c r="AA471" i="4"/>
  <c r="M123" i="4"/>
  <c r="CF243" i="4"/>
  <c r="CE243" i="4"/>
  <c r="CG243" i="4"/>
  <c r="CB243" i="4"/>
  <c r="CP717" i="4" s="1"/>
  <c r="CA243" i="4"/>
  <c r="BZ243" i="4"/>
  <c r="BY243" i="4"/>
  <c r="CQ716" i="4" s="1"/>
  <c r="CC243" i="4"/>
  <c r="CQ717" i="4" s="1"/>
  <c r="CD243" i="4"/>
  <c r="BT243" i="4"/>
  <c r="CP715" i="4" s="1"/>
  <c r="BV243" i="4"/>
  <c r="BS243" i="4"/>
  <c r="BR243" i="4"/>
  <c r="BQ243" i="4"/>
  <c r="BP243" i="4"/>
  <c r="BO243" i="4"/>
  <c r="BW243" i="4"/>
  <c r="BU243" i="4"/>
  <c r="CQ715" i="4" s="1"/>
  <c r="BN243" i="4"/>
  <c r="BL243" i="4"/>
  <c r="BK243" i="4"/>
  <c r="BJ243" i="4"/>
  <c r="BI243" i="4"/>
  <c r="BH243" i="4"/>
  <c r="BX243" i="4"/>
  <c r="CP716" i="4" s="1"/>
  <c r="BG243" i="4"/>
  <c r="BF243" i="4"/>
  <c r="BM243" i="4"/>
  <c r="AW243" i="4"/>
  <c r="AU243" i="4"/>
  <c r="CJ717" i="4" s="1"/>
  <c r="BE243" i="4"/>
  <c r="AX243" i="4"/>
  <c r="AV243" i="4"/>
  <c r="AY243" i="4"/>
  <c r="AT243" i="4"/>
  <c r="CI717" i="4" s="1"/>
  <c r="AS243" i="4"/>
  <c r="AQ243" i="4"/>
  <c r="CJ716" i="4" s="1"/>
  <c r="AR243" i="4"/>
  <c r="AP243" i="4"/>
  <c r="CI716" i="4" s="1"/>
  <c r="AL243" i="4"/>
  <c r="CI715" i="4" s="1"/>
  <c r="AK243" i="4"/>
  <c r="AJ243" i="4"/>
  <c r="AM243" i="4"/>
  <c r="CJ715" i="4" s="1"/>
  <c r="AN243" i="4"/>
  <c r="AH243" i="4"/>
  <c r="AO243" i="4"/>
  <c r="AF243" i="4"/>
  <c r="AE243" i="4"/>
  <c r="AI243" i="4"/>
  <c r="AC243" i="4"/>
  <c r="AB243" i="4"/>
  <c r="AG243" i="4"/>
  <c r="AD243" i="4"/>
  <c r="AA243" i="4"/>
  <c r="CF100" i="4"/>
  <c r="BZ100" i="4"/>
  <c r="CG100" i="4"/>
  <c r="CD100" i="4"/>
  <c r="CA100" i="4"/>
  <c r="BX100" i="4"/>
  <c r="CP287" i="4" s="1"/>
  <c r="BV100" i="4"/>
  <c r="BU100" i="4"/>
  <c r="CQ286" i="4" s="1"/>
  <c r="CE100" i="4"/>
  <c r="BY100" i="4"/>
  <c r="CQ287" i="4" s="1"/>
  <c r="BM100" i="4"/>
  <c r="BS100" i="4"/>
  <c r="BO100" i="4"/>
  <c r="CB100" i="4"/>
  <c r="CP288" i="4" s="1"/>
  <c r="BT100" i="4"/>
  <c r="CP286" i="4" s="1"/>
  <c r="BP100" i="4"/>
  <c r="BW100" i="4"/>
  <c r="BQ100" i="4"/>
  <c r="BJ100" i="4"/>
  <c r="BI100" i="4"/>
  <c r="BH100" i="4"/>
  <c r="BR100" i="4"/>
  <c r="BL100" i="4"/>
  <c r="BK100" i="4"/>
  <c r="CC100" i="4"/>
  <c r="CQ288" i="4" s="1"/>
  <c r="BE100" i="4"/>
  <c r="BF100" i="4"/>
  <c r="AX100" i="4"/>
  <c r="BN100" i="4"/>
  <c r="AT100" i="4"/>
  <c r="CI288" i="4" s="1"/>
  <c r="AU100" i="4"/>
  <c r="CJ288" i="4" s="1"/>
  <c r="AY100" i="4"/>
  <c r="AS100" i="4"/>
  <c r="AW100" i="4"/>
  <c r="AV100" i="4"/>
  <c r="BG100" i="4"/>
  <c r="AQ100" i="4"/>
  <c r="CJ287" i="4" s="1"/>
  <c r="AO100" i="4"/>
  <c r="AP100" i="4"/>
  <c r="CI287" i="4" s="1"/>
  <c r="AN100" i="4"/>
  <c r="AR100" i="4"/>
  <c r="AK100" i="4"/>
  <c r="AI100" i="4"/>
  <c r="AG100" i="4"/>
  <c r="AH100" i="4"/>
  <c r="AL100" i="4"/>
  <c r="CI286" i="4" s="1"/>
  <c r="AE100" i="4"/>
  <c r="AJ100" i="4"/>
  <c r="AB100" i="4"/>
  <c r="AM100" i="4"/>
  <c r="CJ286" i="4" s="1"/>
  <c r="AF100" i="4"/>
  <c r="AC100" i="4"/>
  <c r="AD100" i="4"/>
  <c r="AA100" i="4"/>
  <c r="CD203" i="4"/>
  <c r="CC203" i="4"/>
  <c r="CQ597" i="4" s="1"/>
  <c r="CB203" i="4"/>
  <c r="CP597" i="4" s="1"/>
  <c r="CA203" i="4"/>
  <c r="CE203" i="4"/>
  <c r="CG203" i="4"/>
  <c r="CF203" i="4"/>
  <c r="BS203" i="4"/>
  <c r="BR203" i="4"/>
  <c r="BQ203" i="4"/>
  <c r="BP203" i="4"/>
  <c r="BO203" i="4"/>
  <c r="BW203" i="4"/>
  <c r="BU203" i="4"/>
  <c r="CQ595" i="4" s="1"/>
  <c r="BN203" i="4"/>
  <c r="BZ203" i="4"/>
  <c r="BX203" i="4"/>
  <c r="CP596" i="4" s="1"/>
  <c r="BT203" i="4"/>
  <c r="CP595" i="4" s="1"/>
  <c r="BY203" i="4"/>
  <c r="CQ596" i="4" s="1"/>
  <c r="BJ203" i="4"/>
  <c r="BI203" i="4"/>
  <c r="BH203" i="4"/>
  <c r="BM203" i="4"/>
  <c r="BL203" i="4"/>
  <c r="BE203" i="4"/>
  <c r="BG203" i="4"/>
  <c r="BV203" i="4"/>
  <c r="BK203" i="4"/>
  <c r="BF203" i="4"/>
  <c r="AX203" i="4"/>
  <c r="AU203" i="4"/>
  <c r="CJ597" i="4" s="1"/>
  <c r="AS203" i="4"/>
  <c r="AY203" i="4"/>
  <c r="AW203" i="4"/>
  <c r="AT203" i="4"/>
  <c r="CI597" i="4" s="1"/>
  <c r="AP203" i="4"/>
  <c r="CI596" i="4" s="1"/>
  <c r="AV203" i="4"/>
  <c r="AQ203" i="4"/>
  <c r="CJ596" i="4" s="1"/>
  <c r="AR203" i="4"/>
  <c r="AN203" i="4"/>
  <c r="AL203" i="4"/>
  <c r="CI595" i="4" s="1"/>
  <c r="AH203" i="4"/>
  <c r="AO203" i="4"/>
  <c r="AM203" i="4"/>
  <c r="CJ595" i="4" s="1"/>
  <c r="AI203" i="4"/>
  <c r="AE203" i="4"/>
  <c r="AB203" i="4"/>
  <c r="AJ203" i="4"/>
  <c r="AG203" i="4"/>
  <c r="AK203" i="4"/>
  <c r="AC203" i="4"/>
  <c r="AF203" i="4"/>
  <c r="AA203" i="4"/>
  <c r="AD203" i="4"/>
  <c r="CF278" i="4"/>
  <c r="CE278" i="4"/>
  <c r="CG278" i="4"/>
  <c r="CA278" i="4"/>
  <c r="CD278" i="4"/>
  <c r="BV278" i="4"/>
  <c r="BT278" i="4"/>
  <c r="CP820" i="4" s="1"/>
  <c r="BX278" i="4"/>
  <c r="CP821" i="4" s="1"/>
  <c r="CC278" i="4"/>
  <c r="CQ822" i="4" s="1"/>
  <c r="BU278" i="4"/>
  <c r="CQ820" i="4" s="1"/>
  <c r="BW278" i="4"/>
  <c r="BN278" i="4"/>
  <c r="BS278" i="4"/>
  <c r="CB278" i="4"/>
  <c r="CP822" i="4" s="1"/>
  <c r="BO278" i="4"/>
  <c r="BP278" i="4"/>
  <c r="BQ278" i="4"/>
  <c r="BL278" i="4"/>
  <c r="BZ278" i="4"/>
  <c r="BR278" i="4"/>
  <c r="BK278" i="4"/>
  <c r="BG278" i="4"/>
  <c r="BI278" i="4"/>
  <c r="BF278" i="4"/>
  <c r="BH278" i="4"/>
  <c r="BJ278" i="4"/>
  <c r="BY278" i="4"/>
  <c r="CQ821" i="4" s="1"/>
  <c r="BM278" i="4"/>
  <c r="AX278" i="4"/>
  <c r="AS278" i="4"/>
  <c r="AR278" i="4"/>
  <c r="AQ278" i="4"/>
  <c r="CJ821" i="4" s="1"/>
  <c r="AP278" i="4"/>
  <c r="CI821" i="4" s="1"/>
  <c r="BE278" i="4"/>
  <c r="AO278" i="4"/>
  <c r="AN278" i="4"/>
  <c r="AM278" i="4"/>
  <c r="CJ820" i="4" s="1"/>
  <c r="AT278" i="4"/>
  <c r="CI822" i="4" s="1"/>
  <c r="AV278" i="4"/>
  <c r="AY278" i="4"/>
  <c r="AW278" i="4"/>
  <c r="AU278" i="4"/>
  <c r="CJ822" i="4" s="1"/>
  <c r="AK278" i="4"/>
  <c r="AH278" i="4"/>
  <c r="AL278" i="4"/>
  <c r="CI820" i="4" s="1"/>
  <c r="AE278" i="4"/>
  <c r="AI278" i="4"/>
  <c r="AJ278" i="4"/>
  <c r="AB278" i="4"/>
  <c r="AD278" i="4"/>
  <c r="AA278" i="4"/>
  <c r="AF278" i="4"/>
  <c r="AC278" i="4"/>
  <c r="AG278" i="4"/>
  <c r="CG154" i="4"/>
  <c r="CD154" i="4"/>
  <c r="CC154" i="4"/>
  <c r="CQ450" i="4" s="1"/>
  <c r="CB154" i="4"/>
  <c r="CP450" i="4" s="1"/>
  <c r="CA154" i="4"/>
  <c r="CE154" i="4"/>
  <c r="CF154" i="4"/>
  <c r="BZ154" i="4"/>
  <c r="BY154" i="4"/>
  <c r="CQ449" i="4" s="1"/>
  <c r="BX154" i="4"/>
  <c r="CP449" i="4" s="1"/>
  <c r="BW154" i="4"/>
  <c r="BS154" i="4"/>
  <c r="BR154" i="4"/>
  <c r="BQ154" i="4"/>
  <c r="BP154" i="4"/>
  <c r="BO154" i="4"/>
  <c r="BV154" i="4"/>
  <c r="BN154" i="4"/>
  <c r="BL154" i="4"/>
  <c r="BM154" i="4"/>
  <c r="BT154" i="4"/>
  <c r="CP448" i="4" s="1"/>
  <c r="BU154" i="4"/>
  <c r="CQ448" i="4" s="1"/>
  <c r="BJ154" i="4"/>
  <c r="BI154" i="4"/>
  <c r="BK154" i="4"/>
  <c r="BH154" i="4"/>
  <c r="BF154" i="4"/>
  <c r="AV154" i="4"/>
  <c r="BG154" i="4"/>
  <c r="BE154" i="4"/>
  <c r="AY154" i="4"/>
  <c r="AT154" i="4"/>
  <c r="CI450" i="4" s="1"/>
  <c r="AX154" i="4"/>
  <c r="AW154" i="4"/>
  <c r="AS154" i="4"/>
  <c r="AU154" i="4"/>
  <c r="CJ450" i="4" s="1"/>
  <c r="AR154" i="4"/>
  <c r="AQ154" i="4"/>
  <c r="CJ449" i="4" s="1"/>
  <c r="AL154" i="4"/>
  <c r="CI448" i="4" s="1"/>
  <c r="AN154" i="4"/>
  <c r="AM154" i="4"/>
  <c r="CJ448" i="4" s="1"/>
  <c r="AO154" i="4"/>
  <c r="AI154" i="4"/>
  <c r="AH154" i="4"/>
  <c r="AJ154" i="4"/>
  <c r="AG154" i="4"/>
  <c r="AK154" i="4"/>
  <c r="AF154" i="4"/>
  <c r="AE154" i="4"/>
  <c r="AP154" i="4"/>
  <c r="CI449" i="4" s="1"/>
  <c r="AD154" i="4"/>
  <c r="AC154" i="4"/>
  <c r="AB154" i="4"/>
  <c r="AA154" i="4"/>
  <c r="CG319" i="4"/>
  <c r="CF319" i="4"/>
  <c r="CE319" i="4"/>
  <c r="CA319" i="4"/>
  <c r="CC319" i="4"/>
  <c r="CQ945" i="4" s="1"/>
  <c r="CB319" i="4"/>
  <c r="CP945" i="4" s="1"/>
  <c r="BZ319" i="4"/>
  <c r="BY319" i="4"/>
  <c r="CQ944" i="4" s="1"/>
  <c r="BW319" i="4"/>
  <c r="BV319" i="4"/>
  <c r="BU319" i="4"/>
  <c r="CQ943" i="4" s="1"/>
  <c r="BS319" i="4"/>
  <c r="BR319" i="4"/>
  <c r="BT319" i="4"/>
  <c r="CP943" i="4" s="1"/>
  <c r="BX319" i="4"/>
  <c r="CP944" i="4" s="1"/>
  <c r="BO319" i="4"/>
  <c r="BQ319" i="4"/>
  <c r="BP319" i="4"/>
  <c r="CD319" i="4"/>
  <c r="BM319" i="4"/>
  <c r="BL319" i="4"/>
  <c r="BK319" i="4"/>
  <c r="BJ319" i="4"/>
  <c r="BN319" i="4"/>
  <c r="BH319" i="4"/>
  <c r="BG319" i="4"/>
  <c r="BE319" i="4"/>
  <c r="BF319" i="4"/>
  <c r="AW319" i="4"/>
  <c r="AT319" i="4"/>
  <c r="CI945" i="4" s="1"/>
  <c r="BI319" i="4"/>
  <c r="AY319" i="4"/>
  <c r="AO319" i="4"/>
  <c r="AX319" i="4"/>
  <c r="AU319" i="4"/>
  <c r="CJ945" i="4" s="1"/>
  <c r="AP319" i="4"/>
  <c r="CI944" i="4" s="1"/>
  <c r="AQ319" i="4"/>
  <c r="CJ944" i="4" s="1"/>
  <c r="AM319" i="4"/>
  <c r="CJ943" i="4" s="1"/>
  <c r="AR319" i="4"/>
  <c r="AL319" i="4"/>
  <c r="CI943" i="4" s="1"/>
  <c r="AS319" i="4"/>
  <c r="AV319" i="4"/>
  <c r="AK319" i="4"/>
  <c r="AJ319" i="4"/>
  <c r="AN319" i="4"/>
  <c r="AH319" i="4"/>
  <c r="AG319" i="4"/>
  <c r="AI319" i="4"/>
  <c r="AF319" i="4"/>
  <c r="AE319" i="4"/>
  <c r="AB319" i="4"/>
  <c r="AA319" i="4"/>
  <c r="AC319" i="4"/>
  <c r="AD319" i="4"/>
  <c r="CG227" i="4"/>
  <c r="CF227" i="4"/>
  <c r="CE227" i="4"/>
  <c r="BZ227" i="4"/>
  <c r="BY227" i="4"/>
  <c r="CQ668" i="4" s="1"/>
  <c r="CA227" i="4"/>
  <c r="CC227" i="4"/>
  <c r="CQ669" i="4" s="1"/>
  <c r="BT227" i="4"/>
  <c r="CP667" i="4" s="1"/>
  <c r="BW227" i="4"/>
  <c r="BX227" i="4"/>
  <c r="CP668" i="4" s="1"/>
  <c r="BV227" i="4"/>
  <c r="BS227" i="4"/>
  <c r="BR227" i="4"/>
  <c r="BQ227" i="4"/>
  <c r="BP227" i="4"/>
  <c r="BO227" i="4"/>
  <c r="CD227" i="4"/>
  <c r="CB227" i="4"/>
  <c r="CP669" i="4" s="1"/>
  <c r="BN227" i="4"/>
  <c r="BM227" i="4"/>
  <c r="BU227" i="4"/>
  <c r="CQ667" i="4" s="1"/>
  <c r="BJ227" i="4"/>
  <c r="BI227" i="4"/>
  <c r="BH227" i="4"/>
  <c r="BK227" i="4"/>
  <c r="BL227" i="4"/>
  <c r="BG227" i="4"/>
  <c r="BF227" i="4"/>
  <c r="AX227" i="4"/>
  <c r="AY227" i="4"/>
  <c r="AT227" i="4"/>
  <c r="CI669" i="4" s="1"/>
  <c r="BE227" i="4"/>
  <c r="AS227" i="4"/>
  <c r="AV227" i="4"/>
  <c r="AW227" i="4"/>
  <c r="AL227" i="4"/>
  <c r="CI667" i="4" s="1"/>
  <c r="AK227" i="4"/>
  <c r="AJ227" i="4"/>
  <c r="AP227" i="4"/>
  <c r="CI668" i="4" s="1"/>
  <c r="AR227" i="4"/>
  <c r="AU227" i="4"/>
  <c r="CJ669" i="4" s="1"/>
  <c r="AM227" i="4"/>
  <c r="CJ667" i="4" s="1"/>
  <c r="AQ227" i="4"/>
  <c r="CJ668" i="4" s="1"/>
  <c r="AI227" i="4"/>
  <c r="AN227" i="4"/>
  <c r="AH227" i="4"/>
  <c r="AF227" i="4"/>
  <c r="AG227" i="4"/>
  <c r="AE227" i="4"/>
  <c r="AO227" i="4"/>
  <c r="AC227" i="4"/>
  <c r="AA227" i="4"/>
  <c r="AD227" i="4"/>
  <c r="AB227" i="4"/>
  <c r="CG168" i="4"/>
  <c r="CD168" i="4"/>
  <c r="CC168" i="4"/>
  <c r="CQ492" i="4" s="1"/>
  <c r="CB168" i="4"/>
  <c r="CP492" i="4" s="1"/>
  <c r="CF168" i="4"/>
  <c r="CA168" i="4"/>
  <c r="CE168" i="4"/>
  <c r="BZ168" i="4"/>
  <c r="BY168" i="4"/>
  <c r="CQ491" i="4" s="1"/>
  <c r="BX168" i="4"/>
  <c r="CP491" i="4" s="1"/>
  <c r="BW168" i="4"/>
  <c r="BV168" i="4"/>
  <c r="BU168" i="4"/>
  <c r="CQ490" i="4" s="1"/>
  <c r="BT168" i="4"/>
  <c r="CP490" i="4" s="1"/>
  <c r="BS168" i="4"/>
  <c r="BR168" i="4"/>
  <c r="BQ168" i="4"/>
  <c r="BP168" i="4"/>
  <c r="BO168" i="4"/>
  <c r="BM168" i="4"/>
  <c r="BL168" i="4"/>
  <c r="BK168" i="4"/>
  <c r="BN168" i="4"/>
  <c r="BE168" i="4"/>
  <c r="AY168" i="4"/>
  <c r="BI168" i="4"/>
  <c r="BH168" i="4"/>
  <c r="BJ168" i="4"/>
  <c r="BF168" i="4"/>
  <c r="BG168" i="4"/>
  <c r="AX168" i="4"/>
  <c r="AV168" i="4"/>
  <c r="AS168" i="4"/>
  <c r="AW168" i="4"/>
  <c r="AU168" i="4"/>
  <c r="CJ492" i="4" s="1"/>
  <c r="AT168" i="4"/>
  <c r="CI492" i="4" s="1"/>
  <c r="AR168" i="4"/>
  <c r="AQ168" i="4"/>
  <c r="CJ491" i="4" s="1"/>
  <c r="AP168" i="4"/>
  <c r="CI491" i="4" s="1"/>
  <c r="AN168" i="4"/>
  <c r="AM168" i="4"/>
  <c r="CJ490" i="4" s="1"/>
  <c r="AO168" i="4"/>
  <c r="AF168" i="4"/>
  <c r="AJ168" i="4"/>
  <c r="AH168" i="4"/>
  <c r="AK168" i="4"/>
  <c r="AG168" i="4"/>
  <c r="AL168" i="4"/>
  <c r="CI490" i="4" s="1"/>
  <c r="AE168" i="4"/>
  <c r="AI168" i="4"/>
  <c r="AD168" i="4"/>
  <c r="AB168" i="4"/>
  <c r="AC168" i="4"/>
  <c r="AA168" i="4"/>
  <c r="CF90" i="4"/>
  <c r="CG90" i="4"/>
  <c r="CE90" i="4"/>
  <c r="CD90" i="4"/>
  <c r="CC90" i="4"/>
  <c r="CQ258" i="4" s="1"/>
  <c r="CB90" i="4"/>
  <c r="CP258" i="4" s="1"/>
  <c r="CA90" i="4"/>
  <c r="BZ90" i="4"/>
  <c r="BY90" i="4"/>
  <c r="CQ257" i="4" s="1"/>
  <c r="BX90" i="4"/>
  <c r="CP257" i="4" s="1"/>
  <c r="BT90" i="4"/>
  <c r="CP256" i="4" s="1"/>
  <c r="BS90" i="4"/>
  <c r="BR90" i="4"/>
  <c r="BQ90" i="4"/>
  <c r="BP90" i="4"/>
  <c r="BO90" i="4"/>
  <c r="BW90" i="4"/>
  <c r="BU90" i="4"/>
  <c r="CQ256" i="4" s="1"/>
  <c r="BL90" i="4"/>
  <c r="BN90" i="4"/>
  <c r="BV90" i="4"/>
  <c r="BM90" i="4"/>
  <c r="BK90" i="4"/>
  <c r="BJ90" i="4"/>
  <c r="BI90" i="4"/>
  <c r="BH90" i="4"/>
  <c r="BG90" i="4"/>
  <c r="BF90" i="4"/>
  <c r="BE90" i="4"/>
  <c r="AX90" i="4"/>
  <c r="AW90" i="4"/>
  <c r="AQ90" i="4"/>
  <c r="CJ257" i="4" s="1"/>
  <c r="AY90" i="4"/>
  <c r="AV90" i="4"/>
  <c r="AT90" i="4"/>
  <c r="CI258" i="4" s="1"/>
  <c r="AU90" i="4"/>
  <c r="CJ258" i="4" s="1"/>
  <c r="AR90" i="4"/>
  <c r="AS90" i="4"/>
  <c r="AO90" i="4"/>
  <c r="AP90" i="4"/>
  <c r="CI257" i="4" s="1"/>
  <c r="AM90" i="4"/>
  <c r="CJ256" i="4" s="1"/>
  <c r="AN90" i="4"/>
  <c r="AJ90" i="4"/>
  <c r="AL90" i="4"/>
  <c r="CI256" i="4" s="1"/>
  <c r="AK90" i="4"/>
  <c r="AI90" i="4"/>
  <c r="AF90" i="4"/>
  <c r="AH90" i="4"/>
  <c r="AA90" i="4"/>
  <c r="AC90" i="4"/>
  <c r="AB90" i="4"/>
  <c r="AE90" i="4"/>
  <c r="AG90" i="4"/>
  <c r="AD90" i="4"/>
  <c r="CG111" i="4"/>
  <c r="CF111" i="4"/>
  <c r="CE111" i="4"/>
  <c r="CB111" i="4"/>
  <c r="CP321" i="4" s="1"/>
  <c r="CD111" i="4"/>
  <c r="CC111" i="4"/>
  <c r="CQ321" i="4" s="1"/>
  <c r="CA111" i="4"/>
  <c r="BZ111" i="4"/>
  <c r="BY111" i="4"/>
  <c r="CQ320" i="4" s="1"/>
  <c r="BX111" i="4"/>
  <c r="CP320" i="4" s="1"/>
  <c r="BU111" i="4"/>
  <c r="CQ319" i="4" s="1"/>
  <c r="BW111" i="4"/>
  <c r="BT111" i="4"/>
  <c r="CP319" i="4" s="1"/>
  <c r="BS111" i="4"/>
  <c r="BR111" i="4"/>
  <c r="BQ111" i="4"/>
  <c r="BL111" i="4"/>
  <c r="BK111" i="4"/>
  <c r="BN111" i="4"/>
  <c r="BV111" i="4"/>
  <c r="BO111" i="4"/>
  <c r="BJ111" i="4"/>
  <c r="BM111" i="4"/>
  <c r="BH111" i="4"/>
  <c r="BP111" i="4"/>
  <c r="BG111" i="4"/>
  <c r="BI111" i="4"/>
  <c r="BE111" i="4"/>
  <c r="AX111" i="4"/>
  <c r="AW111" i="4"/>
  <c r="AV111" i="4"/>
  <c r="AS111" i="4"/>
  <c r="AP111" i="4"/>
  <c r="CI320" i="4" s="1"/>
  <c r="AY111" i="4"/>
  <c r="AT111" i="4"/>
  <c r="CI321" i="4" s="1"/>
  <c r="AR111" i="4"/>
  <c r="AU111" i="4"/>
  <c r="CJ321" i="4" s="1"/>
  <c r="AQ111" i="4"/>
  <c r="CJ320" i="4" s="1"/>
  <c r="BF111" i="4"/>
  <c r="AM111" i="4"/>
  <c r="CJ319" i="4" s="1"/>
  <c r="AL111" i="4"/>
  <c r="CI319" i="4" s="1"/>
  <c r="AH111" i="4"/>
  <c r="AJ111" i="4"/>
  <c r="AO111" i="4"/>
  <c r="AN111" i="4"/>
  <c r="AK111" i="4"/>
  <c r="AE111" i="4"/>
  <c r="AD111" i="4"/>
  <c r="AF111" i="4"/>
  <c r="AG111" i="4"/>
  <c r="AC111" i="4"/>
  <c r="AI111" i="4"/>
  <c r="AB111" i="4"/>
  <c r="AA111" i="4"/>
  <c r="CF244" i="4"/>
  <c r="CE244" i="4"/>
  <c r="CB244" i="4"/>
  <c r="CP720" i="4" s="1"/>
  <c r="CA244" i="4"/>
  <c r="BZ244" i="4"/>
  <c r="CD244" i="4"/>
  <c r="CC244" i="4"/>
  <c r="CQ720" i="4" s="1"/>
  <c r="BT244" i="4"/>
  <c r="CP718" i="4" s="1"/>
  <c r="BV244" i="4"/>
  <c r="CG244" i="4"/>
  <c r="BX244" i="4"/>
  <c r="CP719" i="4" s="1"/>
  <c r="BU244" i="4"/>
  <c r="CQ718" i="4" s="1"/>
  <c r="BO244" i="4"/>
  <c r="BP244" i="4"/>
  <c r="BN244" i="4"/>
  <c r="BY244" i="4"/>
  <c r="CQ719" i="4" s="1"/>
  <c r="BS244" i="4"/>
  <c r="BW244" i="4"/>
  <c r="BL244" i="4"/>
  <c r="BK244" i="4"/>
  <c r="BR244" i="4"/>
  <c r="BJ244" i="4"/>
  <c r="BI244" i="4"/>
  <c r="BH244" i="4"/>
  <c r="BG244" i="4"/>
  <c r="BF244" i="4"/>
  <c r="BM244" i="4"/>
  <c r="AY244" i="4"/>
  <c r="AX244" i="4"/>
  <c r="BQ244" i="4"/>
  <c r="BE244" i="4"/>
  <c r="AV244" i="4"/>
  <c r="AW244" i="4"/>
  <c r="AS244" i="4"/>
  <c r="AU244" i="4"/>
  <c r="CJ720" i="4" s="1"/>
  <c r="AQ244" i="4"/>
  <c r="CJ719" i="4" s="1"/>
  <c r="AP244" i="4"/>
  <c r="CI719" i="4" s="1"/>
  <c r="AT244" i="4"/>
  <c r="CI720" i="4" s="1"/>
  <c r="AR244" i="4"/>
  <c r="AM244" i="4"/>
  <c r="CJ718" i="4" s="1"/>
  <c r="AK244" i="4"/>
  <c r="AO244" i="4"/>
  <c r="AN244" i="4"/>
  <c r="AI244" i="4"/>
  <c r="AJ244" i="4"/>
  <c r="AH244" i="4"/>
  <c r="AF244" i="4"/>
  <c r="AG244" i="4"/>
  <c r="AC244" i="4"/>
  <c r="AE244" i="4"/>
  <c r="AB244" i="4"/>
  <c r="AA244" i="4"/>
  <c r="AD244" i="4"/>
  <c r="AL244" i="4"/>
  <c r="CI718" i="4" s="1"/>
  <c r="R115" i="4"/>
  <c r="CE276" i="4"/>
  <c r="CF276" i="4"/>
  <c r="CD276" i="4"/>
  <c r="CG276" i="4"/>
  <c r="BX276" i="4"/>
  <c r="CP815" i="4" s="1"/>
  <c r="BW276" i="4"/>
  <c r="BZ276" i="4"/>
  <c r="BN276" i="4"/>
  <c r="BV276" i="4"/>
  <c r="BT276" i="4"/>
  <c r="CP814" i="4" s="1"/>
  <c r="BS276" i="4"/>
  <c r="CB276" i="4"/>
  <c r="CP816" i="4" s="1"/>
  <c r="BO276" i="4"/>
  <c r="BP276" i="4"/>
  <c r="BR276" i="4"/>
  <c r="CA276" i="4"/>
  <c r="BQ276" i="4"/>
  <c r="BL276" i="4"/>
  <c r="BJ276" i="4"/>
  <c r="BI276" i="4"/>
  <c r="BH276" i="4"/>
  <c r="BF276" i="4"/>
  <c r="BY276" i="4"/>
  <c r="CQ815" i="4" s="1"/>
  <c r="BU276" i="4"/>
  <c r="CQ814" i="4" s="1"/>
  <c r="BM276" i="4"/>
  <c r="CC276" i="4"/>
  <c r="CQ816" i="4" s="1"/>
  <c r="BK276" i="4"/>
  <c r="BG276" i="4"/>
  <c r="AW276" i="4"/>
  <c r="AY276" i="4"/>
  <c r="AX276" i="4"/>
  <c r="AU276" i="4"/>
  <c r="CJ816" i="4" s="1"/>
  <c r="AR276" i="4"/>
  <c r="AV276" i="4"/>
  <c r="AT276" i="4"/>
  <c r="CI816" i="4" s="1"/>
  <c r="AQ276" i="4"/>
  <c r="CJ815" i="4" s="1"/>
  <c r="BE276" i="4"/>
  <c r="AS276" i="4"/>
  <c r="AP276" i="4"/>
  <c r="CI815" i="4" s="1"/>
  <c r="AM276" i="4"/>
  <c r="CJ814" i="4" s="1"/>
  <c r="AN276" i="4"/>
  <c r="AO276" i="4"/>
  <c r="AK276" i="4"/>
  <c r="AH276" i="4"/>
  <c r="AG276" i="4"/>
  <c r="AL276" i="4"/>
  <c r="CI814" i="4" s="1"/>
  <c r="AI276" i="4"/>
  <c r="AE276" i="4"/>
  <c r="AJ276" i="4"/>
  <c r="AF276" i="4"/>
  <c r="AB276" i="4"/>
  <c r="AD276" i="4"/>
  <c r="AA276" i="4"/>
  <c r="AC276" i="4"/>
  <c r="CE464" i="4"/>
  <c r="CC464" i="4"/>
  <c r="CQ1380" i="4" s="1"/>
  <c r="CA464" i="4"/>
  <c r="CB464" i="4"/>
  <c r="CP1380" i="4" s="1"/>
  <c r="CG464" i="4"/>
  <c r="CD464" i="4"/>
  <c r="BX464" i="4"/>
  <c r="CP1379" i="4" s="1"/>
  <c r="BW464" i="4"/>
  <c r="CF464" i="4"/>
  <c r="BY464" i="4"/>
  <c r="CQ1379" i="4" s="1"/>
  <c r="BR464" i="4"/>
  <c r="BO464" i="4"/>
  <c r="BP464" i="4"/>
  <c r="BV464" i="4"/>
  <c r="BN464" i="4"/>
  <c r="BT464" i="4"/>
  <c r="CP1378" i="4" s="1"/>
  <c r="BM464" i="4"/>
  <c r="BL464" i="4"/>
  <c r="BK464" i="4"/>
  <c r="BU464" i="4"/>
  <c r="CQ1378" i="4" s="1"/>
  <c r="BS464" i="4"/>
  <c r="BQ464" i="4"/>
  <c r="BJ464" i="4"/>
  <c r="BZ464" i="4"/>
  <c r="BG464" i="4"/>
  <c r="BF464" i="4"/>
  <c r="BI464" i="4"/>
  <c r="BE464" i="4"/>
  <c r="AY464" i="4"/>
  <c r="AW464" i="4"/>
  <c r="AX464" i="4"/>
  <c r="AR464" i="4"/>
  <c r="AS464" i="4"/>
  <c r="AU464" i="4"/>
  <c r="CJ1380" i="4" s="1"/>
  <c r="AQ464" i="4"/>
  <c r="CJ1379" i="4" s="1"/>
  <c r="AT464" i="4"/>
  <c r="CI1380" i="4" s="1"/>
  <c r="BH464" i="4"/>
  <c r="AI464" i="4"/>
  <c r="AH464" i="4"/>
  <c r="AG464" i="4"/>
  <c r="AM464" i="4"/>
  <c r="CJ1378" i="4" s="1"/>
  <c r="AV464" i="4"/>
  <c r="AP464" i="4"/>
  <c r="CI1379" i="4" s="1"/>
  <c r="AJ464" i="4"/>
  <c r="AN464" i="4"/>
  <c r="AL464" i="4"/>
  <c r="CI1378" i="4" s="1"/>
  <c r="AK464" i="4"/>
  <c r="AO464" i="4"/>
  <c r="AF464" i="4"/>
  <c r="AE464" i="4"/>
  <c r="AC464" i="4"/>
  <c r="AA464" i="4"/>
  <c r="AD464" i="4"/>
  <c r="AB464" i="4"/>
  <c r="CG255" i="4"/>
  <c r="CE255" i="4"/>
  <c r="CB255" i="4"/>
  <c r="CP753" i="4" s="1"/>
  <c r="CC255" i="4"/>
  <c r="CQ753" i="4" s="1"/>
  <c r="BZ255" i="4"/>
  <c r="BY255" i="4"/>
  <c r="CQ752" i="4" s="1"/>
  <c r="CF255" i="4"/>
  <c r="CD255" i="4"/>
  <c r="BX255" i="4"/>
  <c r="CP752" i="4" s="1"/>
  <c r="BS255" i="4"/>
  <c r="BR255" i="4"/>
  <c r="CA255" i="4"/>
  <c r="BW255" i="4"/>
  <c r="BU255" i="4"/>
  <c r="CQ751" i="4" s="1"/>
  <c r="BN255" i="4"/>
  <c r="BQ255" i="4"/>
  <c r="BM255" i="4"/>
  <c r="BL255" i="4"/>
  <c r="BK255" i="4"/>
  <c r="BV255" i="4"/>
  <c r="BO255" i="4"/>
  <c r="BT255" i="4"/>
  <c r="CP751" i="4" s="1"/>
  <c r="BJ255" i="4"/>
  <c r="BH255" i="4"/>
  <c r="BI255" i="4"/>
  <c r="BP255" i="4"/>
  <c r="BF255" i="4"/>
  <c r="BG255" i="4"/>
  <c r="AY255" i="4"/>
  <c r="AU255" i="4"/>
  <c r="CJ753" i="4" s="1"/>
  <c r="AX255" i="4"/>
  <c r="AQ255" i="4"/>
  <c r="CJ752" i="4" s="1"/>
  <c r="AR255" i="4"/>
  <c r="BE255" i="4"/>
  <c r="AS255" i="4"/>
  <c r="AT255" i="4"/>
  <c r="CI753" i="4" s="1"/>
  <c r="AW255" i="4"/>
  <c r="AO255" i="4"/>
  <c r="AN255" i="4"/>
  <c r="AV255" i="4"/>
  <c r="AP255" i="4"/>
  <c r="CI752" i="4" s="1"/>
  <c r="AM255" i="4"/>
  <c r="CJ751" i="4" s="1"/>
  <c r="AH255" i="4"/>
  <c r="AK255" i="4"/>
  <c r="AG255" i="4"/>
  <c r="AI255" i="4"/>
  <c r="AJ255" i="4"/>
  <c r="AB255" i="4"/>
  <c r="AL255" i="4"/>
  <c r="CI751" i="4" s="1"/>
  <c r="AD255" i="4"/>
  <c r="AA255" i="4"/>
  <c r="AF255" i="4"/>
  <c r="AE255" i="4"/>
  <c r="AC255" i="4"/>
  <c r="M122" i="4"/>
  <c r="M75" i="4"/>
  <c r="L112" i="4"/>
  <c r="CG153" i="4"/>
  <c r="CE153" i="4"/>
  <c r="CC153" i="4"/>
  <c r="CQ447" i="4" s="1"/>
  <c r="CA153" i="4"/>
  <c r="CF153" i="4"/>
  <c r="CD153" i="4"/>
  <c r="BZ153" i="4"/>
  <c r="BY153" i="4"/>
  <c r="CQ446" i="4" s="1"/>
  <c r="BX153" i="4"/>
  <c r="CP446" i="4" s="1"/>
  <c r="BV153" i="4"/>
  <c r="BU153" i="4"/>
  <c r="CQ445" i="4" s="1"/>
  <c r="BN153" i="4"/>
  <c r="BO153" i="4"/>
  <c r="BL153" i="4"/>
  <c r="BQ153" i="4"/>
  <c r="BM153" i="4"/>
  <c r="BP153" i="4"/>
  <c r="BW153" i="4"/>
  <c r="BT153" i="4"/>
  <c r="CP445" i="4" s="1"/>
  <c r="BS153" i="4"/>
  <c r="CB153" i="4"/>
  <c r="CP447" i="4" s="1"/>
  <c r="BR153" i="4"/>
  <c r="BE153" i="4"/>
  <c r="AY153" i="4"/>
  <c r="BJ153" i="4"/>
  <c r="BK153" i="4"/>
  <c r="BH153" i="4"/>
  <c r="BI153" i="4"/>
  <c r="BG153" i="4"/>
  <c r="AT153" i="4"/>
  <c r="CI447" i="4" s="1"/>
  <c r="BF153" i="4"/>
  <c r="AX153" i="4"/>
  <c r="AW153" i="4"/>
  <c r="AV153" i="4"/>
  <c r="AU153" i="4"/>
  <c r="CJ447" i="4" s="1"/>
  <c r="AR153" i="4"/>
  <c r="AQ153" i="4"/>
  <c r="CJ446" i="4" s="1"/>
  <c r="AN153" i="4"/>
  <c r="AS153" i="4"/>
  <c r="AP153" i="4"/>
  <c r="CI446" i="4" s="1"/>
  <c r="AK153" i="4"/>
  <c r="AM153" i="4"/>
  <c r="CJ445" i="4" s="1"/>
  <c r="AO153" i="4"/>
  <c r="AI153" i="4"/>
  <c r="AF153" i="4"/>
  <c r="AL153" i="4"/>
  <c r="CI445" i="4" s="1"/>
  <c r="AJ153" i="4"/>
  <c r="AG153" i="4"/>
  <c r="AE153" i="4"/>
  <c r="AH153" i="4"/>
  <c r="AB153" i="4"/>
  <c r="AC153" i="4"/>
  <c r="AD153" i="4"/>
  <c r="AA153" i="4"/>
  <c r="N43" i="4"/>
  <c r="CG321" i="4"/>
  <c r="CF321" i="4"/>
  <c r="BZ321" i="4"/>
  <c r="BY321" i="4"/>
  <c r="CQ950" i="4" s="1"/>
  <c r="BX321" i="4"/>
  <c r="CP950" i="4" s="1"/>
  <c r="BW321" i="4"/>
  <c r="BV321" i="4"/>
  <c r="CA321" i="4"/>
  <c r="CC321" i="4"/>
  <c r="CQ951" i="4" s="1"/>
  <c r="BU321" i="4"/>
  <c r="CQ949" i="4" s="1"/>
  <c r="BS321" i="4"/>
  <c r="BR321" i="4"/>
  <c r="BQ321" i="4"/>
  <c r="BP321" i="4"/>
  <c r="BO321" i="4"/>
  <c r="CB321" i="4"/>
  <c r="CP951" i="4" s="1"/>
  <c r="CE321" i="4"/>
  <c r="BT321" i="4"/>
  <c r="CP949" i="4" s="1"/>
  <c r="CD321" i="4"/>
  <c r="BN321" i="4"/>
  <c r="BK321" i="4"/>
  <c r="BJ321" i="4"/>
  <c r="BI321" i="4"/>
  <c r="BH321" i="4"/>
  <c r="BG321" i="4"/>
  <c r="BF321" i="4"/>
  <c r="BL321" i="4"/>
  <c r="BM321" i="4"/>
  <c r="BE321" i="4"/>
  <c r="AY321" i="4"/>
  <c r="AX321" i="4"/>
  <c r="AW321" i="4"/>
  <c r="AT321" i="4"/>
  <c r="CI951" i="4" s="1"/>
  <c r="AS321" i="4"/>
  <c r="AU321" i="4"/>
  <c r="CJ951" i="4" s="1"/>
  <c r="AV321" i="4"/>
  <c r="AR321" i="4"/>
  <c r="AP321" i="4"/>
  <c r="CI950" i="4" s="1"/>
  <c r="AN321" i="4"/>
  <c r="AQ321" i="4"/>
  <c r="CJ950" i="4" s="1"/>
  <c r="AM321" i="4"/>
  <c r="CJ949" i="4" s="1"/>
  <c r="AL321" i="4"/>
  <c r="CI949" i="4" s="1"/>
  <c r="AJ321" i="4"/>
  <c r="AH321" i="4"/>
  <c r="AI321" i="4"/>
  <c r="AK321" i="4"/>
  <c r="AO321" i="4"/>
  <c r="AF321" i="4"/>
  <c r="AA321" i="4"/>
  <c r="AC321" i="4"/>
  <c r="AG321" i="4"/>
  <c r="AD321" i="4"/>
  <c r="AE321" i="4"/>
  <c r="AB321" i="4"/>
  <c r="N77" i="4"/>
  <c r="L77" i="4"/>
  <c r="CF42" i="4"/>
  <c r="CD42" i="4"/>
  <c r="CC42" i="4"/>
  <c r="CQ114" i="4" s="1"/>
  <c r="CB42" i="4"/>
  <c r="CP114" i="4" s="1"/>
  <c r="CA42" i="4"/>
  <c r="CG42" i="4"/>
  <c r="CE42" i="4"/>
  <c r="BZ42" i="4"/>
  <c r="BY42" i="4"/>
  <c r="CQ113" i="4" s="1"/>
  <c r="BX42" i="4"/>
  <c r="CP113" i="4" s="1"/>
  <c r="BW42" i="4"/>
  <c r="BS42" i="4"/>
  <c r="BR42" i="4"/>
  <c r="BQ42" i="4"/>
  <c r="BP42" i="4"/>
  <c r="BO42" i="4"/>
  <c r="BU42" i="4"/>
  <c r="CQ112" i="4" s="1"/>
  <c r="BT42" i="4"/>
  <c r="CP112" i="4" s="1"/>
  <c r="BV42" i="4"/>
  <c r="BL42" i="4"/>
  <c r="BN42" i="4"/>
  <c r="BJ42" i="4"/>
  <c r="BI42" i="4"/>
  <c r="BH42" i="4"/>
  <c r="BG42" i="4"/>
  <c r="BF42" i="4"/>
  <c r="BE42" i="4"/>
  <c r="BK42" i="4"/>
  <c r="AY42" i="4"/>
  <c r="AW42" i="4"/>
  <c r="AV42" i="4"/>
  <c r="AX42" i="4"/>
  <c r="BM42" i="4"/>
  <c r="AT42" i="4"/>
  <c r="CI114" i="4" s="1"/>
  <c r="AR42" i="4"/>
  <c r="AU42" i="4"/>
  <c r="CJ114" i="4" s="1"/>
  <c r="AP42" i="4"/>
  <c r="CI113" i="4" s="1"/>
  <c r="AN42" i="4"/>
  <c r="AQ42" i="4"/>
  <c r="CJ113" i="4" s="1"/>
  <c r="AS42" i="4"/>
  <c r="AO42" i="4"/>
  <c r="AK42" i="4"/>
  <c r="AI42" i="4"/>
  <c r="AL42" i="4"/>
  <c r="CI112" i="4" s="1"/>
  <c r="AH42" i="4"/>
  <c r="AJ42" i="4"/>
  <c r="AF42" i="4"/>
  <c r="AG42" i="4"/>
  <c r="AD42" i="4"/>
  <c r="AM42" i="4"/>
  <c r="CJ112" i="4" s="1"/>
  <c r="AB42" i="4"/>
  <c r="AE42" i="4"/>
  <c r="AA42" i="4"/>
  <c r="AC42" i="4"/>
  <c r="CG199" i="4"/>
  <c r="CF199" i="4"/>
  <c r="CE199" i="4"/>
  <c r="CD199" i="4"/>
  <c r="CC199" i="4"/>
  <c r="CQ585" i="4" s="1"/>
  <c r="CB199" i="4"/>
  <c r="CP585" i="4" s="1"/>
  <c r="BZ199" i="4"/>
  <c r="BY199" i="4"/>
  <c r="CQ584" i="4" s="1"/>
  <c r="BX199" i="4"/>
  <c r="CP584" i="4" s="1"/>
  <c r="BW199" i="4"/>
  <c r="BU199" i="4"/>
  <c r="CQ583" i="4" s="1"/>
  <c r="CA199" i="4"/>
  <c r="BM199" i="4"/>
  <c r="BL199" i="4"/>
  <c r="BK199" i="4"/>
  <c r="BT199" i="4"/>
  <c r="CP583" i="4" s="1"/>
  <c r="BR199" i="4"/>
  <c r="BP199" i="4"/>
  <c r="BQ199" i="4"/>
  <c r="BO199" i="4"/>
  <c r="BV199" i="4"/>
  <c r="BS199" i="4"/>
  <c r="BN199" i="4"/>
  <c r="BI199" i="4"/>
  <c r="BJ199" i="4"/>
  <c r="BF199" i="4"/>
  <c r="BE199" i="4"/>
  <c r="AY199" i="4"/>
  <c r="BG199" i="4"/>
  <c r="BH199" i="4"/>
  <c r="AW199" i="4"/>
  <c r="AX199" i="4"/>
  <c r="AU199" i="4"/>
  <c r="CJ585" i="4" s="1"/>
  <c r="AV199" i="4"/>
  <c r="AQ199" i="4"/>
  <c r="CJ584" i="4" s="1"/>
  <c r="AT199" i="4"/>
  <c r="CI585" i="4" s="1"/>
  <c r="AN199" i="4"/>
  <c r="AS199" i="4"/>
  <c r="AO199" i="4"/>
  <c r="AR199" i="4"/>
  <c r="AM199" i="4"/>
  <c r="CJ583" i="4" s="1"/>
  <c r="AP199" i="4"/>
  <c r="CI584" i="4" s="1"/>
  <c r="AG199" i="4"/>
  <c r="AI199" i="4"/>
  <c r="AL199" i="4"/>
  <c r="CI583" i="4" s="1"/>
  <c r="AJ199" i="4"/>
  <c r="AH199" i="4"/>
  <c r="AF199" i="4"/>
  <c r="AK199" i="4"/>
  <c r="AA199" i="4"/>
  <c r="AD199" i="4"/>
  <c r="AE199" i="4"/>
  <c r="AB199" i="4"/>
  <c r="AC199" i="4"/>
  <c r="M101" i="4"/>
  <c r="CG170" i="4"/>
  <c r="CD170" i="4"/>
  <c r="CC170" i="4"/>
  <c r="CQ498" i="4" s="1"/>
  <c r="CB170" i="4"/>
  <c r="CP498" i="4" s="1"/>
  <c r="CA170" i="4"/>
  <c r="CE170" i="4"/>
  <c r="BZ170" i="4"/>
  <c r="BY170" i="4"/>
  <c r="CQ497" i="4" s="1"/>
  <c r="BX170" i="4"/>
  <c r="CP497" i="4" s="1"/>
  <c r="BS170" i="4"/>
  <c r="BR170" i="4"/>
  <c r="BQ170" i="4"/>
  <c r="BP170" i="4"/>
  <c r="BO170" i="4"/>
  <c r="BV170" i="4"/>
  <c r="CF170" i="4"/>
  <c r="BU170" i="4"/>
  <c r="CQ496" i="4" s="1"/>
  <c r="BN170" i="4"/>
  <c r="BM170" i="4"/>
  <c r="BT170" i="4"/>
  <c r="CP496" i="4" s="1"/>
  <c r="BW170" i="4"/>
  <c r="BK170" i="4"/>
  <c r="BJ170" i="4"/>
  <c r="BI170" i="4"/>
  <c r="BL170" i="4"/>
  <c r="AY170" i="4"/>
  <c r="BF170" i="4"/>
  <c r="BG170" i="4"/>
  <c r="AV170" i="4"/>
  <c r="BH170" i="4"/>
  <c r="AS170" i="4"/>
  <c r="AX170" i="4"/>
  <c r="AQ170" i="4"/>
  <c r="CJ497" i="4" s="1"/>
  <c r="AU170" i="4"/>
  <c r="CJ498" i="4" s="1"/>
  <c r="AT170" i="4"/>
  <c r="CI498" i="4" s="1"/>
  <c r="AR170" i="4"/>
  <c r="AP170" i="4"/>
  <c r="CI497" i="4" s="1"/>
  <c r="AN170" i="4"/>
  <c r="AW170" i="4"/>
  <c r="AM170" i="4"/>
  <c r="CJ496" i="4" s="1"/>
  <c r="AI170" i="4"/>
  <c r="AO170" i="4"/>
  <c r="BE170" i="4"/>
  <c r="AJ170" i="4"/>
  <c r="AH170" i="4"/>
  <c r="AK170" i="4"/>
  <c r="AG170" i="4"/>
  <c r="AL170" i="4"/>
  <c r="CI496" i="4" s="1"/>
  <c r="AF170" i="4"/>
  <c r="AD170" i="4"/>
  <c r="AB170" i="4"/>
  <c r="AC170" i="4"/>
  <c r="AA170" i="4"/>
  <c r="AE170" i="4"/>
  <c r="CF103" i="4"/>
  <c r="CE103" i="4"/>
  <c r="CD103" i="4"/>
  <c r="CC103" i="4"/>
  <c r="CQ297" i="4" s="1"/>
  <c r="CB103" i="4"/>
  <c r="CP297" i="4" s="1"/>
  <c r="BZ103" i="4"/>
  <c r="BY103" i="4"/>
  <c r="CQ296" i="4" s="1"/>
  <c r="BX103" i="4"/>
  <c r="CP296" i="4" s="1"/>
  <c r="BW103" i="4"/>
  <c r="CG103" i="4"/>
  <c r="CA103" i="4"/>
  <c r="BV103" i="4"/>
  <c r="BL103" i="4"/>
  <c r="BK103" i="4"/>
  <c r="BN103" i="4"/>
  <c r="BM103" i="4"/>
  <c r="BS103" i="4"/>
  <c r="BO103" i="4"/>
  <c r="BT103" i="4"/>
  <c r="CP295" i="4" s="1"/>
  <c r="BP103" i="4"/>
  <c r="BQ103" i="4"/>
  <c r="BR103" i="4"/>
  <c r="BI103" i="4"/>
  <c r="BE103" i="4"/>
  <c r="BJ103" i="4"/>
  <c r="BU103" i="4"/>
  <c r="CQ295" i="4" s="1"/>
  <c r="BF103" i="4"/>
  <c r="AY103" i="4"/>
  <c r="BH103" i="4"/>
  <c r="AV103" i="4"/>
  <c r="BG103" i="4"/>
  <c r="AW103" i="4"/>
  <c r="AX103" i="4"/>
  <c r="AT103" i="4"/>
  <c r="CI297" i="4" s="1"/>
  <c r="AU103" i="4"/>
  <c r="CJ297" i="4" s="1"/>
  <c r="AS103" i="4"/>
  <c r="AR103" i="4"/>
  <c r="AQ103" i="4"/>
  <c r="CJ296" i="4" s="1"/>
  <c r="AP103" i="4"/>
  <c r="CI296" i="4" s="1"/>
  <c r="AO103" i="4"/>
  <c r="AN103" i="4"/>
  <c r="AL103" i="4"/>
  <c r="CI295" i="4" s="1"/>
  <c r="AM103" i="4"/>
  <c r="CJ295" i="4" s="1"/>
  <c r="AK103" i="4"/>
  <c r="AI103" i="4"/>
  <c r="AG103" i="4"/>
  <c r="AH103" i="4"/>
  <c r="AF103" i="4"/>
  <c r="AE103" i="4"/>
  <c r="AJ103" i="4"/>
  <c r="AB103" i="4"/>
  <c r="AA103" i="4"/>
  <c r="AD103" i="4"/>
  <c r="AC103" i="4"/>
  <c r="CF349" i="4"/>
  <c r="CE349" i="4"/>
  <c r="CD349" i="4"/>
  <c r="CC349" i="4"/>
  <c r="CQ1035" i="4" s="1"/>
  <c r="CB349" i="4"/>
  <c r="CP1035" i="4" s="1"/>
  <c r="CA349" i="4"/>
  <c r="CG349" i="4"/>
  <c r="BU349" i="4"/>
  <c r="CQ1033" i="4" s="1"/>
  <c r="BT349" i="4"/>
  <c r="CP1033" i="4" s="1"/>
  <c r="BS349" i="4"/>
  <c r="BR349" i="4"/>
  <c r="BQ349" i="4"/>
  <c r="BW349" i="4"/>
  <c r="BZ349" i="4"/>
  <c r="BX349" i="4"/>
  <c r="CP1034" i="4" s="1"/>
  <c r="BP349" i="4"/>
  <c r="BM349" i="4"/>
  <c r="BL349" i="4"/>
  <c r="BY349" i="4"/>
  <c r="CQ1034" i="4" s="1"/>
  <c r="BO349" i="4"/>
  <c r="BN349" i="4"/>
  <c r="BJ349" i="4"/>
  <c r="BV349" i="4"/>
  <c r="BH349" i="4"/>
  <c r="BG349" i="4"/>
  <c r="BK349" i="4"/>
  <c r="BF349" i="4"/>
  <c r="BI349" i="4"/>
  <c r="AY349" i="4"/>
  <c r="AX349" i="4"/>
  <c r="AW349" i="4"/>
  <c r="AV349" i="4"/>
  <c r="AU349" i="4"/>
  <c r="CJ1035" i="4" s="1"/>
  <c r="AT349" i="4"/>
  <c r="CI1035" i="4" s="1"/>
  <c r="AQ349" i="4"/>
  <c r="CJ1034" i="4" s="1"/>
  <c r="AR349" i="4"/>
  <c r="BE349" i="4"/>
  <c r="AP349" i="4"/>
  <c r="CI1034" i="4" s="1"/>
  <c r="AN349" i="4"/>
  <c r="AM349" i="4"/>
  <c r="CJ1033" i="4" s="1"/>
  <c r="AS349" i="4"/>
  <c r="AO349" i="4"/>
  <c r="AJ349" i="4"/>
  <c r="AL349" i="4"/>
  <c r="CI1033" i="4" s="1"/>
  <c r="AH349" i="4"/>
  <c r="AK349" i="4"/>
  <c r="AE349" i="4"/>
  <c r="AG349" i="4"/>
  <c r="AF349" i="4"/>
  <c r="AB349" i="4"/>
  <c r="AC349" i="4"/>
  <c r="AD349" i="4"/>
  <c r="AI349" i="4"/>
  <c r="AA349" i="4"/>
  <c r="CF252" i="4"/>
  <c r="CE252" i="4"/>
  <c r="CG252" i="4"/>
  <c r="CB252" i="4"/>
  <c r="CP744" i="4" s="1"/>
  <c r="CD252" i="4"/>
  <c r="CA252" i="4"/>
  <c r="CC252" i="4"/>
  <c r="CQ744" i="4" s="1"/>
  <c r="BY252" i="4"/>
  <c r="CQ743" i="4" s="1"/>
  <c r="BX252" i="4"/>
  <c r="CP743" i="4" s="1"/>
  <c r="BS252" i="4"/>
  <c r="BR252" i="4"/>
  <c r="BW252" i="4"/>
  <c r="BT252" i="4"/>
  <c r="CP742" i="4" s="1"/>
  <c r="BZ252" i="4"/>
  <c r="BQ252" i="4"/>
  <c r="BU252" i="4"/>
  <c r="CQ742" i="4" s="1"/>
  <c r="BM252" i="4"/>
  <c r="BL252" i="4"/>
  <c r="BK252" i="4"/>
  <c r="BO252" i="4"/>
  <c r="BN252" i="4"/>
  <c r="BJ252" i="4"/>
  <c r="BI252" i="4"/>
  <c r="BH252" i="4"/>
  <c r="BG252" i="4"/>
  <c r="BV252" i="4"/>
  <c r="AY252" i="4"/>
  <c r="AX252" i="4"/>
  <c r="BP252" i="4"/>
  <c r="BF252" i="4"/>
  <c r="BE252" i="4"/>
  <c r="AU252" i="4"/>
  <c r="CJ744" i="4" s="1"/>
  <c r="AR252" i="4"/>
  <c r="AT252" i="4"/>
  <c r="CI744" i="4" s="1"/>
  <c r="AV252" i="4"/>
  <c r="AW252" i="4"/>
  <c r="AQ252" i="4"/>
  <c r="CJ743" i="4" s="1"/>
  <c r="AO252" i="4"/>
  <c r="AN252" i="4"/>
  <c r="AP252" i="4"/>
  <c r="CI743" i="4" s="1"/>
  <c r="AM252" i="4"/>
  <c r="CJ742" i="4" s="1"/>
  <c r="AS252" i="4"/>
  <c r="AH252" i="4"/>
  <c r="AK252" i="4"/>
  <c r="AF252" i="4"/>
  <c r="AE252" i="4"/>
  <c r="AD252" i="4"/>
  <c r="AC252" i="4"/>
  <c r="AJ252" i="4"/>
  <c r="AI252" i="4"/>
  <c r="AL252" i="4"/>
  <c r="CI742" i="4" s="1"/>
  <c r="AG252" i="4"/>
  <c r="AA252" i="4"/>
  <c r="AB252" i="4"/>
  <c r="CG89" i="4"/>
  <c r="CE89" i="4"/>
  <c r="CF89" i="4"/>
  <c r="CB89" i="4"/>
  <c r="CP255" i="4" s="1"/>
  <c r="CD89" i="4"/>
  <c r="CC89" i="4"/>
  <c r="CQ255" i="4" s="1"/>
  <c r="BZ89" i="4"/>
  <c r="BY89" i="4"/>
  <c r="CQ254" i="4" s="1"/>
  <c r="BX89" i="4"/>
  <c r="CP254" i="4" s="1"/>
  <c r="CA89" i="4"/>
  <c r="BW89" i="4"/>
  <c r="BP89" i="4"/>
  <c r="BS89" i="4"/>
  <c r="BL89" i="4"/>
  <c r="BT89" i="4"/>
  <c r="CP253" i="4" s="1"/>
  <c r="BR89" i="4"/>
  <c r="BN89" i="4"/>
  <c r="BV89" i="4"/>
  <c r="BQ89" i="4"/>
  <c r="BO89" i="4"/>
  <c r="BU89" i="4"/>
  <c r="CQ253" i="4" s="1"/>
  <c r="BM89" i="4"/>
  <c r="BJ89" i="4"/>
  <c r="BG89" i="4"/>
  <c r="BK89" i="4"/>
  <c r="AY89" i="4"/>
  <c r="AX89" i="4"/>
  <c r="BF89" i="4"/>
  <c r="BE89" i="4"/>
  <c r="BH89" i="4"/>
  <c r="AW89" i="4"/>
  <c r="BI89" i="4"/>
  <c r="AU89" i="4"/>
  <c r="CJ255" i="4" s="1"/>
  <c r="AV89" i="4"/>
  <c r="AR89" i="4"/>
  <c r="AO89" i="4"/>
  <c r="AP89" i="4"/>
  <c r="CI254" i="4" s="1"/>
  <c r="AT89" i="4"/>
  <c r="CI255" i="4" s="1"/>
  <c r="AQ89" i="4"/>
  <c r="CJ254" i="4" s="1"/>
  <c r="AM89" i="4"/>
  <c r="CJ253" i="4" s="1"/>
  <c r="AN89" i="4"/>
  <c r="AF89" i="4"/>
  <c r="AJ89" i="4"/>
  <c r="AL89" i="4"/>
  <c r="CI253" i="4" s="1"/>
  <c r="AK89" i="4"/>
  <c r="AS89" i="4"/>
  <c r="AI89" i="4"/>
  <c r="AH89" i="4"/>
  <c r="AG89" i="4"/>
  <c r="AA89" i="4"/>
  <c r="AC89" i="4"/>
  <c r="AD89" i="4"/>
  <c r="AB89" i="4"/>
  <c r="AE89" i="4"/>
  <c r="CG9" i="4"/>
  <c r="CF9" i="4"/>
  <c r="CE9" i="4"/>
  <c r="CD9" i="4"/>
  <c r="CB9" i="4"/>
  <c r="CP15" i="4" s="1"/>
  <c r="CC9" i="4"/>
  <c r="CQ15" i="4" s="1"/>
  <c r="BY9" i="4"/>
  <c r="CQ14" i="4" s="1"/>
  <c r="BX9" i="4"/>
  <c r="CP14" i="4" s="1"/>
  <c r="BW9" i="4"/>
  <c r="BU9" i="4"/>
  <c r="CQ13" i="4" s="1"/>
  <c r="BZ9" i="4"/>
  <c r="BT9" i="4"/>
  <c r="CP13" i="4" s="1"/>
  <c r="CA9" i="4"/>
  <c r="BO9" i="4"/>
  <c r="BL9" i="4"/>
  <c r="BK9" i="4"/>
  <c r="BS9" i="4"/>
  <c r="BR9" i="4"/>
  <c r="BM9" i="4"/>
  <c r="BJ9" i="4"/>
  <c r="BQ9" i="4"/>
  <c r="BN9" i="4"/>
  <c r="BP9" i="4"/>
  <c r="AY9" i="4"/>
  <c r="AX9" i="4"/>
  <c r="BH9" i="4"/>
  <c r="BG9" i="4"/>
  <c r="BV9" i="4"/>
  <c r="BE9" i="4"/>
  <c r="BF9" i="4"/>
  <c r="AV9" i="4"/>
  <c r="AS9" i="4"/>
  <c r="BI9" i="4"/>
  <c r="AT9" i="4"/>
  <c r="CI15" i="4" s="1"/>
  <c r="AP9" i="4"/>
  <c r="CI14" i="4" s="1"/>
  <c r="AU9" i="4"/>
  <c r="CJ15" i="4" s="1"/>
  <c r="AW9" i="4"/>
  <c r="AQ9" i="4"/>
  <c r="CJ14" i="4" s="1"/>
  <c r="AR9" i="4"/>
  <c r="AN9" i="4"/>
  <c r="AM9" i="4"/>
  <c r="CJ13" i="4" s="1"/>
  <c r="AK9" i="4"/>
  <c r="AL9" i="4"/>
  <c r="CI13" i="4" s="1"/>
  <c r="AJ9" i="4"/>
  <c r="AF9" i="4"/>
  <c r="AO9" i="4"/>
  <c r="AH9" i="4"/>
  <c r="AG9" i="4"/>
  <c r="AB9" i="4"/>
  <c r="AE9" i="4"/>
  <c r="AI9" i="4"/>
  <c r="AC9" i="4"/>
  <c r="AD9" i="4"/>
  <c r="AA9" i="4"/>
  <c r="M124" i="4"/>
  <c r="CG424" i="4"/>
  <c r="CE424" i="4"/>
  <c r="CD424" i="4"/>
  <c r="CC424" i="4"/>
  <c r="CQ1260" i="4" s="1"/>
  <c r="CF424" i="4"/>
  <c r="CA424" i="4"/>
  <c r="BZ424" i="4"/>
  <c r="BY424" i="4"/>
  <c r="CQ1259" i="4" s="1"/>
  <c r="BX424" i="4"/>
  <c r="CP1259" i="4" s="1"/>
  <c r="BW424" i="4"/>
  <c r="CB424" i="4"/>
  <c r="CP1260" i="4" s="1"/>
  <c r="BV424" i="4"/>
  <c r="BU424" i="4"/>
  <c r="CQ1258" i="4" s="1"/>
  <c r="BT424" i="4"/>
  <c r="CP1258" i="4" s="1"/>
  <c r="BS424" i="4"/>
  <c r="BR424" i="4"/>
  <c r="BQ424" i="4"/>
  <c r="BP424" i="4"/>
  <c r="BM424" i="4"/>
  <c r="BL424" i="4"/>
  <c r="BK424" i="4"/>
  <c r="BO424" i="4"/>
  <c r="BN424" i="4"/>
  <c r="BE424" i="4"/>
  <c r="AY424" i="4"/>
  <c r="BH424" i="4"/>
  <c r="BF424" i="4"/>
  <c r="BG424" i="4"/>
  <c r="AX424" i="4"/>
  <c r="AT424" i="4"/>
  <c r="CI1260" i="4" s="1"/>
  <c r="AU424" i="4"/>
  <c r="CJ1260" i="4" s="1"/>
  <c r="AV424" i="4"/>
  <c r="BJ424" i="4"/>
  <c r="BI424" i="4"/>
  <c r="AW424" i="4"/>
  <c r="AR424" i="4"/>
  <c r="AN424" i="4"/>
  <c r="AM424" i="4"/>
  <c r="CJ1258" i="4" s="1"/>
  <c r="AP424" i="4"/>
  <c r="CI1259" i="4" s="1"/>
  <c r="AO424" i="4"/>
  <c r="AS424" i="4"/>
  <c r="AQ424" i="4"/>
  <c r="CJ1259" i="4" s="1"/>
  <c r="AK424" i="4"/>
  <c r="AH424" i="4"/>
  <c r="AJ424" i="4"/>
  <c r="AG424" i="4"/>
  <c r="AL424" i="4"/>
  <c r="CI1258" i="4" s="1"/>
  <c r="AA424" i="4"/>
  <c r="AB424" i="4"/>
  <c r="AI424" i="4"/>
  <c r="AE424" i="4"/>
  <c r="AC424" i="4"/>
  <c r="AF424" i="4"/>
  <c r="AD424" i="4"/>
  <c r="CG245" i="4"/>
  <c r="CF245" i="4"/>
  <c r="CE245" i="4"/>
  <c r="CD245" i="4"/>
  <c r="CB245" i="4"/>
  <c r="CP723" i="4" s="1"/>
  <c r="CA245" i="4"/>
  <c r="BZ245" i="4"/>
  <c r="BY245" i="4"/>
  <c r="CQ722" i="4" s="1"/>
  <c r="BX245" i="4"/>
  <c r="CP722" i="4" s="1"/>
  <c r="BW245" i="4"/>
  <c r="BV245" i="4"/>
  <c r="BU245" i="4"/>
  <c r="CQ721" i="4" s="1"/>
  <c r="BT245" i="4"/>
  <c r="CP721" i="4" s="1"/>
  <c r="BO245" i="4"/>
  <c r="CC245" i="4"/>
  <c r="CQ723" i="4" s="1"/>
  <c r="BR245" i="4"/>
  <c r="BM245" i="4"/>
  <c r="BL245" i="4"/>
  <c r="BK245" i="4"/>
  <c r="BP245" i="4"/>
  <c r="BI245" i="4"/>
  <c r="BG245" i="4"/>
  <c r="BF245" i="4"/>
  <c r="BJ245" i="4"/>
  <c r="BS245" i="4"/>
  <c r="BQ245" i="4"/>
  <c r="AY245" i="4"/>
  <c r="AX245" i="4"/>
  <c r="BN245" i="4"/>
  <c r="AV245" i="4"/>
  <c r="AT245" i="4"/>
  <c r="CI723" i="4" s="1"/>
  <c r="AR245" i="4"/>
  <c r="BH245" i="4"/>
  <c r="AW245" i="4"/>
  <c r="BE245" i="4"/>
  <c r="AS245" i="4"/>
  <c r="AU245" i="4"/>
  <c r="CJ723" i="4" s="1"/>
  <c r="AP245" i="4"/>
  <c r="CI722" i="4" s="1"/>
  <c r="AL245" i="4"/>
  <c r="CI721" i="4" s="1"/>
  <c r="AK245" i="4"/>
  <c r="AQ245" i="4"/>
  <c r="CJ722" i="4" s="1"/>
  <c r="AM245" i="4"/>
  <c r="CJ721" i="4" s="1"/>
  <c r="AO245" i="4"/>
  <c r="AN245" i="4"/>
  <c r="AI245" i="4"/>
  <c r="AJ245" i="4"/>
  <c r="AG245" i="4"/>
  <c r="AF245" i="4"/>
  <c r="AE245" i="4"/>
  <c r="AH245" i="4"/>
  <c r="AC245" i="4"/>
  <c r="AB245" i="4"/>
  <c r="AA245" i="4"/>
  <c r="AD245" i="4"/>
  <c r="CG99" i="4"/>
  <c r="CF99" i="4"/>
  <c r="BZ99" i="4"/>
  <c r="BY99" i="4"/>
  <c r="CQ284" i="4" s="1"/>
  <c r="CA99" i="4"/>
  <c r="CC99" i="4"/>
  <c r="CQ285" i="4" s="1"/>
  <c r="BX99" i="4"/>
  <c r="CP284" i="4" s="1"/>
  <c r="BV99" i="4"/>
  <c r="BU99" i="4"/>
  <c r="CQ283" i="4" s="1"/>
  <c r="BT99" i="4"/>
  <c r="CP283" i="4" s="1"/>
  <c r="BS99" i="4"/>
  <c r="BR99" i="4"/>
  <c r="BQ99" i="4"/>
  <c r="BP99" i="4"/>
  <c r="BO99" i="4"/>
  <c r="BM99" i="4"/>
  <c r="CD99" i="4"/>
  <c r="CB99" i="4"/>
  <c r="CP285" i="4" s="1"/>
  <c r="BW99" i="4"/>
  <c r="BN99" i="4"/>
  <c r="CE99" i="4"/>
  <c r="BJ99" i="4"/>
  <c r="BI99" i="4"/>
  <c r="BH99" i="4"/>
  <c r="BK99" i="4"/>
  <c r="BG99" i="4"/>
  <c r="BE99" i="4"/>
  <c r="AY99" i="4"/>
  <c r="BF99" i="4"/>
  <c r="AX99" i="4"/>
  <c r="AT99" i="4"/>
  <c r="CI285" i="4" s="1"/>
  <c r="AU99" i="4"/>
  <c r="CJ285" i="4" s="1"/>
  <c r="AS99" i="4"/>
  <c r="BL99" i="4"/>
  <c r="AN99" i="4"/>
  <c r="AK99" i="4"/>
  <c r="AJ99" i="4"/>
  <c r="AI99" i="4"/>
  <c r="AW99" i="4"/>
  <c r="AM99" i="4"/>
  <c r="CJ283" i="4" s="1"/>
  <c r="AP99" i="4"/>
  <c r="CI284" i="4" s="1"/>
  <c r="AR99" i="4"/>
  <c r="AL99" i="4"/>
  <c r="CI283" i="4" s="1"/>
  <c r="AV99" i="4"/>
  <c r="AG99" i="4"/>
  <c r="AO99" i="4"/>
  <c r="AQ99" i="4"/>
  <c r="CJ284" i="4" s="1"/>
  <c r="AA99" i="4"/>
  <c r="AE99" i="4"/>
  <c r="AF99" i="4"/>
  <c r="AH99" i="4"/>
  <c r="AC99" i="4"/>
  <c r="AD99" i="4"/>
  <c r="AB99" i="4"/>
  <c r="CF76" i="4"/>
  <c r="CG76" i="4"/>
  <c r="CD76" i="4"/>
  <c r="CE76" i="4"/>
  <c r="BV76" i="4"/>
  <c r="BU76" i="4"/>
  <c r="CQ214" i="4" s="1"/>
  <c r="BS76" i="4"/>
  <c r="BR76" i="4"/>
  <c r="BQ76" i="4"/>
  <c r="BY76" i="4"/>
  <c r="CQ215" i="4" s="1"/>
  <c r="BT76" i="4"/>
  <c r="CP214" i="4" s="1"/>
  <c r="CC76" i="4"/>
  <c r="CQ216" i="4" s="1"/>
  <c r="BX76" i="4"/>
  <c r="CP215" i="4" s="1"/>
  <c r="BZ76" i="4"/>
  <c r="CB76" i="4"/>
  <c r="CP216" i="4" s="1"/>
  <c r="BW76" i="4"/>
  <c r="BL76" i="4"/>
  <c r="BK76" i="4"/>
  <c r="CA76" i="4"/>
  <c r="BO76" i="4"/>
  <c r="BP76" i="4"/>
  <c r="BN76" i="4"/>
  <c r="BJ76" i="4"/>
  <c r="BI76" i="4"/>
  <c r="BH76" i="4"/>
  <c r="BM76" i="4"/>
  <c r="BG76" i="4"/>
  <c r="BF76" i="4"/>
  <c r="BE76" i="4"/>
  <c r="AX76" i="4"/>
  <c r="AW76" i="4"/>
  <c r="AY76" i="4"/>
  <c r="AV76" i="4"/>
  <c r="AU76" i="4"/>
  <c r="CJ216" i="4" s="1"/>
  <c r="AS76" i="4"/>
  <c r="AR76" i="4"/>
  <c r="AT76" i="4"/>
  <c r="CI216" i="4" s="1"/>
  <c r="AP76" i="4"/>
  <c r="CI215" i="4" s="1"/>
  <c r="AL76" i="4"/>
  <c r="CI214" i="4" s="1"/>
  <c r="AN76" i="4"/>
  <c r="AI76" i="4"/>
  <c r="AO76" i="4"/>
  <c r="AM76" i="4"/>
  <c r="CJ214" i="4" s="1"/>
  <c r="AQ76" i="4"/>
  <c r="CJ215" i="4" s="1"/>
  <c r="AH76" i="4"/>
  <c r="AF76" i="4"/>
  <c r="AE76" i="4"/>
  <c r="AD76" i="4"/>
  <c r="AC76" i="4"/>
  <c r="AB76" i="4"/>
  <c r="AJ76" i="4"/>
  <c r="AK76" i="4"/>
  <c r="AG76" i="4"/>
  <c r="AA76" i="4"/>
  <c r="R61" i="4"/>
  <c r="K115" i="4"/>
  <c r="CG189" i="4"/>
  <c r="CD189" i="4"/>
  <c r="CC189" i="4"/>
  <c r="CQ555" i="4" s="1"/>
  <c r="CA189" i="4"/>
  <c r="CF189" i="4"/>
  <c r="CB189" i="4"/>
  <c r="CP555" i="4" s="1"/>
  <c r="BX189" i="4"/>
  <c r="CP554" i="4" s="1"/>
  <c r="BV189" i="4"/>
  <c r="BS189" i="4"/>
  <c r="BR189" i="4"/>
  <c r="BQ189" i="4"/>
  <c r="BY189" i="4"/>
  <c r="CQ554" i="4" s="1"/>
  <c r="BZ189" i="4"/>
  <c r="BW189" i="4"/>
  <c r="BN189" i="4"/>
  <c r="BT189" i="4"/>
  <c r="CP553" i="4" s="1"/>
  <c r="BO189" i="4"/>
  <c r="BM189" i="4"/>
  <c r="BL189" i="4"/>
  <c r="BP189" i="4"/>
  <c r="BK189" i="4"/>
  <c r="BU189" i="4"/>
  <c r="CQ553" i="4" s="1"/>
  <c r="BJ189" i="4"/>
  <c r="BF189" i="4"/>
  <c r="BI189" i="4"/>
  <c r="CE189" i="4"/>
  <c r="BE189" i="4"/>
  <c r="BH189" i="4"/>
  <c r="BG189" i="4"/>
  <c r="AV189" i="4"/>
  <c r="AT189" i="4"/>
  <c r="CI555" i="4" s="1"/>
  <c r="AY189" i="4"/>
  <c r="AW189" i="4"/>
  <c r="AU189" i="4"/>
  <c r="CJ555" i="4" s="1"/>
  <c r="AR189" i="4"/>
  <c r="AQ189" i="4"/>
  <c r="CJ554" i="4" s="1"/>
  <c r="AX189" i="4"/>
  <c r="AS189" i="4"/>
  <c r="AP189" i="4"/>
  <c r="CI554" i="4" s="1"/>
  <c r="AM189" i="4"/>
  <c r="CJ553" i="4" s="1"/>
  <c r="AK189" i="4"/>
  <c r="AO189" i="4"/>
  <c r="AI189" i="4"/>
  <c r="AJ189" i="4"/>
  <c r="AH189" i="4"/>
  <c r="AG189" i="4"/>
  <c r="AL189" i="4"/>
  <c r="CI553" i="4" s="1"/>
  <c r="AN189" i="4"/>
  <c r="AF189" i="4"/>
  <c r="AD189" i="4"/>
  <c r="AB189" i="4"/>
  <c r="AE189" i="4"/>
  <c r="AC189" i="4"/>
  <c r="AA189" i="4"/>
  <c r="CF314" i="4"/>
  <c r="CD314" i="4"/>
  <c r="CC314" i="4"/>
  <c r="CQ930" i="4" s="1"/>
  <c r="CB314" i="4"/>
  <c r="CP930" i="4" s="1"/>
  <c r="CA314" i="4"/>
  <c r="CE314" i="4"/>
  <c r="BZ314" i="4"/>
  <c r="BY314" i="4"/>
  <c r="CQ929" i="4" s="1"/>
  <c r="BX314" i="4"/>
  <c r="CP929" i="4" s="1"/>
  <c r="BV314" i="4"/>
  <c r="BU314" i="4"/>
  <c r="CQ928" i="4" s="1"/>
  <c r="BS314" i="4"/>
  <c r="BR314" i="4"/>
  <c r="BQ314" i="4"/>
  <c r="BP314" i="4"/>
  <c r="BO314" i="4"/>
  <c r="BT314" i="4"/>
  <c r="CP928" i="4" s="1"/>
  <c r="BW314" i="4"/>
  <c r="BM314" i="4"/>
  <c r="CG314" i="4"/>
  <c r="BN314" i="4"/>
  <c r="BL314" i="4"/>
  <c r="BJ314" i="4"/>
  <c r="BI314" i="4"/>
  <c r="BH314" i="4"/>
  <c r="BG314" i="4"/>
  <c r="BF314" i="4"/>
  <c r="BE314" i="4"/>
  <c r="BK314" i="4"/>
  <c r="AX314" i="4"/>
  <c r="AR314" i="4"/>
  <c r="AT314" i="4"/>
  <c r="CI930" i="4" s="1"/>
  <c r="AS314" i="4"/>
  <c r="AY314" i="4"/>
  <c r="AU314" i="4"/>
  <c r="CJ930" i="4" s="1"/>
  <c r="AV314" i="4"/>
  <c r="AW314" i="4"/>
  <c r="AQ314" i="4"/>
  <c r="CJ929" i="4" s="1"/>
  <c r="AO314" i="4"/>
  <c r="AN314" i="4"/>
  <c r="AL314" i="4"/>
  <c r="CI928" i="4" s="1"/>
  <c r="AK314" i="4"/>
  <c r="AM314" i="4"/>
  <c r="CJ928" i="4" s="1"/>
  <c r="AI314" i="4"/>
  <c r="AJ314" i="4"/>
  <c r="AE314" i="4"/>
  <c r="AP314" i="4"/>
  <c r="CI929" i="4" s="1"/>
  <c r="AG314" i="4"/>
  <c r="AD314" i="4"/>
  <c r="AB314" i="4"/>
  <c r="AH314" i="4"/>
  <c r="AF314" i="4"/>
  <c r="AC314" i="4"/>
  <c r="AA314" i="4"/>
  <c r="O97" i="4"/>
  <c r="CE463" i="4"/>
  <c r="CG463" i="4"/>
  <c r="CF463" i="4"/>
  <c r="CC463" i="4"/>
  <c r="CQ1377" i="4" s="1"/>
  <c r="CA463" i="4"/>
  <c r="CD463" i="4"/>
  <c r="BZ463" i="4"/>
  <c r="BY463" i="4"/>
  <c r="CQ1376" i="4" s="1"/>
  <c r="CB463" i="4"/>
  <c r="CP1377" i="4" s="1"/>
  <c r="BX463" i="4"/>
  <c r="CP1376" i="4" s="1"/>
  <c r="BT463" i="4"/>
  <c r="CP1375" i="4" s="1"/>
  <c r="BS463" i="4"/>
  <c r="BR463" i="4"/>
  <c r="BO463" i="4"/>
  <c r="BP463" i="4"/>
  <c r="BV463" i="4"/>
  <c r="BN463" i="4"/>
  <c r="BW463" i="4"/>
  <c r="BM463" i="4"/>
  <c r="BL463" i="4"/>
  <c r="BQ463" i="4"/>
  <c r="BK463" i="4"/>
  <c r="BF463" i="4"/>
  <c r="BI463" i="4"/>
  <c r="BJ463" i="4"/>
  <c r="BG463" i="4"/>
  <c r="AY463" i="4"/>
  <c r="BH463" i="4"/>
  <c r="BU463" i="4"/>
  <c r="CQ1375" i="4" s="1"/>
  <c r="AW463" i="4"/>
  <c r="AT463" i="4"/>
  <c r="CI1377" i="4" s="1"/>
  <c r="AV463" i="4"/>
  <c r="BE463" i="4"/>
  <c r="AQ463" i="4"/>
  <c r="CJ1376" i="4" s="1"/>
  <c r="AX463" i="4"/>
  <c r="AS463" i="4"/>
  <c r="AP463" i="4"/>
  <c r="CI1376" i="4" s="1"/>
  <c r="AR463" i="4"/>
  <c r="AI463" i="4"/>
  <c r="AM463" i="4"/>
  <c r="CJ1375" i="4" s="1"/>
  <c r="AJ463" i="4"/>
  <c r="AN463" i="4"/>
  <c r="AH463" i="4"/>
  <c r="AO463" i="4"/>
  <c r="AU463" i="4"/>
  <c r="CJ1377" i="4" s="1"/>
  <c r="AL463" i="4"/>
  <c r="CI1375" i="4" s="1"/>
  <c r="AF463" i="4"/>
  <c r="AE463" i="4"/>
  <c r="AG463" i="4"/>
  <c r="AK463" i="4"/>
  <c r="AB463" i="4"/>
  <c r="AD463" i="4"/>
  <c r="AA463" i="4"/>
  <c r="AC463" i="4"/>
  <c r="CG303" i="4"/>
  <c r="CF303" i="4"/>
  <c r="CD303" i="4"/>
  <c r="CE303" i="4"/>
  <c r="CA303" i="4"/>
  <c r="BZ303" i="4"/>
  <c r="BY303" i="4"/>
  <c r="CQ896" i="4" s="1"/>
  <c r="CB303" i="4"/>
  <c r="CP897" i="4" s="1"/>
  <c r="BS303" i="4"/>
  <c r="BR303" i="4"/>
  <c r="BV303" i="4"/>
  <c r="BW303" i="4"/>
  <c r="BT303" i="4"/>
  <c r="CP895" i="4" s="1"/>
  <c r="BU303" i="4"/>
  <c r="CQ895" i="4" s="1"/>
  <c r="BO303" i="4"/>
  <c r="BP303" i="4"/>
  <c r="BM303" i="4"/>
  <c r="BL303" i="4"/>
  <c r="BX303" i="4"/>
  <c r="CP896" i="4" s="1"/>
  <c r="BQ303" i="4"/>
  <c r="BN303" i="4"/>
  <c r="BK303" i="4"/>
  <c r="BJ303" i="4"/>
  <c r="CC303" i="4"/>
  <c r="CQ897" i="4" s="1"/>
  <c r="BI303" i="4"/>
  <c r="BH303" i="4"/>
  <c r="BG303" i="4"/>
  <c r="BF303" i="4"/>
  <c r="AY303" i="4"/>
  <c r="AX303" i="4"/>
  <c r="AW303" i="4"/>
  <c r="AV303" i="4"/>
  <c r="AT303" i="4"/>
  <c r="CI897" i="4" s="1"/>
  <c r="BE303" i="4"/>
  <c r="AR303" i="4"/>
  <c r="AU303" i="4"/>
  <c r="CJ897" i="4" s="1"/>
  <c r="AN303" i="4"/>
  <c r="AP303" i="4"/>
  <c r="CI896" i="4" s="1"/>
  <c r="AQ303" i="4"/>
  <c r="CJ896" i="4" s="1"/>
  <c r="AS303" i="4"/>
  <c r="AM303" i="4"/>
  <c r="CJ895" i="4" s="1"/>
  <c r="AO303" i="4"/>
  <c r="AL303" i="4"/>
  <c r="CI895" i="4" s="1"/>
  <c r="AJ303" i="4"/>
  <c r="AH303" i="4"/>
  <c r="AI303" i="4"/>
  <c r="AK303" i="4"/>
  <c r="AF303" i="4"/>
  <c r="AG303" i="4"/>
  <c r="AC303" i="4"/>
  <c r="AD303" i="4"/>
  <c r="AB303" i="4"/>
  <c r="AE303" i="4"/>
  <c r="AA303" i="4"/>
  <c r="N81" i="4"/>
  <c r="O90" i="4"/>
  <c r="CG291" i="4"/>
  <c r="CE291" i="4"/>
  <c r="BZ291" i="4"/>
  <c r="BY291" i="4"/>
  <c r="CQ860" i="4" s="1"/>
  <c r="CC291" i="4"/>
  <c r="CQ861" i="4" s="1"/>
  <c r="CF291" i="4"/>
  <c r="CB291" i="4"/>
  <c r="CP861" i="4" s="1"/>
  <c r="CA291" i="4"/>
  <c r="BX291" i="4"/>
  <c r="CP860" i="4" s="1"/>
  <c r="BS291" i="4"/>
  <c r="BR291" i="4"/>
  <c r="BQ291" i="4"/>
  <c r="BP291" i="4"/>
  <c r="BO291" i="4"/>
  <c r="BU291" i="4"/>
  <c r="CQ859" i="4" s="1"/>
  <c r="CD291" i="4"/>
  <c r="BN291" i="4"/>
  <c r="BV291" i="4"/>
  <c r="BM291" i="4"/>
  <c r="BT291" i="4"/>
  <c r="CP859" i="4" s="1"/>
  <c r="BJ291" i="4"/>
  <c r="BI291" i="4"/>
  <c r="BK291" i="4"/>
  <c r="BW291" i="4"/>
  <c r="BF291" i="4"/>
  <c r="AV291" i="4"/>
  <c r="BE291" i="4"/>
  <c r="BG291" i="4"/>
  <c r="BL291" i="4"/>
  <c r="BH291" i="4"/>
  <c r="AW291" i="4"/>
  <c r="AX291" i="4"/>
  <c r="AY291" i="4"/>
  <c r="AU291" i="4"/>
  <c r="CJ861" i="4" s="1"/>
  <c r="AR291" i="4"/>
  <c r="AQ291" i="4"/>
  <c r="CJ860" i="4" s="1"/>
  <c r="AT291" i="4"/>
  <c r="CI861" i="4" s="1"/>
  <c r="AS291" i="4"/>
  <c r="AL291" i="4"/>
  <c r="CI859" i="4" s="1"/>
  <c r="AK291" i="4"/>
  <c r="AJ291" i="4"/>
  <c r="AO291" i="4"/>
  <c r="AP291" i="4"/>
  <c r="CI860" i="4" s="1"/>
  <c r="AN291" i="4"/>
  <c r="AM291" i="4"/>
  <c r="CJ859" i="4" s="1"/>
  <c r="AG291" i="4"/>
  <c r="AI291" i="4"/>
  <c r="AH291" i="4"/>
  <c r="AA291" i="4"/>
  <c r="AC291" i="4"/>
  <c r="AD291" i="4"/>
  <c r="AF291" i="4"/>
  <c r="AB291" i="4"/>
  <c r="AE291" i="4"/>
  <c r="L78" i="4"/>
  <c r="N86" i="4"/>
  <c r="CF454" i="4"/>
  <c r="CG454" i="4"/>
  <c r="CB454" i="4"/>
  <c r="CP1350" i="4" s="1"/>
  <c r="CE454" i="4"/>
  <c r="CD454" i="4"/>
  <c r="CC454" i="4"/>
  <c r="CQ1350" i="4" s="1"/>
  <c r="BV454" i="4"/>
  <c r="BU454" i="4"/>
  <c r="CQ1348" i="4" s="1"/>
  <c r="BZ454" i="4"/>
  <c r="CA454" i="4"/>
  <c r="BY454" i="4"/>
  <c r="CQ1349" i="4" s="1"/>
  <c r="BW454" i="4"/>
  <c r="BT454" i="4"/>
  <c r="CP1348" i="4" s="1"/>
  <c r="BQ454" i="4"/>
  <c r="BS454" i="4"/>
  <c r="BO454" i="4"/>
  <c r="BR454" i="4"/>
  <c r="BN454" i="4"/>
  <c r="BP454" i="4"/>
  <c r="BM454" i="4"/>
  <c r="BK454" i="4"/>
  <c r="BX454" i="4"/>
  <c r="CP1349" i="4" s="1"/>
  <c r="BH454" i="4"/>
  <c r="BG454" i="4"/>
  <c r="BF454" i="4"/>
  <c r="AX454" i="4"/>
  <c r="AT454" i="4"/>
  <c r="CI1350" i="4" s="1"/>
  <c r="AS454" i="4"/>
  <c r="AR454" i="4"/>
  <c r="AQ454" i="4"/>
  <c r="CJ1349" i="4" s="1"/>
  <c r="AP454" i="4"/>
  <c r="CI1349" i="4" s="1"/>
  <c r="AW454" i="4"/>
  <c r="BE454" i="4"/>
  <c r="BJ454" i="4"/>
  <c r="BI454" i="4"/>
  <c r="BL454" i="4"/>
  <c r="AU454" i="4"/>
  <c r="CJ1350" i="4" s="1"/>
  <c r="AV454" i="4"/>
  <c r="AO454" i="4"/>
  <c r="AN454" i="4"/>
  <c r="AM454" i="4"/>
  <c r="CJ1348" i="4" s="1"/>
  <c r="AY454" i="4"/>
  <c r="AJ454" i="4"/>
  <c r="AG454" i="4"/>
  <c r="AL454" i="4"/>
  <c r="CI1348" i="4" s="1"/>
  <c r="AK454" i="4"/>
  <c r="AI454" i="4"/>
  <c r="AH454" i="4"/>
  <c r="AF454" i="4"/>
  <c r="AC454" i="4"/>
  <c r="AD454" i="4"/>
  <c r="AA454" i="4"/>
  <c r="AE454" i="4"/>
  <c r="AB454" i="4"/>
  <c r="K25" i="4"/>
  <c r="CE258" i="4"/>
  <c r="CF258" i="4"/>
  <c r="CC258" i="4"/>
  <c r="CQ762" i="4" s="1"/>
  <c r="BZ258" i="4"/>
  <c r="BY258" i="4"/>
  <c r="CQ761" i="4" s="1"/>
  <c r="BX258" i="4"/>
  <c r="CP761" i="4" s="1"/>
  <c r="BW258" i="4"/>
  <c r="CG258" i="4"/>
  <c r="CD258" i="4"/>
  <c r="CB258" i="4"/>
  <c r="CP762" i="4" s="1"/>
  <c r="BS258" i="4"/>
  <c r="BR258" i="4"/>
  <c r="BQ258" i="4"/>
  <c r="BP258" i="4"/>
  <c r="BO258" i="4"/>
  <c r="CA258" i="4"/>
  <c r="BT258" i="4"/>
  <c r="CP760" i="4" s="1"/>
  <c r="BN258" i="4"/>
  <c r="BU258" i="4"/>
  <c r="CQ760" i="4" s="1"/>
  <c r="BV258" i="4"/>
  <c r="BM258" i="4"/>
  <c r="BL258" i="4"/>
  <c r="BF258" i="4"/>
  <c r="BH258" i="4"/>
  <c r="BK258" i="4"/>
  <c r="BI258" i="4"/>
  <c r="BE258" i="4"/>
  <c r="AT258" i="4"/>
  <c r="CI762" i="4" s="1"/>
  <c r="BJ258" i="4"/>
  <c r="AY258" i="4"/>
  <c r="BG258" i="4"/>
  <c r="AU258" i="4"/>
  <c r="CJ762" i="4" s="1"/>
  <c r="AW258" i="4"/>
  <c r="AV258" i="4"/>
  <c r="AX258" i="4"/>
  <c r="AQ258" i="4"/>
  <c r="CJ761" i="4" s="1"/>
  <c r="AR258" i="4"/>
  <c r="AS258" i="4"/>
  <c r="AN258" i="4"/>
  <c r="AI258" i="4"/>
  <c r="AM258" i="4"/>
  <c r="CJ760" i="4" s="1"/>
  <c r="AO258" i="4"/>
  <c r="AL258" i="4"/>
  <c r="CI760" i="4" s="1"/>
  <c r="AH258" i="4"/>
  <c r="AP258" i="4"/>
  <c r="CI761" i="4" s="1"/>
  <c r="AG258" i="4"/>
  <c r="AK258" i="4"/>
  <c r="AE258" i="4"/>
  <c r="AJ258" i="4"/>
  <c r="AF258" i="4"/>
  <c r="AB258" i="4"/>
  <c r="AD258" i="4"/>
  <c r="AA258" i="4"/>
  <c r="AC258" i="4"/>
  <c r="K108" i="4"/>
  <c r="L107" i="4"/>
  <c r="CE362" i="4"/>
  <c r="CD362" i="4"/>
  <c r="CC362" i="4"/>
  <c r="CQ1074" i="4" s="1"/>
  <c r="CB362" i="4"/>
  <c r="CP1074" i="4" s="1"/>
  <c r="CA362" i="4"/>
  <c r="CF362" i="4"/>
  <c r="BZ362" i="4"/>
  <c r="BY362" i="4"/>
  <c r="CQ1073" i="4" s="1"/>
  <c r="BX362" i="4"/>
  <c r="CP1073" i="4" s="1"/>
  <c r="BT362" i="4"/>
  <c r="CP1072" i="4" s="1"/>
  <c r="BS362" i="4"/>
  <c r="BR362" i="4"/>
  <c r="BQ362" i="4"/>
  <c r="BP362" i="4"/>
  <c r="BO362" i="4"/>
  <c r="CG362" i="4"/>
  <c r="BV362" i="4"/>
  <c r="BM362" i="4"/>
  <c r="BN362" i="4"/>
  <c r="BU362" i="4"/>
  <c r="CQ1072" i="4" s="1"/>
  <c r="BW362" i="4"/>
  <c r="BJ362" i="4"/>
  <c r="BI362" i="4"/>
  <c r="BG362" i="4"/>
  <c r="BF362" i="4"/>
  <c r="BK362" i="4"/>
  <c r="AW362" i="4"/>
  <c r="AU362" i="4"/>
  <c r="CJ1074" i="4" s="1"/>
  <c r="BH362" i="4"/>
  <c r="BE362" i="4"/>
  <c r="AY362" i="4"/>
  <c r="AR362" i="4"/>
  <c r="BL362" i="4"/>
  <c r="AV362" i="4"/>
  <c r="AX362" i="4"/>
  <c r="AT362" i="4"/>
  <c r="CI1074" i="4" s="1"/>
  <c r="AO362" i="4"/>
  <c r="AP362" i="4"/>
  <c r="CI1073" i="4" s="1"/>
  <c r="AS362" i="4"/>
  <c r="AM362" i="4"/>
  <c r="CJ1072" i="4" s="1"/>
  <c r="AQ362" i="4"/>
  <c r="CJ1073" i="4" s="1"/>
  <c r="AL362" i="4"/>
  <c r="CI1072" i="4" s="1"/>
  <c r="AJ362" i="4"/>
  <c r="AK362" i="4"/>
  <c r="AI362" i="4"/>
  <c r="AH362" i="4"/>
  <c r="AN362" i="4"/>
  <c r="AG362" i="4"/>
  <c r="AF362" i="4"/>
  <c r="AC362" i="4"/>
  <c r="AA362" i="4"/>
  <c r="AE362" i="4"/>
  <c r="AB362" i="4"/>
  <c r="AD362" i="4"/>
  <c r="CG47" i="4"/>
  <c r="CF47" i="4"/>
  <c r="CD47" i="4"/>
  <c r="CA47" i="4"/>
  <c r="CB47" i="4"/>
  <c r="CP129" i="4" s="1"/>
  <c r="CE47" i="4"/>
  <c r="BZ47" i="4"/>
  <c r="BY47" i="4"/>
  <c r="CQ128" i="4" s="1"/>
  <c r="BX47" i="4"/>
  <c r="CP128" i="4" s="1"/>
  <c r="BS47" i="4"/>
  <c r="BR47" i="4"/>
  <c r="BQ47" i="4"/>
  <c r="BT47" i="4"/>
  <c r="CP127" i="4" s="1"/>
  <c r="BO47" i="4"/>
  <c r="CC47" i="4"/>
  <c r="CQ129" i="4" s="1"/>
  <c r="BL47" i="4"/>
  <c r="BK47" i="4"/>
  <c r="BV47" i="4"/>
  <c r="BP47" i="4"/>
  <c r="BM47" i="4"/>
  <c r="BU47" i="4"/>
  <c r="CQ127" i="4" s="1"/>
  <c r="BN47" i="4"/>
  <c r="BJ47" i="4"/>
  <c r="BI47" i="4"/>
  <c r="BW47" i="4"/>
  <c r="BG47" i="4"/>
  <c r="BH47" i="4"/>
  <c r="AY47" i="4"/>
  <c r="AW47" i="4"/>
  <c r="BF47" i="4"/>
  <c r="AT47" i="4"/>
  <c r="CI129" i="4" s="1"/>
  <c r="AS47" i="4"/>
  <c r="BE47" i="4"/>
  <c r="AR47" i="4"/>
  <c r="AP47" i="4"/>
  <c r="CI128" i="4" s="1"/>
  <c r="AU47" i="4"/>
  <c r="CJ129" i="4" s="1"/>
  <c r="AV47" i="4"/>
  <c r="AX47" i="4"/>
  <c r="AN47" i="4"/>
  <c r="AQ47" i="4"/>
  <c r="CJ128" i="4" s="1"/>
  <c r="AO47" i="4"/>
  <c r="AL47" i="4"/>
  <c r="CI127" i="4" s="1"/>
  <c r="AG47" i="4"/>
  <c r="AK47" i="4"/>
  <c r="AI47" i="4"/>
  <c r="AH47" i="4"/>
  <c r="AM47" i="4"/>
  <c r="CJ127" i="4" s="1"/>
  <c r="AB47" i="4"/>
  <c r="AF47" i="4"/>
  <c r="AE47" i="4"/>
  <c r="AC47" i="4"/>
  <c r="AD47" i="4"/>
  <c r="AJ47" i="4"/>
  <c r="AA47" i="4"/>
  <c r="M103" i="4"/>
  <c r="R125" i="4"/>
  <c r="N112" i="4"/>
  <c r="CE309" i="4"/>
  <c r="CG309" i="4"/>
  <c r="CF309" i="4"/>
  <c r="CD309" i="4"/>
  <c r="CC309" i="4"/>
  <c r="CQ915" i="4" s="1"/>
  <c r="CB309" i="4"/>
  <c r="CP915" i="4" s="1"/>
  <c r="BZ309" i="4"/>
  <c r="BY309" i="4"/>
  <c r="CQ914" i="4" s="1"/>
  <c r="BX309" i="4"/>
  <c r="CP914" i="4" s="1"/>
  <c r="BW309" i="4"/>
  <c r="BV309" i="4"/>
  <c r="BU309" i="4"/>
  <c r="CQ913" i="4" s="1"/>
  <c r="BT309" i="4"/>
  <c r="CP913" i="4" s="1"/>
  <c r="CA309" i="4"/>
  <c r="BS309" i="4"/>
  <c r="BN309" i="4"/>
  <c r="BR309" i="4"/>
  <c r="BO309" i="4"/>
  <c r="BM309" i="4"/>
  <c r="BL309" i="4"/>
  <c r="BP309" i="4"/>
  <c r="BQ309" i="4"/>
  <c r="BK309" i="4"/>
  <c r="BJ309" i="4"/>
  <c r="BF309" i="4"/>
  <c r="BI309" i="4"/>
  <c r="AT309" i="4"/>
  <c r="CI915" i="4" s="1"/>
  <c r="AY309" i="4"/>
  <c r="BE309" i="4"/>
  <c r="AU309" i="4"/>
  <c r="CJ915" i="4" s="1"/>
  <c r="BG309" i="4"/>
  <c r="AV309" i="4"/>
  <c r="AQ309" i="4"/>
  <c r="CJ914" i="4" s="1"/>
  <c r="AS309" i="4"/>
  <c r="AX309" i="4"/>
  <c r="AO309" i="4"/>
  <c r="AL309" i="4"/>
  <c r="CI913" i="4" s="1"/>
  <c r="AK309" i="4"/>
  <c r="AW309" i="4"/>
  <c r="AP309" i="4"/>
  <c r="CI914" i="4" s="1"/>
  <c r="BH309" i="4"/>
  <c r="AR309" i="4"/>
  <c r="AM309" i="4"/>
  <c r="CJ913" i="4" s="1"/>
  <c r="AJ309" i="4"/>
  <c r="AH309" i="4"/>
  <c r="AG309" i="4"/>
  <c r="AI309" i="4"/>
  <c r="AN309" i="4"/>
  <c r="AF309" i="4"/>
  <c r="AC309" i="4"/>
  <c r="AD309" i="4"/>
  <c r="AB309" i="4"/>
  <c r="AA309" i="4"/>
  <c r="AE309" i="4"/>
  <c r="K82" i="4"/>
  <c r="N51" i="4"/>
  <c r="CG66" i="4"/>
  <c r="CE66" i="4"/>
  <c r="BZ66" i="4"/>
  <c r="BY66" i="4"/>
  <c r="CQ185" i="4" s="1"/>
  <c r="BX66" i="4"/>
  <c r="CP185" i="4" s="1"/>
  <c r="BW66" i="4"/>
  <c r="BV66" i="4"/>
  <c r="CF66" i="4"/>
  <c r="CA66" i="4"/>
  <c r="CC66" i="4"/>
  <c r="CQ186" i="4" s="1"/>
  <c r="CB66" i="4"/>
  <c r="CP186" i="4" s="1"/>
  <c r="BU66" i="4"/>
  <c r="CQ184" i="4" s="1"/>
  <c r="BS66" i="4"/>
  <c r="BR66" i="4"/>
  <c r="BQ66" i="4"/>
  <c r="BP66" i="4"/>
  <c r="BO66" i="4"/>
  <c r="BM66" i="4"/>
  <c r="CD66" i="4"/>
  <c r="BT66" i="4"/>
  <c r="CP184" i="4" s="1"/>
  <c r="BJ66" i="4"/>
  <c r="BL66" i="4"/>
  <c r="BH66" i="4"/>
  <c r="AY66" i="4"/>
  <c r="BK66" i="4"/>
  <c r="BG66" i="4"/>
  <c r="BE66" i="4"/>
  <c r="BN66" i="4"/>
  <c r="AX66" i="4"/>
  <c r="AT66" i="4"/>
  <c r="CI186" i="4" s="1"/>
  <c r="BF66" i="4"/>
  <c r="BI66" i="4"/>
  <c r="AV66" i="4"/>
  <c r="AS66" i="4"/>
  <c r="AR66" i="4"/>
  <c r="AW66" i="4"/>
  <c r="AP66" i="4"/>
  <c r="CI185" i="4" s="1"/>
  <c r="AN66" i="4"/>
  <c r="AU66" i="4"/>
  <c r="CJ186" i="4" s="1"/>
  <c r="AQ66" i="4"/>
  <c r="CJ185" i="4" s="1"/>
  <c r="AH66" i="4"/>
  <c r="AO66" i="4"/>
  <c r="AM66" i="4"/>
  <c r="CJ184" i="4" s="1"/>
  <c r="AG66" i="4"/>
  <c r="AK66" i="4"/>
  <c r="AL66" i="4"/>
  <c r="CI184" i="4" s="1"/>
  <c r="AI66" i="4"/>
  <c r="AJ66" i="4"/>
  <c r="AE66" i="4"/>
  <c r="AC66" i="4"/>
  <c r="AF66" i="4"/>
  <c r="AD66" i="4"/>
  <c r="AB66" i="4"/>
  <c r="AA66" i="4"/>
  <c r="O21" i="4"/>
  <c r="CF329" i="4"/>
  <c r="CE329" i="4"/>
  <c r="CG329" i="4"/>
  <c r="CD329" i="4"/>
  <c r="CB329" i="4"/>
  <c r="CP975" i="4" s="1"/>
  <c r="BZ329" i="4"/>
  <c r="BY329" i="4"/>
  <c r="CQ974" i="4" s="1"/>
  <c r="CC329" i="4"/>
  <c r="CQ975" i="4" s="1"/>
  <c r="CA329" i="4"/>
  <c r="BT329" i="4"/>
  <c r="CP973" i="4" s="1"/>
  <c r="BW329" i="4"/>
  <c r="BU329" i="4"/>
  <c r="CQ973" i="4" s="1"/>
  <c r="BM329" i="4"/>
  <c r="BL329" i="4"/>
  <c r="BV329" i="4"/>
  <c r="BN329" i="4"/>
  <c r="BO329" i="4"/>
  <c r="BX329" i="4"/>
  <c r="CP974" i="4" s="1"/>
  <c r="BR329" i="4"/>
  <c r="BS329" i="4"/>
  <c r="BP329" i="4"/>
  <c r="BI329" i="4"/>
  <c r="BG329" i="4"/>
  <c r="BE329" i="4"/>
  <c r="AY329" i="4"/>
  <c r="BQ329" i="4"/>
  <c r="BF329" i="4"/>
  <c r="BK329" i="4"/>
  <c r="BH329" i="4"/>
  <c r="AX329" i="4"/>
  <c r="AU329" i="4"/>
  <c r="CJ975" i="4" s="1"/>
  <c r="AV329" i="4"/>
  <c r="BJ329" i="4"/>
  <c r="AS329" i="4"/>
  <c r="AP329" i="4"/>
  <c r="CI974" i="4" s="1"/>
  <c r="AQ329" i="4"/>
  <c r="CJ974" i="4" s="1"/>
  <c r="AR329" i="4"/>
  <c r="AT329" i="4"/>
  <c r="CI975" i="4" s="1"/>
  <c r="AN329" i="4"/>
  <c r="AM329" i="4"/>
  <c r="CJ973" i="4" s="1"/>
  <c r="AJ329" i="4"/>
  <c r="AH329" i="4"/>
  <c r="AW329" i="4"/>
  <c r="AE329" i="4"/>
  <c r="AG329" i="4"/>
  <c r="AI329" i="4"/>
  <c r="AD329" i="4"/>
  <c r="AL329" i="4"/>
  <c r="CI973" i="4" s="1"/>
  <c r="AC329" i="4"/>
  <c r="AA329" i="4"/>
  <c r="AF329" i="4"/>
  <c r="AK329" i="4"/>
  <c r="AB329" i="4"/>
  <c r="AO329" i="4"/>
  <c r="CG151" i="4"/>
  <c r="CF151" i="4"/>
  <c r="CE151" i="4"/>
  <c r="CD151" i="4"/>
  <c r="CC151" i="4"/>
  <c r="CQ441" i="4" s="1"/>
  <c r="CB151" i="4"/>
  <c r="CP441" i="4" s="1"/>
  <c r="CA151" i="4"/>
  <c r="BZ151" i="4"/>
  <c r="BY151" i="4"/>
  <c r="CQ440" i="4" s="1"/>
  <c r="BX151" i="4"/>
  <c r="CP440" i="4" s="1"/>
  <c r="BW151" i="4"/>
  <c r="BV151" i="4"/>
  <c r="BU151" i="4"/>
  <c r="CQ439" i="4" s="1"/>
  <c r="BT151" i="4"/>
  <c r="CP439" i="4" s="1"/>
  <c r="BL151" i="4"/>
  <c r="BK151" i="4"/>
  <c r="BO151" i="4"/>
  <c r="BM151" i="4"/>
  <c r="BQ151" i="4"/>
  <c r="BP151" i="4"/>
  <c r="BS151" i="4"/>
  <c r="BR151" i="4"/>
  <c r="BN151" i="4"/>
  <c r="BJ151" i="4"/>
  <c r="BE151" i="4"/>
  <c r="AY151" i="4"/>
  <c r="BG151" i="4"/>
  <c r="BH151" i="4"/>
  <c r="AX151" i="4"/>
  <c r="BI151" i="4"/>
  <c r="BF151" i="4"/>
  <c r="AS151" i="4"/>
  <c r="AV151" i="4"/>
  <c r="AT151" i="4"/>
  <c r="CI441" i="4" s="1"/>
  <c r="AR151" i="4"/>
  <c r="AW151" i="4"/>
  <c r="AU151" i="4"/>
  <c r="CJ441" i="4" s="1"/>
  <c r="AN151" i="4"/>
  <c r="AP151" i="4"/>
  <c r="CI440" i="4" s="1"/>
  <c r="AM151" i="4"/>
  <c r="CJ439" i="4" s="1"/>
  <c r="AO151" i="4"/>
  <c r="AQ151" i="4"/>
  <c r="CJ440" i="4" s="1"/>
  <c r="AL151" i="4"/>
  <c r="CI439" i="4" s="1"/>
  <c r="AH151" i="4"/>
  <c r="AJ151" i="4"/>
  <c r="AG151" i="4"/>
  <c r="AK151" i="4"/>
  <c r="AE151" i="4"/>
  <c r="AF151" i="4"/>
  <c r="AD151" i="4"/>
  <c r="AB151" i="4"/>
  <c r="AC151" i="4"/>
  <c r="AA151" i="4"/>
  <c r="AI151" i="4"/>
  <c r="K23" i="4"/>
  <c r="CG296" i="4"/>
  <c r="CF296" i="4"/>
  <c r="CD296" i="4"/>
  <c r="CC296" i="4"/>
  <c r="CQ876" i="4" s="1"/>
  <c r="CE296" i="4"/>
  <c r="CA296" i="4"/>
  <c r="BZ296" i="4"/>
  <c r="BY296" i="4"/>
  <c r="CQ875" i="4" s="1"/>
  <c r="BX296" i="4"/>
  <c r="CP875" i="4" s="1"/>
  <c r="BW296" i="4"/>
  <c r="CB296" i="4"/>
  <c r="CP876" i="4" s="1"/>
  <c r="BV296" i="4"/>
  <c r="BT296" i="4"/>
  <c r="CP874" i="4" s="1"/>
  <c r="BS296" i="4"/>
  <c r="BR296" i="4"/>
  <c r="BQ296" i="4"/>
  <c r="BP296" i="4"/>
  <c r="BO296" i="4"/>
  <c r="BM296" i="4"/>
  <c r="BL296" i="4"/>
  <c r="BK296" i="4"/>
  <c r="BU296" i="4"/>
  <c r="CQ874" i="4" s="1"/>
  <c r="BE296" i="4"/>
  <c r="AY296" i="4"/>
  <c r="BN296" i="4"/>
  <c r="BH296" i="4"/>
  <c r="BG296" i="4"/>
  <c r="BF296" i="4"/>
  <c r="AX296" i="4"/>
  <c r="AV296" i="4"/>
  <c r="BI296" i="4"/>
  <c r="AW296" i="4"/>
  <c r="AT296" i="4"/>
  <c r="CI876" i="4" s="1"/>
  <c r="AS296" i="4"/>
  <c r="BJ296" i="4"/>
  <c r="AU296" i="4"/>
  <c r="CJ876" i="4" s="1"/>
  <c r="AR296" i="4"/>
  <c r="AO296" i="4"/>
  <c r="AQ296" i="4"/>
  <c r="CJ875" i="4" s="1"/>
  <c r="AP296" i="4"/>
  <c r="CI875" i="4" s="1"/>
  <c r="AK296" i="4"/>
  <c r="AN296" i="4"/>
  <c r="AM296" i="4"/>
  <c r="CJ874" i="4" s="1"/>
  <c r="AL296" i="4"/>
  <c r="CI874" i="4" s="1"/>
  <c r="AJ296" i="4"/>
  <c r="AG296" i="4"/>
  <c r="AE296" i="4"/>
  <c r="AH296" i="4"/>
  <c r="AB296" i="4"/>
  <c r="AD296" i="4"/>
  <c r="AI296" i="4"/>
  <c r="AA296" i="4"/>
  <c r="AF296" i="4"/>
  <c r="AC296" i="4"/>
  <c r="M38" i="4"/>
  <c r="M77" i="4"/>
  <c r="CG355" i="4"/>
  <c r="CF355" i="4"/>
  <c r="CD355" i="4"/>
  <c r="BZ355" i="4"/>
  <c r="BY355" i="4"/>
  <c r="CQ1052" i="4" s="1"/>
  <c r="CA355" i="4"/>
  <c r="CE355" i="4"/>
  <c r="CC355" i="4"/>
  <c r="CQ1053" i="4" s="1"/>
  <c r="CB355" i="4"/>
  <c r="CP1053" i="4" s="1"/>
  <c r="BV355" i="4"/>
  <c r="BU355" i="4"/>
  <c r="CQ1051" i="4" s="1"/>
  <c r="BT355" i="4"/>
  <c r="CP1051" i="4" s="1"/>
  <c r="BS355" i="4"/>
  <c r="BR355" i="4"/>
  <c r="BQ355" i="4"/>
  <c r="BP355" i="4"/>
  <c r="BX355" i="4"/>
  <c r="CP1052" i="4" s="1"/>
  <c r="BN355" i="4"/>
  <c r="BW355" i="4"/>
  <c r="BK355" i="4"/>
  <c r="BJ355" i="4"/>
  <c r="BI355" i="4"/>
  <c r="BO355" i="4"/>
  <c r="BM355" i="4"/>
  <c r="BH355" i="4"/>
  <c r="BL355" i="4"/>
  <c r="BG355" i="4"/>
  <c r="BF355" i="4"/>
  <c r="AX355" i="4"/>
  <c r="BE355" i="4"/>
  <c r="AY355" i="4"/>
  <c r="AT355" i="4"/>
  <c r="CI1053" i="4" s="1"/>
  <c r="AW355" i="4"/>
  <c r="AS355" i="4"/>
  <c r="AV355" i="4"/>
  <c r="AR355" i="4"/>
  <c r="AU355" i="4"/>
  <c r="CJ1053" i="4" s="1"/>
  <c r="AN355" i="4"/>
  <c r="AL355" i="4"/>
  <c r="CI1051" i="4" s="1"/>
  <c r="AK355" i="4"/>
  <c r="AJ355" i="4"/>
  <c r="AM355" i="4"/>
  <c r="CJ1051" i="4" s="1"/>
  <c r="AQ355" i="4"/>
  <c r="CJ1052" i="4" s="1"/>
  <c r="AI355" i="4"/>
  <c r="AH355" i="4"/>
  <c r="AP355" i="4"/>
  <c r="CI1052" i="4" s="1"/>
  <c r="AO355" i="4"/>
  <c r="AF355" i="4"/>
  <c r="AE355" i="4"/>
  <c r="AA355" i="4"/>
  <c r="AD355" i="4"/>
  <c r="AB355" i="4"/>
  <c r="AG355" i="4"/>
  <c r="AC355" i="4"/>
  <c r="CG29" i="4"/>
  <c r="CD29" i="4"/>
  <c r="CC29" i="4"/>
  <c r="CQ75" i="4" s="1"/>
  <c r="CB29" i="4"/>
  <c r="CP75" i="4" s="1"/>
  <c r="CF29" i="4"/>
  <c r="CE29" i="4"/>
  <c r="CA29" i="4"/>
  <c r="BX29" i="4"/>
  <c r="CP74" i="4" s="1"/>
  <c r="BS29" i="4"/>
  <c r="BR29" i="4"/>
  <c r="BQ29" i="4"/>
  <c r="BP29" i="4"/>
  <c r="BU29" i="4"/>
  <c r="CQ73" i="4" s="1"/>
  <c r="BT29" i="4"/>
  <c r="CP73" i="4" s="1"/>
  <c r="BW29" i="4"/>
  <c r="BV29" i="4"/>
  <c r="BY29" i="4"/>
  <c r="CQ74" i="4" s="1"/>
  <c r="BL29" i="4"/>
  <c r="BK29" i="4"/>
  <c r="BN29" i="4"/>
  <c r="BO29" i="4"/>
  <c r="BJ29" i="4"/>
  <c r="BZ29" i="4"/>
  <c r="BI29" i="4"/>
  <c r="BM29" i="4"/>
  <c r="BG29" i="4"/>
  <c r="BH29" i="4"/>
  <c r="AX29" i="4"/>
  <c r="BE29" i="4"/>
  <c r="AW29" i="4"/>
  <c r="BF29" i="4"/>
  <c r="AV29" i="4"/>
  <c r="AT29" i="4"/>
  <c r="CI75" i="4" s="1"/>
  <c r="AS29" i="4"/>
  <c r="AY29" i="4"/>
  <c r="AU29" i="4"/>
  <c r="CJ75" i="4" s="1"/>
  <c r="AP29" i="4"/>
  <c r="CI74" i="4" s="1"/>
  <c r="AR29" i="4"/>
  <c r="AO29" i="4"/>
  <c r="AM29" i="4"/>
  <c r="CJ73" i="4" s="1"/>
  <c r="AN29" i="4"/>
  <c r="AL29" i="4"/>
  <c r="CI73" i="4" s="1"/>
  <c r="AQ29" i="4"/>
  <c r="CJ74" i="4" s="1"/>
  <c r="AJ29" i="4"/>
  <c r="AG29" i="4"/>
  <c r="AH29" i="4"/>
  <c r="AI29" i="4"/>
  <c r="AK29" i="4"/>
  <c r="AF29" i="4"/>
  <c r="AE29" i="4"/>
  <c r="AC29" i="4"/>
  <c r="AD29" i="4"/>
  <c r="AA29" i="4"/>
  <c r="AB29" i="4"/>
  <c r="CG208" i="4"/>
  <c r="CE208" i="4"/>
  <c r="CD208" i="4"/>
  <c r="CC208" i="4"/>
  <c r="CQ612" i="4" s="1"/>
  <c r="CA208" i="4"/>
  <c r="CB208" i="4"/>
  <c r="CP612" i="4" s="1"/>
  <c r="BV208" i="4"/>
  <c r="BW208" i="4"/>
  <c r="BY208" i="4"/>
  <c r="CQ611" i="4" s="1"/>
  <c r="BR208" i="4"/>
  <c r="BO208" i="4"/>
  <c r="BX208" i="4"/>
  <c r="CP611" i="4" s="1"/>
  <c r="BP208" i="4"/>
  <c r="BU208" i="4"/>
  <c r="CQ610" i="4" s="1"/>
  <c r="BN208" i="4"/>
  <c r="BZ208" i="4"/>
  <c r="CF208" i="4"/>
  <c r="BM208" i="4"/>
  <c r="BL208" i="4"/>
  <c r="BK208" i="4"/>
  <c r="BQ208" i="4"/>
  <c r="BJ208" i="4"/>
  <c r="BI208" i="4"/>
  <c r="BT208" i="4"/>
  <c r="CP610" i="4" s="1"/>
  <c r="BG208" i="4"/>
  <c r="BF208" i="4"/>
  <c r="BH208" i="4"/>
  <c r="BE208" i="4"/>
  <c r="AY208" i="4"/>
  <c r="AW208" i="4"/>
  <c r="AX208" i="4"/>
  <c r="BS208" i="4"/>
  <c r="AR208" i="4"/>
  <c r="AU208" i="4"/>
  <c r="CJ612" i="4" s="1"/>
  <c r="AT208" i="4"/>
  <c r="CI612" i="4" s="1"/>
  <c r="AQ208" i="4"/>
  <c r="CJ611" i="4" s="1"/>
  <c r="AV208" i="4"/>
  <c r="AS208" i="4"/>
  <c r="AP208" i="4"/>
  <c r="CI611" i="4" s="1"/>
  <c r="AL208" i="4"/>
  <c r="CI610" i="4" s="1"/>
  <c r="AO208" i="4"/>
  <c r="AM208" i="4"/>
  <c r="CJ610" i="4" s="1"/>
  <c r="AI208" i="4"/>
  <c r="AH208" i="4"/>
  <c r="AG208" i="4"/>
  <c r="AN208" i="4"/>
  <c r="AK208" i="4"/>
  <c r="AJ208" i="4"/>
  <c r="AF208" i="4"/>
  <c r="AE208" i="4"/>
  <c r="AC208" i="4"/>
  <c r="AB208" i="4"/>
  <c r="AD208" i="4"/>
  <c r="AA208" i="4"/>
  <c r="CG41" i="4"/>
  <c r="CF41" i="4"/>
  <c r="CE41" i="4"/>
  <c r="CD41" i="4"/>
  <c r="CA41" i="4"/>
  <c r="CB41" i="4"/>
  <c r="CP111" i="4" s="1"/>
  <c r="BZ41" i="4"/>
  <c r="BY41" i="4"/>
  <c r="CQ110" i="4" s="1"/>
  <c r="BX41" i="4"/>
  <c r="CP110" i="4" s="1"/>
  <c r="BU41" i="4"/>
  <c r="CQ109" i="4" s="1"/>
  <c r="BT41" i="4"/>
  <c r="CP109" i="4" s="1"/>
  <c r="BV41" i="4"/>
  <c r="BW41" i="4"/>
  <c r="BL41" i="4"/>
  <c r="BK41" i="4"/>
  <c r="BR41" i="4"/>
  <c r="BO41" i="4"/>
  <c r="CC41" i="4"/>
  <c r="CQ111" i="4" s="1"/>
  <c r="BN41" i="4"/>
  <c r="BS41" i="4"/>
  <c r="BJ41" i="4"/>
  <c r="BP41" i="4"/>
  <c r="AY41" i="4"/>
  <c r="AX41" i="4"/>
  <c r="BG41" i="4"/>
  <c r="BQ41" i="4"/>
  <c r="BF41" i="4"/>
  <c r="BH41" i="4"/>
  <c r="BI41" i="4"/>
  <c r="AW41" i="4"/>
  <c r="BE41" i="4"/>
  <c r="AU41" i="4"/>
  <c r="CJ111" i="4" s="1"/>
  <c r="BM41" i="4"/>
  <c r="AR41" i="4"/>
  <c r="AV41" i="4"/>
  <c r="AT41" i="4"/>
  <c r="CI111" i="4" s="1"/>
  <c r="AS41" i="4"/>
  <c r="AQ41" i="4"/>
  <c r="CJ110" i="4" s="1"/>
  <c r="AO41" i="4"/>
  <c r="AF41" i="4"/>
  <c r="AH41" i="4"/>
  <c r="AK41" i="4"/>
  <c r="AI41" i="4"/>
  <c r="AN41" i="4"/>
  <c r="AM41" i="4"/>
  <c r="CJ109" i="4" s="1"/>
  <c r="AP41" i="4"/>
  <c r="CI110" i="4" s="1"/>
  <c r="AL41" i="4"/>
  <c r="CI109" i="4" s="1"/>
  <c r="AE41" i="4"/>
  <c r="AG41" i="4"/>
  <c r="AB41" i="4"/>
  <c r="AA41" i="4"/>
  <c r="AD41" i="4"/>
  <c r="AC41" i="4"/>
  <c r="AJ41" i="4"/>
  <c r="M15" i="4"/>
  <c r="CG200" i="4"/>
  <c r="CD200" i="4"/>
  <c r="CC200" i="4"/>
  <c r="CQ588" i="4" s="1"/>
  <c r="CF200" i="4"/>
  <c r="CE200" i="4"/>
  <c r="CB200" i="4"/>
  <c r="CP588" i="4" s="1"/>
  <c r="BZ200" i="4"/>
  <c r="BY200" i="4"/>
  <c r="CQ587" i="4" s="1"/>
  <c r="BX200" i="4"/>
  <c r="CP587" i="4" s="1"/>
  <c r="BW200" i="4"/>
  <c r="BU200" i="4"/>
  <c r="CQ586" i="4" s="1"/>
  <c r="BT200" i="4"/>
  <c r="CP586" i="4" s="1"/>
  <c r="BS200" i="4"/>
  <c r="BR200" i="4"/>
  <c r="BQ200" i="4"/>
  <c r="BP200" i="4"/>
  <c r="BO200" i="4"/>
  <c r="BM200" i="4"/>
  <c r="BL200" i="4"/>
  <c r="BK200" i="4"/>
  <c r="CA200" i="4"/>
  <c r="BV200" i="4"/>
  <c r="BE200" i="4"/>
  <c r="AY200" i="4"/>
  <c r="BN200" i="4"/>
  <c r="BI200" i="4"/>
  <c r="BG200" i="4"/>
  <c r="BJ200" i="4"/>
  <c r="BH200" i="4"/>
  <c r="AX200" i="4"/>
  <c r="AW200" i="4"/>
  <c r="AU200" i="4"/>
  <c r="CJ588" i="4" s="1"/>
  <c r="AV200" i="4"/>
  <c r="BF200" i="4"/>
  <c r="AQ200" i="4"/>
  <c r="CJ587" i="4" s="1"/>
  <c r="AS200" i="4"/>
  <c r="AO200" i="4"/>
  <c r="AM200" i="4"/>
  <c r="CJ586" i="4" s="1"/>
  <c r="AT200" i="4"/>
  <c r="CI588" i="4" s="1"/>
  <c r="AR200" i="4"/>
  <c r="AP200" i="4"/>
  <c r="CI587" i="4" s="1"/>
  <c r="AJ200" i="4"/>
  <c r="AN200" i="4"/>
  <c r="AH200" i="4"/>
  <c r="AF200" i="4"/>
  <c r="AG200" i="4"/>
  <c r="AL200" i="4"/>
  <c r="CI586" i="4" s="1"/>
  <c r="AI200" i="4"/>
  <c r="AE200" i="4"/>
  <c r="AK200" i="4"/>
  <c r="AA200" i="4"/>
  <c r="AD200" i="4"/>
  <c r="AC200" i="4"/>
  <c r="AB200" i="4"/>
  <c r="N89" i="4"/>
  <c r="CG250" i="4"/>
  <c r="CD250" i="4"/>
  <c r="CC250" i="4"/>
  <c r="CQ738" i="4" s="1"/>
  <c r="CB250" i="4"/>
  <c r="CP738" i="4" s="1"/>
  <c r="CA250" i="4"/>
  <c r="CF250" i="4"/>
  <c r="CE250" i="4"/>
  <c r="BZ250" i="4"/>
  <c r="BY250" i="4"/>
  <c r="CQ737" i="4" s="1"/>
  <c r="BX250" i="4"/>
  <c r="CP737" i="4" s="1"/>
  <c r="BS250" i="4"/>
  <c r="BR250" i="4"/>
  <c r="BQ250" i="4"/>
  <c r="BP250" i="4"/>
  <c r="BO250" i="4"/>
  <c r="BW250" i="4"/>
  <c r="BU250" i="4"/>
  <c r="CQ736" i="4" s="1"/>
  <c r="BV250" i="4"/>
  <c r="BM250" i="4"/>
  <c r="BT250" i="4"/>
  <c r="CP736" i="4" s="1"/>
  <c r="BL250" i="4"/>
  <c r="BJ250" i="4"/>
  <c r="BI250" i="4"/>
  <c r="BH250" i="4"/>
  <c r="BK250" i="4"/>
  <c r="BF250" i="4"/>
  <c r="BN250" i="4"/>
  <c r="AY250" i="4"/>
  <c r="BG250" i="4"/>
  <c r="AW250" i="4"/>
  <c r="AX250" i="4"/>
  <c r="AT250" i="4"/>
  <c r="CI738" i="4" s="1"/>
  <c r="AQ250" i="4"/>
  <c r="CJ737" i="4" s="1"/>
  <c r="AV250" i="4"/>
  <c r="AR250" i="4"/>
  <c r="BE250" i="4"/>
  <c r="AN250" i="4"/>
  <c r="AS250" i="4"/>
  <c r="AU250" i="4"/>
  <c r="CJ738" i="4" s="1"/>
  <c r="AP250" i="4"/>
  <c r="CI737" i="4" s="1"/>
  <c r="AM250" i="4"/>
  <c r="CJ736" i="4" s="1"/>
  <c r="AO250" i="4"/>
  <c r="AK250" i="4"/>
  <c r="AG250" i="4"/>
  <c r="AJ250" i="4"/>
  <c r="AI250" i="4"/>
  <c r="AH250" i="4"/>
  <c r="AF250" i="4"/>
  <c r="AD250" i="4"/>
  <c r="AA250" i="4"/>
  <c r="AE250" i="4"/>
  <c r="AC250" i="4"/>
  <c r="AB250" i="4"/>
  <c r="AL250" i="4"/>
  <c r="CI736" i="4" s="1"/>
  <c r="CG130" i="4"/>
  <c r="CF130" i="4"/>
  <c r="CE130" i="4"/>
  <c r="CC130" i="4"/>
  <c r="CQ378" i="4" s="1"/>
  <c r="BZ130" i="4"/>
  <c r="BY130" i="4"/>
  <c r="CQ377" i="4" s="1"/>
  <c r="BX130" i="4"/>
  <c r="CP377" i="4" s="1"/>
  <c r="BW130" i="4"/>
  <c r="BU130" i="4"/>
  <c r="CQ376" i="4" s="1"/>
  <c r="CB130" i="4"/>
  <c r="CP378" i="4" s="1"/>
  <c r="BS130" i="4"/>
  <c r="BR130" i="4"/>
  <c r="BQ130" i="4"/>
  <c r="BP130" i="4"/>
  <c r="BO130" i="4"/>
  <c r="BT130" i="4"/>
  <c r="CP376" i="4" s="1"/>
  <c r="BV130" i="4"/>
  <c r="CD130" i="4"/>
  <c r="CA130" i="4"/>
  <c r="BN130" i="4"/>
  <c r="BI130" i="4"/>
  <c r="BM130" i="4"/>
  <c r="BG130" i="4"/>
  <c r="BF130" i="4"/>
  <c r="BL130" i="4"/>
  <c r="BH130" i="4"/>
  <c r="AX130" i="4"/>
  <c r="BK130" i="4"/>
  <c r="AW130" i="4"/>
  <c r="AY130" i="4"/>
  <c r="AV130" i="4"/>
  <c r="BE130" i="4"/>
  <c r="BJ130" i="4"/>
  <c r="AQ130" i="4"/>
  <c r="CJ377" i="4" s="1"/>
  <c r="AT130" i="4"/>
  <c r="CI378" i="4" s="1"/>
  <c r="AN130" i="4"/>
  <c r="AR130" i="4"/>
  <c r="AP130" i="4"/>
  <c r="CI377" i="4" s="1"/>
  <c r="AS130" i="4"/>
  <c r="AU130" i="4"/>
  <c r="CJ378" i="4" s="1"/>
  <c r="AH130" i="4"/>
  <c r="AG130" i="4"/>
  <c r="AJ130" i="4"/>
  <c r="AM130" i="4"/>
  <c r="CJ376" i="4" s="1"/>
  <c r="AK130" i="4"/>
  <c r="AO130" i="4"/>
  <c r="AL130" i="4"/>
  <c r="CI376" i="4" s="1"/>
  <c r="AE130" i="4"/>
  <c r="AI130" i="4"/>
  <c r="AF130" i="4"/>
  <c r="AB130" i="4"/>
  <c r="AD130" i="4"/>
  <c r="AC130" i="4"/>
  <c r="AA130" i="4"/>
  <c r="CG52" i="4"/>
  <c r="CC52" i="4"/>
  <c r="CQ144" i="4" s="1"/>
  <c r="BZ52" i="4"/>
  <c r="CF52" i="4"/>
  <c r="CD52" i="4"/>
  <c r="CB52" i="4"/>
  <c r="CP144" i="4" s="1"/>
  <c r="CA52" i="4"/>
  <c r="CE52" i="4"/>
  <c r="BY52" i="4"/>
  <c r="CQ143" i="4" s="1"/>
  <c r="BS52" i="4"/>
  <c r="BN52" i="4"/>
  <c r="BM52" i="4"/>
  <c r="BR52" i="4"/>
  <c r="BT52" i="4"/>
  <c r="CP142" i="4" s="1"/>
  <c r="BX52" i="4"/>
  <c r="CP143" i="4" s="1"/>
  <c r="BO52" i="4"/>
  <c r="BQ52" i="4"/>
  <c r="BW52" i="4"/>
  <c r="BP52" i="4"/>
  <c r="BK52" i="4"/>
  <c r="BU52" i="4"/>
  <c r="CQ142" i="4" s="1"/>
  <c r="BI52" i="4"/>
  <c r="BH52" i="4"/>
  <c r="BV52" i="4"/>
  <c r="BE52" i="4"/>
  <c r="BL52" i="4"/>
  <c r="BJ52" i="4"/>
  <c r="BF52" i="4"/>
  <c r="BG52" i="4"/>
  <c r="AV52" i="4"/>
  <c r="AX52" i="4"/>
  <c r="AY52" i="4"/>
  <c r="AW52" i="4"/>
  <c r="AQ52" i="4"/>
  <c r="CJ143" i="4" s="1"/>
  <c r="AT52" i="4"/>
  <c r="CI144" i="4" s="1"/>
  <c r="AS52" i="4"/>
  <c r="AU52" i="4"/>
  <c r="CJ144" i="4" s="1"/>
  <c r="AO52" i="4"/>
  <c r="AR52" i="4"/>
  <c r="AP52" i="4"/>
  <c r="CI143" i="4" s="1"/>
  <c r="AN52" i="4"/>
  <c r="AM52" i="4"/>
  <c r="CJ142" i="4" s="1"/>
  <c r="AJ52" i="4"/>
  <c r="AL52" i="4"/>
  <c r="CI142" i="4" s="1"/>
  <c r="AG52" i="4"/>
  <c r="AH52" i="4"/>
  <c r="AA52" i="4"/>
  <c r="AI52" i="4"/>
  <c r="AC52" i="4"/>
  <c r="AD52" i="4"/>
  <c r="AF52" i="4"/>
  <c r="AB52" i="4"/>
  <c r="AK52" i="4"/>
  <c r="AE52" i="4"/>
  <c r="K18" i="4"/>
  <c r="CG485" i="4"/>
  <c r="CF485" i="4"/>
  <c r="CE485" i="4"/>
  <c r="CC485" i="4"/>
  <c r="CQ1443" i="4" s="1"/>
  <c r="CD485" i="4"/>
  <c r="BZ485" i="4"/>
  <c r="BY485" i="4"/>
  <c r="CQ1442" i="4" s="1"/>
  <c r="BX485" i="4"/>
  <c r="CP1442" i="4" s="1"/>
  <c r="BW485" i="4"/>
  <c r="BV485" i="4"/>
  <c r="BU485" i="4"/>
  <c r="CQ1441" i="4" s="1"/>
  <c r="CA485" i="4"/>
  <c r="CB485" i="4"/>
  <c r="CP1443" i="4" s="1"/>
  <c r="BT485" i="4"/>
  <c r="CP1441" i="4" s="1"/>
  <c r="BS485" i="4"/>
  <c r="BQ485" i="4"/>
  <c r="BO485" i="4"/>
  <c r="BR485" i="4"/>
  <c r="BN485" i="4"/>
  <c r="BP485" i="4"/>
  <c r="BM485" i="4"/>
  <c r="BL485" i="4"/>
  <c r="BK485" i="4"/>
  <c r="BI485" i="4"/>
  <c r="BH485" i="4"/>
  <c r="BG485" i="4"/>
  <c r="BF485" i="4"/>
  <c r="BJ485" i="4"/>
  <c r="AY485" i="4"/>
  <c r="AX485" i="4"/>
  <c r="AW485" i="4"/>
  <c r="AU485" i="4"/>
  <c r="CJ1443" i="4" s="1"/>
  <c r="AT485" i="4"/>
  <c r="CI1443" i="4" s="1"/>
  <c r="AS485" i="4"/>
  <c r="BE485" i="4"/>
  <c r="AV485" i="4"/>
  <c r="AO485" i="4"/>
  <c r="AQ485" i="4"/>
  <c r="CJ1442" i="4" s="1"/>
  <c r="AL485" i="4"/>
  <c r="CI1441" i="4" s="1"/>
  <c r="AP485" i="4"/>
  <c r="CI1442" i="4" s="1"/>
  <c r="AM485" i="4"/>
  <c r="CJ1441" i="4" s="1"/>
  <c r="AR485" i="4"/>
  <c r="AI485" i="4"/>
  <c r="AJ485" i="4"/>
  <c r="AH485" i="4"/>
  <c r="AK485" i="4"/>
  <c r="AF485" i="4"/>
  <c r="AG485" i="4"/>
  <c r="AE485" i="4"/>
  <c r="AC485" i="4"/>
  <c r="AB485" i="4"/>
  <c r="AD485" i="4"/>
  <c r="AN485" i="4"/>
  <c r="AA485" i="4"/>
  <c r="CG150" i="4"/>
  <c r="CF150" i="4"/>
  <c r="CA150" i="4"/>
  <c r="CD150" i="4"/>
  <c r="CE150" i="4"/>
  <c r="CB150" i="4"/>
  <c r="CP438" i="4" s="1"/>
  <c r="BV150" i="4"/>
  <c r="BY150" i="4"/>
  <c r="CQ437" i="4" s="1"/>
  <c r="BZ150" i="4"/>
  <c r="BT150" i="4"/>
  <c r="CP436" i="4" s="1"/>
  <c r="CC150" i="4"/>
  <c r="CQ438" i="4" s="1"/>
  <c r="BW150" i="4"/>
  <c r="BO150" i="4"/>
  <c r="BM150" i="4"/>
  <c r="BQ150" i="4"/>
  <c r="BP150" i="4"/>
  <c r="BS150" i="4"/>
  <c r="BU150" i="4"/>
  <c r="CQ436" i="4" s="1"/>
  <c r="BN150" i="4"/>
  <c r="BL150" i="4"/>
  <c r="BR150" i="4"/>
  <c r="BX150" i="4"/>
  <c r="CP437" i="4" s="1"/>
  <c r="BJ150" i="4"/>
  <c r="BG150" i="4"/>
  <c r="BK150" i="4"/>
  <c r="AS150" i="4"/>
  <c r="AR150" i="4"/>
  <c r="AQ150" i="4"/>
  <c r="CJ437" i="4" s="1"/>
  <c r="AP150" i="4"/>
  <c r="CI437" i="4" s="1"/>
  <c r="BH150" i="4"/>
  <c r="AX150" i="4"/>
  <c r="AY150" i="4"/>
  <c r="BE150" i="4"/>
  <c r="AO150" i="4"/>
  <c r="AN150" i="4"/>
  <c r="AM150" i="4"/>
  <c r="CJ436" i="4" s="1"/>
  <c r="AL150" i="4"/>
  <c r="CI436" i="4" s="1"/>
  <c r="AT150" i="4"/>
  <c r="CI438" i="4" s="1"/>
  <c r="BF150" i="4"/>
  <c r="AW150" i="4"/>
  <c r="AU150" i="4"/>
  <c r="CJ438" i="4" s="1"/>
  <c r="BI150" i="4"/>
  <c r="AV150" i="4"/>
  <c r="AH150" i="4"/>
  <c r="AJ150" i="4"/>
  <c r="AK150" i="4"/>
  <c r="AE150" i="4"/>
  <c r="AI150" i="4"/>
  <c r="AA150" i="4"/>
  <c r="AG150" i="4"/>
  <c r="AD150" i="4"/>
  <c r="AB150" i="4"/>
  <c r="AF150" i="4"/>
  <c r="AC150" i="4"/>
  <c r="L42" i="4"/>
  <c r="CG105" i="4"/>
  <c r="CE105" i="4"/>
  <c r="CF105" i="4"/>
  <c r="CD105" i="4"/>
  <c r="CC105" i="4"/>
  <c r="CQ303" i="4" s="1"/>
  <c r="BZ105" i="4"/>
  <c r="BY105" i="4"/>
  <c r="CQ302" i="4" s="1"/>
  <c r="BX105" i="4"/>
  <c r="CP302" i="4" s="1"/>
  <c r="CB105" i="4"/>
  <c r="CP303" i="4" s="1"/>
  <c r="CA105" i="4"/>
  <c r="BV105" i="4"/>
  <c r="BW105" i="4"/>
  <c r="BT105" i="4"/>
  <c r="CP301" i="4" s="1"/>
  <c r="BL105" i="4"/>
  <c r="BN105" i="4"/>
  <c r="BM105" i="4"/>
  <c r="BS105" i="4"/>
  <c r="BP105" i="4"/>
  <c r="BU105" i="4"/>
  <c r="CQ301" i="4" s="1"/>
  <c r="BK105" i="4"/>
  <c r="BR105" i="4"/>
  <c r="BO105" i="4"/>
  <c r="BQ105" i="4"/>
  <c r="BH105" i="4"/>
  <c r="BF105" i="4"/>
  <c r="AY105" i="4"/>
  <c r="BI105" i="4"/>
  <c r="BJ105" i="4"/>
  <c r="BG105" i="4"/>
  <c r="AW105" i="4"/>
  <c r="BE105" i="4"/>
  <c r="AX105" i="4"/>
  <c r="AT105" i="4"/>
  <c r="CI303" i="4" s="1"/>
  <c r="AU105" i="4"/>
  <c r="CJ303" i="4" s="1"/>
  <c r="AV105" i="4"/>
  <c r="AQ105" i="4"/>
  <c r="CJ302" i="4" s="1"/>
  <c r="AS105" i="4"/>
  <c r="AR105" i="4"/>
  <c r="AP105" i="4"/>
  <c r="CI302" i="4" s="1"/>
  <c r="AO105" i="4"/>
  <c r="AF105" i="4"/>
  <c r="AK105" i="4"/>
  <c r="AN105" i="4"/>
  <c r="AI105" i="4"/>
  <c r="AG105" i="4"/>
  <c r="AM105" i="4"/>
  <c r="CJ301" i="4" s="1"/>
  <c r="AD105" i="4"/>
  <c r="AC105" i="4"/>
  <c r="AL105" i="4"/>
  <c r="CI301" i="4" s="1"/>
  <c r="AH105" i="4"/>
  <c r="AJ105" i="4"/>
  <c r="AA105" i="4"/>
  <c r="AE105" i="4"/>
  <c r="AB105" i="4"/>
  <c r="CF350" i="4"/>
  <c r="CE350" i="4"/>
  <c r="CD350" i="4"/>
  <c r="CC350" i="4"/>
  <c r="CQ1038" i="4" s="1"/>
  <c r="CB350" i="4"/>
  <c r="CP1038" i="4" s="1"/>
  <c r="CG350" i="4"/>
  <c r="BV350" i="4"/>
  <c r="BU350" i="4"/>
  <c r="CQ1036" i="4" s="1"/>
  <c r="BT350" i="4"/>
  <c r="CP1036" i="4" s="1"/>
  <c r="BS350" i="4"/>
  <c r="BR350" i="4"/>
  <c r="BQ350" i="4"/>
  <c r="BP350" i="4"/>
  <c r="BO350" i="4"/>
  <c r="BN350" i="4"/>
  <c r="CA350" i="4"/>
  <c r="BW350" i="4"/>
  <c r="BX350" i="4"/>
  <c r="CP1037" i="4" s="1"/>
  <c r="BZ350" i="4"/>
  <c r="BY350" i="4"/>
  <c r="CQ1037" i="4" s="1"/>
  <c r="BJ350" i="4"/>
  <c r="BM350" i="4"/>
  <c r="BH350" i="4"/>
  <c r="BG350" i="4"/>
  <c r="BE350" i="4"/>
  <c r="AY350" i="4"/>
  <c r="AX350" i="4"/>
  <c r="AW350" i="4"/>
  <c r="AV350" i="4"/>
  <c r="AU350" i="4"/>
  <c r="CJ1038" i="4" s="1"/>
  <c r="BL350" i="4"/>
  <c r="BK350" i="4"/>
  <c r="BI350" i="4"/>
  <c r="BF350" i="4"/>
  <c r="AS350" i="4"/>
  <c r="AP350" i="4"/>
  <c r="CI1037" i="4" s="1"/>
  <c r="AT350" i="4"/>
  <c r="CI1038" i="4" s="1"/>
  <c r="AR350" i="4"/>
  <c r="AQ350" i="4"/>
  <c r="CJ1037" i="4" s="1"/>
  <c r="AO350" i="4"/>
  <c r="AN350" i="4"/>
  <c r="AM350" i="4"/>
  <c r="CJ1036" i="4" s="1"/>
  <c r="AF350" i="4"/>
  <c r="AE350" i="4"/>
  <c r="AD350" i="4"/>
  <c r="AC350" i="4"/>
  <c r="AB350" i="4"/>
  <c r="AJ350" i="4"/>
  <c r="AK350" i="4"/>
  <c r="AH350" i="4"/>
  <c r="AA350" i="4"/>
  <c r="AG350" i="4"/>
  <c r="AL350" i="4"/>
  <c r="CI1036" i="4" s="1"/>
  <c r="AI350" i="4"/>
  <c r="CG253" i="4"/>
  <c r="CD253" i="4"/>
  <c r="CC253" i="4"/>
  <c r="CQ747" i="4" s="1"/>
  <c r="CF253" i="4"/>
  <c r="CE253" i="4"/>
  <c r="CB253" i="4"/>
  <c r="CP747" i="4" s="1"/>
  <c r="BY253" i="4"/>
  <c r="CQ746" i="4" s="1"/>
  <c r="BX253" i="4"/>
  <c r="CP746" i="4" s="1"/>
  <c r="BS253" i="4"/>
  <c r="BR253" i="4"/>
  <c r="BQ253" i="4"/>
  <c r="CA253" i="4"/>
  <c r="BW253" i="4"/>
  <c r="BU253" i="4"/>
  <c r="CQ745" i="4" s="1"/>
  <c r="BT253" i="4"/>
  <c r="CP745" i="4" s="1"/>
  <c r="BM253" i="4"/>
  <c r="BL253" i="4"/>
  <c r="BO253" i="4"/>
  <c r="BN253" i="4"/>
  <c r="BJ253" i="4"/>
  <c r="BZ253" i="4"/>
  <c r="BK253" i="4"/>
  <c r="BV253" i="4"/>
  <c r="BH253" i="4"/>
  <c r="BI253" i="4"/>
  <c r="BE253" i="4"/>
  <c r="BG253" i="4"/>
  <c r="AX253" i="4"/>
  <c r="AU253" i="4"/>
  <c r="CJ747" i="4" s="1"/>
  <c r="AS253" i="4"/>
  <c r="AT253" i="4"/>
  <c r="CI747" i="4" s="1"/>
  <c r="BF253" i="4"/>
  <c r="BP253" i="4"/>
  <c r="AR253" i="4"/>
  <c r="AV253" i="4"/>
  <c r="AY253" i="4"/>
  <c r="AO253" i="4"/>
  <c r="AN253" i="4"/>
  <c r="AM253" i="4"/>
  <c r="CJ745" i="4" s="1"/>
  <c r="AP253" i="4"/>
  <c r="CI746" i="4" s="1"/>
  <c r="AW253" i="4"/>
  <c r="AH253" i="4"/>
  <c r="AQ253" i="4"/>
  <c r="CJ746" i="4" s="1"/>
  <c r="AK253" i="4"/>
  <c r="AG253" i="4"/>
  <c r="AJ253" i="4"/>
  <c r="AI253" i="4"/>
  <c r="AL253" i="4"/>
  <c r="CI745" i="4" s="1"/>
  <c r="AF253" i="4"/>
  <c r="AD253" i="4"/>
  <c r="AA253" i="4"/>
  <c r="AE253" i="4"/>
  <c r="AC253" i="4"/>
  <c r="AB253" i="4"/>
  <c r="K27" i="4"/>
  <c r="R27" i="4"/>
  <c r="CD240" i="4"/>
  <c r="CG240" i="4"/>
  <c r="CF240" i="4"/>
  <c r="CB240" i="4"/>
  <c r="CP708" i="4" s="1"/>
  <c r="BV240" i="4"/>
  <c r="CE240" i="4"/>
  <c r="CA240" i="4"/>
  <c r="BN240" i="4"/>
  <c r="BO240" i="4"/>
  <c r="BP240" i="4"/>
  <c r="CC240" i="4"/>
  <c r="CQ708" i="4" s="1"/>
  <c r="BY240" i="4"/>
  <c r="CQ707" i="4" s="1"/>
  <c r="BZ240" i="4"/>
  <c r="BT240" i="4"/>
  <c r="CP706" i="4" s="1"/>
  <c r="BS240" i="4"/>
  <c r="BM240" i="4"/>
  <c r="BL240" i="4"/>
  <c r="BK240" i="4"/>
  <c r="BW240" i="4"/>
  <c r="BU240" i="4"/>
  <c r="CQ706" i="4" s="1"/>
  <c r="BR240" i="4"/>
  <c r="BJ240" i="4"/>
  <c r="BI240" i="4"/>
  <c r="BF240" i="4"/>
  <c r="BE240" i="4"/>
  <c r="AY240" i="4"/>
  <c r="BX240" i="4"/>
  <c r="CP707" i="4" s="1"/>
  <c r="AV240" i="4"/>
  <c r="BG240" i="4"/>
  <c r="BQ240" i="4"/>
  <c r="AX240" i="4"/>
  <c r="BH240" i="4"/>
  <c r="AW240" i="4"/>
  <c r="AU240" i="4"/>
  <c r="CJ708" i="4" s="1"/>
  <c r="AT240" i="4"/>
  <c r="CI708" i="4" s="1"/>
  <c r="AQ240" i="4"/>
  <c r="CJ707" i="4" s="1"/>
  <c r="AO240" i="4"/>
  <c r="AN240" i="4"/>
  <c r="AI240" i="4"/>
  <c r="AH240" i="4"/>
  <c r="AG240" i="4"/>
  <c r="AR240" i="4"/>
  <c r="AP240" i="4"/>
  <c r="CI707" i="4" s="1"/>
  <c r="AM240" i="4"/>
  <c r="CJ706" i="4" s="1"/>
  <c r="AL240" i="4"/>
  <c r="CI706" i="4" s="1"/>
  <c r="AJ240" i="4"/>
  <c r="AE240" i="4"/>
  <c r="AK240" i="4"/>
  <c r="AS240" i="4"/>
  <c r="AF240" i="4"/>
  <c r="AB240" i="4"/>
  <c r="AD240" i="4"/>
  <c r="AA240" i="4"/>
  <c r="AC240" i="4"/>
  <c r="CF8" i="4"/>
  <c r="CD8" i="4"/>
  <c r="CC8" i="4"/>
  <c r="CQ12" i="4" s="1"/>
  <c r="CB8" i="4"/>
  <c r="CP12" i="4" s="1"/>
  <c r="CG8" i="4"/>
  <c r="BY8" i="4"/>
  <c r="CQ11" i="4" s="1"/>
  <c r="BX8" i="4"/>
  <c r="CP11" i="4" s="1"/>
  <c r="BW8" i="4"/>
  <c r="CA8" i="4"/>
  <c r="BZ8" i="4"/>
  <c r="CE8" i="4"/>
  <c r="BU8" i="4"/>
  <c r="CQ10" i="4" s="1"/>
  <c r="BT8" i="4"/>
  <c r="CP10" i="4" s="1"/>
  <c r="BV8" i="4"/>
  <c r="BS8" i="4"/>
  <c r="BR8" i="4"/>
  <c r="BQ8" i="4"/>
  <c r="BP8" i="4"/>
  <c r="BO8" i="4"/>
  <c r="BL8" i="4"/>
  <c r="BK8" i="4"/>
  <c r="BJ8" i="4"/>
  <c r="BN8" i="4"/>
  <c r="BM8" i="4"/>
  <c r="AY8" i="4"/>
  <c r="AX8" i="4"/>
  <c r="BH8" i="4"/>
  <c r="BG8" i="4"/>
  <c r="BF8" i="4"/>
  <c r="BE8" i="4"/>
  <c r="BI8" i="4"/>
  <c r="AW8" i="4"/>
  <c r="AV8" i="4"/>
  <c r="AT8" i="4"/>
  <c r="CI12" i="4" s="1"/>
  <c r="AU8" i="4"/>
  <c r="CJ12" i="4" s="1"/>
  <c r="AS8" i="4"/>
  <c r="AR8" i="4"/>
  <c r="AQ8" i="4"/>
  <c r="CJ11" i="4" s="1"/>
  <c r="AN8" i="4"/>
  <c r="AP8" i="4"/>
  <c r="CI11" i="4" s="1"/>
  <c r="AI8" i="4"/>
  <c r="AO8" i="4"/>
  <c r="AJ8" i="4"/>
  <c r="AF8" i="4"/>
  <c r="AM8" i="4"/>
  <c r="CJ10" i="4" s="1"/>
  <c r="AH8" i="4"/>
  <c r="AG8" i="4"/>
  <c r="AK8" i="4"/>
  <c r="AE8" i="4"/>
  <c r="AL8" i="4"/>
  <c r="CI10" i="4" s="1"/>
  <c r="AC8" i="4"/>
  <c r="AD8" i="4"/>
  <c r="AB8" i="4"/>
  <c r="AA8" i="4"/>
  <c r="O124" i="4"/>
  <c r="CE426" i="4"/>
  <c r="CD426" i="4"/>
  <c r="CC426" i="4"/>
  <c r="CQ1266" i="4" s="1"/>
  <c r="CB426" i="4"/>
  <c r="CP1266" i="4" s="1"/>
  <c r="CA426" i="4"/>
  <c r="CG426" i="4"/>
  <c r="CF426" i="4"/>
  <c r="BZ426" i="4"/>
  <c r="BY426" i="4"/>
  <c r="CQ1265" i="4" s="1"/>
  <c r="BX426" i="4"/>
  <c r="CP1265" i="4" s="1"/>
  <c r="BT426" i="4"/>
  <c r="CP1264" i="4" s="1"/>
  <c r="BS426" i="4"/>
  <c r="BR426" i="4"/>
  <c r="BQ426" i="4"/>
  <c r="BP426" i="4"/>
  <c r="BV426" i="4"/>
  <c r="BU426" i="4"/>
  <c r="CQ1264" i="4" s="1"/>
  <c r="BN426" i="4"/>
  <c r="BM426" i="4"/>
  <c r="BO426" i="4"/>
  <c r="BW426" i="4"/>
  <c r="BK426" i="4"/>
  <c r="BJ426" i="4"/>
  <c r="BI426" i="4"/>
  <c r="BL426" i="4"/>
  <c r="BF426" i="4"/>
  <c r="BG426" i="4"/>
  <c r="BE426" i="4"/>
  <c r="AY426" i="4"/>
  <c r="AW426" i="4"/>
  <c r="AX426" i="4"/>
  <c r="AT426" i="4"/>
  <c r="CI1266" i="4" s="1"/>
  <c r="BH426" i="4"/>
  <c r="AR426" i="4"/>
  <c r="AQ426" i="4"/>
  <c r="CJ1265" i="4" s="1"/>
  <c r="AV426" i="4"/>
  <c r="AU426" i="4"/>
  <c r="CJ1266" i="4" s="1"/>
  <c r="AN426" i="4"/>
  <c r="AO426" i="4"/>
  <c r="AM426" i="4"/>
  <c r="CJ1264" i="4" s="1"/>
  <c r="AP426" i="4"/>
  <c r="CI1265" i="4" s="1"/>
  <c r="AL426" i="4"/>
  <c r="CI1264" i="4" s="1"/>
  <c r="AI426" i="4"/>
  <c r="AS426" i="4"/>
  <c r="AH426" i="4"/>
  <c r="AJ426" i="4"/>
  <c r="AG426" i="4"/>
  <c r="AK426" i="4"/>
  <c r="AF426" i="4"/>
  <c r="AA426" i="4"/>
  <c r="AB426" i="4"/>
  <c r="AE426" i="4"/>
  <c r="AC426" i="4"/>
  <c r="AD426" i="4"/>
  <c r="N114" i="4"/>
  <c r="CG246" i="4"/>
  <c r="CF246" i="4"/>
  <c r="CE246" i="4"/>
  <c r="CB246" i="4"/>
  <c r="CP726" i="4" s="1"/>
  <c r="CD246" i="4"/>
  <c r="BW246" i="4"/>
  <c r="BU246" i="4"/>
  <c r="CQ724" i="4" s="1"/>
  <c r="BT246" i="4"/>
  <c r="CP724" i="4" s="1"/>
  <c r="CA246" i="4"/>
  <c r="BV246" i="4"/>
  <c r="CC246" i="4"/>
  <c r="CQ726" i="4" s="1"/>
  <c r="BY246" i="4"/>
  <c r="CQ725" i="4" s="1"/>
  <c r="BO246" i="4"/>
  <c r="BP246" i="4"/>
  <c r="BN246" i="4"/>
  <c r="BZ246" i="4"/>
  <c r="BL246" i="4"/>
  <c r="BK246" i="4"/>
  <c r="BR246" i="4"/>
  <c r="BX246" i="4"/>
  <c r="CP725" i="4" s="1"/>
  <c r="BI246" i="4"/>
  <c r="BG246" i="4"/>
  <c r="BM246" i="4"/>
  <c r="BF246" i="4"/>
  <c r="BJ246" i="4"/>
  <c r="BS246" i="4"/>
  <c r="BQ246" i="4"/>
  <c r="AY246" i="4"/>
  <c r="AX246" i="4"/>
  <c r="AS246" i="4"/>
  <c r="AR246" i="4"/>
  <c r="AQ246" i="4"/>
  <c r="CJ725" i="4" s="1"/>
  <c r="AP246" i="4"/>
  <c r="CI725" i="4" s="1"/>
  <c r="BH246" i="4"/>
  <c r="AT246" i="4"/>
  <c r="CI726" i="4" s="1"/>
  <c r="AV246" i="4"/>
  <c r="AO246" i="4"/>
  <c r="AN246" i="4"/>
  <c r="AM246" i="4"/>
  <c r="CJ724" i="4" s="1"/>
  <c r="AW246" i="4"/>
  <c r="BE246" i="4"/>
  <c r="AU246" i="4"/>
  <c r="CJ726" i="4" s="1"/>
  <c r="AL246" i="4"/>
  <c r="CI724" i="4" s="1"/>
  <c r="AI246" i="4"/>
  <c r="AJ246" i="4"/>
  <c r="AF246" i="4"/>
  <c r="AE246" i="4"/>
  <c r="AK246" i="4"/>
  <c r="AH246" i="4"/>
  <c r="AG246" i="4"/>
  <c r="AC246" i="4"/>
  <c r="AB246" i="4"/>
  <c r="AD246" i="4"/>
  <c r="AA246" i="4"/>
  <c r="CF182" i="4"/>
  <c r="CE182" i="4"/>
  <c r="CG182" i="4"/>
  <c r="CC182" i="4"/>
  <c r="CQ534" i="4" s="1"/>
  <c r="CB182" i="4"/>
  <c r="CP534" i="4" s="1"/>
  <c r="CD182" i="4"/>
  <c r="CA182" i="4"/>
  <c r="BY182" i="4"/>
  <c r="CQ533" i="4" s="1"/>
  <c r="BZ182" i="4"/>
  <c r="BW182" i="4"/>
  <c r="BU182" i="4"/>
  <c r="CQ532" i="4" s="1"/>
  <c r="BX182" i="4"/>
  <c r="CP533" i="4" s="1"/>
  <c r="BT182" i="4"/>
  <c r="CP532" i="4" s="1"/>
  <c r="BO182" i="4"/>
  <c r="BS182" i="4"/>
  <c r="BP182" i="4"/>
  <c r="BV182" i="4"/>
  <c r="BM182" i="4"/>
  <c r="BQ182" i="4"/>
  <c r="BL182" i="4"/>
  <c r="BN182" i="4"/>
  <c r="BJ182" i="4"/>
  <c r="BH182" i="4"/>
  <c r="BK182" i="4"/>
  <c r="BR182" i="4"/>
  <c r="BF182" i="4"/>
  <c r="BI182" i="4"/>
  <c r="AS182" i="4"/>
  <c r="AR182" i="4"/>
  <c r="AQ182" i="4"/>
  <c r="CJ533" i="4" s="1"/>
  <c r="AP182" i="4"/>
  <c r="CI533" i="4" s="1"/>
  <c r="BE182" i="4"/>
  <c r="AW182" i="4"/>
  <c r="AU182" i="4"/>
  <c r="CJ534" i="4" s="1"/>
  <c r="BG182" i="4"/>
  <c r="AO182" i="4"/>
  <c r="AN182" i="4"/>
  <c r="AM182" i="4"/>
  <c r="CJ532" i="4" s="1"/>
  <c r="AY182" i="4"/>
  <c r="AX182" i="4"/>
  <c r="AV182" i="4"/>
  <c r="AT182" i="4"/>
  <c r="CI534" i="4" s="1"/>
  <c r="AG182" i="4"/>
  <c r="AL182" i="4"/>
  <c r="CI532" i="4" s="1"/>
  <c r="AJ182" i="4"/>
  <c r="AK182" i="4"/>
  <c r="AH182" i="4"/>
  <c r="AF182" i="4"/>
  <c r="AA182" i="4"/>
  <c r="AE182" i="4"/>
  <c r="AI182" i="4"/>
  <c r="AB182" i="4"/>
  <c r="AC182" i="4"/>
  <c r="AD182" i="4"/>
  <c r="K50" i="4"/>
  <c r="R71" i="4"/>
  <c r="M55" i="4"/>
  <c r="CG311" i="4"/>
  <c r="CF311" i="4"/>
  <c r="CE311" i="4"/>
  <c r="CD311" i="4"/>
  <c r="CC311" i="4"/>
  <c r="CQ921" i="4" s="1"/>
  <c r="CB311" i="4"/>
  <c r="CP921" i="4" s="1"/>
  <c r="BZ311" i="4"/>
  <c r="BY311" i="4"/>
  <c r="CQ920" i="4" s="1"/>
  <c r="BX311" i="4"/>
  <c r="CP920" i="4" s="1"/>
  <c r="BW311" i="4"/>
  <c r="CA311" i="4"/>
  <c r="BV311" i="4"/>
  <c r="BM311" i="4"/>
  <c r="BL311" i="4"/>
  <c r="BT311" i="4"/>
  <c r="CP919" i="4" s="1"/>
  <c r="BS311" i="4"/>
  <c r="BN311" i="4"/>
  <c r="BU311" i="4"/>
  <c r="CQ919" i="4" s="1"/>
  <c r="BR311" i="4"/>
  <c r="BQ311" i="4"/>
  <c r="BP311" i="4"/>
  <c r="BO311" i="4"/>
  <c r="BG311" i="4"/>
  <c r="BJ311" i="4"/>
  <c r="BF311" i="4"/>
  <c r="BI311" i="4"/>
  <c r="BK311" i="4"/>
  <c r="BH311" i="4"/>
  <c r="BE311" i="4"/>
  <c r="AY311" i="4"/>
  <c r="AW311" i="4"/>
  <c r="AU311" i="4"/>
  <c r="CJ921" i="4" s="1"/>
  <c r="AR311" i="4"/>
  <c r="AS311" i="4"/>
  <c r="AV311" i="4"/>
  <c r="AP311" i="4"/>
  <c r="CI920" i="4" s="1"/>
  <c r="AQ311" i="4"/>
  <c r="CJ920" i="4" s="1"/>
  <c r="AT311" i="4"/>
  <c r="CI921" i="4" s="1"/>
  <c r="AO311" i="4"/>
  <c r="AN311" i="4"/>
  <c r="AM311" i="4"/>
  <c r="CJ919" i="4" s="1"/>
  <c r="AX311" i="4"/>
  <c r="AL311" i="4"/>
  <c r="CI919" i="4" s="1"/>
  <c r="AK311" i="4"/>
  <c r="AJ311" i="4"/>
  <c r="AH311" i="4"/>
  <c r="AE311" i="4"/>
  <c r="AD311" i="4"/>
  <c r="AG311" i="4"/>
  <c r="AF311" i="4"/>
  <c r="AA311" i="4"/>
  <c r="AC311" i="4"/>
  <c r="AB311" i="4"/>
  <c r="AI311" i="4"/>
  <c r="CE292" i="4"/>
  <c r="CG292" i="4"/>
  <c r="CF292" i="4"/>
  <c r="CB292" i="4"/>
  <c r="CP864" i="4" s="1"/>
  <c r="CC292" i="4"/>
  <c r="CQ864" i="4" s="1"/>
  <c r="CD292" i="4"/>
  <c r="BZ292" i="4"/>
  <c r="BW292" i="4"/>
  <c r="BY292" i="4"/>
  <c r="CQ863" i="4" s="1"/>
  <c r="CA292" i="4"/>
  <c r="BX292" i="4"/>
  <c r="CP863" i="4" s="1"/>
  <c r="BT292" i="4"/>
  <c r="CP862" i="4" s="1"/>
  <c r="BU292" i="4"/>
  <c r="CQ862" i="4" s="1"/>
  <c r="BP292" i="4"/>
  <c r="BQ292" i="4"/>
  <c r="BN292" i="4"/>
  <c r="BV292" i="4"/>
  <c r="BS292" i="4"/>
  <c r="BM292" i="4"/>
  <c r="BJ292" i="4"/>
  <c r="BI292" i="4"/>
  <c r="BH292" i="4"/>
  <c r="BF292" i="4"/>
  <c r="BK292" i="4"/>
  <c r="BR292" i="4"/>
  <c r="BE292" i="4"/>
  <c r="BG292" i="4"/>
  <c r="AT292" i="4"/>
  <c r="CI864" i="4" s="1"/>
  <c r="BO292" i="4"/>
  <c r="BL292" i="4"/>
  <c r="AY292" i="4"/>
  <c r="AW292" i="4"/>
  <c r="AX292" i="4"/>
  <c r="AU292" i="4"/>
  <c r="CJ864" i="4" s="1"/>
  <c r="AV292" i="4"/>
  <c r="AR292" i="4"/>
  <c r="AP292" i="4"/>
  <c r="CI863" i="4" s="1"/>
  <c r="AQ292" i="4"/>
  <c r="CJ863" i="4" s="1"/>
  <c r="AO292" i="4"/>
  <c r="AN292" i="4"/>
  <c r="AM292" i="4"/>
  <c r="CJ862" i="4" s="1"/>
  <c r="AK292" i="4"/>
  <c r="AL292" i="4"/>
  <c r="CI862" i="4" s="1"/>
  <c r="AH292" i="4"/>
  <c r="AJ292" i="4"/>
  <c r="AG292" i="4"/>
  <c r="AS292" i="4"/>
  <c r="AI292" i="4"/>
  <c r="AD292" i="4"/>
  <c r="AC292" i="4"/>
  <c r="AB292" i="4"/>
  <c r="AF292" i="4"/>
  <c r="AA292" i="4"/>
  <c r="AE292" i="4"/>
  <c r="M25" i="4"/>
  <c r="L113" i="4"/>
  <c r="M82" i="4"/>
  <c r="CG358" i="4"/>
  <c r="CC358" i="4"/>
  <c r="CQ1062" i="4" s="1"/>
  <c r="CA358" i="4"/>
  <c r="CB358" i="4"/>
  <c r="CP1062" i="4" s="1"/>
  <c r="CE358" i="4"/>
  <c r="BX358" i="4"/>
  <c r="CP1061" i="4" s="1"/>
  <c r="CF358" i="4"/>
  <c r="BV358" i="4"/>
  <c r="CD358" i="4"/>
  <c r="BU358" i="4"/>
  <c r="CQ1060" i="4" s="1"/>
  <c r="BO358" i="4"/>
  <c r="BT358" i="4"/>
  <c r="CP1060" i="4" s="1"/>
  <c r="BN358" i="4"/>
  <c r="BS358" i="4"/>
  <c r="BQ358" i="4"/>
  <c r="BR358" i="4"/>
  <c r="BP358" i="4"/>
  <c r="BW358" i="4"/>
  <c r="BK358" i="4"/>
  <c r="BI358" i="4"/>
  <c r="BJ358" i="4"/>
  <c r="BZ358" i="4"/>
  <c r="BM358" i="4"/>
  <c r="BY358" i="4"/>
  <c r="CQ1061" i="4" s="1"/>
  <c r="AT358" i="4"/>
  <c r="CI1062" i="4" s="1"/>
  <c r="AS358" i="4"/>
  <c r="AR358" i="4"/>
  <c r="AQ358" i="4"/>
  <c r="CJ1061" i="4" s="1"/>
  <c r="AP358" i="4"/>
  <c r="CI1061" i="4" s="1"/>
  <c r="BH358" i="4"/>
  <c r="BL358" i="4"/>
  <c r="AY358" i="4"/>
  <c r="BE358" i="4"/>
  <c r="AO358" i="4"/>
  <c r="AN358" i="4"/>
  <c r="AM358" i="4"/>
  <c r="CJ1060" i="4" s="1"/>
  <c r="AW358" i="4"/>
  <c r="AU358" i="4"/>
  <c r="CJ1062" i="4" s="1"/>
  <c r="AV358" i="4"/>
  <c r="AX358" i="4"/>
  <c r="BG358" i="4"/>
  <c r="BF358" i="4"/>
  <c r="AL358" i="4"/>
  <c r="CI1060" i="4" s="1"/>
  <c r="AK358" i="4"/>
  <c r="AI358" i="4"/>
  <c r="AH358" i="4"/>
  <c r="AG358" i="4"/>
  <c r="AJ358" i="4"/>
  <c r="AC358" i="4"/>
  <c r="AF358" i="4"/>
  <c r="AA358" i="4"/>
  <c r="AD358" i="4"/>
  <c r="AB358" i="4"/>
  <c r="AE358" i="4"/>
  <c r="CG302" i="4"/>
  <c r="CF302" i="4"/>
  <c r="CD302" i="4"/>
  <c r="CC302" i="4"/>
  <c r="CQ894" i="4" s="1"/>
  <c r="CB302" i="4"/>
  <c r="CP894" i="4" s="1"/>
  <c r="CE302" i="4"/>
  <c r="BS302" i="4"/>
  <c r="BR302" i="4"/>
  <c r="BQ302" i="4"/>
  <c r="BP302" i="4"/>
  <c r="BO302" i="4"/>
  <c r="BN302" i="4"/>
  <c r="BZ302" i="4"/>
  <c r="BU302" i="4"/>
  <c r="CQ892" i="4" s="1"/>
  <c r="BY302" i="4"/>
  <c r="CQ893" i="4" s="1"/>
  <c r="BW302" i="4"/>
  <c r="BT302" i="4"/>
  <c r="CP892" i="4" s="1"/>
  <c r="BX302" i="4"/>
  <c r="CP893" i="4" s="1"/>
  <c r="CA302" i="4"/>
  <c r="BV302" i="4"/>
  <c r="BK302" i="4"/>
  <c r="BJ302" i="4"/>
  <c r="BM302" i="4"/>
  <c r="BL302" i="4"/>
  <c r="BI302" i="4"/>
  <c r="BE302" i="4"/>
  <c r="AY302" i="4"/>
  <c r="AX302" i="4"/>
  <c r="AW302" i="4"/>
  <c r="AV302" i="4"/>
  <c r="AU302" i="4"/>
  <c r="CJ894" i="4" s="1"/>
  <c r="AT302" i="4"/>
  <c r="CI894" i="4" s="1"/>
  <c r="BH302" i="4"/>
  <c r="BG302" i="4"/>
  <c r="BF302" i="4"/>
  <c r="AS302" i="4"/>
  <c r="AR302" i="4"/>
  <c r="AO302" i="4"/>
  <c r="AP302" i="4"/>
  <c r="CI893" i="4" s="1"/>
  <c r="AM302" i="4"/>
  <c r="CJ892" i="4" s="1"/>
  <c r="AQ302" i="4"/>
  <c r="CJ893" i="4" s="1"/>
  <c r="AN302" i="4"/>
  <c r="AL302" i="4"/>
  <c r="CI892" i="4" s="1"/>
  <c r="AJ302" i="4"/>
  <c r="AH302" i="4"/>
  <c r="AG302" i="4"/>
  <c r="AI302" i="4"/>
  <c r="AF302" i="4"/>
  <c r="AE302" i="4"/>
  <c r="AD302" i="4"/>
  <c r="AC302" i="4"/>
  <c r="AB302" i="4"/>
  <c r="AK302" i="4"/>
  <c r="AA302" i="4"/>
  <c r="CF7" i="4"/>
  <c r="CE7" i="4"/>
  <c r="CD7" i="4"/>
  <c r="CC7" i="4"/>
  <c r="CQ9" i="4" s="1"/>
  <c r="CB7" i="4"/>
  <c r="CP9" i="4" s="1"/>
  <c r="CA7" i="4"/>
  <c r="BY7" i="4"/>
  <c r="CQ8" i="4" s="1"/>
  <c r="BX7" i="4"/>
  <c r="CP8" i="4" s="1"/>
  <c r="BW7" i="4"/>
  <c r="BZ7" i="4"/>
  <c r="CG7" i="4"/>
  <c r="BU7" i="4"/>
  <c r="CQ7" i="4" s="1"/>
  <c r="BT7" i="4"/>
  <c r="CP7" i="4" s="1"/>
  <c r="BV7" i="4"/>
  <c r="BO7" i="4"/>
  <c r="BL7" i="4"/>
  <c r="BK7" i="4"/>
  <c r="BS7" i="4"/>
  <c r="BR7" i="4"/>
  <c r="BP7" i="4"/>
  <c r="BN7" i="4"/>
  <c r="BM7" i="4"/>
  <c r="BJ7" i="4"/>
  <c r="BQ7" i="4"/>
  <c r="BH7" i="4"/>
  <c r="BG7" i="4"/>
  <c r="BF7" i="4"/>
  <c r="AY7" i="4"/>
  <c r="AX7" i="4"/>
  <c r="BI7" i="4"/>
  <c r="AW7" i="4"/>
  <c r="AU7" i="4"/>
  <c r="CJ9" i="4" s="1"/>
  <c r="BE7" i="4"/>
  <c r="AR7" i="4"/>
  <c r="AV7" i="4"/>
  <c r="AS7" i="4"/>
  <c r="AQ7" i="4"/>
  <c r="CJ8" i="4" s="1"/>
  <c r="AP7" i="4"/>
  <c r="CI8" i="4" s="1"/>
  <c r="AO7" i="4"/>
  <c r="AT7" i="4"/>
  <c r="CI9" i="4" s="1"/>
  <c r="AK7" i="4"/>
  <c r="AN7" i="4"/>
  <c r="AM7" i="4"/>
  <c r="CJ7" i="4" s="1"/>
  <c r="AH7" i="4"/>
  <c r="AI7" i="4"/>
  <c r="AG7" i="4"/>
  <c r="AE7" i="4"/>
  <c r="AL7" i="4"/>
  <c r="CI7" i="4" s="1"/>
  <c r="AC7" i="4"/>
  <c r="AF7" i="4"/>
  <c r="AD7" i="4"/>
  <c r="AB7" i="4"/>
  <c r="AA7" i="4"/>
  <c r="AJ7" i="4"/>
  <c r="CG423" i="4"/>
  <c r="CF423" i="4"/>
  <c r="CE423" i="4"/>
  <c r="CD423" i="4"/>
  <c r="CC423" i="4"/>
  <c r="CQ1257" i="4" s="1"/>
  <c r="CB423" i="4"/>
  <c r="CP1257" i="4" s="1"/>
  <c r="CA423" i="4"/>
  <c r="BZ423" i="4"/>
  <c r="BY423" i="4"/>
  <c r="CQ1256" i="4" s="1"/>
  <c r="BX423" i="4"/>
  <c r="CP1256" i="4" s="1"/>
  <c r="BW423" i="4"/>
  <c r="BV423" i="4"/>
  <c r="BM423" i="4"/>
  <c r="BL423" i="4"/>
  <c r="BR423" i="4"/>
  <c r="BQ423" i="4"/>
  <c r="BU423" i="4"/>
  <c r="CQ1255" i="4" s="1"/>
  <c r="BS423" i="4"/>
  <c r="BN423" i="4"/>
  <c r="BT423" i="4"/>
  <c r="CP1255" i="4" s="1"/>
  <c r="BP423" i="4"/>
  <c r="BO423" i="4"/>
  <c r="BH423" i="4"/>
  <c r="BG423" i="4"/>
  <c r="BK423" i="4"/>
  <c r="BE423" i="4"/>
  <c r="AX423" i="4"/>
  <c r="BI423" i="4"/>
  <c r="AY423" i="4"/>
  <c r="BF423" i="4"/>
  <c r="AR423" i="4"/>
  <c r="BJ423" i="4"/>
  <c r="AW423" i="4"/>
  <c r="AQ423" i="4"/>
  <c r="CJ1256" i="4" s="1"/>
  <c r="AS423" i="4"/>
  <c r="AU423" i="4"/>
  <c r="CJ1257" i="4" s="1"/>
  <c r="AT423" i="4"/>
  <c r="CI1257" i="4" s="1"/>
  <c r="AP423" i="4"/>
  <c r="CI1256" i="4" s="1"/>
  <c r="AO423" i="4"/>
  <c r="AM423" i="4"/>
  <c r="CJ1255" i="4" s="1"/>
  <c r="AV423" i="4"/>
  <c r="AH423" i="4"/>
  <c r="AJ423" i="4"/>
  <c r="AL423" i="4"/>
  <c r="CI1255" i="4" s="1"/>
  <c r="AK423" i="4"/>
  <c r="AN423" i="4"/>
  <c r="AI423" i="4"/>
  <c r="AA423" i="4"/>
  <c r="AB423" i="4"/>
  <c r="AG423" i="4"/>
  <c r="AF423" i="4"/>
  <c r="AE423" i="4"/>
  <c r="AC423" i="4"/>
  <c r="AD423" i="4"/>
  <c r="R73" i="4"/>
  <c r="R24" i="4"/>
  <c r="L52" i="4"/>
  <c r="CF318" i="4"/>
  <c r="CD318" i="4"/>
  <c r="CC318" i="4"/>
  <c r="CQ942" i="4" s="1"/>
  <c r="CB318" i="4"/>
  <c r="CP942" i="4" s="1"/>
  <c r="CE318" i="4"/>
  <c r="CA318" i="4"/>
  <c r="BW318" i="4"/>
  <c r="BV318" i="4"/>
  <c r="BU318" i="4"/>
  <c r="CQ940" i="4" s="1"/>
  <c r="BS318" i="4"/>
  <c r="BR318" i="4"/>
  <c r="BQ318" i="4"/>
  <c r="BP318" i="4"/>
  <c r="BO318" i="4"/>
  <c r="BN318" i="4"/>
  <c r="BX318" i="4"/>
  <c r="CP941" i="4" s="1"/>
  <c r="CG318" i="4"/>
  <c r="BY318" i="4"/>
  <c r="CQ941" i="4" s="1"/>
  <c r="BT318" i="4"/>
  <c r="CP940" i="4" s="1"/>
  <c r="BZ318" i="4"/>
  <c r="BK318" i="4"/>
  <c r="BJ318" i="4"/>
  <c r="BL318" i="4"/>
  <c r="BH318" i="4"/>
  <c r="BE318" i="4"/>
  <c r="AY318" i="4"/>
  <c r="AX318" i="4"/>
  <c r="AW318" i="4"/>
  <c r="AV318" i="4"/>
  <c r="AU318" i="4"/>
  <c r="CJ942" i="4" s="1"/>
  <c r="AT318" i="4"/>
  <c r="CI942" i="4" s="1"/>
  <c r="BF318" i="4"/>
  <c r="BM318" i="4"/>
  <c r="BI318" i="4"/>
  <c r="BG318" i="4"/>
  <c r="AQ318" i="4"/>
  <c r="CJ941" i="4" s="1"/>
  <c r="AR318" i="4"/>
  <c r="AS318" i="4"/>
  <c r="AN318" i="4"/>
  <c r="AP318" i="4"/>
  <c r="CI941" i="4" s="1"/>
  <c r="AL318" i="4"/>
  <c r="CI940" i="4" s="1"/>
  <c r="AM318" i="4"/>
  <c r="CJ940" i="4" s="1"/>
  <c r="AG318" i="4"/>
  <c r="AI318" i="4"/>
  <c r="AK318" i="4"/>
  <c r="AF318" i="4"/>
  <c r="AE318" i="4"/>
  <c r="AD318" i="4"/>
  <c r="AC318" i="4"/>
  <c r="AB318" i="4"/>
  <c r="AO318" i="4"/>
  <c r="AJ318" i="4"/>
  <c r="AA318" i="4"/>
  <c r="AH318" i="4"/>
  <c r="K84" i="4"/>
  <c r="N88" i="4"/>
  <c r="CF177" i="4"/>
  <c r="CE177" i="4"/>
  <c r="CG177" i="4"/>
  <c r="BZ177" i="4"/>
  <c r="BY177" i="4"/>
  <c r="CQ518" i="4" s="1"/>
  <c r="BX177" i="4"/>
  <c r="CP518" i="4" s="1"/>
  <c r="BW177" i="4"/>
  <c r="BV177" i="4"/>
  <c r="CD177" i="4"/>
  <c r="CA177" i="4"/>
  <c r="CC177" i="4"/>
  <c r="CQ519" i="4" s="1"/>
  <c r="BU177" i="4"/>
  <c r="CQ517" i="4" s="1"/>
  <c r="CB177" i="4"/>
  <c r="CP519" i="4" s="1"/>
  <c r="BT177" i="4"/>
  <c r="CP517" i="4" s="1"/>
  <c r="BS177" i="4"/>
  <c r="BR177" i="4"/>
  <c r="BQ177" i="4"/>
  <c r="BP177" i="4"/>
  <c r="BO177" i="4"/>
  <c r="BL177" i="4"/>
  <c r="BN177" i="4"/>
  <c r="BJ177" i="4"/>
  <c r="BI177" i="4"/>
  <c r="BH177" i="4"/>
  <c r="BG177" i="4"/>
  <c r="BF177" i="4"/>
  <c r="BK177" i="4"/>
  <c r="BE177" i="4"/>
  <c r="AY177" i="4"/>
  <c r="AX177" i="4"/>
  <c r="AV177" i="4"/>
  <c r="AR177" i="4"/>
  <c r="AT177" i="4"/>
  <c r="CI519" i="4" s="1"/>
  <c r="BM177" i="4"/>
  <c r="AW177" i="4"/>
  <c r="AU177" i="4"/>
  <c r="CJ519" i="4" s="1"/>
  <c r="AS177" i="4"/>
  <c r="AO177" i="4"/>
  <c r="AL177" i="4"/>
  <c r="CI517" i="4" s="1"/>
  <c r="AN177" i="4"/>
  <c r="AQ177" i="4"/>
  <c r="CJ518" i="4" s="1"/>
  <c r="AP177" i="4"/>
  <c r="CI518" i="4" s="1"/>
  <c r="AM177" i="4"/>
  <c r="CJ517" i="4" s="1"/>
  <c r="AI177" i="4"/>
  <c r="AG177" i="4"/>
  <c r="AH177" i="4"/>
  <c r="AK177" i="4"/>
  <c r="AF177" i="4"/>
  <c r="AE177" i="4"/>
  <c r="AD177" i="4"/>
  <c r="AJ177" i="4"/>
  <c r="AB177" i="4"/>
  <c r="AA177" i="4"/>
  <c r="AC177" i="4"/>
  <c r="K49" i="4"/>
  <c r="CF313" i="4"/>
  <c r="CE313" i="4"/>
  <c r="CA313" i="4"/>
  <c r="CC313" i="4"/>
  <c r="CQ927" i="4" s="1"/>
  <c r="CB313" i="4"/>
  <c r="CP927" i="4" s="1"/>
  <c r="CD313" i="4"/>
  <c r="BZ313" i="4"/>
  <c r="BY313" i="4"/>
  <c r="CQ926" i="4" s="1"/>
  <c r="BX313" i="4"/>
  <c r="CP926" i="4" s="1"/>
  <c r="CG313" i="4"/>
  <c r="BT313" i="4"/>
  <c r="CP925" i="4" s="1"/>
  <c r="BW313" i="4"/>
  <c r="BV313" i="4"/>
  <c r="BM313" i="4"/>
  <c r="BL313" i="4"/>
  <c r="BS313" i="4"/>
  <c r="BU313" i="4"/>
  <c r="CQ925" i="4" s="1"/>
  <c r="BR313" i="4"/>
  <c r="BP313" i="4"/>
  <c r="BN313" i="4"/>
  <c r="BO313" i="4"/>
  <c r="BQ313" i="4"/>
  <c r="BH313" i="4"/>
  <c r="BE313" i="4"/>
  <c r="AY313" i="4"/>
  <c r="BG313" i="4"/>
  <c r="BJ313" i="4"/>
  <c r="BF313" i="4"/>
  <c r="BI313" i="4"/>
  <c r="BK313" i="4"/>
  <c r="AX313" i="4"/>
  <c r="AV313" i="4"/>
  <c r="AU313" i="4"/>
  <c r="CJ927" i="4" s="1"/>
  <c r="AS313" i="4"/>
  <c r="AW313" i="4"/>
  <c r="AT313" i="4"/>
  <c r="CI927" i="4" s="1"/>
  <c r="AR313" i="4"/>
  <c r="AQ313" i="4"/>
  <c r="CJ926" i="4" s="1"/>
  <c r="AP313" i="4"/>
  <c r="CI926" i="4" s="1"/>
  <c r="AO313" i="4"/>
  <c r="AN313" i="4"/>
  <c r="AM313" i="4"/>
  <c r="CJ925" i="4" s="1"/>
  <c r="AL313" i="4"/>
  <c r="CI925" i="4" s="1"/>
  <c r="AK313" i="4"/>
  <c r="AI313" i="4"/>
  <c r="AJ313" i="4"/>
  <c r="AE313" i="4"/>
  <c r="AH313" i="4"/>
  <c r="AG313" i="4"/>
  <c r="AD313" i="4"/>
  <c r="AB313" i="4"/>
  <c r="AF313" i="4"/>
  <c r="AA313" i="4"/>
  <c r="AC313" i="4"/>
  <c r="CG466" i="4"/>
  <c r="CF466" i="4"/>
  <c r="BZ466" i="4"/>
  <c r="BY466" i="4"/>
  <c r="CQ1385" i="4" s="1"/>
  <c r="BX466" i="4"/>
  <c r="CP1385" i="4" s="1"/>
  <c r="BW466" i="4"/>
  <c r="CC466" i="4"/>
  <c r="CQ1386" i="4" s="1"/>
  <c r="CD466" i="4"/>
  <c r="CB466" i="4"/>
  <c r="CP1386" i="4" s="1"/>
  <c r="CE466" i="4"/>
  <c r="BT466" i="4"/>
  <c r="CP1384" i="4" s="1"/>
  <c r="BS466" i="4"/>
  <c r="BR466" i="4"/>
  <c r="BQ466" i="4"/>
  <c r="BP466" i="4"/>
  <c r="BO466" i="4"/>
  <c r="CA466" i="4"/>
  <c r="BV466" i="4"/>
  <c r="BN466" i="4"/>
  <c r="BU466" i="4"/>
  <c r="CQ1384" i="4" s="1"/>
  <c r="BL466" i="4"/>
  <c r="BK466" i="4"/>
  <c r="BJ466" i="4"/>
  <c r="BG466" i="4"/>
  <c r="BI466" i="4"/>
  <c r="BM466" i="4"/>
  <c r="BH466" i="4"/>
  <c r="AX466" i="4"/>
  <c r="BF466" i="4"/>
  <c r="AY466" i="4"/>
  <c r="BE466" i="4"/>
  <c r="AV466" i="4"/>
  <c r="AS466" i="4"/>
  <c r="AW466" i="4"/>
  <c r="AU466" i="4"/>
  <c r="CJ1386" i="4" s="1"/>
  <c r="AP466" i="4"/>
  <c r="CI1385" i="4" s="1"/>
  <c r="AL466" i="4"/>
  <c r="CI1384" i="4" s="1"/>
  <c r="AI466" i="4"/>
  <c r="AM466" i="4"/>
  <c r="CJ1384" i="4" s="1"/>
  <c r="AT466" i="4"/>
  <c r="CI1386" i="4" s="1"/>
  <c r="AR466" i="4"/>
  <c r="AQ466" i="4"/>
  <c r="CJ1385" i="4" s="1"/>
  <c r="AJ466" i="4"/>
  <c r="AN466" i="4"/>
  <c r="AH466" i="4"/>
  <c r="AO466" i="4"/>
  <c r="AF466" i="4"/>
  <c r="AE466" i="4"/>
  <c r="AB466" i="4"/>
  <c r="AC466" i="4"/>
  <c r="AA466" i="4"/>
  <c r="AK466" i="4"/>
  <c r="AG466" i="4"/>
  <c r="AD466" i="4"/>
  <c r="K121" i="4"/>
  <c r="K81" i="4"/>
  <c r="N78" i="4"/>
  <c r="K14" i="4"/>
  <c r="CF401" i="4"/>
  <c r="CG401" i="4"/>
  <c r="BZ401" i="4"/>
  <c r="BY401" i="4"/>
  <c r="CQ1190" i="4" s="1"/>
  <c r="BX401" i="4"/>
  <c r="CP1190" i="4" s="1"/>
  <c r="BW401" i="4"/>
  <c r="CB401" i="4"/>
  <c r="CP1191" i="4" s="1"/>
  <c r="CE401" i="4"/>
  <c r="CD401" i="4"/>
  <c r="BV401" i="4"/>
  <c r="CC401" i="4"/>
  <c r="CQ1191" i="4" s="1"/>
  <c r="BU401" i="4"/>
  <c r="CQ1189" i="4" s="1"/>
  <c r="CA401" i="4"/>
  <c r="BT401" i="4"/>
  <c r="CP1189" i="4" s="1"/>
  <c r="BS401" i="4"/>
  <c r="BR401" i="4"/>
  <c r="BQ401" i="4"/>
  <c r="BP401" i="4"/>
  <c r="BN401" i="4"/>
  <c r="BL401" i="4"/>
  <c r="BJ401" i="4"/>
  <c r="BI401" i="4"/>
  <c r="BH401" i="4"/>
  <c r="BG401" i="4"/>
  <c r="BF401" i="4"/>
  <c r="BO401" i="4"/>
  <c r="BK401" i="4"/>
  <c r="BM401" i="4"/>
  <c r="BE401" i="4"/>
  <c r="AY401" i="4"/>
  <c r="AX401" i="4"/>
  <c r="AW401" i="4"/>
  <c r="AS401" i="4"/>
  <c r="AU401" i="4"/>
  <c r="CJ1191" i="4" s="1"/>
  <c r="AP401" i="4"/>
  <c r="CI1190" i="4" s="1"/>
  <c r="AT401" i="4"/>
  <c r="CI1191" i="4" s="1"/>
  <c r="AQ401" i="4"/>
  <c r="CJ1190" i="4" s="1"/>
  <c r="AV401" i="4"/>
  <c r="AR401" i="4"/>
  <c r="AM401" i="4"/>
  <c r="CJ1189" i="4" s="1"/>
  <c r="AO401" i="4"/>
  <c r="AN401" i="4"/>
  <c r="AJ401" i="4"/>
  <c r="AK401" i="4"/>
  <c r="AH401" i="4"/>
  <c r="AI401" i="4"/>
  <c r="AG401" i="4"/>
  <c r="AL401" i="4"/>
  <c r="CI1189" i="4" s="1"/>
  <c r="AC401" i="4"/>
  <c r="AE401" i="4"/>
  <c r="AD401" i="4"/>
  <c r="AB401" i="4"/>
  <c r="AF401" i="4"/>
  <c r="AA401" i="4"/>
  <c r="M69" i="4"/>
  <c r="O108" i="4"/>
  <c r="CF434" i="4"/>
  <c r="CB434" i="4"/>
  <c r="CP1290" i="4" s="1"/>
  <c r="BZ434" i="4"/>
  <c r="BY434" i="4"/>
  <c r="CQ1289" i="4" s="1"/>
  <c r="BX434" i="4"/>
  <c r="CP1289" i="4" s="1"/>
  <c r="BW434" i="4"/>
  <c r="CG434" i="4"/>
  <c r="CD434" i="4"/>
  <c r="CE434" i="4"/>
  <c r="CA434" i="4"/>
  <c r="BU434" i="4"/>
  <c r="CQ1288" i="4" s="1"/>
  <c r="BT434" i="4"/>
  <c r="CP1288" i="4" s="1"/>
  <c r="BS434" i="4"/>
  <c r="BR434" i="4"/>
  <c r="BQ434" i="4"/>
  <c r="BP434" i="4"/>
  <c r="BO434" i="4"/>
  <c r="CC434" i="4"/>
  <c r="CQ1290" i="4" s="1"/>
  <c r="BN434" i="4"/>
  <c r="BL434" i="4"/>
  <c r="BK434" i="4"/>
  <c r="BJ434" i="4"/>
  <c r="BI434" i="4"/>
  <c r="BH434" i="4"/>
  <c r="BV434" i="4"/>
  <c r="BG434" i="4"/>
  <c r="BM434" i="4"/>
  <c r="BF434" i="4"/>
  <c r="AX434" i="4"/>
  <c r="AU434" i="4"/>
  <c r="CJ1290" i="4" s="1"/>
  <c r="BE434" i="4"/>
  <c r="AV434" i="4"/>
  <c r="AW434" i="4"/>
  <c r="AY434" i="4"/>
  <c r="AT434" i="4"/>
  <c r="CI1290" i="4" s="1"/>
  <c r="AS434" i="4"/>
  <c r="AP434" i="4"/>
  <c r="CI1289" i="4" s="1"/>
  <c r="AO434" i="4"/>
  <c r="AQ434" i="4"/>
  <c r="CJ1289" i="4" s="1"/>
  <c r="AR434" i="4"/>
  <c r="AN434" i="4"/>
  <c r="AI434" i="4"/>
  <c r="AK434" i="4"/>
  <c r="AL434" i="4"/>
  <c r="CI1288" i="4" s="1"/>
  <c r="AM434" i="4"/>
  <c r="CJ1288" i="4" s="1"/>
  <c r="AJ434" i="4"/>
  <c r="AG434" i="4"/>
  <c r="AF434" i="4"/>
  <c r="AD434" i="4"/>
  <c r="AH434" i="4"/>
  <c r="AC434" i="4"/>
  <c r="AE434" i="4"/>
  <c r="AB434" i="4"/>
  <c r="AA434" i="4"/>
  <c r="K107" i="4"/>
  <c r="L95" i="4"/>
  <c r="CG468" i="4"/>
  <c r="CF468" i="4"/>
  <c r="CE468" i="4"/>
  <c r="CA468" i="4"/>
  <c r="CD468" i="4"/>
  <c r="CB468" i="4"/>
  <c r="CP1392" i="4" s="1"/>
  <c r="BU468" i="4"/>
  <c r="CQ1390" i="4" s="1"/>
  <c r="CC468" i="4"/>
  <c r="CQ1392" i="4" s="1"/>
  <c r="BX468" i="4"/>
  <c r="CP1391" i="4" s="1"/>
  <c r="BW468" i="4"/>
  <c r="BR468" i="4"/>
  <c r="BP468" i="4"/>
  <c r="BO468" i="4"/>
  <c r="BV468" i="4"/>
  <c r="BN468" i="4"/>
  <c r="BT468" i="4"/>
  <c r="CP1390" i="4" s="1"/>
  <c r="BZ468" i="4"/>
  <c r="BY468" i="4"/>
  <c r="CQ1391" i="4" s="1"/>
  <c r="BS468" i="4"/>
  <c r="BL468" i="4"/>
  <c r="BK468" i="4"/>
  <c r="BQ468" i="4"/>
  <c r="BJ468" i="4"/>
  <c r="BI468" i="4"/>
  <c r="BH468" i="4"/>
  <c r="BG468" i="4"/>
  <c r="BF468" i="4"/>
  <c r="BE468" i="4"/>
  <c r="AX468" i="4"/>
  <c r="AY468" i="4"/>
  <c r="BM468" i="4"/>
  <c r="AT468" i="4"/>
  <c r="CI1392" i="4" s="1"/>
  <c r="AV468" i="4"/>
  <c r="AU468" i="4"/>
  <c r="CJ1392" i="4" s="1"/>
  <c r="AR468" i="4"/>
  <c r="AW468" i="4"/>
  <c r="AQ468" i="4"/>
  <c r="CJ1391" i="4" s="1"/>
  <c r="AS468" i="4"/>
  <c r="AL468" i="4"/>
  <c r="CI1390" i="4" s="1"/>
  <c r="AP468" i="4"/>
  <c r="CI1391" i="4" s="1"/>
  <c r="AI468" i="4"/>
  <c r="AM468" i="4"/>
  <c r="CJ1390" i="4" s="1"/>
  <c r="AJ468" i="4"/>
  <c r="AO468" i="4"/>
  <c r="AK468" i="4"/>
  <c r="AN468" i="4"/>
  <c r="AG468" i="4"/>
  <c r="AD468" i="4"/>
  <c r="AF468" i="4"/>
  <c r="AE468" i="4"/>
  <c r="AH468" i="4"/>
  <c r="AB468" i="4"/>
  <c r="AA468" i="4"/>
  <c r="AC468" i="4"/>
  <c r="L122" i="4"/>
  <c r="L35" i="4"/>
  <c r="CF416" i="4"/>
  <c r="CE416" i="4"/>
  <c r="CB416" i="4"/>
  <c r="CP1236" i="4" s="1"/>
  <c r="CC416" i="4"/>
  <c r="CQ1236" i="4" s="1"/>
  <c r="CD416" i="4"/>
  <c r="CA416" i="4"/>
  <c r="BU416" i="4"/>
  <c r="CQ1234" i="4" s="1"/>
  <c r="BX416" i="4"/>
  <c r="CP1235" i="4" s="1"/>
  <c r="BZ416" i="4"/>
  <c r="CG416" i="4"/>
  <c r="BY416" i="4"/>
  <c r="CQ1235" i="4" s="1"/>
  <c r="BV416" i="4"/>
  <c r="BQ416" i="4"/>
  <c r="BO416" i="4"/>
  <c r="BT416" i="4"/>
  <c r="CP1234" i="4" s="1"/>
  <c r="BP416" i="4"/>
  <c r="BM416" i="4"/>
  <c r="BL416" i="4"/>
  <c r="BK416" i="4"/>
  <c r="BR416" i="4"/>
  <c r="BW416" i="4"/>
  <c r="BJ416" i="4"/>
  <c r="BN416" i="4"/>
  <c r="BH416" i="4"/>
  <c r="BS416" i="4"/>
  <c r="BG416" i="4"/>
  <c r="BF416" i="4"/>
  <c r="BI416" i="4"/>
  <c r="BE416" i="4"/>
  <c r="AY416" i="4"/>
  <c r="AX416" i="4"/>
  <c r="AV416" i="4"/>
  <c r="AU416" i="4"/>
  <c r="CJ1236" i="4" s="1"/>
  <c r="AR416" i="4"/>
  <c r="AS416" i="4"/>
  <c r="AW416" i="4"/>
  <c r="AO416" i="4"/>
  <c r="AT416" i="4"/>
  <c r="CI1236" i="4" s="1"/>
  <c r="AQ416" i="4"/>
  <c r="CJ1235" i="4" s="1"/>
  <c r="AI416" i="4"/>
  <c r="AH416" i="4"/>
  <c r="AG416" i="4"/>
  <c r="AM416" i="4"/>
  <c r="CJ1234" i="4" s="1"/>
  <c r="AK416" i="4"/>
  <c r="AL416" i="4"/>
  <c r="CI1234" i="4" s="1"/>
  <c r="AP416" i="4"/>
  <c r="CI1235" i="4" s="1"/>
  <c r="AF416" i="4"/>
  <c r="AJ416" i="4"/>
  <c r="AE416" i="4"/>
  <c r="AN416" i="4"/>
  <c r="AA416" i="4"/>
  <c r="AC416" i="4"/>
  <c r="AB416" i="4"/>
  <c r="AD416" i="4"/>
  <c r="N98" i="4"/>
  <c r="L103" i="4"/>
  <c r="CF482" i="4"/>
  <c r="CD482" i="4"/>
  <c r="BZ482" i="4"/>
  <c r="BY482" i="4"/>
  <c r="CQ1433" i="4" s="1"/>
  <c r="BX482" i="4"/>
  <c r="CP1433" i="4" s="1"/>
  <c r="BW482" i="4"/>
  <c r="CG482" i="4"/>
  <c r="CA482" i="4"/>
  <c r="CB482" i="4"/>
  <c r="CP1434" i="4" s="1"/>
  <c r="CE482" i="4"/>
  <c r="BT482" i="4"/>
  <c r="CP1432" i="4" s="1"/>
  <c r="BS482" i="4"/>
  <c r="BR482" i="4"/>
  <c r="BQ482" i="4"/>
  <c r="BP482" i="4"/>
  <c r="BU482" i="4"/>
  <c r="CQ1432" i="4" s="1"/>
  <c r="BO482" i="4"/>
  <c r="BN482" i="4"/>
  <c r="BK482" i="4"/>
  <c r="BV482" i="4"/>
  <c r="CC482" i="4"/>
  <c r="CQ1434" i="4" s="1"/>
  <c r="BM482" i="4"/>
  <c r="BL482" i="4"/>
  <c r="BG482" i="4"/>
  <c r="BF482" i="4"/>
  <c r="BJ482" i="4"/>
  <c r="BI482" i="4"/>
  <c r="AW482" i="4"/>
  <c r="AU482" i="4"/>
  <c r="CJ1434" i="4" s="1"/>
  <c r="BE482" i="4"/>
  <c r="AY482" i="4"/>
  <c r="AX482" i="4"/>
  <c r="BH482" i="4"/>
  <c r="AR482" i="4"/>
  <c r="AT482" i="4"/>
  <c r="CI1434" i="4" s="1"/>
  <c r="AS482" i="4"/>
  <c r="AV482" i="4"/>
  <c r="AQ482" i="4"/>
  <c r="CJ1433" i="4" s="1"/>
  <c r="AO482" i="4"/>
  <c r="AI482" i="4"/>
  <c r="AP482" i="4"/>
  <c r="CI1433" i="4" s="1"/>
  <c r="AJ482" i="4"/>
  <c r="AH482" i="4"/>
  <c r="AL482" i="4"/>
  <c r="CI1432" i="4" s="1"/>
  <c r="AN482" i="4"/>
  <c r="AM482" i="4"/>
  <c r="CJ1432" i="4" s="1"/>
  <c r="AF482" i="4"/>
  <c r="AK482" i="4"/>
  <c r="AE482" i="4"/>
  <c r="AG482" i="4"/>
  <c r="AA482" i="4"/>
  <c r="AC482" i="4"/>
  <c r="AB482" i="4"/>
  <c r="AD482" i="4"/>
  <c r="M112" i="4"/>
  <c r="CG308" i="4"/>
  <c r="CC308" i="4"/>
  <c r="CQ912" i="4" s="1"/>
  <c r="CB308" i="4"/>
  <c r="CP912" i="4" s="1"/>
  <c r="CD308" i="4"/>
  <c r="CE308" i="4"/>
  <c r="CF308" i="4"/>
  <c r="BX308" i="4"/>
  <c r="CP911" i="4" s="1"/>
  <c r="BZ308" i="4"/>
  <c r="CA308" i="4"/>
  <c r="BY308" i="4"/>
  <c r="CQ911" i="4" s="1"/>
  <c r="BT308" i="4"/>
  <c r="CP910" i="4" s="1"/>
  <c r="BS308" i="4"/>
  <c r="BN308" i="4"/>
  <c r="BR308" i="4"/>
  <c r="BU308" i="4"/>
  <c r="CQ910" i="4" s="1"/>
  <c r="BO308" i="4"/>
  <c r="BW308" i="4"/>
  <c r="BV308" i="4"/>
  <c r="BL308" i="4"/>
  <c r="BP308" i="4"/>
  <c r="BQ308" i="4"/>
  <c r="BM308" i="4"/>
  <c r="BK308" i="4"/>
  <c r="BJ308" i="4"/>
  <c r="BI308" i="4"/>
  <c r="BH308" i="4"/>
  <c r="BF308" i="4"/>
  <c r="AV308" i="4"/>
  <c r="AY308" i="4"/>
  <c r="AU308" i="4"/>
  <c r="CJ912" i="4" s="1"/>
  <c r="BG308" i="4"/>
  <c r="AX308" i="4"/>
  <c r="AT308" i="4"/>
  <c r="CI912" i="4" s="1"/>
  <c r="AQ308" i="4"/>
  <c r="CJ911" i="4" s="1"/>
  <c r="BE308" i="4"/>
  <c r="AW308" i="4"/>
  <c r="AO308" i="4"/>
  <c r="AR308" i="4"/>
  <c r="AS308" i="4"/>
  <c r="AN308" i="4"/>
  <c r="AM308" i="4"/>
  <c r="CJ910" i="4" s="1"/>
  <c r="AP308" i="4"/>
  <c r="CI911" i="4" s="1"/>
  <c r="AJ308" i="4"/>
  <c r="AG308" i="4"/>
  <c r="AI308" i="4"/>
  <c r="AH308" i="4"/>
  <c r="AK308" i="4"/>
  <c r="AF308" i="4"/>
  <c r="AE308" i="4"/>
  <c r="AA308" i="4"/>
  <c r="AC308" i="4"/>
  <c r="AB308" i="4"/>
  <c r="AD308" i="4"/>
  <c r="AL308" i="4"/>
  <c r="CI910" i="4" s="1"/>
  <c r="O82" i="4"/>
  <c r="R70" i="4"/>
  <c r="CG63" i="4"/>
  <c r="CF63" i="4"/>
  <c r="CE63" i="4"/>
  <c r="CB63" i="4"/>
  <c r="CP177" i="4" s="1"/>
  <c r="CA63" i="4"/>
  <c r="CC63" i="4"/>
  <c r="CQ177" i="4" s="1"/>
  <c r="BZ63" i="4"/>
  <c r="BY63" i="4"/>
  <c r="CQ176" i="4" s="1"/>
  <c r="BX63" i="4"/>
  <c r="CP176" i="4" s="1"/>
  <c r="BW63" i="4"/>
  <c r="BU63" i="4"/>
  <c r="CQ175" i="4" s="1"/>
  <c r="BS63" i="4"/>
  <c r="BR63" i="4"/>
  <c r="BQ63" i="4"/>
  <c r="BV63" i="4"/>
  <c r="BT63" i="4"/>
  <c r="CP175" i="4" s="1"/>
  <c r="BP63" i="4"/>
  <c r="CD63" i="4"/>
  <c r="BL63" i="4"/>
  <c r="BK63" i="4"/>
  <c r="BM63" i="4"/>
  <c r="BJ63" i="4"/>
  <c r="BH63" i="4"/>
  <c r="BN63" i="4"/>
  <c r="BG63" i="4"/>
  <c r="BO63" i="4"/>
  <c r="BE63" i="4"/>
  <c r="AW63" i="4"/>
  <c r="AX63" i="4"/>
  <c r="BI63" i="4"/>
  <c r="AT63" i="4"/>
  <c r="CI177" i="4" s="1"/>
  <c r="BF63" i="4"/>
  <c r="AV63" i="4"/>
  <c r="AS63" i="4"/>
  <c r="AY63" i="4"/>
  <c r="AR63" i="4"/>
  <c r="AO63" i="4"/>
  <c r="AP63" i="4"/>
  <c r="CI176" i="4" s="1"/>
  <c r="AN63" i="4"/>
  <c r="AM63" i="4"/>
  <c r="CJ175" i="4" s="1"/>
  <c r="AL63" i="4"/>
  <c r="CI175" i="4" s="1"/>
  <c r="AK63" i="4"/>
  <c r="AJ63" i="4"/>
  <c r="AQ63" i="4"/>
  <c r="CJ176" i="4" s="1"/>
  <c r="AG63" i="4"/>
  <c r="AU63" i="4"/>
  <c r="CJ177" i="4" s="1"/>
  <c r="AI63" i="4"/>
  <c r="AH63" i="4"/>
  <c r="AF63" i="4"/>
  <c r="AE63" i="4"/>
  <c r="AB63" i="4"/>
  <c r="AD63" i="4"/>
  <c r="AA63" i="4"/>
  <c r="AC63" i="4"/>
  <c r="L21" i="4"/>
  <c r="L29" i="4"/>
  <c r="M87" i="4"/>
  <c r="O102" i="4"/>
  <c r="R43" i="4"/>
  <c r="L23" i="4"/>
  <c r="CE445" i="4"/>
  <c r="CD445" i="4"/>
  <c r="CC445" i="4"/>
  <c r="CQ1323" i="4" s="1"/>
  <c r="CG445" i="4"/>
  <c r="CA445" i="4"/>
  <c r="CB445" i="4"/>
  <c r="CP1323" i="4" s="1"/>
  <c r="CF445" i="4"/>
  <c r="BZ445" i="4"/>
  <c r="BT445" i="4"/>
  <c r="CP1321" i="4" s="1"/>
  <c r="BS445" i="4"/>
  <c r="BR445" i="4"/>
  <c r="BQ445" i="4"/>
  <c r="BY445" i="4"/>
  <c r="CQ1322" i="4" s="1"/>
  <c r="BW445" i="4"/>
  <c r="BV445" i="4"/>
  <c r="BO445" i="4"/>
  <c r="BN445" i="4"/>
  <c r="BU445" i="4"/>
  <c r="CQ1321" i="4" s="1"/>
  <c r="BM445" i="4"/>
  <c r="BL445" i="4"/>
  <c r="BX445" i="4"/>
  <c r="CP1322" i="4" s="1"/>
  <c r="BP445" i="4"/>
  <c r="BK445" i="4"/>
  <c r="BF445" i="4"/>
  <c r="BJ445" i="4"/>
  <c r="BI445" i="4"/>
  <c r="BE445" i="4"/>
  <c r="BH445" i="4"/>
  <c r="AY445" i="4"/>
  <c r="AV445" i="4"/>
  <c r="AT445" i="4"/>
  <c r="CI1323" i="4" s="1"/>
  <c r="AW445" i="4"/>
  <c r="AQ445" i="4"/>
  <c r="CJ1322" i="4" s="1"/>
  <c r="AX445" i="4"/>
  <c r="BG445" i="4"/>
  <c r="AS445" i="4"/>
  <c r="AR445" i="4"/>
  <c r="AO445" i="4"/>
  <c r="AM445" i="4"/>
  <c r="CJ1321" i="4" s="1"/>
  <c r="AP445" i="4"/>
  <c r="CI1322" i="4" s="1"/>
  <c r="AI445" i="4"/>
  <c r="AN445" i="4"/>
  <c r="AJ445" i="4"/>
  <c r="AH445" i="4"/>
  <c r="AU445" i="4"/>
  <c r="CJ1323" i="4" s="1"/>
  <c r="AK445" i="4"/>
  <c r="AF445" i="4"/>
  <c r="AL445" i="4"/>
  <c r="CI1321" i="4" s="1"/>
  <c r="AE445" i="4"/>
  <c r="AC445" i="4"/>
  <c r="AA445" i="4"/>
  <c r="AG445" i="4"/>
  <c r="AB445" i="4"/>
  <c r="AD445" i="4"/>
  <c r="K116" i="4"/>
  <c r="L104" i="4"/>
  <c r="CG133" i="4"/>
  <c r="CF133" i="4"/>
  <c r="CD133" i="4"/>
  <c r="CB133" i="4"/>
  <c r="CP387" i="4" s="1"/>
  <c r="CA133" i="4"/>
  <c r="CC133" i="4"/>
  <c r="CQ387" i="4" s="1"/>
  <c r="BZ133" i="4"/>
  <c r="BY133" i="4"/>
  <c r="CQ386" i="4" s="1"/>
  <c r="BX133" i="4"/>
  <c r="CP386" i="4" s="1"/>
  <c r="BW133" i="4"/>
  <c r="BV133" i="4"/>
  <c r="BU133" i="4"/>
  <c r="CQ385" i="4" s="1"/>
  <c r="BT133" i="4"/>
  <c r="CP385" i="4" s="1"/>
  <c r="CE133" i="4"/>
  <c r="BS133" i="4"/>
  <c r="BM133" i="4"/>
  <c r="BR133" i="4"/>
  <c r="BO133" i="4"/>
  <c r="BP133" i="4"/>
  <c r="BQ133" i="4"/>
  <c r="BN133" i="4"/>
  <c r="BL133" i="4"/>
  <c r="BK133" i="4"/>
  <c r="BH133" i="4"/>
  <c r="BI133" i="4"/>
  <c r="BG133" i="4"/>
  <c r="BJ133" i="4"/>
  <c r="BF133" i="4"/>
  <c r="AX133" i="4"/>
  <c r="BE133" i="4"/>
  <c r="AS133" i="4"/>
  <c r="AW133" i="4"/>
  <c r="AY133" i="4"/>
  <c r="AV133" i="4"/>
  <c r="AU133" i="4"/>
  <c r="CJ387" i="4" s="1"/>
  <c r="AT133" i="4"/>
  <c r="CI387" i="4" s="1"/>
  <c r="AR133" i="4"/>
  <c r="AQ133" i="4"/>
  <c r="CJ386" i="4" s="1"/>
  <c r="AN133" i="4"/>
  <c r="AM133" i="4"/>
  <c r="CJ385" i="4" s="1"/>
  <c r="AK133" i="4"/>
  <c r="AO133" i="4"/>
  <c r="AP133" i="4"/>
  <c r="CI386" i="4" s="1"/>
  <c r="AH133" i="4"/>
  <c r="AJ133" i="4"/>
  <c r="AI133" i="4"/>
  <c r="AG133" i="4"/>
  <c r="AE133" i="4"/>
  <c r="AA133" i="4"/>
  <c r="AF133" i="4"/>
  <c r="AB133" i="4"/>
  <c r="AL133" i="4"/>
  <c r="CI385" i="4" s="1"/>
  <c r="AC133" i="4"/>
  <c r="AD133" i="4"/>
  <c r="CG357" i="4"/>
  <c r="CE357" i="4"/>
  <c r="CC357" i="4"/>
  <c r="CQ1059" i="4" s="1"/>
  <c r="CD357" i="4"/>
  <c r="BZ357" i="4"/>
  <c r="BY357" i="4"/>
  <c r="CQ1058" i="4" s="1"/>
  <c r="BX357" i="4"/>
  <c r="CP1058" i="4" s="1"/>
  <c r="BW357" i="4"/>
  <c r="BV357" i="4"/>
  <c r="BU357" i="4"/>
  <c r="CQ1057" i="4" s="1"/>
  <c r="CA357" i="4"/>
  <c r="CB357" i="4"/>
  <c r="CP1059" i="4" s="1"/>
  <c r="CF357" i="4"/>
  <c r="BT357" i="4"/>
  <c r="CP1057" i="4" s="1"/>
  <c r="BN357" i="4"/>
  <c r="BS357" i="4"/>
  <c r="BQ357" i="4"/>
  <c r="BP357" i="4"/>
  <c r="BR357" i="4"/>
  <c r="BM357" i="4"/>
  <c r="BL357" i="4"/>
  <c r="BK357" i="4"/>
  <c r="BI357" i="4"/>
  <c r="BJ357" i="4"/>
  <c r="BO357" i="4"/>
  <c r="BH357" i="4"/>
  <c r="BF357" i="4"/>
  <c r="AY357" i="4"/>
  <c r="BE357" i="4"/>
  <c r="AT357" i="4"/>
  <c r="CI1059" i="4" s="1"/>
  <c r="AX357" i="4"/>
  <c r="AU357" i="4"/>
  <c r="CJ1059" i="4" s="1"/>
  <c r="AW357" i="4"/>
  <c r="AS357" i="4"/>
  <c r="AR357" i="4"/>
  <c r="AV357" i="4"/>
  <c r="BG357" i="4"/>
  <c r="AP357" i="4"/>
  <c r="CI1058" i="4" s="1"/>
  <c r="AN357" i="4"/>
  <c r="AL357" i="4"/>
  <c r="CI1057" i="4" s="1"/>
  <c r="AQ357" i="4"/>
  <c r="CJ1058" i="4" s="1"/>
  <c r="AO357" i="4"/>
  <c r="AK357" i="4"/>
  <c r="AI357" i="4"/>
  <c r="AH357" i="4"/>
  <c r="AM357" i="4"/>
  <c r="CJ1057" i="4" s="1"/>
  <c r="AG357" i="4"/>
  <c r="AF357" i="4"/>
  <c r="AB357" i="4"/>
  <c r="AJ357" i="4"/>
  <c r="AA357" i="4"/>
  <c r="AC357" i="4"/>
  <c r="AE357" i="4"/>
  <c r="AD357" i="4"/>
  <c r="CF209" i="4"/>
  <c r="CG209" i="4"/>
  <c r="CE209" i="4"/>
  <c r="BZ209" i="4"/>
  <c r="BY209" i="4"/>
  <c r="CQ614" i="4" s="1"/>
  <c r="BX209" i="4"/>
  <c r="CP614" i="4" s="1"/>
  <c r="BW209" i="4"/>
  <c r="BV209" i="4"/>
  <c r="CC209" i="4"/>
  <c r="CQ615" i="4" s="1"/>
  <c r="CD209" i="4"/>
  <c r="CA209" i="4"/>
  <c r="CB209" i="4"/>
  <c r="CP615" i="4" s="1"/>
  <c r="BT209" i="4"/>
  <c r="CP613" i="4" s="1"/>
  <c r="BS209" i="4"/>
  <c r="BR209" i="4"/>
  <c r="BQ209" i="4"/>
  <c r="BP209" i="4"/>
  <c r="BO209" i="4"/>
  <c r="BU209" i="4"/>
  <c r="CQ613" i="4" s="1"/>
  <c r="BN209" i="4"/>
  <c r="BL209" i="4"/>
  <c r="BJ209" i="4"/>
  <c r="BI209" i="4"/>
  <c r="BH209" i="4"/>
  <c r="BG209" i="4"/>
  <c r="BF209" i="4"/>
  <c r="BE209" i="4"/>
  <c r="AY209" i="4"/>
  <c r="BM209" i="4"/>
  <c r="AW209" i="4"/>
  <c r="AU209" i="4"/>
  <c r="CJ615" i="4" s="1"/>
  <c r="AT209" i="4"/>
  <c r="CI615" i="4" s="1"/>
  <c r="BK209" i="4"/>
  <c r="AX209" i="4"/>
  <c r="AR209" i="4"/>
  <c r="AV209" i="4"/>
  <c r="AS209" i="4"/>
  <c r="AP209" i="4"/>
  <c r="CI614" i="4" s="1"/>
  <c r="AL209" i="4"/>
  <c r="CI613" i="4" s="1"/>
  <c r="AQ209" i="4"/>
  <c r="CJ614" i="4" s="1"/>
  <c r="AK209" i="4"/>
  <c r="AN209" i="4"/>
  <c r="AI209" i="4"/>
  <c r="AJ209" i="4"/>
  <c r="AO209" i="4"/>
  <c r="AH209" i="4"/>
  <c r="AM209" i="4"/>
  <c r="CJ613" i="4" s="1"/>
  <c r="AF209" i="4"/>
  <c r="AE209" i="4"/>
  <c r="AG209" i="4"/>
  <c r="AD209" i="4"/>
  <c r="AC209" i="4"/>
  <c r="AA209" i="4"/>
  <c r="AB209" i="4"/>
  <c r="CG229" i="4"/>
  <c r="CF229" i="4"/>
  <c r="CD229" i="4"/>
  <c r="CC229" i="4"/>
  <c r="CQ675" i="4" s="1"/>
  <c r="BZ229" i="4"/>
  <c r="BY229" i="4"/>
  <c r="CQ674" i="4" s="1"/>
  <c r="BX229" i="4"/>
  <c r="CP674" i="4" s="1"/>
  <c r="BW229" i="4"/>
  <c r="BV229" i="4"/>
  <c r="BU229" i="4"/>
  <c r="CQ673" i="4" s="1"/>
  <c r="BT229" i="4"/>
  <c r="CP673" i="4" s="1"/>
  <c r="CA229" i="4"/>
  <c r="CB229" i="4"/>
  <c r="CP675" i="4" s="1"/>
  <c r="CE229" i="4"/>
  <c r="BS229" i="4"/>
  <c r="BQ229" i="4"/>
  <c r="BR229" i="4"/>
  <c r="BN229" i="4"/>
  <c r="BP229" i="4"/>
  <c r="BM229" i="4"/>
  <c r="BL229" i="4"/>
  <c r="BK229" i="4"/>
  <c r="BJ229" i="4"/>
  <c r="BH229" i="4"/>
  <c r="BG229" i="4"/>
  <c r="BF229" i="4"/>
  <c r="BI229" i="4"/>
  <c r="BE229" i="4"/>
  <c r="AX229" i="4"/>
  <c r="BO229" i="4"/>
  <c r="AY229" i="4"/>
  <c r="AV229" i="4"/>
  <c r="AW229" i="4"/>
  <c r="AR229" i="4"/>
  <c r="AS229" i="4"/>
  <c r="AT229" i="4"/>
  <c r="CI675" i="4" s="1"/>
  <c r="AQ229" i="4"/>
  <c r="CJ674" i="4" s="1"/>
  <c r="AL229" i="4"/>
  <c r="CI673" i="4" s="1"/>
  <c r="AK229" i="4"/>
  <c r="AU229" i="4"/>
  <c r="CJ675" i="4" s="1"/>
  <c r="AM229" i="4"/>
  <c r="CJ673" i="4" s="1"/>
  <c r="AI229" i="4"/>
  <c r="AP229" i="4"/>
  <c r="CI674" i="4" s="1"/>
  <c r="AJ229" i="4"/>
  <c r="AN229" i="4"/>
  <c r="AO229" i="4"/>
  <c r="AF229" i="4"/>
  <c r="AH229" i="4"/>
  <c r="AG229" i="4"/>
  <c r="AC229" i="4"/>
  <c r="AB229" i="4"/>
  <c r="AD229" i="4"/>
  <c r="AE229" i="4"/>
  <c r="AA229" i="4"/>
  <c r="CF39" i="4"/>
  <c r="CE39" i="4"/>
  <c r="CD39" i="4"/>
  <c r="CC39" i="4"/>
  <c r="CQ105" i="4" s="1"/>
  <c r="CB39" i="4"/>
  <c r="CP105" i="4" s="1"/>
  <c r="CA39" i="4"/>
  <c r="CG39" i="4"/>
  <c r="BZ39" i="4"/>
  <c r="BY39" i="4"/>
  <c r="CQ104" i="4" s="1"/>
  <c r="BX39" i="4"/>
  <c r="CP104" i="4" s="1"/>
  <c r="BW39" i="4"/>
  <c r="BT39" i="4"/>
  <c r="CP103" i="4" s="1"/>
  <c r="BV39" i="4"/>
  <c r="BU39" i="4"/>
  <c r="CQ103" i="4" s="1"/>
  <c r="BL39" i="4"/>
  <c r="BK39" i="4"/>
  <c r="BR39" i="4"/>
  <c r="BO39" i="4"/>
  <c r="BQ39" i="4"/>
  <c r="BP39" i="4"/>
  <c r="BN39" i="4"/>
  <c r="BM39" i="4"/>
  <c r="BS39" i="4"/>
  <c r="BJ39" i="4"/>
  <c r="BG39" i="4"/>
  <c r="BF39" i="4"/>
  <c r="BE39" i="4"/>
  <c r="BH39" i="4"/>
  <c r="AY39" i="4"/>
  <c r="AW39" i="4"/>
  <c r="AX39" i="4"/>
  <c r="AQ39" i="4"/>
  <c r="CJ104" i="4" s="1"/>
  <c r="BI39" i="4"/>
  <c r="AU39" i="4"/>
  <c r="CJ105" i="4" s="1"/>
  <c r="AS39" i="4"/>
  <c r="AV39" i="4"/>
  <c r="AT39" i="4"/>
  <c r="CI105" i="4" s="1"/>
  <c r="AL39" i="4"/>
  <c r="CI103" i="4" s="1"/>
  <c r="AO39" i="4"/>
  <c r="AM39" i="4"/>
  <c r="CJ103" i="4" s="1"/>
  <c r="AP39" i="4"/>
  <c r="CI104" i="4" s="1"/>
  <c r="AH39" i="4"/>
  <c r="AK39" i="4"/>
  <c r="AI39" i="4"/>
  <c r="AN39" i="4"/>
  <c r="AR39" i="4"/>
  <c r="AJ39" i="4"/>
  <c r="AF39" i="4"/>
  <c r="AE39" i="4"/>
  <c r="AG39" i="4"/>
  <c r="AB39" i="4"/>
  <c r="AA39" i="4"/>
  <c r="AC39" i="4"/>
  <c r="AD39" i="4"/>
  <c r="L55" i="4"/>
  <c r="R89" i="4"/>
  <c r="CC385" i="4"/>
  <c r="CQ1143" i="4" s="1"/>
  <c r="BZ385" i="4"/>
  <c r="BY385" i="4"/>
  <c r="CQ1142" i="4" s="1"/>
  <c r="BX385" i="4"/>
  <c r="CP1142" i="4" s="1"/>
  <c r="BW385" i="4"/>
  <c r="CG385" i="4"/>
  <c r="CE385" i="4"/>
  <c r="CD385" i="4"/>
  <c r="CF385" i="4"/>
  <c r="CA385" i="4"/>
  <c r="BV385" i="4"/>
  <c r="BU385" i="4"/>
  <c r="CQ1141" i="4" s="1"/>
  <c r="BT385" i="4"/>
  <c r="CP1141" i="4" s="1"/>
  <c r="BS385" i="4"/>
  <c r="BR385" i="4"/>
  <c r="BQ385" i="4"/>
  <c r="BP385" i="4"/>
  <c r="CB385" i="4"/>
  <c r="CP1143" i="4" s="1"/>
  <c r="BO385" i="4"/>
  <c r="BJ385" i="4"/>
  <c r="BI385" i="4"/>
  <c r="BH385" i="4"/>
  <c r="BG385" i="4"/>
  <c r="BF385" i="4"/>
  <c r="BM385" i="4"/>
  <c r="BL385" i="4"/>
  <c r="BK385" i="4"/>
  <c r="BE385" i="4"/>
  <c r="AY385" i="4"/>
  <c r="AX385" i="4"/>
  <c r="AV385" i="4"/>
  <c r="BN385" i="4"/>
  <c r="AU385" i="4"/>
  <c r="CJ1143" i="4" s="1"/>
  <c r="AW385" i="4"/>
  <c r="AS385" i="4"/>
  <c r="AQ385" i="4"/>
  <c r="CJ1142" i="4" s="1"/>
  <c r="AR385" i="4"/>
  <c r="AT385" i="4"/>
  <c r="CI1143" i="4" s="1"/>
  <c r="AP385" i="4"/>
  <c r="CI1142" i="4" s="1"/>
  <c r="AJ385" i="4"/>
  <c r="AM385" i="4"/>
  <c r="CJ1141" i="4" s="1"/>
  <c r="AN385" i="4"/>
  <c r="AL385" i="4"/>
  <c r="CI1141" i="4" s="1"/>
  <c r="AK385" i="4"/>
  <c r="AI385" i="4"/>
  <c r="AE385" i="4"/>
  <c r="AG385" i="4"/>
  <c r="AD385" i="4"/>
  <c r="AO385" i="4"/>
  <c r="AH385" i="4"/>
  <c r="AB385" i="4"/>
  <c r="AA385" i="4"/>
  <c r="AC385" i="4"/>
  <c r="AF385" i="4"/>
  <c r="N101" i="4"/>
  <c r="CE300" i="4"/>
  <c r="CD300" i="4"/>
  <c r="CA300" i="4"/>
  <c r="CG300" i="4"/>
  <c r="CB300" i="4"/>
  <c r="CP888" i="4" s="1"/>
  <c r="BS300" i="4"/>
  <c r="BR300" i="4"/>
  <c r="BZ300" i="4"/>
  <c r="BU300" i="4"/>
  <c r="CQ886" i="4" s="1"/>
  <c r="BV300" i="4"/>
  <c r="BY300" i="4"/>
  <c r="CQ887" i="4" s="1"/>
  <c r="BW300" i="4"/>
  <c r="BT300" i="4"/>
  <c r="CP886" i="4" s="1"/>
  <c r="CF300" i="4"/>
  <c r="BO300" i="4"/>
  <c r="BM300" i="4"/>
  <c r="BL300" i="4"/>
  <c r="BP300" i="4"/>
  <c r="BX300" i="4"/>
  <c r="CP887" i="4" s="1"/>
  <c r="BQ300" i="4"/>
  <c r="BK300" i="4"/>
  <c r="BJ300" i="4"/>
  <c r="BI300" i="4"/>
  <c r="BN300" i="4"/>
  <c r="BH300" i="4"/>
  <c r="BG300" i="4"/>
  <c r="BF300" i="4"/>
  <c r="CC300" i="4"/>
  <c r="CQ888" i="4" s="1"/>
  <c r="AY300" i="4"/>
  <c r="AX300" i="4"/>
  <c r="AW300" i="4"/>
  <c r="BE300" i="4"/>
  <c r="AT300" i="4"/>
  <c r="CI888" i="4" s="1"/>
  <c r="AV300" i="4"/>
  <c r="AS300" i="4"/>
  <c r="AR300" i="4"/>
  <c r="AP300" i="4"/>
  <c r="CI887" i="4" s="1"/>
  <c r="AU300" i="4"/>
  <c r="CJ888" i="4" s="1"/>
  <c r="AQ300" i="4"/>
  <c r="CJ887" i="4" s="1"/>
  <c r="AL300" i="4"/>
  <c r="CI886" i="4" s="1"/>
  <c r="AO300" i="4"/>
  <c r="AJ300" i="4"/>
  <c r="AG300" i="4"/>
  <c r="AI300" i="4"/>
  <c r="AF300" i="4"/>
  <c r="AE300" i="4"/>
  <c r="AD300" i="4"/>
  <c r="AC300" i="4"/>
  <c r="AK300" i="4"/>
  <c r="AN300" i="4"/>
  <c r="AH300" i="4"/>
  <c r="AB300" i="4"/>
  <c r="AM300" i="4"/>
  <c r="CJ886" i="4" s="1"/>
  <c r="AA300" i="4"/>
  <c r="R37" i="4"/>
  <c r="CG51" i="4"/>
  <c r="CE51" i="4"/>
  <c r="CC51" i="4"/>
  <c r="CQ141" i="4" s="1"/>
  <c r="BZ51" i="4"/>
  <c r="BY51" i="4"/>
  <c r="CQ140" i="4" s="1"/>
  <c r="CF51" i="4"/>
  <c r="CB51" i="4"/>
  <c r="CP141" i="4" s="1"/>
  <c r="CA51" i="4"/>
  <c r="BS51" i="4"/>
  <c r="BR51" i="4"/>
  <c r="BQ51" i="4"/>
  <c r="BP51" i="4"/>
  <c r="BO51" i="4"/>
  <c r="CD51" i="4"/>
  <c r="BN51" i="4"/>
  <c r="BM51" i="4"/>
  <c r="BT51" i="4"/>
  <c r="CP139" i="4" s="1"/>
  <c r="BX51" i="4"/>
  <c r="CP140" i="4" s="1"/>
  <c r="BK51" i="4"/>
  <c r="BU51" i="4"/>
  <c r="CQ139" i="4" s="1"/>
  <c r="BI51" i="4"/>
  <c r="BH51" i="4"/>
  <c r="BL51" i="4"/>
  <c r="BW51" i="4"/>
  <c r="BE51" i="4"/>
  <c r="BJ51" i="4"/>
  <c r="AX51" i="4"/>
  <c r="AY51" i="4"/>
  <c r="BF51" i="4"/>
  <c r="BV51" i="4"/>
  <c r="BG51" i="4"/>
  <c r="AT51" i="4"/>
  <c r="CI141" i="4" s="1"/>
  <c r="AS51" i="4"/>
  <c r="AV51" i="4"/>
  <c r="AU51" i="4"/>
  <c r="CJ141" i="4" s="1"/>
  <c r="AW51" i="4"/>
  <c r="AQ51" i="4"/>
  <c r="CJ140" i="4" s="1"/>
  <c r="AO51" i="4"/>
  <c r="AK51" i="4"/>
  <c r="AJ51" i="4"/>
  <c r="AI51" i="4"/>
  <c r="AR51" i="4"/>
  <c r="AP51" i="4"/>
  <c r="CI140" i="4" s="1"/>
  <c r="AN51" i="4"/>
  <c r="AM51" i="4"/>
  <c r="CJ139" i="4" s="1"/>
  <c r="AL51" i="4"/>
  <c r="CI139" i="4" s="1"/>
  <c r="AG51" i="4"/>
  <c r="AD51" i="4"/>
  <c r="AC51" i="4"/>
  <c r="AA51" i="4"/>
  <c r="AB51" i="4"/>
  <c r="AH51" i="4"/>
  <c r="AE51" i="4"/>
  <c r="AF51" i="4"/>
  <c r="O18" i="4"/>
  <c r="N126" i="4"/>
  <c r="CG149" i="4"/>
  <c r="CF149" i="4"/>
  <c r="CD149" i="4"/>
  <c r="CA149" i="4"/>
  <c r="BZ149" i="4"/>
  <c r="BY149" i="4"/>
  <c r="CQ434" i="4" s="1"/>
  <c r="BX149" i="4"/>
  <c r="CP434" i="4" s="1"/>
  <c r="BW149" i="4"/>
  <c r="BV149" i="4"/>
  <c r="BU149" i="4"/>
  <c r="CQ433" i="4" s="1"/>
  <c r="BT149" i="4"/>
  <c r="CP433" i="4" s="1"/>
  <c r="CC149" i="4"/>
  <c r="CQ435" i="4" s="1"/>
  <c r="CE149" i="4"/>
  <c r="BQ149" i="4"/>
  <c r="BP149" i="4"/>
  <c r="BS149" i="4"/>
  <c r="CB149" i="4"/>
  <c r="CP435" i="4" s="1"/>
  <c r="BL149" i="4"/>
  <c r="BK149" i="4"/>
  <c r="BM149" i="4"/>
  <c r="BR149" i="4"/>
  <c r="BN149" i="4"/>
  <c r="BJ149" i="4"/>
  <c r="BO149" i="4"/>
  <c r="BG149" i="4"/>
  <c r="BE149" i="4"/>
  <c r="AY149" i="4"/>
  <c r="BH149" i="4"/>
  <c r="AX149" i="4"/>
  <c r="BF149" i="4"/>
  <c r="AW149" i="4"/>
  <c r="AV149" i="4"/>
  <c r="AR149" i="4"/>
  <c r="AT149" i="4"/>
  <c r="CI435" i="4" s="1"/>
  <c r="AQ149" i="4"/>
  <c r="CJ434" i="4" s="1"/>
  <c r="BI149" i="4"/>
  <c r="AS149" i="4"/>
  <c r="AU149" i="4"/>
  <c r="CJ435" i="4" s="1"/>
  <c r="AN149" i="4"/>
  <c r="AP149" i="4"/>
  <c r="CI434" i="4" s="1"/>
  <c r="AK149" i="4"/>
  <c r="AM149" i="4"/>
  <c r="CJ433" i="4" s="1"/>
  <c r="AO149" i="4"/>
  <c r="AJ149" i="4"/>
  <c r="AL149" i="4"/>
  <c r="CI433" i="4" s="1"/>
  <c r="AH149" i="4"/>
  <c r="AG149" i="4"/>
  <c r="AE149" i="4"/>
  <c r="AI149" i="4"/>
  <c r="AF149" i="4"/>
  <c r="AD149" i="4"/>
  <c r="AB149" i="4"/>
  <c r="AC149" i="4"/>
  <c r="AA149" i="4"/>
  <c r="CE106" i="4"/>
  <c r="CD106" i="4"/>
  <c r="CC106" i="4"/>
  <c r="CQ306" i="4" s="1"/>
  <c r="CB106" i="4"/>
  <c r="CP306" i="4" s="1"/>
  <c r="CA106" i="4"/>
  <c r="CF106" i="4"/>
  <c r="BZ106" i="4"/>
  <c r="BY106" i="4"/>
  <c r="CQ305" i="4" s="1"/>
  <c r="BX106" i="4"/>
  <c r="CP305" i="4" s="1"/>
  <c r="BS106" i="4"/>
  <c r="BR106" i="4"/>
  <c r="BQ106" i="4"/>
  <c r="BP106" i="4"/>
  <c r="BO106" i="4"/>
  <c r="CG106" i="4"/>
  <c r="BU106" i="4"/>
  <c r="CQ304" i="4" s="1"/>
  <c r="BL106" i="4"/>
  <c r="BN106" i="4"/>
  <c r="BT106" i="4"/>
  <c r="CP304" i="4" s="1"/>
  <c r="BW106" i="4"/>
  <c r="BV106" i="4"/>
  <c r="BK106" i="4"/>
  <c r="BM106" i="4"/>
  <c r="BJ106" i="4"/>
  <c r="BI106" i="4"/>
  <c r="BH106" i="4"/>
  <c r="BG106" i="4"/>
  <c r="BF106" i="4"/>
  <c r="BE106" i="4"/>
  <c r="AW106" i="4"/>
  <c r="AU106" i="4"/>
  <c r="CJ306" i="4" s="1"/>
  <c r="AY106" i="4"/>
  <c r="AX106" i="4"/>
  <c r="AT106" i="4"/>
  <c r="CI306" i="4" s="1"/>
  <c r="AR106" i="4"/>
  <c r="AV106" i="4"/>
  <c r="AQ106" i="4"/>
  <c r="CJ305" i="4" s="1"/>
  <c r="AS106" i="4"/>
  <c r="AO106" i="4"/>
  <c r="AN106" i="4"/>
  <c r="AJ106" i="4"/>
  <c r="AK106" i="4"/>
  <c r="AP106" i="4"/>
  <c r="CI305" i="4" s="1"/>
  <c r="AL106" i="4"/>
  <c r="CI304" i="4" s="1"/>
  <c r="AH106" i="4"/>
  <c r="AM106" i="4"/>
  <c r="CJ304" i="4" s="1"/>
  <c r="AF106" i="4"/>
  <c r="AG106" i="4"/>
  <c r="AI106" i="4"/>
  <c r="AD106" i="4"/>
  <c r="AC106" i="4"/>
  <c r="AA106" i="4"/>
  <c r="AE106" i="4"/>
  <c r="AB106" i="4"/>
  <c r="M31" i="4"/>
  <c r="K19" i="4"/>
  <c r="L40" i="4"/>
  <c r="N68" i="4"/>
  <c r="CF364" i="4"/>
  <c r="CG364" i="4"/>
  <c r="CC364" i="4"/>
  <c r="CQ1080" i="4" s="1"/>
  <c r="CD364" i="4"/>
  <c r="BY364" i="4"/>
  <c r="CQ1079" i="4" s="1"/>
  <c r="BW364" i="4"/>
  <c r="BT364" i="4"/>
  <c r="CP1078" i="4" s="1"/>
  <c r="BS364" i="4"/>
  <c r="BR364" i="4"/>
  <c r="BX364" i="4"/>
  <c r="CP1079" i="4" s="1"/>
  <c r="CB364" i="4"/>
  <c r="CP1080" i="4" s="1"/>
  <c r="BV364" i="4"/>
  <c r="BO364" i="4"/>
  <c r="BM364" i="4"/>
  <c r="BL364" i="4"/>
  <c r="CE364" i="4"/>
  <c r="CA364" i="4"/>
  <c r="BQ364" i="4"/>
  <c r="BU364" i="4"/>
  <c r="CQ1078" i="4" s="1"/>
  <c r="BJ364" i="4"/>
  <c r="BI364" i="4"/>
  <c r="BP364" i="4"/>
  <c r="BN364" i="4"/>
  <c r="BK364" i="4"/>
  <c r="BH364" i="4"/>
  <c r="BG364" i="4"/>
  <c r="BF364" i="4"/>
  <c r="BZ364" i="4"/>
  <c r="AX364" i="4"/>
  <c r="AV364" i="4"/>
  <c r="AU364" i="4"/>
  <c r="CJ1080" i="4" s="1"/>
  <c r="BE364" i="4"/>
  <c r="AY364" i="4"/>
  <c r="AS364" i="4"/>
  <c r="AQ364" i="4"/>
  <c r="CJ1079" i="4" s="1"/>
  <c r="AT364" i="4"/>
  <c r="CI1080" i="4" s="1"/>
  <c r="AW364" i="4"/>
  <c r="AR364" i="4"/>
  <c r="AO364" i="4"/>
  <c r="AP364" i="4"/>
  <c r="CI1079" i="4" s="1"/>
  <c r="AM364" i="4"/>
  <c r="CJ1078" i="4" s="1"/>
  <c r="AN364" i="4"/>
  <c r="AL364" i="4"/>
  <c r="CI1078" i="4" s="1"/>
  <c r="AJ364" i="4"/>
  <c r="AF364" i="4"/>
  <c r="AE364" i="4"/>
  <c r="AD364" i="4"/>
  <c r="AC364" i="4"/>
  <c r="AK364" i="4"/>
  <c r="AH364" i="4"/>
  <c r="AI364" i="4"/>
  <c r="AG364" i="4"/>
  <c r="AA364" i="4"/>
  <c r="AB364" i="4"/>
  <c r="CG217" i="4"/>
  <c r="CF217" i="4"/>
  <c r="CE217" i="4"/>
  <c r="CD217" i="4"/>
  <c r="CC217" i="4"/>
  <c r="CQ639" i="4" s="1"/>
  <c r="BZ217" i="4"/>
  <c r="BY217" i="4"/>
  <c r="CQ638" i="4" s="1"/>
  <c r="BX217" i="4"/>
  <c r="CP638" i="4" s="1"/>
  <c r="CB217" i="4"/>
  <c r="CP639" i="4" s="1"/>
  <c r="BU217" i="4"/>
  <c r="CQ637" i="4" s="1"/>
  <c r="BT217" i="4"/>
  <c r="CP637" i="4" s="1"/>
  <c r="BV217" i="4"/>
  <c r="BS217" i="4"/>
  <c r="BM217" i="4"/>
  <c r="BL217" i="4"/>
  <c r="BR217" i="4"/>
  <c r="CA217" i="4"/>
  <c r="BW217" i="4"/>
  <c r="BO217" i="4"/>
  <c r="BP217" i="4"/>
  <c r="BK217" i="4"/>
  <c r="BN217" i="4"/>
  <c r="BQ217" i="4"/>
  <c r="BJ217" i="4"/>
  <c r="BE217" i="4"/>
  <c r="AY217" i="4"/>
  <c r="BI217" i="4"/>
  <c r="BG217" i="4"/>
  <c r="BF217" i="4"/>
  <c r="AX217" i="4"/>
  <c r="AW217" i="4"/>
  <c r="AV217" i="4"/>
  <c r="BH217" i="4"/>
  <c r="AU217" i="4"/>
  <c r="CJ639" i="4" s="1"/>
  <c r="AT217" i="4"/>
  <c r="CI639" i="4" s="1"/>
  <c r="AS217" i="4"/>
  <c r="AR217" i="4"/>
  <c r="AO217" i="4"/>
  <c r="AM217" i="4"/>
  <c r="CJ637" i="4" s="1"/>
  <c r="AQ217" i="4"/>
  <c r="CJ638" i="4" s="1"/>
  <c r="AJ217" i="4"/>
  <c r="AH217" i="4"/>
  <c r="AP217" i="4"/>
  <c r="CI638" i="4" s="1"/>
  <c r="AG217" i="4"/>
  <c r="AN217" i="4"/>
  <c r="AL217" i="4"/>
  <c r="CI637" i="4" s="1"/>
  <c r="AK217" i="4"/>
  <c r="AI217" i="4"/>
  <c r="AA217" i="4"/>
  <c r="AD217" i="4"/>
  <c r="AE217" i="4"/>
  <c r="AB217" i="4"/>
  <c r="AF217" i="4"/>
  <c r="AC217" i="4"/>
  <c r="CE242" i="4"/>
  <c r="CB242" i="4"/>
  <c r="CP714" i="4" s="1"/>
  <c r="CA242" i="4"/>
  <c r="BZ242" i="4"/>
  <c r="BY242" i="4"/>
  <c r="CQ713" i="4" s="1"/>
  <c r="BX242" i="4"/>
  <c r="CP713" i="4" s="1"/>
  <c r="BW242" i="4"/>
  <c r="CG242" i="4"/>
  <c r="CD242" i="4"/>
  <c r="CF242" i="4"/>
  <c r="CC242" i="4"/>
  <c r="CQ714" i="4" s="1"/>
  <c r="BV242" i="4"/>
  <c r="BS242" i="4"/>
  <c r="BR242" i="4"/>
  <c r="BQ242" i="4"/>
  <c r="BP242" i="4"/>
  <c r="BO242" i="4"/>
  <c r="BU242" i="4"/>
  <c r="CQ712" i="4" s="1"/>
  <c r="BN242" i="4"/>
  <c r="BT242" i="4"/>
  <c r="CP712" i="4" s="1"/>
  <c r="BL242" i="4"/>
  <c r="BK242" i="4"/>
  <c r="BF242" i="4"/>
  <c r="BM242" i="4"/>
  <c r="BJ242" i="4"/>
  <c r="BI242" i="4"/>
  <c r="BG242" i="4"/>
  <c r="AW242" i="4"/>
  <c r="BE242" i="4"/>
  <c r="AY242" i="4"/>
  <c r="AX242" i="4"/>
  <c r="AV242" i="4"/>
  <c r="BH242" i="4"/>
  <c r="AU242" i="4"/>
  <c r="CJ714" i="4" s="1"/>
  <c r="AT242" i="4"/>
  <c r="CI714" i="4" s="1"/>
  <c r="AR242" i="4"/>
  <c r="AQ242" i="4"/>
  <c r="CJ713" i="4" s="1"/>
  <c r="AS242" i="4"/>
  <c r="AO242" i="4"/>
  <c r="AP242" i="4"/>
  <c r="CI713" i="4" s="1"/>
  <c r="AN242" i="4"/>
  <c r="AI242" i="4"/>
  <c r="AJ242" i="4"/>
  <c r="AH242" i="4"/>
  <c r="AM242" i="4"/>
  <c r="CJ712" i="4" s="1"/>
  <c r="AL242" i="4"/>
  <c r="CI712" i="4" s="1"/>
  <c r="AG242" i="4"/>
  <c r="AE242" i="4"/>
  <c r="AK242" i="4"/>
  <c r="AC242" i="4"/>
  <c r="AB242" i="4"/>
  <c r="AD242" i="4"/>
  <c r="AA242" i="4"/>
  <c r="AF242" i="4"/>
  <c r="CG10" i="4"/>
  <c r="CD10" i="4"/>
  <c r="CC10" i="4"/>
  <c r="CQ18" i="4" s="1"/>
  <c r="CB10" i="4"/>
  <c r="CP18" i="4" s="1"/>
  <c r="CA10" i="4"/>
  <c r="CE10" i="4"/>
  <c r="CF10" i="4"/>
  <c r="BY10" i="4"/>
  <c r="CQ17" i="4" s="1"/>
  <c r="BX10" i="4"/>
  <c r="CP17" i="4" s="1"/>
  <c r="BW10" i="4"/>
  <c r="BS10" i="4"/>
  <c r="BR10" i="4"/>
  <c r="BQ10" i="4"/>
  <c r="BP10" i="4"/>
  <c r="BO10" i="4"/>
  <c r="BU10" i="4"/>
  <c r="CQ16" i="4" s="1"/>
  <c r="BZ10" i="4"/>
  <c r="BT10" i="4"/>
  <c r="CP16" i="4" s="1"/>
  <c r="BL10" i="4"/>
  <c r="BV10" i="4"/>
  <c r="BM10" i="4"/>
  <c r="BN10" i="4"/>
  <c r="BI10" i="4"/>
  <c r="BH10" i="4"/>
  <c r="BK10" i="4"/>
  <c r="BJ10" i="4"/>
  <c r="BG10" i="4"/>
  <c r="BF10" i="4"/>
  <c r="AX10" i="4"/>
  <c r="AW10" i="4"/>
  <c r="AV10" i="4"/>
  <c r="AY10" i="4"/>
  <c r="AS10" i="4"/>
  <c r="AT10" i="4"/>
  <c r="CI18" i="4" s="1"/>
  <c r="BE10" i="4"/>
  <c r="AQ10" i="4"/>
  <c r="CJ17" i="4" s="1"/>
  <c r="AN10" i="4"/>
  <c r="AL10" i="4"/>
  <c r="CI16" i="4" s="1"/>
  <c r="AU10" i="4"/>
  <c r="CJ18" i="4" s="1"/>
  <c r="AR10" i="4"/>
  <c r="AM10" i="4"/>
  <c r="CJ16" i="4" s="1"/>
  <c r="AP10" i="4"/>
  <c r="CI17" i="4" s="1"/>
  <c r="AJ10" i="4"/>
  <c r="AI10" i="4"/>
  <c r="AG10" i="4"/>
  <c r="AO10" i="4"/>
  <c r="AH10" i="4"/>
  <c r="AK10" i="4"/>
  <c r="AE10" i="4"/>
  <c r="AC10" i="4"/>
  <c r="AF10" i="4"/>
  <c r="AD10" i="4"/>
  <c r="AB10" i="4"/>
  <c r="AA10" i="4"/>
  <c r="R91" i="4"/>
  <c r="L111" i="4"/>
  <c r="CD61" i="4"/>
  <c r="CC61" i="4"/>
  <c r="CQ171" i="4" s="1"/>
  <c r="CB61" i="4"/>
  <c r="CP171" i="4" s="1"/>
  <c r="CE61" i="4"/>
  <c r="CA61" i="4"/>
  <c r="CF61" i="4"/>
  <c r="CG61" i="4"/>
  <c r="BX61" i="4"/>
  <c r="CP170" i="4" s="1"/>
  <c r="BW61" i="4"/>
  <c r="BU61" i="4"/>
  <c r="CQ169" i="4" s="1"/>
  <c r="BS61" i="4"/>
  <c r="BR61" i="4"/>
  <c r="BQ61" i="4"/>
  <c r="BP61" i="4"/>
  <c r="BV61" i="4"/>
  <c r="BT61" i="4"/>
  <c r="CP169" i="4" s="1"/>
  <c r="BZ61" i="4"/>
  <c r="BL61" i="4"/>
  <c r="BK61" i="4"/>
  <c r="BO61" i="4"/>
  <c r="BY61" i="4"/>
  <c r="CQ170" i="4" s="1"/>
  <c r="BJ61" i="4"/>
  <c r="BM61" i="4"/>
  <c r="BH61" i="4"/>
  <c r="BG61" i="4"/>
  <c r="BN61" i="4"/>
  <c r="BF61" i="4"/>
  <c r="BI61" i="4"/>
  <c r="AW61" i="4"/>
  <c r="AX61" i="4"/>
  <c r="AV61" i="4"/>
  <c r="AY61" i="4"/>
  <c r="AU61" i="4"/>
  <c r="CJ171" i="4" s="1"/>
  <c r="BE61" i="4"/>
  <c r="AR61" i="4"/>
  <c r="AN61" i="4"/>
  <c r="AT61" i="4"/>
  <c r="CI171" i="4" s="1"/>
  <c r="AL61" i="4"/>
  <c r="CI169" i="4" s="1"/>
  <c r="AO61" i="4"/>
  <c r="AK61" i="4"/>
  <c r="AJ61" i="4"/>
  <c r="AI61" i="4"/>
  <c r="AQ61" i="4"/>
  <c r="CJ170" i="4" s="1"/>
  <c r="AM61" i="4"/>
  <c r="CJ169" i="4" s="1"/>
  <c r="AG61" i="4"/>
  <c r="AS61" i="4"/>
  <c r="AP61" i="4"/>
  <c r="CI170" i="4" s="1"/>
  <c r="AF61" i="4"/>
  <c r="AB61" i="4"/>
  <c r="AH61" i="4"/>
  <c r="AD61" i="4"/>
  <c r="AE61" i="4"/>
  <c r="AA61" i="4"/>
  <c r="AC61" i="4"/>
  <c r="K20" i="4"/>
  <c r="CD138" i="4"/>
  <c r="CC138" i="4"/>
  <c r="CQ402" i="4" s="1"/>
  <c r="CB138" i="4"/>
  <c r="CP402" i="4" s="1"/>
  <c r="CA138" i="4"/>
  <c r="CG138" i="4"/>
  <c r="CF138" i="4"/>
  <c r="BZ138" i="4"/>
  <c r="BY138" i="4"/>
  <c r="CQ401" i="4" s="1"/>
  <c r="BX138" i="4"/>
  <c r="CP401" i="4" s="1"/>
  <c r="BS138" i="4"/>
  <c r="BR138" i="4"/>
  <c r="BQ138" i="4"/>
  <c r="BP138" i="4"/>
  <c r="BO138" i="4"/>
  <c r="CE138" i="4"/>
  <c r="BW138" i="4"/>
  <c r="BN138" i="4"/>
  <c r="BL138" i="4"/>
  <c r="BT138" i="4"/>
  <c r="CP400" i="4" s="1"/>
  <c r="BM138" i="4"/>
  <c r="BV138" i="4"/>
  <c r="BK138" i="4"/>
  <c r="BJ138" i="4"/>
  <c r="BI138" i="4"/>
  <c r="BF138" i="4"/>
  <c r="BE138" i="4"/>
  <c r="BH138" i="4"/>
  <c r="BU138" i="4"/>
  <c r="CQ400" i="4" s="1"/>
  <c r="AV138" i="4"/>
  <c r="AT138" i="4"/>
  <c r="CI402" i="4" s="1"/>
  <c r="BG138" i="4"/>
  <c r="AU138" i="4"/>
  <c r="CJ402" i="4" s="1"/>
  <c r="AX138" i="4"/>
  <c r="AS138" i="4"/>
  <c r="AW138" i="4"/>
  <c r="AR138" i="4"/>
  <c r="AP138" i="4"/>
  <c r="CI401" i="4" s="1"/>
  <c r="AY138" i="4"/>
  <c r="AO138" i="4"/>
  <c r="AL138" i="4"/>
  <c r="CI400" i="4" s="1"/>
  <c r="AQ138" i="4"/>
  <c r="CJ401" i="4" s="1"/>
  <c r="AM138" i="4"/>
  <c r="CJ400" i="4" s="1"/>
  <c r="AI138" i="4"/>
  <c r="AH138" i="4"/>
  <c r="AG138" i="4"/>
  <c r="AN138" i="4"/>
  <c r="AJ138" i="4"/>
  <c r="AE138" i="4"/>
  <c r="AK138" i="4"/>
  <c r="AF138" i="4"/>
  <c r="AB138" i="4"/>
  <c r="AD138" i="4"/>
  <c r="AC138" i="4"/>
  <c r="AA138" i="4"/>
  <c r="O39" i="4"/>
  <c r="N56" i="4"/>
  <c r="CG179" i="4"/>
  <c r="CF179" i="4"/>
  <c r="CE179" i="4"/>
  <c r="CC179" i="4"/>
  <c r="CQ525" i="4" s="1"/>
  <c r="CB179" i="4"/>
  <c r="CP525" i="4" s="1"/>
  <c r="BZ179" i="4"/>
  <c r="BY179" i="4"/>
  <c r="CQ524" i="4" s="1"/>
  <c r="BW179" i="4"/>
  <c r="BU179" i="4"/>
  <c r="CQ523" i="4" s="1"/>
  <c r="CD179" i="4"/>
  <c r="BT179" i="4"/>
  <c r="CP523" i="4" s="1"/>
  <c r="BS179" i="4"/>
  <c r="BR179" i="4"/>
  <c r="BQ179" i="4"/>
  <c r="BP179" i="4"/>
  <c r="BO179" i="4"/>
  <c r="CA179" i="4"/>
  <c r="BV179" i="4"/>
  <c r="BN179" i="4"/>
  <c r="BX179" i="4"/>
  <c r="CP524" i="4" s="1"/>
  <c r="BL179" i="4"/>
  <c r="BJ179" i="4"/>
  <c r="BI179" i="4"/>
  <c r="BH179" i="4"/>
  <c r="BM179" i="4"/>
  <c r="BG179" i="4"/>
  <c r="BK179" i="4"/>
  <c r="BF179" i="4"/>
  <c r="AX179" i="4"/>
  <c r="BE179" i="4"/>
  <c r="AW179" i="4"/>
  <c r="AY179" i="4"/>
  <c r="AV179" i="4"/>
  <c r="AU179" i="4"/>
  <c r="CJ525" i="4" s="1"/>
  <c r="AS179" i="4"/>
  <c r="AT179" i="4"/>
  <c r="CI525" i="4" s="1"/>
  <c r="AP179" i="4"/>
  <c r="CI524" i="4" s="1"/>
  <c r="AO179" i="4"/>
  <c r="AL179" i="4"/>
  <c r="CI523" i="4" s="1"/>
  <c r="AK179" i="4"/>
  <c r="AJ179" i="4"/>
  <c r="AR179" i="4"/>
  <c r="AQ179" i="4"/>
  <c r="CJ524" i="4" s="1"/>
  <c r="AM179" i="4"/>
  <c r="CJ523" i="4" s="1"/>
  <c r="AI179" i="4"/>
  <c r="AN179" i="4"/>
  <c r="AH179" i="4"/>
  <c r="AD179" i="4"/>
  <c r="AG179" i="4"/>
  <c r="AC179" i="4"/>
  <c r="AA179" i="4"/>
  <c r="AE179" i="4"/>
  <c r="AB179" i="4"/>
  <c r="AF179" i="4"/>
  <c r="O50" i="4"/>
  <c r="N71" i="4"/>
  <c r="CF75" i="4"/>
  <c r="CE75" i="4"/>
  <c r="CD75" i="4"/>
  <c r="CC75" i="4"/>
  <c r="CQ213" i="4" s="1"/>
  <c r="CB75" i="4"/>
  <c r="CP213" i="4" s="1"/>
  <c r="CA75" i="4"/>
  <c r="CG75" i="4"/>
  <c r="BV75" i="4"/>
  <c r="BU75" i="4"/>
  <c r="CQ211" i="4" s="1"/>
  <c r="BS75" i="4"/>
  <c r="BR75" i="4"/>
  <c r="BQ75" i="4"/>
  <c r="BP75" i="4"/>
  <c r="BO75" i="4"/>
  <c r="BY75" i="4"/>
  <c r="CQ212" i="4" s="1"/>
  <c r="BT75" i="4"/>
  <c r="CP211" i="4" s="1"/>
  <c r="BZ75" i="4"/>
  <c r="BW75" i="4"/>
  <c r="BN75" i="4"/>
  <c r="BK75" i="4"/>
  <c r="BJ75" i="4"/>
  <c r="BI75" i="4"/>
  <c r="BH75" i="4"/>
  <c r="BL75" i="4"/>
  <c r="BX75" i="4"/>
  <c r="CP212" i="4" s="1"/>
  <c r="BM75" i="4"/>
  <c r="BG75" i="4"/>
  <c r="BF75" i="4"/>
  <c r="AX75" i="4"/>
  <c r="AW75" i="4"/>
  <c r="BE75" i="4"/>
  <c r="AU75" i="4"/>
  <c r="CJ213" i="4" s="1"/>
  <c r="AR75" i="4"/>
  <c r="AS75" i="4"/>
  <c r="AV75" i="4"/>
  <c r="AQ75" i="4"/>
  <c r="CJ212" i="4" s="1"/>
  <c r="AT75" i="4"/>
  <c r="CI213" i="4" s="1"/>
  <c r="AY75" i="4"/>
  <c r="AP75" i="4"/>
  <c r="CI212" i="4" s="1"/>
  <c r="AL75" i="4"/>
  <c r="CI211" i="4" s="1"/>
  <c r="AN75" i="4"/>
  <c r="AO75" i="4"/>
  <c r="AM75" i="4"/>
  <c r="CJ211" i="4" s="1"/>
  <c r="AI75" i="4"/>
  <c r="AH75" i="4"/>
  <c r="AJ75" i="4"/>
  <c r="AK75" i="4"/>
  <c r="AE75" i="4"/>
  <c r="AG75" i="4"/>
  <c r="AB75" i="4"/>
  <c r="AF75" i="4"/>
  <c r="AA75" i="4"/>
  <c r="AC75" i="4"/>
  <c r="AD75" i="4"/>
  <c r="CE293" i="4"/>
  <c r="CD293" i="4"/>
  <c r="CG293" i="4"/>
  <c r="BZ293" i="4"/>
  <c r="BY293" i="4"/>
  <c r="CQ866" i="4" s="1"/>
  <c r="BX293" i="4"/>
  <c r="CP866" i="4" s="1"/>
  <c r="BW293" i="4"/>
  <c r="BV293" i="4"/>
  <c r="BU293" i="4"/>
  <c r="CQ865" i="4" s="1"/>
  <c r="BT293" i="4"/>
  <c r="CP865" i="4" s="1"/>
  <c r="CB293" i="4"/>
  <c r="CP867" i="4" s="1"/>
  <c r="CC293" i="4"/>
  <c r="CQ867" i="4" s="1"/>
  <c r="CF293" i="4"/>
  <c r="CA293" i="4"/>
  <c r="BR293" i="4"/>
  <c r="BO293" i="4"/>
  <c r="BP293" i="4"/>
  <c r="BQ293" i="4"/>
  <c r="BN293" i="4"/>
  <c r="BM293" i="4"/>
  <c r="BL293" i="4"/>
  <c r="BS293" i="4"/>
  <c r="BF293" i="4"/>
  <c r="BK293" i="4"/>
  <c r="BH293" i="4"/>
  <c r="BG293" i="4"/>
  <c r="AW293" i="4"/>
  <c r="BE293" i="4"/>
  <c r="AX293" i="4"/>
  <c r="BI293" i="4"/>
  <c r="AY293" i="4"/>
  <c r="AU293" i="4"/>
  <c r="CJ867" i="4" s="1"/>
  <c r="BJ293" i="4"/>
  <c r="AR293" i="4"/>
  <c r="AT293" i="4"/>
  <c r="CI867" i="4" s="1"/>
  <c r="AL293" i="4"/>
  <c r="CI865" i="4" s="1"/>
  <c r="AK293" i="4"/>
  <c r="AS293" i="4"/>
  <c r="AP293" i="4"/>
  <c r="CI866" i="4" s="1"/>
  <c r="AV293" i="4"/>
  <c r="AN293" i="4"/>
  <c r="AM293" i="4"/>
  <c r="CJ865" i="4" s="1"/>
  <c r="AO293" i="4"/>
  <c r="AQ293" i="4"/>
  <c r="CJ866" i="4" s="1"/>
  <c r="AH293" i="4"/>
  <c r="AJ293" i="4"/>
  <c r="AG293" i="4"/>
  <c r="AE293" i="4"/>
  <c r="AD293" i="4"/>
  <c r="AA293" i="4"/>
  <c r="AI293" i="4"/>
  <c r="AB293" i="4"/>
  <c r="AC293" i="4"/>
  <c r="AF293" i="4"/>
  <c r="CE122" i="4"/>
  <c r="CD122" i="4"/>
  <c r="CC122" i="4"/>
  <c r="CQ354" i="4" s="1"/>
  <c r="CB122" i="4"/>
  <c r="CP354" i="4" s="1"/>
  <c r="CA122" i="4"/>
  <c r="CG122" i="4"/>
  <c r="CF122" i="4"/>
  <c r="BZ122" i="4"/>
  <c r="BY122" i="4"/>
  <c r="CQ353" i="4" s="1"/>
  <c r="BX122" i="4"/>
  <c r="CP353" i="4" s="1"/>
  <c r="BS122" i="4"/>
  <c r="BR122" i="4"/>
  <c r="BQ122" i="4"/>
  <c r="BP122" i="4"/>
  <c r="BO122" i="4"/>
  <c r="BV122" i="4"/>
  <c r="BT122" i="4"/>
  <c r="CP352" i="4" s="1"/>
  <c r="BL122" i="4"/>
  <c r="BN122" i="4"/>
  <c r="BU122" i="4"/>
  <c r="CQ352" i="4" s="1"/>
  <c r="BM122" i="4"/>
  <c r="BW122" i="4"/>
  <c r="BJ122" i="4"/>
  <c r="BI122" i="4"/>
  <c r="BH122" i="4"/>
  <c r="BF122" i="4"/>
  <c r="BK122" i="4"/>
  <c r="BG122" i="4"/>
  <c r="AW122" i="4"/>
  <c r="AY122" i="4"/>
  <c r="BE122" i="4"/>
  <c r="AX122" i="4"/>
  <c r="AT122" i="4"/>
  <c r="CI354" i="4" s="1"/>
  <c r="AU122" i="4"/>
  <c r="CJ354" i="4" s="1"/>
  <c r="AV122" i="4"/>
  <c r="AS122" i="4"/>
  <c r="AO122" i="4"/>
  <c r="AQ122" i="4"/>
  <c r="CJ353" i="4" s="1"/>
  <c r="AN122" i="4"/>
  <c r="AL122" i="4"/>
  <c r="CI352" i="4" s="1"/>
  <c r="AR122" i="4"/>
  <c r="AP122" i="4"/>
  <c r="CI353" i="4" s="1"/>
  <c r="AM122" i="4"/>
  <c r="CJ352" i="4" s="1"/>
  <c r="AI122" i="4"/>
  <c r="AG122" i="4"/>
  <c r="AJ122" i="4"/>
  <c r="AH122" i="4"/>
  <c r="AE122" i="4"/>
  <c r="AB122" i="4"/>
  <c r="AK122" i="4"/>
  <c r="AD122" i="4"/>
  <c r="AF122" i="4"/>
  <c r="AC122" i="4"/>
  <c r="AA122" i="4"/>
  <c r="CG248" i="4"/>
  <c r="CD248" i="4"/>
  <c r="CC248" i="4"/>
  <c r="CQ732" i="4" s="1"/>
  <c r="CF248" i="4"/>
  <c r="CE248" i="4"/>
  <c r="CA248" i="4"/>
  <c r="BZ248" i="4"/>
  <c r="BY248" i="4"/>
  <c r="CQ731" i="4" s="1"/>
  <c r="BX248" i="4"/>
  <c r="CP731" i="4" s="1"/>
  <c r="BW248" i="4"/>
  <c r="BU248" i="4"/>
  <c r="CQ730" i="4" s="1"/>
  <c r="CB248" i="4"/>
  <c r="CP732" i="4" s="1"/>
  <c r="BT248" i="4"/>
  <c r="CP730" i="4" s="1"/>
  <c r="BS248" i="4"/>
  <c r="BR248" i="4"/>
  <c r="BQ248" i="4"/>
  <c r="BP248" i="4"/>
  <c r="BO248" i="4"/>
  <c r="BM248" i="4"/>
  <c r="BL248" i="4"/>
  <c r="BK248" i="4"/>
  <c r="BH248" i="4"/>
  <c r="BE248" i="4"/>
  <c r="AY248" i="4"/>
  <c r="BI248" i="4"/>
  <c r="BG248" i="4"/>
  <c r="BV248" i="4"/>
  <c r="BN248" i="4"/>
  <c r="AX248" i="4"/>
  <c r="AV248" i="4"/>
  <c r="AS248" i="4"/>
  <c r="AT248" i="4"/>
  <c r="CI732" i="4" s="1"/>
  <c r="BJ248" i="4"/>
  <c r="AP248" i="4"/>
  <c r="CI731" i="4" s="1"/>
  <c r="AW248" i="4"/>
  <c r="AU248" i="4"/>
  <c r="CJ732" i="4" s="1"/>
  <c r="AR248" i="4"/>
  <c r="AL248" i="4"/>
  <c r="CI730" i="4" s="1"/>
  <c r="BF248" i="4"/>
  <c r="AO248" i="4"/>
  <c r="AQ248" i="4"/>
  <c r="CJ731" i="4" s="1"/>
  <c r="AI248" i="4"/>
  <c r="AJ248" i="4"/>
  <c r="AG248" i="4"/>
  <c r="AM248" i="4"/>
  <c r="CJ730" i="4" s="1"/>
  <c r="AK248" i="4"/>
  <c r="AN248" i="4"/>
  <c r="AH248" i="4"/>
  <c r="AC248" i="4"/>
  <c r="AB248" i="4"/>
  <c r="AF248" i="4"/>
  <c r="AD248" i="4"/>
  <c r="AA248" i="4"/>
  <c r="AE248" i="4"/>
  <c r="CF347" i="4"/>
  <c r="CE347" i="4"/>
  <c r="CD347" i="4"/>
  <c r="CC347" i="4"/>
  <c r="CQ1029" i="4" s="1"/>
  <c r="CB347" i="4"/>
  <c r="CP1029" i="4" s="1"/>
  <c r="CA347" i="4"/>
  <c r="CG347" i="4"/>
  <c r="BT347" i="4"/>
  <c r="CP1027" i="4" s="1"/>
  <c r="BS347" i="4"/>
  <c r="BR347" i="4"/>
  <c r="BQ347" i="4"/>
  <c r="BP347" i="4"/>
  <c r="BW347" i="4"/>
  <c r="BZ347" i="4"/>
  <c r="BX347" i="4"/>
  <c r="CP1028" i="4" s="1"/>
  <c r="BY347" i="4"/>
  <c r="CQ1028" i="4" s="1"/>
  <c r="BU347" i="4"/>
  <c r="CQ1027" i="4" s="1"/>
  <c r="BO347" i="4"/>
  <c r="BJ347" i="4"/>
  <c r="BI347" i="4"/>
  <c r="BV347" i="4"/>
  <c r="BL347" i="4"/>
  <c r="BM347" i="4"/>
  <c r="BN347" i="4"/>
  <c r="BH347" i="4"/>
  <c r="BG347" i="4"/>
  <c r="BK347" i="4"/>
  <c r="BF347" i="4"/>
  <c r="AY347" i="4"/>
  <c r="AX347" i="4"/>
  <c r="BE347" i="4"/>
  <c r="AV347" i="4"/>
  <c r="AW347" i="4"/>
  <c r="AU347" i="4"/>
  <c r="CJ1029" i="4" s="1"/>
  <c r="AS347" i="4"/>
  <c r="AP347" i="4"/>
  <c r="CI1028" i="4" s="1"/>
  <c r="AQ347" i="4"/>
  <c r="CJ1028" i="4" s="1"/>
  <c r="AR347" i="4"/>
  <c r="AT347" i="4"/>
  <c r="CI1029" i="4" s="1"/>
  <c r="AM347" i="4"/>
  <c r="CJ1027" i="4" s="1"/>
  <c r="AO347" i="4"/>
  <c r="AJ347" i="4"/>
  <c r="AN347" i="4"/>
  <c r="AL347" i="4"/>
  <c r="CI1027" i="4" s="1"/>
  <c r="AK347" i="4"/>
  <c r="AH347" i="4"/>
  <c r="AE347" i="4"/>
  <c r="AD347" i="4"/>
  <c r="AI347" i="4"/>
  <c r="AG347" i="4"/>
  <c r="AC347" i="4"/>
  <c r="AA347" i="4"/>
  <c r="AF347" i="4"/>
  <c r="AB347" i="4"/>
  <c r="CG101" i="4"/>
  <c r="CD101" i="4"/>
  <c r="CC101" i="4"/>
  <c r="CQ291" i="4" s="1"/>
  <c r="CF101" i="4"/>
  <c r="BZ101" i="4"/>
  <c r="BY101" i="4"/>
  <c r="CQ290" i="4" s="1"/>
  <c r="BX101" i="4"/>
  <c r="CP290" i="4" s="1"/>
  <c r="BW101" i="4"/>
  <c r="BV101" i="4"/>
  <c r="BU101" i="4"/>
  <c r="CQ289" i="4" s="1"/>
  <c r="BT101" i="4"/>
  <c r="CP289" i="4" s="1"/>
  <c r="CA101" i="4"/>
  <c r="CE101" i="4"/>
  <c r="BN101" i="4"/>
  <c r="BM101" i="4"/>
  <c r="BS101" i="4"/>
  <c r="BO101" i="4"/>
  <c r="CB101" i="4"/>
  <c r="CP291" i="4" s="1"/>
  <c r="BP101" i="4"/>
  <c r="BR101" i="4"/>
  <c r="BL101" i="4"/>
  <c r="BK101" i="4"/>
  <c r="BQ101" i="4"/>
  <c r="BJ101" i="4"/>
  <c r="BI101" i="4"/>
  <c r="BE101" i="4"/>
  <c r="BG101" i="4"/>
  <c r="AU101" i="4"/>
  <c r="CJ291" i="4" s="1"/>
  <c r="AY101" i="4"/>
  <c r="BH101" i="4"/>
  <c r="AT101" i="4"/>
  <c r="CI291" i="4" s="1"/>
  <c r="BF101" i="4"/>
  <c r="AX101" i="4"/>
  <c r="AP101" i="4"/>
  <c r="CI290" i="4" s="1"/>
  <c r="AS101" i="4"/>
  <c r="AN101" i="4"/>
  <c r="AK101" i="4"/>
  <c r="AW101" i="4"/>
  <c r="AR101" i="4"/>
  <c r="AO101" i="4"/>
  <c r="AL101" i="4"/>
  <c r="CI289" i="4" s="1"/>
  <c r="AI101" i="4"/>
  <c r="AH101" i="4"/>
  <c r="AQ101" i="4"/>
  <c r="CJ290" i="4" s="1"/>
  <c r="AM101" i="4"/>
  <c r="CJ289" i="4" s="1"/>
  <c r="AF101" i="4"/>
  <c r="AV101" i="4"/>
  <c r="AG101" i="4"/>
  <c r="AB101" i="4"/>
  <c r="AJ101" i="4"/>
  <c r="AE101" i="4"/>
  <c r="AA101" i="4"/>
  <c r="AC101" i="4"/>
  <c r="AD101" i="4"/>
  <c r="CE78" i="4"/>
  <c r="CD78" i="4"/>
  <c r="CC78" i="4"/>
  <c r="CQ222" i="4" s="1"/>
  <c r="CB78" i="4"/>
  <c r="CP222" i="4" s="1"/>
  <c r="CG78" i="4"/>
  <c r="CA78" i="4"/>
  <c r="BV78" i="4"/>
  <c r="BU78" i="4"/>
  <c r="CQ220" i="4" s="1"/>
  <c r="BS78" i="4"/>
  <c r="BR78" i="4"/>
  <c r="BQ78" i="4"/>
  <c r="BP78" i="4"/>
  <c r="BO78" i="4"/>
  <c r="BN78" i="4"/>
  <c r="BM78" i="4"/>
  <c r="BY78" i="4"/>
  <c r="CQ221" i="4" s="1"/>
  <c r="BT78" i="4"/>
  <c r="CP220" i="4" s="1"/>
  <c r="BX78" i="4"/>
  <c r="CP221" i="4" s="1"/>
  <c r="BZ78" i="4"/>
  <c r="CF78" i="4"/>
  <c r="BW78" i="4"/>
  <c r="BK78" i="4"/>
  <c r="BJ78" i="4"/>
  <c r="BL78" i="4"/>
  <c r="BI78" i="4"/>
  <c r="BG78" i="4"/>
  <c r="AY78" i="4"/>
  <c r="AX78" i="4"/>
  <c r="AW78" i="4"/>
  <c r="AV78" i="4"/>
  <c r="AU78" i="4"/>
  <c r="CJ222" i="4" s="1"/>
  <c r="AT78" i="4"/>
  <c r="CI222" i="4" s="1"/>
  <c r="BF78" i="4"/>
  <c r="BE78" i="4"/>
  <c r="AN78" i="4"/>
  <c r="AQ78" i="4"/>
  <c r="CJ221" i="4" s="1"/>
  <c r="AL78" i="4"/>
  <c r="CI220" i="4" s="1"/>
  <c r="BH78" i="4"/>
  <c r="AO78" i="4"/>
  <c r="AS78" i="4"/>
  <c r="AP78" i="4"/>
  <c r="CI221" i="4" s="1"/>
  <c r="AR78" i="4"/>
  <c r="AJ78" i="4"/>
  <c r="AI78" i="4"/>
  <c r="AM78" i="4"/>
  <c r="CJ220" i="4" s="1"/>
  <c r="AG78" i="4"/>
  <c r="AH78" i="4"/>
  <c r="AF78" i="4"/>
  <c r="AE78" i="4"/>
  <c r="AD78" i="4"/>
  <c r="AC78" i="4"/>
  <c r="AB78" i="4"/>
  <c r="AA78" i="4"/>
  <c r="AK78" i="4"/>
  <c r="R74" i="4"/>
  <c r="CG304" i="4"/>
  <c r="CF304" i="4"/>
  <c r="CD304" i="4"/>
  <c r="CE304" i="4"/>
  <c r="CA304" i="4"/>
  <c r="CB304" i="4"/>
  <c r="CP900" i="4" s="1"/>
  <c r="BX304" i="4"/>
  <c r="CP899" i="4" s="1"/>
  <c r="BU304" i="4"/>
  <c r="CQ898" i="4" s="1"/>
  <c r="BY304" i="4"/>
  <c r="CQ899" i="4" s="1"/>
  <c r="BV304" i="4"/>
  <c r="BW304" i="4"/>
  <c r="BT304" i="4"/>
  <c r="CP898" i="4" s="1"/>
  <c r="BS304" i="4"/>
  <c r="BZ304" i="4"/>
  <c r="BR304" i="4"/>
  <c r="BP304" i="4"/>
  <c r="BM304" i="4"/>
  <c r="BL304" i="4"/>
  <c r="BK304" i="4"/>
  <c r="BN304" i="4"/>
  <c r="BJ304" i="4"/>
  <c r="BI304" i="4"/>
  <c r="BQ304" i="4"/>
  <c r="CC304" i="4"/>
  <c r="CQ900" i="4" s="1"/>
  <c r="BE304" i="4"/>
  <c r="AY304" i="4"/>
  <c r="BO304" i="4"/>
  <c r="BF304" i="4"/>
  <c r="BG304" i="4"/>
  <c r="AX304" i="4"/>
  <c r="BH304" i="4"/>
  <c r="AV304" i="4"/>
  <c r="AT304" i="4"/>
  <c r="CI900" i="4" s="1"/>
  <c r="AS304" i="4"/>
  <c r="AU304" i="4"/>
  <c r="CJ900" i="4" s="1"/>
  <c r="AW304" i="4"/>
  <c r="AO304" i="4"/>
  <c r="AN304" i="4"/>
  <c r="AR304" i="4"/>
  <c r="AP304" i="4"/>
  <c r="CI899" i="4" s="1"/>
  <c r="AM304" i="4"/>
  <c r="CJ898" i="4" s="1"/>
  <c r="AI304" i="4"/>
  <c r="AH304" i="4"/>
  <c r="AG304" i="4"/>
  <c r="AQ304" i="4"/>
  <c r="CJ899" i="4" s="1"/>
  <c r="AJ304" i="4"/>
  <c r="AL304" i="4"/>
  <c r="CI898" i="4" s="1"/>
  <c r="AF304" i="4"/>
  <c r="AE304" i="4"/>
  <c r="AA304" i="4"/>
  <c r="AC304" i="4"/>
  <c r="AD304" i="4"/>
  <c r="AB304" i="4"/>
  <c r="AK304" i="4"/>
  <c r="M90" i="4"/>
  <c r="CG453" i="4"/>
  <c r="CE453" i="4"/>
  <c r="CF453" i="4"/>
  <c r="CD453" i="4"/>
  <c r="BZ453" i="4"/>
  <c r="BY453" i="4"/>
  <c r="CQ1346" i="4" s="1"/>
  <c r="BX453" i="4"/>
  <c r="CP1346" i="4" s="1"/>
  <c r="BW453" i="4"/>
  <c r="BV453" i="4"/>
  <c r="BU453" i="4"/>
  <c r="CQ1345" i="4" s="1"/>
  <c r="CA453" i="4"/>
  <c r="BT453" i="4"/>
  <c r="CP1345" i="4" s="1"/>
  <c r="BQ453" i="4"/>
  <c r="BS453" i="4"/>
  <c r="BO453" i="4"/>
  <c r="BM453" i="4"/>
  <c r="BL453" i="4"/>
  <c r="CC453" i="4"/>
  <c r="CQ1347" i="4" s="1"/>
  <c r="BR453" i="4"/>
  <c r="BN453" i="4"/>
  <c r="BP453" i="4"/>
  <c r="BH453" i="4"/>
  <c r="BG453" i="4"/>
  <c r="BK453" i="4"/>
  <c r="BJ453" i="4"/>
  <c r="CB453" i="4"/>
  <c r="CP1347" i="4" s="1"/>
  <c r="AX453" i="4"/>
  <c r="BI453" i="4"/>
  <c r="BE453" i="4"/>
  <c r="AV453" i="4"/>
  <c r="AW453" i="4"/>
  <c r="AU453" i="4"/>
  <c r="CJ1347" i="4" s="1"/>
  <c r="AY453" i="4"/>
  <c r="AQ453" i="4"/>
  <c r="CJ1346" i="4" s="1"/>
  <c r="BF453" i="4"/>
  <c r="AT453" i="4"/>
  <c r="CI1347" i="4" s="1"/>
  <c r="AO453" i="4"/>
  <c r="AL453" i="4"/>
  <c r="CI1345" i="4" s="1"/>
  <c r="AS453" i="4"/>
  <c r="AP453" i="4"/>
  <c r="CI1346" i="4" s="1"/>
  <c r="AN453" i="4"/>
  <c r="AR453" i="4"/>
  <c r="AM453" i="4"/>
  <c r="CJ1345" i="4" s="1"/>
  <c r="AK453" i="4"/>
  <c r="AI453" i="4"/>
  <c r="AG453" i="4"/>
  <c r="AC453" i="4"/>
  <c r="AJ453" i="4"/>
  <c r="AH453" i="4"/>
  <c r="AF453" i="4"/>
  <c r="AD453" i="4"/>
  <c r="AA453" i="4"/>
  <c r="AB453" i="4"/>
  <c r="AE453" i="4"/>
  <c r="O25" i="4"/>
  <c r="CG360" i="4"/>
  <c r="CE360" i="4"/>
  <c r="CD360" i="4"/>
  <c r="CC360" i="4"/>
  <c r="CQ1068" i="4" s="1"/>
  <c r="CF360" i="4"/>
  <c r="BZ360" i="4"/>
  <c r="BY360" i="4"/>
  <c r="CQ1067" i="4" s="1"/>
  <c r="BX360" i="4"/>
  <c r="CP1067" i="4" s="1"/>
  <c r="BW360" i="4"/>
  <c r="CB360" i="4"/>
  <c r="CP1068" i="4" s="1"/>
  <c r="CA360" i="4"/>
  <c r="BV360" i="4"/>
  <c r="BT360" i="4"/>
  <c r="CP1066" i="4" s="1"/>
  <c r="BS360" i="4"/>
  <c r="BR360" i="4"/>
  <c r="BQ360" i="4"/>
  <c r="BP360" i="4"/>
  <c r="BM360" i="4"/>
  <c r="BL360" i="4"/>
  <c r="BK360" i="4"/>
  <c r="BO360" i="4"/>
  <c r="BN360" i="4"/>
  <c r="BU360" i="4"/>
  <c r="CQ1066" i="4" s="1"/>
  <c r="BF360" i="4"/>
  <c r="BE360" i="4"/>
  <c r="AY360" i="4"/>
  <c r="BI360" i="4"/>
  <c r="BJ360" i="4"/>
  <c r="AU360" i="4"/>
  <c r="CJ1068" i="4" s="1"/>
  <c r="BG360" i="4"/>
  <c r="BH360" i="4"/>
  <c r="AX360" i="4"/>
  <c r="AT360" i="4"/>
  <c r="CI1068" i="4" s="1"/>
  <c r="AW360" i="4"/>
  <c r="AR360" i="4"/>
  <c r="AV360" i="4"/>
  <c r="AP360" i="4"/>
  <c r="CI1067" i="4" s="1"/>
  <c r="AS360" i="4"/>
  <c r="AQ360" i="4"/>
  <c r="CJ1067" i="4" s="1"/>
  <c r="AO360" i="4"/>
  <c r="AN360" i="4"/>
  <c r="AL360" i="4"/>
  <c r="CI1066" i="4" s="1"/>
  <c r="AJ360" i="4"/>
  <c r="AK360" i="4"/>
  <c r="AI360" i="4"/>
  <c r="AH360" i="4"/>
  <c r="AM360" i="4"/>
  <c r="CJ1066" i="4" s="1"/>
  <c r="AG360" i="4"/>
  <c r="AF360" i="4"/>
  <c r="AC360" i="4"/>
  <c r="AD360" i="4"/>
  <c r="AB360" i="4"/>
  <c r="AE360" i="4"/>
  <c r="AA360" i="4"/>
  <c r="CG49" i="4"/>
  <c r="BZ49" i="4"/>
  <c r="BY49" i="4"/>
  <c r="CQ134" i="4" s="1"/>
  <c r="BX49" i="4"/>
  <c r="CP134" i="4" s="1"/>
  <c r="BW49" i="4"/>
  <c r="BV49" i="4"/>
  <c r="CF49" i="4"/>
  <c r="CD49" i="4"/>
  <c r="CA49" i="4"/>
  <c r="CC49" i="4"/>
  <c r="CQ135" i="4" s="1"/>
  <c r="BS49" i="4"/>
  <c r="BR49" i="4"/>
  <c r="BQ49" i="4"/>
  <c r="BP49" i="4"/>
  <c r="BO49" i="4"/>
  <c r="BU49" i="4"/>
  <c r="CQ133" i="4" s="1"/>
  <c r="CB49" i="4"/>
  <c r="CP135" i="4" s="1"/>
  <c r="BM49" i="4"/>
  <c r="BT49" i="4"/>
  <c r="CP133" i="4" s="1"/>
  <c r="CE49" i="4"/>
  <c r="BK49" i="4"/>
  <c r="BI49" i="4"/>
  <c r="BH49" i="4"/>
  <c r="BG49" i="4"/>
  <c r="BF49" i="4"/>
  <c r="BE49" i="4"/>
  <c r="BN49" i="4"/>
  <c r="BJ49" i="4"/>
  <c r="BL49" i="4"/>
  <c r="AY49" i="4"/>
  <c r="AX49" i="4"/>
  <c r="AT49" i="4"/>
  <c r="CI135" i="4" s="1"/>
  <c r="AW49" i="4"/>
  <c r="AS49" i="4"/>
  <c r="AU49" i="4"/>
  <c r="CJ135" i="4" s="1"/>
  <c r="AR49" i="4"/>
  <c r="AO49" i="4"/>
  <c r="AP49" i="4"/>
  <c r="CI134" i="4" s="1"/>
  <c r="AQ49" i="4"/>
  <c r="CJ134" i="4" s="1"/>
  <c r="AM49" i="4"/>
  <c r="CJ133" i="4" s="1"/>
  <c r="AJ49" i="4"/>
  <c r="AL49" i="4"/>
  <c r="CI133" i="4" s="1"/>
  <c r="AG49" i="4"/>
  <c r="AN49" i="4"/>
  <c r="AK49" i="4"/>
  <c r="AV49" i="4"/>
  <c r="AF49" i="4"/>
  <c r="AI49" i="4"/>
  <c r="AC49" i="4"/>
  <c r="AE49" i="4"/>
  <c r="AA49" i="4"/>
  <c r="AH49" i="4"/>
  <c r="AD49" i="4"/>
  <c r="AB49" i="4"/>
  <c r="K125" i="4"/>
  <c r="L70" i="4"/>
  <c r="CG327" i="4"/>
  <c r="CF327" i="4"/>
  <c r="CE327" i="4"/>
  <c r="CD327" i="4"/>
  <c r="CC327" i="4"/>
  <c r="CQ969" i="4" s="1"/>
  <c r="CB327" i="4"/>
  <c r="CP969" i="4" s="1"/>
  <c r="BZ327" i="4"/>
  <c r="BY327" i="4"/>
  <c r="CQ968" i="4" s="1"/>
  <c r="BX327" i="4"/>
  <c r="CP968" i="4" s="1"/>
  <c r="BW327" i="4"/>
  <c r="BT327" i="4"/>
  <c r="CP967" i="4" s="1"/>
  <c r="BM327" i="4"/>
  <c r="BL327" i="4"/>
  <c r="BV327" i="4"/>
  <c r="BN327" i="4"/>
  <c r="CA327" i="4"/>
  <c r="BQ327" i="4"/>
  <c r="BP327" i="4"/>
  <c r="BR327" i="4"/>
  <c r="BO327" i="4"/>
  <c r="BS327" i="4"/>
  <c r="BK327" i="4"/>
  <c r="BU327" i="4"/>
  <c r="CQ967" i="4" s="1"/>
  <c r="BF327" i="4"/>
  <c r="BJ327" i="4"/>
  <c r="BI327" i="4"/>
  <c r="BG327" i="4"/>
  <c r="BE327" i="4"/>
  <c r="AY327" i="4"/>
  <c r="AW327" i="4"/>
  <c r="BH327" i="4"/>
  <c r="AX327" i="4"/>
  <c r="AV327" i="4"/>
  <c r="AU327" i="4"/>
  <c r="CJ969" i="4" s="1"/>
  <c r="AT327" i="4"/>
  <c r="CI969" i="4" s="1"/>
  <c r="AS327" i="4"/>
  <c r="AQ327" i="4"/>
  <c r="CJ968" i="4" s="1"/>
  <c r="AR327" i="4"/>
  <c r="AO327" i="4"/>
  <c r="AN327" i="4"/>
  <c r="AP327" i="4"/>
  <c r="CI968" i="4" s="1"/>
  <c r="AM327" i="4"/>
  <c r="CJ967" i="4" s="1"/>
  <c r="AJ327" i="4"/>
  <c r="AH327" i="4"/>
  <c r="AL327" i="4"/>
  <c r="CI967" i="4" s="1"/>
  <c r="AI327" i="4"/>
  <c r="AG327" i="4"/>
  <c r="AK327" i="4"/>
  <c r="AC327" i="4"/>
  <c r="AA327" i="4"/>
  <c r="AF327" i="4"/>
  <c r="AE327" i="4"/>
  <c r="AD327" i="4"/>
  <c r="AB327" i="4"/>
  <c r="CF297" i="4"/>
  <c r="CE297" i="4"/>
  <c r="CD297" i="4"/>
  <c r="CA297" i="4"/>
  <c r="BZ297" i="4"/>
  <c r="BY297" i="4"/>
  <c r="CQ878" i="4" s="1"/>
  <c r="BX297" i="4"/>
  <c r="CP878" i="4" s="1"/>
  <c r="BU297" i="4"/>
  <c r="CQ877" i="4" s="1"/>
  <c r="CB297" i="4"/>
  <c r="CP879" i="4" s="1"/>
  <c r="BV297" i="4"/>
  <c r="BW297" i="4"/>
  <c r="BT297" i="4"/>
  <c r="CP877" i="4" s="1"/>
  <c r="CC297" i="4"/>
  <c r="CQ879" i="4" s="1"/>
  <c r="BM297" i="4"/>
  <c r="BL297" i="4"/>
  <c r="CG297" i="4"/>
  <c r="BR297" i="4"/>
  <c r="BO297" i="4"/>
  <c r="BP297" i="4"/>
  <c r="BN297" i="4"/>
  <c r="BS297" i="4"/>
  <c r="BQ297" i="4"/>
  <c r="BE297" i="4"/>
  <c r="AY297" i="4"/>
  <c r="BH297" i="4"/>
  <c r="BG297" i="4"/>
  <c r="BF297" i="4"/>
  <c r="BK297" i="4"/>
  <c r="BI297" i="4"/>
  <c r="AX297" i="4"/>
  <c r="BJ297" i="4"/>
  <c r="AR297" i="4"/>
  <c r="AW297" i="4"/>
  <c r="AU297" i="4"/>
  <c r="CJ879" i="4" s="1"/>
  <c r="AT297" i="4"/>
  <c r="CI879" i="4" s="1"/>
  <c r="AS297" i="4"/>
  <c r="AV297" i="4"/>
  <c r="AQ297" i="4"/>
  <c r="CJ878" i="4" s="1"/>
  <c r="AP297" i="4"/>
  <c r="CI878" i="4" s="1"/>
  <c r="AN297" i="4"/>
  <c r="AM297" i="4"/>
  <c r="CJ877" i="4" s="1"/>
  <c r="AK297" i="4"/>
  <c r="AO297" i="4"/>
  <c r="AL297" i="4"/>
  <c r="CI877" i="4" s="1"/>
  <c r="AF297" i="4"/>
  <c r="AG297" i="4"/>
  <c r="AE297" i="4"/>
  <c r="AI297" i="4"/>
  <c r="AJ297" i="4"/>
  <c r="AB297" i="4"/>
  <c r="AD297" i="4"/>
  <c r="AH297" i="4"/>
  <c r="AC297" i="4"/>
  <c r="AA297" i="4"/>
  <c r="CG249" i="4"/>
  <c r="CE249" i="4"/>
  <c r="CB249" i="4"/>
  <c r="CP735" i="4" s="1"/>
  <c r="CF249" i="4"/>
  <c r="CD249" i="4"/>
  <c r="CA249" i="4"/>
  <c r="BZ249" i="4"/>
  <c r="BY249" i="4"/>
  <c r="CQ734" i="4" s="1"/>
  <c r="BX249" i="4"/>
  <c r="CP734" i="4" s="1"/>
  <c r="BW249" i="4"/>
  <c r="BU249" i="4"/>
  <c r="CQ733" i="4" s="1"/>
  <c r="BT249" i="4"/>
  <c r="CP733" i="4" s="1"/>
  <c r="BV249" i="4"/>
  <c r="BR249" i="4"/>
  <c r="BM249" i="4"/>
  <c r="BL249" i="4"/>
  <c r="BO249" i="4"/>
  <c r="CC249" i="4"/>
  <c r="CQ735" i="4" s="1"/>
  <c r="BK249" i="4"/>
  <c r="BS249" i="4"/>
  <c r="BQ249" i="4"/>
  <c r="BH249" i="4"/>
  <c r="BE249" i="4"/>
  <c r="AY249" i="4"/>
  <c r="BI249" i="4"/>
  <c r="BG249" i="4"/>
  <c r="BF249" i="4"/>
  <c r="BN249" i="4"/>
  <c r="AX249" i="4"/>
  <c r="BJ249" i="4"/>
  <c r="AW249" i="4"/>
  <c r="AT249" i="4"/>
  <c r="CI735" i="4" s="1"/>
  <c r="AU249" i="4"/>
  <c r="CJ735" i="4" s="1"/>
  <c r="BP249" i="4"/>
  <c r="AS249" i="4"/>
  <c r="AV249" i="4"/>
  <c r="AO249" i="4"/>
  <c r="AP249" i="4"/>
  <c r="CI734" i="4" s="1"/>
  <c r="AQ249" i="4"/>
  <c r="CJ734" i="4" s="1"/>
  <c r="AL249" i="4"/>
  <c r="CI733" i="4" s="1"/>
  <c r="AJ249" i="4"/>
  <c r="AM249" i="4"/>
  <c r="CJ733" i="4" s="1"/>
  <c r="AR249" i="4"/>
  <c r="AK249" i="4"/>
  <c r="AG249" i="4"/>
  <c r="AI249" i="4"/>
  <c r="AN249" i="4"/>
  <c r="AF249" i="4"/>
  <c r="AH249" i="4"/>
  <c r="AE249" i="4"/>
  <c r="AC249" i="4"/>
  <c r="AB249" i="4"/>
  <c r="AD249" i="4"/>
  <c r="AA249" i="4"/>
  <c r="CF415" i="4"/>
  <c r="CG415" i="4"/>
  <c r="CE415" i="4"/>
  <c r="CB415" i="4"/>
  <c r="CP1233" i="4" s="1"/>
  <c r="CC415" i="4"/>
  <c r="CQ1233" i="4" s="1"/>
  <c r="CD415" i="4"/>
  <c r="CA415" i="4"/>
  <c r="BZ415" i="4"/>
  <c r="BY415" i="4"/>
  <c r="CQ1232" i="4" s="1"/>
  <c r="BX415" i="4"/>
  <c r="CP1232" i="4" s="1"/>
  <c r="BW415" i="4"/>
  <c r="BT415" i="4"/>
  <c r="CP1231" i="4" s="1"/>
  <c r="BS415" i="4"/>
  <c r="BR415" i="4"/>
  <c r="BQ415" i="4"/>
  <c r="BV415" i="4"/>
  <c r="BO415" i="4"/>
  <c r="BN415" i="4"/>
  <c r="BM415" i="4"/>
  <c r="BL415" i="4"/>
  <c r="BJ415" i="4"/>
  <c r="BK415" i="4"/>
  <c r="BU415" i="4"/>
  <c r="CQ1231" i="4" s="1"/>
  <c r="BH415" i="4"/>
  <c r="BG415" i="4"/>
  <c r="BF415" i="4"/>
  <c r="BI415" i="4"/>
  <c r="BP415" i="4"/>
  <c r="AY415" i="4"/>
  <c r="AX415" i="4"/>
  <c r="BE415" i="4"/>
  <c r="AV415" i="4"/>
  <c r="AS415" i="4"/>
  <c r="AT415" i="4"/>
  <c r="CI1233" i="4" s="1"/>
  <c r="AU415" i="4"/>
  <c r="CJ1233" i="4" s="1"/>
  <c r="AW415" i="4"/>
  <c r="AR415" i="4"/>
  <c r="AP415" i="4"/>
  <c r="CI1232" i="4" s="1"/>
  <c r="AO415" i="4"/>
  <c r="AQ415" i="4"/>
  <c r="CJ1232" i="4" s="1"/>
  <c r="AN415" i="4"/>
  <c r="AL415" i="4"/>
  <c r="CI1231" i="4" s="1"/>
  <c r="AM415" i="4"/>
  <c r="CJ1231" i="4" s="1"/>
  <c r="AK415" i="4"/>
  <c r="AI415" i="4"/>
  <c r="AF415" i="4"/>
  <c r="AG415" i="4"/>
  <c r="AH415" i="4"/>
  <c r="AJ415" i="4"/>
  <c r="AD415" i="4"/>
  <c r="AA415" i="4"/>
  <c r="AC415" i="4"/>
  <c r="AE415" i="4"/>
  <c r="AB415" i="4"/>
  <c r="CD202" i="4"/>
  <c r="CC202" i="4"/>
  <c r="CQ594" i="4" s="1"/>
  <c r="CB202" i="4"/>
  <c r="CP594" i="4" s="1"/>
  <c r="CA202" i="4"/>
  <c r="CF202" i="4"/>
  <c r="CE202" i="4"/>
  <c r="BZ202" i="4"/>
  <c r="BY202" i="4"/>
  <c r="CQ593" i="4" s="1"/>
  <c r="BX202" i="4"/>
  <c r="CP593" i="4" s="1"/>
  <c r="BS202" i="4"/>
  <c r="BR202" i="4"/>
  <c r="BQ202" i="4"/>
  <c r="BP202" i="4"/>
  <c r="BO202" i="4"/>
  <c r="BW202" i="4"/>
  <c r="BU202" i="4"/>
  <c r="CQ592" i="4" s="1"/>
  <c r="BT202" i="4"/>
  <c r="CP592" i="4" s="1"/>
  <c r="CG202" i="4"/>
  <c r="BV202" i="4"/>
  <c r="BM202" i="4"/>
  <c r="BK202" i="4"/>
  <c r="BJ202" i="4"/>
  <c r="BI202" i="4"/>
  <c r="BH202" i="4"/>
  <c r="BN202" i="4"/>
  <c r="BE202" i="4"/>
  <c r="BG202" i="4"/>
  <c r="BL202" i="4"/>
  <c r="AY202" i="4"/>
  <c r="AX202" i="4"/>
  <c r="AU202" i="4"/>
  <c r="CJ594" i="4" s="1"/>
  <c r="AS202" i="4"/>
  <c r="AV202" i="4"/>
  <c r="AW202" i="4"/>
  <c r="BF202" i="4"/>
  <c r="AP202" i="4"/>
  <c r="CI593" i="4" s="1"/>
  <c r="AR202" i="4"/>
  <c r="AN202" i="4"/>
  <c r="AQ202" i="4"/>
  <c r="CJ593" i="4" s="1"/>
  <c r="AT202" i="4"/>
  <c r="CI594" i="4" s="1"/>
  <c r="AM202" i="4"/>
  <c r="CJ592" i="4" s="1"/>
  <c r="AO202" i="4"/>
  <c r="AH202" i="4"/>
  <c r="AG202" i="4"/>
  <c r="AI202" i="4"/>
  <c r="AE202" i="4"/>
  <c r="AL202" i="4"/>
  <c r="CI592" i="4" s="1"/>
  <c r="AJ202" i="4"/>
  <c r="AK202" i="4"/>
  <c r="AF202" i="4"/>
  <c r="AC202" i="4"/>
  <c r="AB202" i="4"/>
  <c r="AD202" i="4"/>
  <c r="AA202" i="4"/>
  <c r="CE239" i="4"/>
  <c r="CG239" i="4"/>
  <c r="CD239" i="4"/>
  <c r="CC239" i="4"/>
  <c r="CQ705" i="4" s="1"/>
  <c r="CA239" i="4"/>
  <c r="BZ239" i="4"/>
  <c r="BY239" i="4"/>
  <c r="CQ704" i="4" s="1"/>
  <c r="CF239" i="4"/>
  <c r="CB239" i="4"/>
  <c r="CP705" i="4" s="1"/>
  <c r="BS239" i="4"/>
  <c r="BR239" i="4"/>
  <c r="BN239" i="4"/>
  <c r="BO239" i="4"/>
  <c r="BP239" i="4"/>
  <c r="BT239" i="4"/>
  <c r="CP703" i="4" s="1"/>
  <c r="BM239" i="4"/>
  <c r="BL239" i="4"/>
  <c r="BK239" i="4"/>
  <c r="BV239" i="4"/>
  <c r="BQ239" i="4"/>
  <c r="BJ239" i="4"/>
  <c r="BU239" i="4"/>
  <c r="CQ703" i="4" s="1"/>
  <c r="BW239" i="4"/>
  <c r="BX239" i="4"/>
  <c r="CP704" i="4" s="1"/>
  <c r="BF239" i="4"/>
  <c r="BG239" i="4"/>
  <c r="AV239" i="4"/>
  <c r="BI239" i="4"/>
  <c r="BH239" i="4"/>
  <c r="AW239" i="4"/>
  <c r="AU239" i="4"/>
  <c r="CJ705" i="4" s="1"/>
  <c r="AS239" i="4"/>
  <c r="AX239" i="4"/>
  <c r="BE239" i="4"/>
  <c r="AR239" i="4"/>
  <c r="AQ239" i="4"/>
  <c r="CJ704" i="4" s="1"/>
  <c r="AT239" i="4"/>
  <c r="CI705" i="4" s="1"/>
  <c r="AY239" i="4"/>
  <c r="AO239" i="4"/>
  <c r="AN239" i="4"/>
  <c r="AP239" i="4"/>
  <c r="CI704" i="4" s="1"/>
  <c r="AM239" i="4"/>
  <c r="CJ703" i="4" s="1"/>
  <c r="AL239" i="4"/>
  <c r="CI703" i="4" s="1"/>
  <c r="AG239" i="4"/>
  <c r="AE239" i="4"/>
  <c r="AD239" i="4"/>
  <c r="AH239" i="4"/>
  <c r="AI239" i="4"/>
  <c r="AK239" i="4"/>
  <c r="AB239" i="4"/>
  <c r="AF239" i="4"/>
  <c r="AJ239" i="4"/>
  <c r="AC239" i="4"/>
  <c r="AA239" i="4"/>
  <c r="M50" i="4"/>
  <c r="D4" i="3"/>
  <c r="CF77" i="4"/>
  <c r="CE77" i="4"/>
  <c r="CD77" i="4"/>
  <c r="CC77" i="4"/>
  <c r="CQ219" i="4" s="1"/>
  <c r="CB77" i="4"/>
  <c r="CP219" i="4" s="1"/>
  <c r="CG77" i="4"/>
  <c r="CA77" i="4"/>
  <c r="BV77" i="4"/>
  <c r="BU77" i="4"/>
  <c r="CQ217" i="4" s="1"/>
  <c r="BS77" i="4"/>
  <c r="BR77" i="4"/>
  <c r="BQ77" i="4"/>
  <c r="BY77" i="4"/>
  <c r="CQ218" i="4" s="1"/>
  <c r="BT77" i="4"/>
  <c r="CP217" i="4" s="1"/>
  <c r="BX77" i="4"/>
  <c r="CP218" i="4" s="1"/>
  <c r="BZ77" i="4"/>
  <c r="BW77" i="4"/>
  <c r="BL77" i="4"/>
  <c r="BK77" i="4"/>
  <c r="BP77" i="4"/>
  <c r="BN77" i="4"/>
  <c r="BJ77" i="4"/>
  <c r="BI77" i="4"/>
  <c r="BG77" i="4"/>
  <c r="BE77" i="4"/>
  <c r="BO77" i="4"/>
  <c r="BF77" i="4"/>
  <c r="AX77" i="4"/>
  <c r="AY77" i="4"/>
  <c r="AV77" i="4"/>
  <c r="AS77" i="4"/>
  <c r="AU77" i="4"/>
  <c r="CJ219" i="4" s="1"/>
  <c r="BM77" i="4"/>
  <c r="BH77" i="4"/>
  <c r="AP77" i="4"/>
  <c r="CI218" i="4" s="1"/>
  <c r="AT77" i="4"/>
  <c r="CI219" i="4" s="1"/>
  <c r="AW77" i="4"/>
  <c r="AQ77" i="4"/>
  <c r="CJ218" i="4" s="1"/>
  <c r="AO77" i="4"/>
  <c r="AR77" i="4"/>
  <c r="AL77" i="4"/>
  <c r="CI217" i="4" s="1"/>
  <c r="AN77" i="4"/>
  <c r="AM77" i="4"/>
  <c r="CJ217" i="4" s="1"/>
  <c r="AI77" i="4"/>
  <c r="AH77" i="4"/>
  <c r="AJ77" i="4"/>
  <c r="AK77" i="4"/>
  <c r="AE77" i="4"/>
  <c r="AF77" i="4"/>
  <c r="AB77" i="4"/>
  <c r="AG77" i="4"/>
  <c r="AA77" i="4"/>
  <c r="AC77" i="4"/>
  <c r="AD77" i="4"/>
  <c r="CE224" i="4"/>
  <c r="CD224" i="4"/>
  <c r="CF224" i="4"/>
  <c r="CA224" i="4"/>
  <c r="CB224" i="4"/>
  <c r="CP660" i="4" s="1"/>
  <c r="CG224" i="4"/>
  <c r="BW224" i="4"/>
  <c r="BV224" i="4"/>
  <c r="BX224" i="4"/>
  <c r="CP659" i="4" s="1"/>
  <c r="BZ224" i="4"/>
  <c r="BY224" i="4"/>
  <c r="CQ659" i="4" s="1"/>
  <c r="CC224" i="4"/>
  <c r="CQ660" i="4" s="1"/>
  <c r="BT224" i="4"/>
  <c r="CP658" i="4" s="1"/>
  <c r="BS224" i="4"/>
  <c r="BQ224" i="4"/>
  <c r="BN224" i="4"/>
  <c r="BR224" i="4"/>
  <c r="BU224" i="4"/>
  <c r="CQ658" i="4" s="1"/>
  <c r="BM224" i="4"/>
  <c r="BL224" i="4"/>
  <c r="BK224" i="4"/>
  <c r="BJ224" i="4"/>
  <c r="BI224" i="4"/>
  <c r="BP224" i="4"/>
  <c r="BH224" i="4"/>
  <c r="BF224" i="4"/>
  <c r="BO224" i="4"/>
  <c r="BE224" i="4"/>
  <c r="AY224" i="4"/>
  <c r="BG224" i="4"/>
  <c r="AV224" i="4"/>
  <c r="AT224" i="4"/>
  <c r="CI660" i="4" s="1"/>
  <c r="AU224" i="4"/>
  <c r="CJ660" i="4" s="1"/>
  <c r="AS224" i="4"/>
  <c r="AW224" i="4"/>
  <c r="AQ224" i="4"/>
  <c r="CJ659" i="4" s="1"/>
  <c r="AX224" i="4"/>
  <c r="AP224" i="4"/>
  <c r="CI659" i="4" s="1"/>
  <c r="AM224" i="4"/>
  <c r="CJ658" i="4" s="1"/>
  <c r="AI224" i="4"/>
  <c r="AH224" i="4"/>
  <c r="AG224" i="4"/>
  <c r="AN224" i="4"/>
  <c r="AJ224" i="4"/>
  <c r="AR224" i="4"/>
  <c r="AO224" i="4"/>
  <c r="AE224" i="4"/>
  <c r="AK224" i="4"/>
  <c r="AL224" i="4"/>
  <c r="CI658" i="4" s="1"/>
  <c r="AC224" i="4"/>
  <c r="AB224" i="4"/>
  <c r="AF224" i="4"/>
  <c r="AA224" i="4"/>
  <c r="AD224" i="4"/>
  <c r="M115" i="4"/>
  <c r="CF316" i="4"/>
  <c r="CE316" i="4"/>
  <c r="CA316" i="4"/>
  <c r="CB316" i="4"/>
  <c r="CP936" i="4" s="1"/>
  <c r="CD316" i="4"/>
  <c r="BW316" i="4"/>
  <c r="BV316" i="4"/>
  <c r="BU316" i="4"/>
  <c r="CQ934" i="4" s="1"/>
  <c r="BS316" i="4"/>
  <c r="BR316" i="4"/>
  <c r="BT316" i="4"/>
  <c r="CP934" i="4" s="1"/>
  <c r="BX316" i="4"/>
  <c r="CP935" i="4" s="1"/>
  <c r="CC316" i="4"/>
  <c r="CQ936" i="4" s="1"/>
  <c r="BQ316" i="4"/>
  <c r="BZ316" i="4"/>
  <c r="BY316" i="4"/>
  <c r="CQ935" i="4" s="1"/>
  <c r="BM316" i="4"/>
  <c r="BL316" i="4"/>
  <c r="CG316" i="4"/>
  <c r="BO316" i="4"/>
  <c r="BJ316" i="4"/>
  <c r="BI316" i="4"/>
  <c r="BN316" i="4"/>
  <c r="BK316" i="4"/>
  <c r="BH316" i="4"/>
  <c r="BG316" i="4"/>
  <c r="BP316" i="4"/>
  <c r="BE316" i="4"/>
  <c r="BF316" i="4"/>
  <c r="AX316" i="4"/>
  <c r="AV316" i="4"/>
  <c r="AW316" i="4"/>
  <c r="AS316" i="4"/>
  <c r="AP316" i="4"/>
  <c r="CI935" i="4" s="1"/>
  <c r="AT316" i="4"/>
  <c r="CI936" i="4" s="1"/>
  <c r="AR316" i="4"/>
  <c r="AQ316" i="4"/>
  <c r="CJ935" i="4" s="1"/>
  <c r="AU316" i="4"/>
  <c r="CJ936" i="4" s="1"/>
  <c r="AY316" i="4"/>
  <c r="AO316" i="4"/>
  <c r="AM316" i="4"/>
  <c r="CJ934" i="4" s="1"/>
  <c r="AI316" i="4"/>
  <c r="AF316" i="4"/>
  <c r="AE316" i="4"/>
  <c r="AD316" i="4"/>
  <c r="AC316" i="4"/>
  <c r="AL316" i="4"/>
  <c r="CI934" i="4" s="1"/>
  <c r="AK316" i="4"/>
  <c r="AN316" i="4"/>
  <c r="AJ316" i="4"/>
  <c r="AH316" i="4"/>
  <c r="AG316" i="4"/>
  <c r="AB316" i="4"/>
  <c r="AA316" i="4"/>
  <c r="M84" i="4"/>
  <c r="K74" i="4"/>
  <c r="CF176" i="4"/>
  <c r="CE176" i="4"/>
  <c r="CG176" i="4"/>
  <c r="CD176" i="4"/>
  <c r="CA176" i="4"/>
  <c r="CB176" i="4"/>
  <c r="CP516" i="4" s="1"/>
  <c r="BY176" i="4"/>
  <c r="CQ515" i="4" s="1"/>
  <c r="BW176" i="4"/>
  <c r="BT176" i="4"/>
  <c r="CP514" i="4" s="1"/>
  <c r="BZ176" i="4"/>
  <c r="BV176" i="4"/>
  <c r="CC176" i="4"/>
  <c r="CQ516" i="4" s="1"/>
  <c r="BS176" i="4"/>
  <c r="BP176" i="4"/>
  <c r="BR176" i="4"/>
  <c r="BN176" i="4"/>
  <c r="BU176" i="4"/>
  <c r="CQ514" i="4" s="1"/>
  <c r="BM176" i="4"/>
  <c r="BL176" i="4"/>
  <c r="BK176" i="4"/>
  <c r="BQ176" i="4"/>
  <c r="BO176" i="4"/>
  <c r="BJ176" i="4"/>
  <c r="BI176" i="4"/>
  <c r="BG176" i="4"/>
  <c r="BF176" i="4"/>
  <c r="BE176" i="4"/>
  <c r="AY176" i="4"/>
  <c r="BH176" i="4"/>
  <c r="AX176" i="4"/>
  <c r="BX176" i="4"/>
  <c r="CP515" i="4" s="1"/>
  <c r="AT176" i="4"/>
  <c r="CI516" i="4" s="1"/>
  <c r="AW176" i="4"/>
  <c r="AU176" i="4"/>
  <c r="CJ516" i="4" s="1"/>
  <c r="AS176" i="4"/>
  <c r="AV176" i="4"/>
  <c r="AR176" i="4"/>
  <c r="AO176" i="4"/>
  <c r="AQ176" i="4"/>
  <c r="CJ515" i="4" s="1"/>
  <c r="AP176" i="4"/>
  <c r="CI515" i="4" s="1"/>
  <c r="AI176" i="4"/>
  <c r="AH176" i="4"/>
  <c r="AG176" i="4"/>
  <c r="AN176" i="4"/>
  <c r="AM176" i="4"/>
  <c r="CJ514" i="4" s="1"/>
  <c r="AK176" i="4"/>
  <c r="AL176" i="4"/>
  <c r="CI514" i="4" s="1"/>
  <c r="AF176" i="4"/>
  <c r="AJ176" i="4"/>
  <c r="AE176" i="4"/>
  <c r="AD176" i="4"/>
  <c r="AB176" i="4"/>
  <c r="AA176" i="4"/>
  <c r="AC176" i="4"/>
  <c r="R49" i="4"/>
  <c r="CG312" i="4"/>
  <c r="CF312" i="4"/>
  <c r="CD312" i="4"/>
  <c r="CC312" i="4"/>
  <c r="CQ924" i="4" s="1"/>
  <c r="CE312" i="4"/>
  <c r="BZ312" i="4"/>
  <c r="BY312" i="4"/>
  <c r="CQ923" i="4" s="1"/>
  <c r="BX312" i="4"/>
  <c r="CP923" i="4" s="1"/>
  <c r="BW312" i="4"/>
  <c r="BT312" i="4"/>
  <c r="CP922" i="4" s="1"/>
  <c r="BV312" i="4"/>
  <c r="BU312" i="4"/>
  <c r="CQ922" i="4" s="1"/>
  <c r="BS312" i="4"/>
  <c r="BR312" i="4"/>
  <c r="BQ312" i="4"/>
  <c r="BP312" i="4"/>
  <c r="BM312" i="4"/>
  <c r="BL312" i="4"/>
  <c r="BK312" i="4"/>
  <c r="CA312" i="4"/>
  <c r="BN312" i="4"/>
  <c r="CB312" i="4"/>
  <c r="CP924" i="4" s="1"/>
  <c r="BH312" i="4"/>
  <c r="BE312" i="4"/>
  <c r="AY312" i="4"/>
  <c r="BO312" i="4"/>
  <c r="BG312" i="4"/>
  <c r="BJ312" i="4"/>
  <c r="BF312" i="4"/>
  <c r="BI312" i="4"/>
  <c r="AX312" i="4"/>
  <c r="AU312" i="4"/>
  <c r="CJ924" i="4" s="1"/>
  <c r="AV312" i="4"/>
  <c r="AW312" i="4"/>
  <c r="AS312" i="4"/>
  <c r="AT312" i="4"/>
  <c r="CI924" i="4" s="1"/>
  <c r="AR312" i="4"/>
  <c r="AP312" i="4"/>
  <c r="CI923" i="4" s="1"/>
  <c r="AO312" i="4"/>
  <c r="AN312" i="4"/>
  <c r="AM312" i="4"/>
  <c r="CJ922" i="4" s="1"/>
  <c r="AQ312" i="4"/>
  <c r="CJ923" i="4" s="1"/>
  <c r="AL312" i="4"/>
  <c r="CI922" i="4" s="1"/>
  <c r="AK312" i="4"/>
  <c r="AJ312" i="4"/>
  <c r="AH312" i="4"/>
  <c r="AI312" i="4"/>
  <c r="AE312" i="4"/>
  <c r="AF312" i="4"/>
  <c r="AG312" i="4"/>
  <c r="AD312" i="4"/>
  <c r="AB312" i="4"/>
  <c r="AA312" i="4"/>
  <c r="AC312" i="4"/>
  <c r="R83" i="4"/>
  <c r="R97" i="4"/>
  <c r="R81" i="4"/>
  <c r="CE36" i="4"/>
  <c r="CG36" i="4"/>
  <c r="CF36" i="4"/>
  <c r="CB36" i="4"/>
  <c r="CP96" i="4" s="1"/>
  <c r="BZ36" i="4"/>
  <c r="CC36" i="4"/>
  <c r="CQ96" i="4" s="1"/>
  <c r="CD36" i="4"/>
  <c r="CA36" i="4"/>
  <c r="BV36" i="4"/>
  <c r="BY36" i="4"/>
  <c r="CQ95" i="4" s="1"/>
  <c r="BW36" i="4"/>
  <c r="BX36" i="4"/>
  <c r="CP95" i="4" s="1"/>
  <c r="BT36" i="4"/>
  <c r="CP94" i="4" s="1"/>
  <c r="BQ36" i="4"/>
  <c r="BP36" i="4"/>
  <c r="BN36" i="4"/>
  <c r="BM36" i="4"/>
  <c r="BU36" i="4"/>
  <c r="CQ94" i="4" s="1"/>
  <c r="BL36" i="4"/>
  <c r="BO36" i="4"/>
  <c r="BR36" i="4"/>
  <c r="BS36" i="4"/>
  <c r="BI36" i="4"/>
  <c r="BH36" i="4"/>
  <c r="BF36" i="4"/>
  <c r="BE36" i="4"/>
  <c r="BK36" i="4"/>
  <c r="BJ36" i="4"/>
  <c r="AV36" i="4"/>
  <c r="AX36" i="4"/>
  <c r="AT36" i="4"/>
  <c r="CI96" i="4" s="1"/>
  <c r="AY36" i="4"/>
  <c r="BG36" i="4"/>
  <c r="AW36" i="4"/>
  <c r="AU36" i="4"/>
  <c r="CJ96" i="4" s="1"/>
  <c r="AS36" i="4"/>
  <c r="AR36" i="4"/>
  <c r="AO36" i="4"/>
  <c r="AL36" i="4"/>
  <c r="CI94" i="4" s="1"/>
  <c r="AQ36" i="4"/>
  <c r="CJ95" i="4" s="1"/>
  <c r="AM36" i="4"/>
  <c r="CJ94" i="4" s="1"/>
  <c r="AN36" i="4"/>
  <c r="AK36" i="4"/>
  <c r="AI36" i="4"/>
  <c r="AJ36" i="4"/>
  <c r="AG36" i="4"/>
  <c r="AH36" i="4"/>
  <c r="AB36" i="4"/>
  <c r="AA36" i="4"/>
  <c r="AE36" i="4"/>
  <c r="AC36" i="4"/>
  <c r="AP36" i="4"/>
  <c r="CI95" i="4" s="1"/>
  <c r="AF36" i="4"/>
  <c r="AD36" i="4"/>
  <c r="R14" i="4"/>
  <c r="CG402" i="4"/>
  <c r="BZ402" i="4"/>
  <c r="BY402" i="4"/>
  <c r="CQ1193" i="4" s="1"/>
  <c r="BX402" i="4"/>
  <c r="CP1193" i="4" s="1"/>
  <c r="BW402" i="4"/>
  <c r="CB402" i="4"/>
  <c r="CP1194" i="4" s="1"/>
  <c r="CE402" i="4"/>
  <c r="CF402" i="4"/>
  <c r="BV402" i="4"/>
  <c r="CC402" i="4"/>
  <c r="CQ1194" i="4" s="1"/>
  <c r="CD402" i="4"/>
  <c r="BU402" i="4"/>
  <c r="CQ1192" i="4" s="1"/>
  <c r="CA402" i="4"/>
  <c r="BT402" i="4"/>
  <c r="CP1192" i="4" s="1"/>
  <c r="BS402" i="4"/>
  <c r="BR402" i="4"/>
  <c r="BQ402" i="4"/>
  <c r="BP402" i="4"/>
  <c r="BO402" i="4"/>
  <c r="BM402" i="4"/>
  <c r="BL402" i="4"/>
  <c r="BN402" i="4"/>
  <c r="BJ402" i="4"/>
  <c r="BH402" i="4"/>
  <c r="BG402" i="4"/>
  <c r="BK402" i="4"/>
  <c r="AX402" i="4"/>
  <c r="AV402" i="4"/>
  <c r="BF402" i="4"/>
  <c r="AW402" i="4"/>
  <c r="AU402" i="4"/>
  <c r="CJ1194" i="4" s="1"/>
  <c r="AY402" i="4"/>
  <c r="BE402" i="4"/>
  <c r="AT402" i="4"/>
  <c r="CI1194" i="4" s="1"/>
  <c r="AR402" i="4"/>
  <c r="AP402" i="4"/>
  <c r="CI1193" i="4" s="1"/>
  <c r="AQ402" i="4"/>
  <c r="CJ1193" i="4" s="1"/>
  <c r="BI402" i="4"/>
  <c r="AM402" i="4"/>
  <c r="CJ1192" i="4" s="1"/>
  <c r="AJ402" i="4"/>
  <c r="AI402" i="4"/>
  <c r="AO402" i="4"/>
  <c r="AS402" i="4"/>
  <c r="AN402" i="4"/>
  <c r="AH402" i="4"/>
  <c r="AL402" i="4"/>
  <c r="CI1192" i="4" s="1"/>
  <c r="AK402" i="4"/>
  <c r="AG402" i="4"/>
  <c r="AF402" i="4"/>
  <c r="AC402" i="4"/>
  <c r="AE402" i="4"/>
  <c r="AB402" i="4"/>
  <c r="AD402" i="4"/>
  <c r="AA402" i="4"/>
  <c r="K105" i="4"/>
  <c r="O69" i="4"/>
  <c r="CG377" i="4"/>
  <c r="CE377" i="4"/>
  <c r="CD377" i="4"/>
  <c r="CF377" i="4"/>
  <c r="CB377" i="4"/>
  <c r="CP1119" i="4" s="1"/>
  <c r="CA377" i="4"/>
  <c r="BZ377" i="4"/>
  <c r="BY377" i="4"/>
  <c r="CQ1118" i="4" s="1"/>
  <c r="BW377" i="4"/>
  <c r="BV377" i="4"/>
  <c r="BR377" i="4"/>
  <c r="BO377" i="4"/>
  <c r="BP377" i="4"/>
  <c r="BM377" i="4"/>
  <c r="BL377" i="4"/>
  <c r="BN377" i="4"/>
  <c r="CC377" i="4"/>
  <c r="CQ1119" i="4" s="1"/>
  <c r="BX377" i="4"/>
  <c r="CP1118" i="4" s="1"/>
  <c r="BT377" i="4"/>
  <c r="CP1117" i="4" s="1"/>
  <c r="BU377" i="4"/>
  <c r="CQ1117" i="4" s="1"/>
  <c r="BK377" i="4"/>
  <c r="BQ377" i="4"/>
  <c r="BF377" i="4"/>
  <c r="BS377" i="4"/>
  <c r="BE377" i="4"/>
  <c r="AY377" i="4"/>
  <c r="BG377" i="4"/>
  <c r="BI377" i="4"/>
  <c r="AX377" i="4"/>
  <c r="BH377" i="4"/>
  <c r="AW377" i="4"/>
  <c r="AR377" i="4"/>
  <c r="BJ377" i="4"/>
  <c r="AT377" i="4"/>
  <c r="CI1119" i="4" s="1"/>
  <c r="AV377" i="4"/>
  <c r="AU377" i="4"/>
  <c r="CJ1119" i="4" s="1"/>
  <c r="AP377" i="4"/>
  <c r="CI1118" i="4" s="1"/>
  <c r="AO377" i="4"/>
  <c r="AQ377" i="4"/>
  <c r="CJ1118" i="4" s="1"/>
  <c r="AL377" i="4"/>
  <c r="CI1117" i="4" s="1"/>
  <c r="AN377" i="4"/>
  <c r="AS377" i="4"/>
  <c r="AM377" i="4"/>
  <c r="CJ1117" i="4" s="1"/>
  <c r="AK377" i="4"/>
  <c r="AI377" i="4"/>
  <c r="AH377" i="4"/>
  <c r="AJ377" i="4"/>
  <c r="AF377" i="4"/>
  <c r="AC377" i="4"/>
  <c r="AE377" i="4"/>
  <c r="AD377" i="4"/>
  <c r="AB377" i="4"/>
  <c r="AG377" i="4"/>
  <c r="AA377" i="4"/>
  <c r="L99" i="4"/>
  <c r="M113" i="4"/>
  <c r="N95" i="4"/>
  <c r="CE174" i="4"/>
  <c r="CG174" i="4"/>
  <c r="CD174" i="4"/>
  <c r="CC174" i="4"/>
  <c r="CQ510" i="4" s="1"/>
  <c r="CB174" i="4"/>
  <c r="CP510" i="4" s="1"/>
  <c r="BZ174" i="4"/>
  <c r="BS174" i="4"/>
  <c r="BR174" i="4"/>
  <c r="BQ174" i="4"/>
  <c r="BP174" i="4"/>
  <c r="BO174" i="4"/>
  <c r="BN174" i="4"/>
  <c r="CF174" i="4"/>
  <c r="BX174" i="4"/>
  <c r="CP509" i="4" s="1"/>
  <c r="CA174" i="4"/>
  <c r="BT174" i="4"/>
  <c r="CP508" i="4" s="1"/>
  <c r="BV174" i="4"/>
  <c r="BU174" i="4"/>
  <c r="CQ508" i="4" s="1"/>
  <c r="BJ174" i="4"/>
  <c r="BY174" i="4"/>
  <c r="CQ509" i="4" s="1"/>
  <c r="BW174" i="4"/>
  <c r="BK174" i="4"/>
  <c r="BL174" i="4"/>
  <c r="BG174" i="4"/>
  <c r="BF174" i="4"/>
  <c r="BE174" i="4"/>
  <c r="AY174" i="4"/>
  <c r="AX174" i="4"/>
  <c r="AW174" i="4"/>
  <c r="AV174" i="4"/>
  <c r="AU174" i="4"/>
  <c r="CJ510" i="4" s="1"/>
  <c r="AT174" i="4"/>
  <c r="CI510" i="4" s="1"/>
  <c r="BM174" i="4"/>
  <c r="BI174" i="4"/>
  <c r="BH174" i="4"/>
  <c r="AR174" i="4"/>
  <c r="AS174" i="4"/>
  <c r="AQ174" i="4"/>
  <c r="CJ509" i="4" s="1"/>
  <c r="AP174" i="4"/>
  <c r="CI509" i="4" s="1"/>
  <c r="AL174" i="4"/>
  <c r="CI508" i="4" s="1"/>
  <c r="AO174" i="4"/>
  <c r="AN174" i="4"/>
  <c r="AM174" i="4"/>
  <c r="CJ508" i="4" s="1"/>
  <c r="AI174" i="4"/>
  <c r="AF174" i="4"/>
  <c r="AE174" i="4"/>
  <c r="AD174" i="4"/>
  <c r="AC174" i="4"/>
  <c r="AB174" i="4"/>
  <c r="AA174" i="4"/>
  <c r="AK174" i="4"/>
  <c r="AJ174" i="4"/>
  <c r="AH174" i="4"/>
  <c r="AG174" i="4"/>
  <c r="CF470" i="4"/>
  <c r="CC470" i="4"/>
  <c r="CQ1398" i="4" s="1"/>
  <c r="CE470" i="4"/>
  <c r="CA470" i="4"/>
  <c r="CG470" i="4"/>
  <c r="BY470" i="4"/>
  <c r="CQ1397" i="4" s="1"/>
  <c r="BV470" i="4"/>
  <c r="CD470" i="4"/>
  <c r="BU470" i="4"/>
  <c r="CQ1396" i="4" s="1"/>
  <c r="CB470" i="4"/>
  <c r="CP1398" i="4" s="1"/>
  <c r="BZ470" i="4"/>
  <c r="BR470" i="4"/>
  <c r="BP470" i="4"/>
  <c r="BW470" i="4"/>
  <c r="BO470" i="4"/>
  <c r="BX470" i="4"/>
  <c r="CP1397" i="4" s="1"/>
  <c r="BS470" i="4"/>
  <c r="BL470" i="4"/>
  <c r="BT470" i="4"/>
  <c r="CP1396" i="4" s="1"/>
  <c r="BK470" i="4"/>
  <c r="BQ470" i="4"/>
  <c r="BM470" i="4"/>
  <c r="BJ470" i="4"/>
  <c r="BN470" i="4"/>
  <c r="BH470" i="4"/>
  <c r="BG470" i="4"/>
  <c r="BI470" i="4"/>
  <c r="BF470" i="4"/>
  <c r="BE470" i="4"/>
  <c r="AX470" i="4"/>
  <c r="AT470" i="4"/>
  <c r="CI1398" i="4" s="1"/>
  <c r="AS470" i="4"/>
  <c r="AR470" i="4"/>
  <c r="AQ470" i="4"/>
  <c r="CJ1397" i="4" s="1"/>
  <c r="AP470" i="4"/>
  <c r="CI1397" i="4" s="1"/>
  <c r="AV470" i="4"/>
  <c r="AU470" i="4"/>
  <c r="CJ1398" i="4" s="1"/>
  <c r="AO470" i="4"/>
  <c r="AN470" i="4"/>
  <c r="AM470" i="4"/>
  <c r="CJ1396" i="4" s="1"/>
  <c r="AW470" i="4"/>
  <c r="AY470" i="4"/>
  <c r="AK470" i="4"/>
  <c r="AI470" i="4"/>
  <c r="AL470" i="4"/>
  <c r="CI1396" i="4" s="1"/>
  <c r="AF470" i="4"/>
  <c r="AG470" i="4"/>
  <c r="AD470" i="4"/>
  <c r="AE470" i="4"/>
  <c r="AJ470" i="4"/>
  <c r="AC470" i="4"/>
  <c r="AB470" i="4"/>
  <c r="AH470" i="4"/>
  <c r="AA470" i="4"/>
  <c r="N122" i="4"/>
  <c r="K28" i="4"/>
  <c r="CF418" i="4"/>
  <c r="CG418" i="4"/>
  <c r="CE418" i="4"/>
  <c r="BZ418" i="4"/>
  <c r="BY418" i="4"/>
  <c r="CQ1241" i="4" s="1"/>
  <c r="BX418" i="4"/>
  <c r="CP1241" i="4" s="1"/>
  <c r="BW418" i="4"/>
  <c r="CB418" i="4"/>
  <c r="CP1242" i="4" s="1"/>
  <c r="CD418" i="4"/>
  <c r="BV418" i="4"/>
  <c r="BU418" i="4"/>
  <c r="CQ1240" i="4" s="1"/>
  <c r="BT418" i="4"/>
  <c r="CP1240" i="4" s="1"/>
  <c r="BS418" i="4"/>
  <c r="BR418" i="4"/>
  <c r="BQ418" i="4"/>
  <c r="BP418" i="4"/>
  <c r="CC418" i="4"/>
  <c r="CQ1242" i="4" s="1"/>
  <c r="BN418" i="4"/>
  <c r="CA418" i="4"/>
  <c r="BK418" i="4"/>
  <c r="BL418" i="4"/>
  <c r="BO418" i="4"/>
  <c r="BH418" i="4"/>
  <c r="BG418" i="4"/>
  <c r="BF418" i="4"/>
  <c r="BI418" i="4"/>
  <c r="BJ418" i="4"/>
  <c r="BM418" i="4"/>
  <c r="BE418" i="4"/>
  <c r="AY418" i="4"/>
  <c r="AX418" i="4"/>
  <c r="AW418" i="4"/>
  <c r="AS418" i="4"/>
  <c r="AU418" i="4"/>
  <c r="CJ1242" i="4" s="1"/>
  <c r="AP418" i="4"/>
  <c r="CI1241" i="4" s="1"/>
  <c r="AV418" i="4"/>
  <c r="AT418" i="4"/>
  <c r="CI1242" i="4" s="1"/>
  <c r="AR418" i="4"/>
  <c r="AQ418" i="4"/>
  <c r="CJ1241" i="4" s="1"/>
  <c r="AO418" i="4"/>
  <c r="AM418" i="4"/>
  <c r="CJ1240" i="4" s="1"/>
  <c r="AI418" i="4"/>
  <c r="AN418" i="4"/>
  <c r="AJ418" i="4"/>
  <c r="AK418" i="4"/>
  <c r="AH418" i="4"/>
  <c r="AL418" i="4"/>
  <c r="CI1240" i="4" s="1"/>
  <c r="AG418" i="4"/>
  <c r="AF418" i="4"/>
  <c r="AC418" i="4"/>
  <c r="AE418" i="4"/>
  <c r="AD418" i="4"/>
  <c r="AB418" i="4"/>
  <c r="AA418" i="4"/>
  <c r="CG481" i="4"/>
  <c r="CD481" i="4"/>
  <c r="BZ481" i="4"/>
  <c r="BY481" i="4"/>
  <c r="CQ1430" i="4" s="1"/>
  <c r="BX481" i="4"/>
  <c r="CP1430" i="4" s="1"/>
  <c r="BW481" i="4"/>
  <c r="CA481" i="4"/>
  <c r="CB481" i="4"/>
  <c r="CP1431" i="4" s="1"/>
  <c r="CF481" i="4"/>
  <c r="CE481" i="4"/>
  <c r="CC481" i="4"/>
  <c r="CQ1431" i="4" s="1"/>
  <c r="BT481" i="4"/>
  <c r="CP1429" i="4" s="1"/>
  <c r="BS481" i="4"/>
  <c r="BR481" i="4"/>
  <c r="BQ481" i="4"/>
  <c r="BP481" i="4"/>
  <c r="BO481" i="4"/>
  <c r="BU481" i="4"/>
  <c r="CQ1429" i="4" s="1"/>
  <c r="BN481" i="4"/>
  <c r="BV481" i="4"/>
  <c r="BM481" i="4"/>
  <c r="BJ481" i="4"/>
  <c r="BI481" i="4"/>
  <c r="BH481" i="4"/>
  <c r="BG481" i="4"/>
  <c r="BF481" i="4"/>
  <c r="BL481" i="4"/>
  <c r="BK481" i="4"/>
  <c r="BE481" i="4"/>
  <c r="AY481" i="4"/>
  <c r="AW481" i="4"/>
  <c r="AX481" i="4"/>
  <c r="AV481" i="4"/>
  <c r="AR481" i="4"/>
  <c r="AU481" i="4"/>
  <c r="CJ1431" i="4" s="1"/>
  <c r="AQ481" i="4"/>
  <c r="CJ1430" i="4" s="1"/>
  <c r="AS481" i="4"/>
  <c r="AP481" i="4"/>
  <c r="CI1430" i="4" s="1"/>
  <c r="AT481" i="4"/>
  <c r="CI1431" i="4" s="1"/>
  <c r="AM481" i="4"/>
  <c r="CJ1429" i="4" s="1"/>
  <c r="AN481" i="4"/>
  <c r="AI481" i="4"/>
  <c r="AJ481" i="4"/>
  <c r="AH481" i="4"/>
  <c r="AL481" i="4"/>
  <c r="CI1429" i="4" s="1"/>
  <c r="AO481" i="4"/>
  <c r="AF481" i="4"/>
  <c r="AK481" i="4"/>
  <c r="AG481" i="4"/>
  <c r="AE481" i="4"/>
  <c r="AC481" i="4"/>
  <c r="AB481" i="4"/>
  <c r="AA481" i="4"/>
  <c r="AD481" i="4"/>
  <c r="O75" i="4"/>
  <c r="CE310" i="4"/>
  <c r="CG310" i="4"/>
  <c r="CC310" i="4"/>
  <c r="CQ918" i="4" s="1"/>
  <c r="CB310" i="4"/>
  <c r="CP918" i="4" s="1"/>
  <c r="CD310" i="4"/>
  <c r="BX310" i="4"/>
  <c r="CP917" i="4" s="1"/>
  <c r="BZ310" i="4"/>
  <c r="BT310" i="4"/>
  <c r="CP916" i="4" s="1"/>
  <c r="CA310" i="4"/>
  <c r="BY310" i="4"/>
  <c r="CQ917" i="4" s="1"/>
  <c r="BS310" i="4"/>
  <c r="BN310" i="4"/>
  <c r="BU310" i="4"/>
  <c r="CQ916" i="4" s="1"/>
  <c r="BW310" i="4"/>
  <c r="BV310" i="4"/>
  <c r="BL310" i="4"/>
  <c r="CF310" i="4"/>
  <c r="BP310" i="4"/>
  <c r="BQ310" i="4"/>
  <c r="BM310" i="4"/>
  <c r="BJ310" i="4"/>
  <c r="BF310" i="4"/>
  <c r="BI310" i="4"/>
  <c r="BK310" i="4"/>
  <c r="BR310" i="4"/>
  <c r="BO310" i="4"/>
  <c r="BG310" i="4"/>
  <c r="AW310" i="4"/>
  <c r="AS310" i="4"/>
  <c r="AR310" i="4"/>
  <c r="AQ310" i="4"/>
  <c r="CJ917" i="4" s="1"/>
  <c r="AP310" i="4"/>
  <c r="CI917" i="4" s="1"/>
  <c r="AX310" i="4"/>
  <c r="AU310" i="4"/>
  <c r="CJ918" i="4" s="1"/>
  <c r="AY310" i="4"/>
  <c r="AV310" i="4"/>
  <c r="AO310" i="4"/>
  <c r="AN310" i="4"/>
  <c r="AM310" i="4"/>
  <c r="CJ916" i="4" s="1"/>
  <c r="BE310" i="4"/>
  <c r="BH310" i="4"/>
  <c r="AT310" i="4"/>
  <c r="CI918" i="4" s="1"/>
  <c r="AJ310" i="4"/>
  <c r="AH310" i="4"/>
  <c r="AG310" i="4"/>
  <c r="AL310" i="4"/>
  <c r="CI916" i="4" s="1"/>
  <c r="AK310" i="4"/>
  <c r="AI310" i="4"/>
  <c r="AF310" i="4"/>
  <c r="AE310" i="4"/>
  <c r="AA310" i="4"/>
  <c r="AC310" i="4"/>
  <c r="AB310" i="4"/>
  <c r="AD310" i="4"/>
  <c r="L51" i="4"/>
  <c r="O29" i="4"/>
  <c r="CE17" i="4"/>
  <c r="BY17" i="4"/>
  <c r="CQ38" i="4" s="1"/>
  <c r="BX17" i="4"/>
  <c r="CP38" i="4" s="1"/>
  <c r="BW17" i="4"/>
  <c r="BV17" i="4"/>
  <c r="BZ17" i="4"/>
  <c r="CD17" i="4"/>
  <c r="CB17" i="4"/>
  <c r="CP39" i="4" s="1"/>
  <c r="CF17" i="4"/>
  <c r="CC17" i="4"/>
  <c r="CQ39" i="4" s="1"/>
  <c r="BS17" i="4"/>
  <c r="BR17" i="4"/>
  <c r="BQ17" i="4"/>
  <c r="BP17" i="4"/>
  <c r="BO17" i="4"/>
  <c r="BN17" i="4"/>
  <c r="BM17" i="4"/>
  <c r="CG17" i="4"/>
  <c r="BT17" i="4"/>
  <c r="CP37" i="4" s="1"/>
  <c r="CA17" i="4"/>
  <c r="BU17" i="4"/>
  <c r="CQ37" i="4" s="1"/>
  <c r="BK17" i="4"/>
  <c r="BI17" i="4"/>
  <c r="BH17" i="4"/>
  <c r="BG17" i="4"/>
  <c r="BF17" i="4"/>
  <c r="BE17" i="4"/>
  <c r="BL17" i="4"/>
  <c r="BJ17" i="4"/>
  <c r="AY17" i="4"/>
  <c r="AX17" i="4"/>
  <c r="AU17" i="4"/>
  <c r="CJ39" i="4" s="1"/>
  <c r="AT17" i="4"/>
  <c r="CI39" i="4" s="1"/>
  <c r="AS17" i="4"/>
  <c r="AV17" i="4"/>
  <c r="AW17" i="4"/>
  <c r="AO17" i="4"/>
  <c r="AR17" i="4"/>
  <c r="AL17" i="4"/>
  <c r="CI37" i="4" s="1"/>
  <c r="AP17" i="4"/>
  <c r="CI38" i="4" s="1"/>
  <c r="AM17" i="4"/>
  <c r="CJ37" i="4" s="1"/>
  <c r="AN17" i="4"/>
  <c r="AI17" i="4"/>
  <c r="AQ17" i="4"/>
  <c r="CJ38" i="4" s="1"/>
  <c r="AK17" i="4"/>
  <c r="AG17" i="4"/>
  <c r="AJ17" i="4"/>
  <c r="AF17" i="4"/>
  <c r="AH17" i="4"/>
  <c r="AE17" i="4"/>
  <c r="AB17" i="4"/>
  <c r="AA17" i="4"/>
  <c r="AC17" i="4"/>
  <c r="AD17" i="4"/>
  <c r="CF387" i="4"/>
  <c r="CA387" i="4"/>
  <c r="CC387" i="4"/>
  <c r="CQ1149" i="4" s="1"/>
  <c r="BZ387" i="4"/>
  <c r="BY387" i="4"/>
  <c r="CQ1148" i="4" s="1"/>
  <c r="CG387" i="4"/>
  <c r="CE387" i="4"/>
  <c r="CD387" i="4"/>
  <c r="BW387" i="4"/>
  <c r="BX387" i="4"/>
  <c r="CP1148" i="4" s="1"/>
  <c r="BV387" i="4"/>
  <c r="BU387" i="4"/>
  <c r="CQ1147" i="4" s="1"/>
  <c r="BT387" i="4"/>
  <c r="CP1147" i="4" s="1"/>
  <c r="BS387" i="4"/>
  <c r="BR387" i="4"/>
  <c r="BQ387" i="4"/>
  <c r="BP387" i="4"/>
  <c r="CB387" i="4"/>
  <c r="CP1149" i="4" s="1"/>
  <c r="BO387" i="4"/>
  <c r="BJ387" i="4"/>
  <c r="BI387" i="4"/>
  <c r="BK387" i="4"/>
  <c r="BH387" i="4"/>
  <c r="BF387" i="4"/>
  <c r="BL387" i="4"/>
  <c r="BG387" i="4"/>
  <c r="BM387" i="4"/>
  <c r="BN387" i="4"/>
  <c r="AW387" i="4"/>
  <c r="AV387" i="4"/>
  <c r="AT387" i="4"/>
  <c r="CI1149" i="4" s="1"/>
  <c r="AX387" i="4"/>
  <c r="AU387" i="4"/>
  <c r="CJ1149" i="4" s="1"/>
  <c r="AS387" i="4"/>
  <c r="AO387" i="4"/>
  <c r="BE387" i="4"/>
  <c r="AM387" i="4"/>
  <c r="CJ1147" i="4" s="1"/>
  <c r="AL387" i="4"/>
  <c r="CI1147" i="4" s="1"/>
  <c r="AK387" i="4"/>
  <c r="AJ387" i="4"/>
  <c r="AR387" i="4"/>
  <c r="AY387" i="4"/>
  <c r="AQ387" i="4"/>
  <c r="CJ1148" i="4" s="1"/>
  <c r="AP387" i="4"/>
  <c r="CI1148" i="4" s="1"/>
  <c r="AG387" i="4"/>
  <c r="AN387" i="4"/>
  <c r="AH387" i="4"/>
  <c r="AI387" i="4"/>
  <c r="AB387" i="4"/>
  <c r="AC387" i="4"/>
  <c r="AA387" i="4"/>
  <c r="AD387" i="4"/>
  <c r="AE387" i="4"/>
  <c r="AF387" i="4"/>
  <c r="CF74" i="4"/>
  <c r="CE74" i="4"/>
  <c r="CD74" i="4"/>
  <c r="CC74" i="4"/>
  <c r="CQ210" i="4" s="1"/>
  <c r="CB74" i="4"/>
  <c r="CP210" i="4" s="1"/>
  <c r="CA74" i="4"/>
  <c r="CG74" i="4"/>
  <c r="BZ74" i="4"/>
  <c r="BY74" i="4"/>
  <c r="CQ209" i="4" s="1"/>
  <c r="BX74" i="4"/>
  <c r="CP209" i="4" s="1"/>
  <c r="BW74" i="4"/>
  <c r="BS74" i="4"/>
  <c r="BR74" i="4"/>
  <c r="BQ74" i="4"/>
  <c r="BP74" i="4"/>
  <c r="BO74" i="4"/>
  <c r="BT74" i="4"/>
  <c r="CP208" i="4" s="1"/>
  <c r="BV74" i="4"/>
  <c r="BL74" i="4"/>
  <c r="BU74" i="4"/>
  <c r="CQ208" i="4" s="1"/>
  <c r="BM74" i="4"/>
  <c r="BN74" i="4"/>
  <c r="BK74" i="4"/>
  <c r="BJ74" i="4"/>
  <c r="BI74" i="4"/>
  <c r="BH74" i="4"/>
  <c r="BG74" i="4"/>
  <c r="BF74" i="4"/>
  <c r="BE74" i="4"/>
  <c r="AX74" i="4"/>
  <c r="AW74" i="4"/>
  <c r="AY74" i="4"/>
  <c r="AV74" i="4"/>
  <c r="AU74" i="4"/>
  <c r="CJ210" i="4" s="1"/>
  <c r="AS74" i="4"/>
  <c r="AQ74" i="4"/>
  <c r="CJ209" i="4" s="1"/>
  <c r="AT74" i="4"/>
  <c r="CI210" i="4" s="1"/>
  <c r="AP74" i="4"/>
  <c r="CI209" i="4" s="1"/>
  <c r="AO74" i="4"/>
  <c r="AN74" i="4"/>
  <c r="AM74" i="4"/>
  <c r="CJ208" i="4" s="1"/>
  <c r="AL74" i="4"/>
  <c r="CI208" i="4" s="1"/>
  <c r="AI74" i="4"/>
  <c r="AH74" i="4"/>
  <c r="AJ74" i="4"/>
  <c r="AG74" i="4"/>
  <c r="AK74" i="4"/>
  <c r="AE74" i="4"/>
  <c r="AR74" i="4"/>
  <c r="AB74" i="4"/>
  <c r="AF74" i="4"/>
  <c r="AC74" i="4"/>
  <c r="AD74" i="4"/>
  <c r="AA74" i="4"/>
  <c r="K79" i="4"/>
  <c r="CA444" i="4"/>
  <c r="CG444" i="4"/>
  <c r="CB444" i="4"/>
  <c r="CP1320" i="4" s="1"/>
  <c r="CD444" i="4"/>
  <c r="BZ444" i="4"/>
  <c r="BT444" i="4"/>
  <c r="CP1318" i="4" s="1"/>
  <c r="BS444" i="4"/>
  <c r="BR444" i="4"/>
  <c r="BY444" i="4"/>
  <c r="CQ1319" i="4" s="1"/>
  <c r="BX444" i="4"/>
  <c r="CP1319" i="4" s="1"/>
  <c r="BW444" i="4"/>
  <c r="BV444" i="4"/>
  <c r="BQ444" i="4"/>
  <c r="BO444" i="4"/>
  <c r="BN444" i="4"/>
  <c r="CF444" i="4"/>
  <c r="BU444" i="4"/>
  <c r="CQ1318" i="4" s="1"/>
  <c r="BM444" i="4"/>
  <c r="BL444" i="4"/>
  <c r="CC444" i="4"/>
  <c r="CQ1320" i="4" s="1"/>
  <c r="BJ444" i="4"/>
  <c r="BI444" i="4"/>
  <c r="BP444" i="4"/>
  <c r="CE444" i="4"/>
  <c r="BK444" i="4"/>
  <c r="BF444" i="4"/>
  <c r="AV444" i="4"/>
  <c r="BE444" i="4"/>
  <c r="BH444" i="4"/>
  <c r="AY444" i="4"/>
  <c r="BG444" i="4"/>
  <c r="AT444" i="4"/>
  <c r="CI1320" i="4" s="1"/>
  <c r="AX444" i="4"/>
  <c r="AS444" i="4"/>
  <c r="AU444" i="4"/>
  <c r="CJ1320" i="4" s="1"/>
  <c r="AR444" i="4"/>
  <c r="AW444" i="4"/>
  <c r="AQ444" i="4"/>
  <c r="CJ1319" i="4" s="1"/>
  <c r="AP444" i="4"/>
  <c r="CI1319" i="4" s="1"/>
  <c r="AI444" i="4"/>
  <c r="AN444" i="4"/>
  <c r="AF444" i="4"/>
  <c r="AE444" i="4"/>
  <c r="AD444" i="4"/>
  <c r="AC444" i="4"/>
  <c r="AJ444" i="4"/>
  <c r="AO444" i="4"/>
  <c r="AM444" i="4"/>
  <c r="CJ1318" i="4" s="1"/>
  <c r="AL444" i="4"/>
  <c r="CI1318" i="4" s="1"/>
  <c r="AH444" i="4"/>
  <c r="AK444" i="4"/>
  <c r="AB444" i="4"/>
  <c r="AA444" i="4"/>
  <c r="AG444" i="4"/>
  <c r="M116" i="4"/>
  <c r="O77" i="4"/>
  <c r="CG356" i="4"/>
  <c r="CD356" i="4"/>
  <c r="CB356" i="4"/>
  <c r="CP1056" i="4" s="1"/>
  <c r="CE356" i="4"/>
  <c r="CF356" i="4"/>
  <c r="CA356" i="4"/>
  <c r="BU356" i="4"/>
  <c r="CQ1054" i="4" s="1"/>
  <c r="CC356" i="4"/>
  <c r="CQ1056" i="4" s="1"/>
  <c r="BY356" i="4"/>
  <c r="CQ1055" i="4" s="1"/>
  <c r="BS356" i="4"/>
  <c r="BQ356" i="4"/>
  <c r="BX356" i="4"/>
  <c r="CP1055" i="4" s="1"/>
  <c r="BP356" i="4"/>
  <c r="BV356" i="4"/>
  <c r="BO356" i="4"/>
  <c r="BT356" i="4"/>
  <c r="CP1054" i="4" s="1"/>
  <c r="BW356" i="4"/>
  <c r="BK356" i="4"/>
  <c r="BR356" i="4"/>
  <c r="BN356" i="4"/>
  <c r="BZ356" i="4"/>
  <c r="BJ356" i="4"/>
  <c r="BI356" i="4"/>
  <c r="BM356" i="4"/>
  <c r="BH356" i="4"/>
  <c r="BL356" i="4"/>
  <c r="BF356" i="4"/>
  <c r="AY356" i="4"/>
  <c r="BG356" i="4"/>
  <c r="AX356" i="4"/>
  <c r="BE356" i="4"/>
  <c r="AT356" i="4"/>
  <c r="CI1056" i="4" s="1"/>
  <c r="AW356" i="4"/>
  <c r="AS356" i="4"/>
  <c r="AR356" i="4"/>
  <c r="AU356" i="4"/>
  <c r="CJ1056" i="4" s="1"/>
  <c r="AV356" i="4"/>
  <c r="AO356" i="4"/>
  <c r="AQ356" i="4"/>
  <c r="CJ1055" i="4" s="1"/>
  <c r="AK356" i="4"/>
  <c r="AN356" i="4"/>
  <c r="AM356" i="4"/>
  <c r="CJ1054" i="4" s="1"/>
  <c r="AI356" i="4"/>
  <c r="AH356" i="4"/>
  <c r="AG356" i="4"/>
  <c r="AP356" i="4"/>
  <c r="CI1055" i="4" s="1"/>
  <c r="AJ356" i="4"/>
  <c r="AF356" i="4"/>
  <c r="AE356" i="4"/>
  <c r="AL356" i="4"/>
  <c r="CI1054" i="4" s="1"/>
  <c r="AA356" i="4"/>
  <c r="AD356" i="4"/>
  <c r="AB356" i="4"/>
  <c r="AC356" i="4"/>
  <c r="K16" i="4"/>
  <c r="CE207" i="4"/>
  <c r="CF207" i="4"/>
  <c r="CC207" i="4"/>
  <c r="CQ609" i="4" s="1"/>
  <c r="CD207" i="4"/>
  <c r="CA207" i="4"/>
  <c r="CG207" i="4"/>
  <c r="BZ207" i="4"/>
  <c r="BY207" i="4"/>
  <c r="CQ608" i="4" s="1"/>
  <c r="BX207" i="4"/>
  <c r="CP608" i="4" s="1"/>
  <c r="BV207" i="4"/>
  <c r="BS207" i="4"/>
  <c r="BR207" i="4"/>
  <c r="BQ207" i="4"/>
  <c r="CB207" i="4"/>
  <c r="CP609" i="4" s="1"/>
  <c r="BT207" i="4"/>
  <c r="CP607" i="4" s="1"/>
  <c r="BO207" i="4"/>
  <c r="BP207" i="4"/>
  <c r="BU207" i="4"/>
  <c r="CQ607" i="4" s="1"/>
  <c r="BN207" i="4"/>
  <c r="BW207" i="4"/>
  <c r="BM207" i="4"/>
  <c r="BL207" i="4"/>
  <c r="BK207" i="4"/>
  <c r="BJ207" i="4"/>
  <c r="BF207" i="4"/>
  <c r="BH207" i="4"/>
  <c r="BG207" i="4"/>
  <c r="AV207" i="4"/>
  <c r="BE207" i="4"/>
  <c r="AT207" i="4"/>
  <c r="CI609" i="4" s="1"/>
  <c r="BI207" i="4"/>
  <c r="AY207" i="4"/>
  <c r="AW207" i="4"/>
  <c r="AX207" i="4"/>
  <c r="AR207" i="4"/>
  <c r="AQ207" i="4"/>
  <c r="CJ608" i="4" s="1"/>
  <c r="AS207" i="4"/>
  <c r="AP207" i="4"/>
  <c r="CI608" i="4" s="1"/>
  <c r="AU207" i="4"/>
  <c r="CJ609" i="4" s="1"/>
  <c r="AO207" i="4"/>
  <c r="AM207" i="4"/>
  <c r="CJ607" i="4" s="1"/>
  <c r="AK207" i="4"/>
  <c r="AN207" i="4"/>
  <c r="AI207" i="4"/>
  <c r="AJ207" i="4"/>
  <c r="AL207" i="4"/>
  <c r="CI607" i="4" s="1"/>
  <c r="AH207" i="4"/>
  <c r="AG207" i="4"/>
  <c r="AF207" i="4"/>
  <c r="AE207" i="4"/>
  <c r="AC207" i="4"/>
  <c r="AB207" i="4"/>
  <c r="AA207" i="4"/>
  <c r="AD207" i="4"/>
  <c r="O110" i="4"/>
  <c r="O15" i="4"/>
  <c r="L119" i="4"/>
  <c r="CE156" i="4"/>
  <c r="CF156" i="4"/>
  <c r="CB156" i="4"/>
  <c r="CP456" i="4" s="1"/>
  <c r="CC156" i="4"/>
  <c r="CQ456" i="4" s="1"/>
  <c r="CG156" i="4"/>
  <c r="CD156" i="4"/>
  <c r="BW156" i="4"/>
  <c r="BS156" i="4"/>
  <c r="BR156" i="4"/>
  <c r="BT156" i="4"/>
  <c r="CP454" i="4" s="1"/>
  <c r="BU156" i="4"/>
  <c r="CQ454" i="4" s="1"/>
  <c r="BO156" i="4"/>
  <c r="BQ156" i="4"/>
  <c r="BN156" i="4"/>
  <c r="BP156" i="4"/>
  <c r="BL156" i="4"/>
  <c r="BK156" i="4"/>
  <c r="BM156" i="4"/>
  <c r="BY156" i="4"/>
  <c r="CQ455" i="4" s="1"/>
  <c r="CA156" i="4"/>
  <c r="BZ156" i="4"/>
  <c r="BJ156" i="4"/>
  <c r="BI156" i="4"/>
  <c r="BH156" i="4"/>
  <c r="BV156" i="4"/>
  <c r="BX156" i="4"/>
  <c r="CP455" i="4" s="1"/>
  <c r="BF156" i="4"/>
  <c r="BE156" i="4"/>
  <c r="BG156" i="4"/>
  <c r="AW156" i="4"/>
  <c r="AY156" i="4"/>
  <c r="AX156" i="4"/>
  <c r="AT156" i="4"/>
  <c r="CI456" i="4" s="1"/>
  <c r="AV156" i="4"/>
  <c r="AU156" i="4"/>
  <c r="CJ456" i="4" s="1"/>
  <c r="AS156" i="4"/>
  <c r="AQ156" i="4"/>
  <c r="CJ455" i="4" s="1"/>
  <c r="AP156" i="4"/>
  <c r="CI455" i="4" s="1"/>
  <c r="AL156" i="4"/>
  <c r="CI454" i="4" s="1"/>
  <c r="AN156" i="4"/>
  <c r="AM156" i="4"/>
  <c r="CJ454" i="4" s="1"/>
  <c r="AI156" i="4"/>
  <c r="AF156" i="4"/>
  <c r="AE156" i="4"/>
  <c r="AD156" i="4"/>
  <c r="AC156" i="4"/>
  <c r="AH156" i="4"/>
  <c r="AK156" i="4"/>
  <c r="AJ156" i="4"/>
  <c r="AG156" i="4"/>
  <c r="AR156" i="4"/>
  <c r="AO156" i="4"/>
  <c r="AB156" i="4"/>
  <c r="AA156" i="4"/>
  <c r="L44" i="4"/>
  <c r="CF384" i="4"/>
  <c r="CG384" i="4"/>
  <c r="CE384" i="4"/>
  <c r="CD384" i="4"/>
  <c r="BW384" i="4"/>
  <c r="BV384" i="4"/>
  <c r="BX384" i="4"/>
  <c r="CP1139" i="4" s="1"/>
  <c r="CA384" i="4"/>
  <c r="BU384" i="4"/>
  <c r="CQ1138" i="4" s="1"/>
  <c r="CB384" i="4"/>
  <c r="CP1140" i="4" s="1"/>
  <c r="BZ384" i="4"/>
  <c r="BR384" i="4"/>
  <c r="BQ384" i="4"/>
  <c r="CC384" i="4"/>
  <c r="CQ1140" i="4" s="1"/>
  <c r="BP384" i="4"/>
  <c r="BN384" i="4"/>
  <c r="BM384" i="4"/>
  <c r="BL384" i="4"/>
  <c r="BK384" i="4"/>
  <c r="BY384" i="4"/>
  <c r="CQ1139" i="4" s="1"/>
  <c r="BS384" i="4"/>
  <c r="BO384" i="4"/>
  <c r="BJ384" i="4"/>
  <c r="BI384" i="4"/>
  <c r="BH384" i="4"/>
  <c r="BG384" i="4"/>
  <c r="BT384" i="4"/>
  <c r="CP1138" i="4" s="1"/>
  <c r="BE384" i="4"/>
  <c r="AY384" i="4"/>
  <c r="AX384" i="4"/>
  <c r="AW384" i="4"/>
  <c r="BF384" i="4"/>
  <c r="AS384" i="4"/>
  <c r="AU384" i="4"/>
  <c r="CJ1140" i="4" s="1"/>
  <c r="AP384" i="4"/>
  <c r="CI1139" i="4" s="1"/>
  <c r="AV384" i="4"/>
  <c r="AT384" i="4"/>
  <c r="CI1140" i="4" s="1"/>
  <c r="AR384" i="4"/>
  <c r="AQ384" i="4"/>
  <c r="CJ1139" i="4" s="1"/>
  <c r="AI384" i="4"/>
  <c r="AH384" i="4"/>
  <c r="AG384" i="4"/>
  <c r="AN384" i="4"/>
  <c r="AL384" i="4"/>
  <c r="CI1138" i="4" s="1"/>
  <c r="AM384" i="4"/>
  <c r="CJ1138" i="4" s="1"/>
  <c r="AJ384" i="4"/>
  <c r="AK384" i="4"/>
  <c r="AO384" i="4"/>
  <c r="AC384" i="4"/>
  <c r="AB384" i="4"/>
  <c r="AF384" i="4"/>
  <c r="AE384" i="4"/>
  <c r="AD384" i="4"/>
  <c r="AA384" i="4"/>
  <c r="CF299" i="4"/>
  <c r="CD299" i="4"/>
  <c r="CC299" i="4"/>
  <c r="CQ885" i="4" s="1"/>
  <c r="CB299" i="4"/>
  <c r="CP885" i="4" s="1"/>
  <c r="CA299" i="4"/>
  <c r="CE299" i="4"/>
  <c r="CG299" i="4"/>
  <c r="BS299" i="4"/>
  <c r="BR299" i="4"/>
  <c r="BQ299" i="4"/>
  <c r="BP299" i="4"/>
  <c r="BO299" i="4"/>
  <c r="BZ299" i="4"/>
  <c r="BU299" i="4"/>
  <c r="CQ883" i="4" s="1"/>
  <c r="BV299" i="4"/>
  <c r="BY299" i="4"/>
  <c r="CQ884" i="4" s="1"/>
  <c r="BW299" i="4"/>
  <c r="BT299" i="4"/>
  <c r="CP883" i="4" s="1"/>
  <c r="BX299" i="4"/>
  <c r="CP884" i="4" s="1"/>
  <c r="BK299" i="4"/>
  <c r="BJ299" i="4"/>
  <c r="BI299" i="4"/>
  <c r="BM299" i="4"/>
  <c r="BL299" i="4"/>
  <c r="BN299" i="4"/>
  <c r="BH299" i="4"/>
  <c r="BG299" i="4"/>
  <c r="AY299" i="4"/>
  <c r="AX299" i="4"/>
  <c r="BE299" i="4"/>
  <c r="AV299" i="4"/>
  <c r="BF299" i="4"/>
  <c r="AT299" i="4"/>
  <c r="CI885" i="4" s="1"/>
  <c r="AS299" i="4"/>
  <c r="AW299" i="4"/>
  <c r="AP299" i="4"/>
  <c r="CI884" i="4" s="1"/>
  <c r="AU299" i="4"/>
  <c r="CJ885" i="4" s="1"/>
  <c r="AQ299" i="4"/>
  <c r="CJ884" i="4" s="1"/>
  <c r="AR299" i="4"/>
  <c r="AO299" i="4"/>
  <c r="AK299" i="4"/>
  <c r="AI299" i="4"/>
  <c r="AJ299" i="4"/>
  <c r="AH299" i="4"/>
  <c r="AF299" i="4"/>
  <c r="AL299" i="4"/>
  <c r="CI883" i="4" s="1"/>
  <c r="AG299" i="4"/>
  <c r="AE299" i="4"/>
  <c r="AC299" i="4"/>
  <c r="AN299" i="4"/>
  <c r="AD299" i="4"/>
  <c r="AB299" i="4"/>
  <c r="AM299" i="4"/>
  <c r="CJ883" i="4" s="1"/>
  <c r="AA299" i="4"/>
  <c r="N80" i="4"/>
  <c r="CE54" i="4"/>
  <c r="CG54" i="4"/>
  <c r="CC54" i="4"/>
  <c r="CQ150" i="4" s="1"/>
  <c r="CD54" i="4"/>
  <c r="CB54" i="4"/>
  <c r="CP150" i="4" s="1"/>
  <c r="BZ54" i="4"/>
  <c r="CF54" i="4"/>
  <c r="BW54" i="4"/>
  <c r="BV54" i="4"/>
  <c r="BT54" i="4"/>
  <c r="CP148" i="4" s="1"/>
  <c r="CA54" i="4"/>
  <c r="BS54" i="4"/>
  <c r="BN54" i="4"/>
  <c r="BM54" i="4"/>
  <c r="BY54" i="4"/>
  <c r="CQ149" i="4" s="1"/>
  <c r="BX54" i="4"/>
  <c r="CP149" i="4" s="1"/>
  <c r="BP54" i="4"/>
  <c r="BK54" i="4"/>
  <c r="BO54" i="4"/>
  <c r="BU54" i="4"/>
  <c r="CQ148" i="4" s="1"/>
  <c r="BR54" i="4"/>
  <c r="BF54" i="4"/>
  <c r="BL54" i="4"/>
  <c r="BJ54" i="4"/>
  <c r="BI54" i="4"/>
  <c r="BQ54" i="4"/>
  <c r="BH54" i="4"/>
  <c r="BG54" i="4"/>
  <c r="AW54" i="4"/>
  <c r="AX54" i="4"/>
  <c r="AS54" i="4"/>
  <c r="AR54" i="4"/>
  <c r="AQ54" i="4"/>
  <c r="CJ149" i="4" s="1"/>
  <c r="AP54" i="4"/>
  <c r="CI149" i="4" s="1"/>
  <c r="AU54" i="4"/>
  <c r="CJ150" i="4" s="1"/>
  <c r="AO54" i="4"/>
  <c r="AN54" i="4"/>
  <c r="AM54" i="4"/>
  <c r="CJ148" i="4" s="1"/>
  <c r="AL54" i="4"/>
  <c r="CI148" i="4" s="1"/>
  <c r="AT54" i="4"/>
  <c r="CI150" i="4" s="1"/>
  <c r="BE54" i="4"/>
  <c r="AV54" i="4"/>
  <c r="AY54" i="4"/>
  <c r="AJ54" i="4"/>
  <c r="AG54" i="4"/>
  <c r="AK54" i="4"/>
  <c r="AH54" i="4"/>
  <c r="AF54" i="4"/>
  <c r="AB54" i="4"/>
  <c r="AA54" i="4"/>
  <c r="AC54" i="4"/>
  <c r="AD54" i="4"/>
  <c r="AE54" i="4"/>
  <c r="AI54" i="4"/>
  <c r="CG147" i="4"/>
  <c r="CF147" i="4"/>
  <c r="CE147" i="4"/>
  <c r="BZ147" i="4"/>
  <c r="BY147" i="4"/>
  <c r="CQ428" i="4" s="1"/>
  <c r="CA147" i="4"/>
  <c r="BU147" i="4"/>
  <c r="CQ427" i="4" s="1"/>
  <c r="CC147" i="4"/>
  <c r="CQ429" i="4" s="1"/>
  <c r="CB147" i="4"/>
  <c r="CP429" i="4" s="1"/>
  <c r="BS147" i="4"/>
  <c r="BR147" i="4"/>
  <c r="BQ147" i="4"/>
  <c r="BP147" i="4"/>
  <c r="BO147" i="4"/>
  <c r="CD147" i="4"/>
  <c r="BV147" i="4"/>
  <c r="BW147" i="4"/>
  <c r="BT147" i="4"/>
  <c r="CP427" i="4" s="1"/>
  <c r="BX147" i="4"/>
  <c r="CP428" i="4" s="1"/>
  <c r="BM147" i="4"/>
  <c r="BL147" i="4"/>
  <c r="BK147" i="4"/>
  <c r="BJ147" i="4"/>
  <c r="BI147" i="4"/>
  <c r="BH147" i="4"/>
  <c r="BN147" i="4"/>
  <c r="BG147" i="4"/>
  <c r="BF147" i="4"/>
  <c r="BE147" i="4"/>
  <c r="AY147" i="4"/>
  <c r="AX147" i="4"/>
  <c r="AW147" i="4"/>
  <c r="AV147" i="4"/>
  <c r="AQ147" i="4"/>
  <c r="CJ428" i="4" s="1"/>
  <c r="AT147" i="4"/>
  <c r="CI429" i="4" s="1"/>
  <c r="AU147" i="4"/>
  <c r="CJ429" i="4" s="1"/>
  <c r="AR147" i="4"/>
  <c r="AS147" i="4"/>
  <c r="AP147" i="4"/>
  <c r="CI428" i="4" s="1"/>
  <c r="AN147" i="4"/>
  <c r="AK147" i="4"/>
  <c r="AJ147" i="4"/>
  <c r="AM147" i="4"/>
  <c r="CJ427" i="4" s="1"/>
  <c r="AL147" i="4"/>
  <c r="CI427" i="4" s="1"/>
  <c r="AG147" i="4"/>
  <c r="AO147" i="4"/>
  <c r="AE147" i="4"/>
  <c r="AI147" i="4"/>
  <c r="AF147" i="4"/>
  <c r="AD147" i="4"/>
  <c r="AC147" i="4"/>
  <c r="AH147" i="4"/>
  <c r="AB147" i="4"/>
  <c r="AA147" i="4"/>
  <c r="R42" i="4"/>
  <c r="L46" i="4"/>
  <c r="M19" i="4"/>
  <c r="K92" i="4"/>
  <c r="CF142" i="4"/>
  <c r="CE142" i="4"/>
  <c r="CD142" i="4"/>
  <c r="CC142" i="4"/>
  <c r="CQ414" i="4" s="1"/>
  <c r="CB142" i="4"/>
  <c r="CP414" i="4" s="1"/>
  <c r="CG142" i="4"/>
  <c r="CA142" i="4"/>
  <c r="BY142" i="4"/>
  <c r="CQ413" i="4" s="1"/>
  <c r="BT142" i="4"/>
  <c r="CP412" i="4" s="1"/>
  <c r="BS142" i="4"/>
  <c r="BR142" i="4"/>
  <c r="BQ142" i="4"/>
  <c r="BP142" i="4"/>
  <c r="BO142" i="4"/>
  <c r="BN142" i="4"/>
  <c r="BM142" i="4"/>
  <c r="BX142" i="4"/>
  <c r="CP413" i="4" s="1"/>
  <c r="BW142" i="4"/>
  <c r="BV142" i="4"/>
  <c r="BZ142" i="4"/>
  <c r="BL142" i="4"/>
  <c r="BJ142" i="4"/>
  <c r="BK142" i="4"/>
  <c r="BU142" i="4"/>
  <c r="CQ412" i="4" s="1"/>
  <c r="BG142" i="4"/>
  <c r="BF142" i="4"/>
  <c r="BE142" i="4"/>
  <c r="AY142" i="4"/>
  <c r="AX142" i="4"/>
  <c r="AW142" i="4"/>
  <c r="AV142" i="4"/>
  <c r="AU142" i="4"/>
  <c r="CJ414" i="4" s="1"/>
  <c r="AT142" i="4"/>
  <c r="CI414" i="4" s="1"/>
  <c r="BI142" i="4"/>
  <c r="BH142" i="4"/>
  <c r="AS142" i="4"/>
  <c r="AO142" i="4"/>
  <c r="AQ142" i="4"/>
  <c r="CJ413" i="4" s="1"/>
  <c r="AP142" i="4"/>
  <c r="CI413" i="4" s="1"/>
  <c r="AL142" i="4"/>
  <c r="CI412" i="4" s="1"/>
  <c r="AR142" i="4"/>
  <c r="AN142" i="4"/>
  <c r="AF142" i="4"/>
  <c r="AE142" i="4"/>
  <c r="AD142" i="4"/>
  <c r="AC142" i="4"/>
  <c r="AB142" i="4"/>
  <c r="AA142" i="4"/>
  <c r="AI142" i="4"/>
  <c r="AM142" i="4"/>
  <c r="CJ412" i="4" s="1"/>
  <c r="AH142" i="4"/>
  <c r="AG142" i="4"/>
  <c r="AK142" i="4"/>
  <c r="AJ142" i="4"/>
  <c r="CF363" i="4"/>
  <c r="CE363" i="4"/>
  <c r="CD363" i="4"/>
  <c r="CC363" i="4"/>
  <c r="CQ1077" i="4" s="1"/>
  <c r="CB363" i="4"/>
  <c r="CP1077" i="4" s="1"/>
  <c r="CA363" i="4"/>
  <c r="CG363" i="4"/>
  <c r="BY363" i="4"/>
  <c r="CQ1076" i="4" s="1"/>
  <c r="BW363" i="4"/>
  <c r="BT363" i="4"/>
  <c r="CP1075" i="4" s="1"/>
  <c r="BS363" i="4"/>
  <c r="BR363" i="4"/>
  <c r="BQ363" i="4"/>
  <c r="BP363" i="4"/>
  <c r="BX363" i="4"/>
  <c r="CP1076" i="4" s="1"/>
  <c r="BZ363" i="4"/>
  <c r="BU363" i="4"/>
  <c r="CQ1075" i="4" s="1"/>
  <c r="BV363" i="4"/>
  <c r="BO363" i="4"/>
  <c r="BN363" i="4"/>
  <c r="BJ363" i="4"/>
  <c r="BI363" i="4"/>
  <c r="BK363" i="4"/>
  <c r="BM363" i="4"/>
  <c r="BG363" i="4"/>
  <c r="BH363" i="4"/>
  <c r="AX363" i="4"/>
  <c r="BF363" i="4"/>
  <c r="BE363" i="4"/>
  <c r="BL363" i="4"/>
  <c r="AU363" i="4"/>
  <c r="CJ1077" i="4" s="1"/>
  <c r="AY363" i="4"/>
  <c r="AQ363" i="4"/>
  <c r="CJ1076" i="4" s="1"/>
  <c r="AS363" i="4"/>
  <c r="AR363" i="4"/>
  <c r="AV363" i="4"/>
  <c r="AO363" i="4"/>
  <c r="AP363" i="4"/>
  <c r="CI1076" i="4" s="1"/>
  <c r="AW363" i="4"/>
  <c r="AT363" i="4"/>
  <c r="CI1077" i="4" s="1"/>
  <c r="AM363" i="4"/>
  <c r="CJ1075" i="4" s="1"/>
  <c r="AL363" i="4"/>
  <c r="CI1075" i="4" s="1"/>
  <c r="AJ363" i="4"/>
  <c r="AK363" i="4"/>
  <c r="AI363" i="4"/>
  <c r="AH363" i="4"/>
  <c r="AN363" i="4"/>
  <c r="AG363" i="4"/>
  <c r="AE363" i="4"/>
  <c r="AF363" i="4"/>
  <c r="AC363" i="4"/>
  <c r="AA363" i="4"/>
  <c r="AB363" i="4"/>
  <c r="AD363" i="4"/>
  <c r="CG216" i="4"/>
  <c r="CD216" i="4"/>
  <c r="CC216" i="4"/>
  <c r="CQ636" i="4" s="1"/>
  <c r="CF216" i="4"/>
  <c r="CE216" i="4"/>
  <c r="BZ216" i="4"/>
  <c r="BY216" i="4"/>
  <c r="CQ635" i="4" s="1"/>
  <c r="BX216" i="4"/>
  <c r="CP635" i="4" s="1"/>
  <c r="BW216" i="4"/>
  <c r="BU216" i="4"/>
  <c r="CQ634" i="4" s="1"/>
  <c r="BS216" i="4"/>
  <c r="BR216" i="4"/>
  <c r="BQ216" i="4"/>
  <c r="BP216" i="4"/>
  <c r="BO216" i="4"/>
  <c r="CB216" i="4"/>
  <c r="CP636" i="4" s="1"/>
  <c r="BM216" i="4"/>
  <c r="BL216" i="4"/>
  <c r="BK216" i="4"/>
  <c r="CA216" i="4"/>
  <c r="BT216" i="4"/>
  <c r="CP634" i="4" s="1"/>
  <c r="BV216" i="4"/>
  <c r="BN216" i="4"/>
  <c r="BE216" i="4"/>
  <c r="AY216" i="4"/>
  <c r="BI216" i="4"/>
  <c r="BF216" i="4"/>
  <c r="BJ216" i="4"/>
  <c r="BH216" i="4"/>
  <c r="BG216" i="4"/>
  <c r="AW216" i="4"/>
  <c r="AU216" i="4"/>
  <c r="CJ636" i="4" s="1"/>
  <c r="AQ216" i="4"/>
  <c r="CJ635" i="4" s="1"/>
  <c r="AR216" i="4"/>
  <c r="AT216" i="4"/>
  <c r="CI636" i="4" s="1"/>
  <c r="AV216" i="4"/>
  <c r="AS216" i="4"/>
  <c r="AN216" i="4"/>
  <c r="AX216" i="4"/>
  <c r="AO216" i="4"/>
  <c r="AP216" i="4"/>
  <c r="CI635" i="4" s="1"/>
  <c r="AF216" i="4"/>
  <c r="AG216" i="4"/>
  <c r="AL216" i="4"/>
  <c r="CI634" i="4" s="1"/>
  <c r="AK216" i="4"/>
  <c r="AI216" i="4"/>
  <c r="AH216" i="4"/>
  <c r="AM216" i="4"/>
  <c r="CJ634" i="4" s="1"/>
  <c r="AJ216" i="4"/>
  <c r="AA216" i="4"/>
  <c r="AE216" i="4"/>
  <c r="AD216" i="4"/>
  <c r="AB216" i="4"/>
  <c r="AC216" i="4"/>
  <c r="L59" i="4"/>
  <c r="N33" i="4"/>
  <c r="CE241" i="4"/>
  <c r="CF241" i="4"/>
  <c r="CA241" i="4"/>
  <c r="BZ241" i="4"/>
  <c r="BY241" i="4"/>
  <c r="CQ710" i="4" s="1"/>
  <c r="BX241" i="4"/>
  <c r="CP710" i="4" s="1"/>
  <c r="BW241" i="4"/>
  <c r="BV241" i="4"/>
  <c r="CG241" i="4"/>
  <c r="CD241" i="4"/>
  <c r="CC241" i="4"/>
  <c r="CQ711" i="4" s="1"/>
  <c r="CB241" i="4"/>
  <c r="CP711" i="4" s="1"/>
  <c r="BS241" i="4"/>
  <c r="BR241" i="4"/>
  <c r="BQ241" i="4"/>
  <c r="BP241" i="4"/>
  <c r="BO241" i="4"/>
  <c r="BT241" i="4"/>
  <c r="CP709" i="4" s="1"/>
  <c r="BN241" i="4"/>
  <c r="BU241" i="4"/>
  <c r="CQ709" i="4" s="1"/>
  <c r="BL241" i="4"/>
  <c r="BK241" i="4"/>
  <c r="BJ241" i="4"/>
  <c r="BI241" i="4"/>
  <c r="BH241" i="4"/>
  <c r="BG241" i="4"/>
  <c r="BF241" i="4"/>
  <c r="BM241" i="4"/>
  <c r="BE241" i="4"/>
  <c r="AY241" i="4"/>
  <c r="AT241" i="4"/>
  <c r="CI711" i="4" s="1"/>
  <c r="AX241" i="4"/>
  <c r="AV241" i="4"/>
  <c r="AW241" i="4"/>
  <c r="AU241" i="4"/>
  <c r="CJ711" i="4" s="1"/>
  <c r="AP241" i="4"/>
  <c r="CI710" i="4" s="1"/>
  <c r="AO241" i="4"/>
  <c r="AQ241" i="4"/>
  <c r="CJ710" i="4" s="1"/>
  <c r="AR241" i="4"/>
  <c r="AH241" i="4"/>
  <c r="AM241" i="4"/>
  <c r="CJ709" i="4" s="1"/>
  <c r="AL241" i="4"/>
  <c r="CI709" i="4" s="1"/>
  <c r="AG241" i="4"/>
  <c r="AS241" i="4"/>
  <c r="AK241" i="4"/>
  <c r="AJ241" i="4"/>
  <c r="AE241" i="4"/>
  <c r="AI241" i="4"/>
  <c r="AF241" i="4"/>
  <c r="AB241" i="4"/>
  <c r="AN241" i="4"/>
  <c r="AD241" i="4"/>
  <c r="AA241" i="4"/>
  <c r="AC241" i="4"/>
  <c r="K65" i="4"/>
  <c r="N123" i="4"/>
  <c r="K91" i="4"/>
  <c r="CF438" i="4"/>
  <c r="CG438" i="4"/>
  <c r="CC438" i="4"/>
  <c r="CQ1302" i="4" s="1"/>
  <c r="CB438" i="4"/>
  <c r="CP1302" i="4" s="1"/>
  <c r="CD438" i="4"/>
  <c r="BZ438" i="4"/>
  <c r="BY438" i="4"/>
  <c r="CQ1301" i="4" s="1"/>
  <c r="BX438" i="4"/>
  <c r="CP1301" i="4" s="1"/>
  <c r="BV438" i="4"/>
  <c r="CA438" i="4"/>
  <c r="BW438" i="4"/>
  <c r="BU438" i="4"/>
  <c r="CQ1300" i="4" s="1"/>
  <c r="BS438" i="4"/>
  <c r="BP438" i="4"/>
  <c r="BT438" i="4"/>
  <c r="CP1300" i="4" s="1"/>
  <c r="BN438" i="4"/>
  <c r="BQ438" i="4"/>
  <c r="BM438" i="4"/>
  <c r="BL438" i="4"/>
  <c r="BO438" i="4"/>
  <c r="BR438" i="4"/>
  <c r="BK438" i="4"/>
  <c r="BJ438" i="4"/>
  <c r="BI438" i="4"/>
  <c r="BH438" i="4"/>
  <c r="CE438" i="4"/>
  <c r="BF438" i="4"/>
  <c r="AY438" i="4"/>
  <c r="AT438" i="4"/>
  <c r="CI1302" i="4" s="1"/>
  <c r="AS438" i="4"/>
  <c r="AR438" i="4"/>
  <c r="AQ438" i="4"/>
  <c r="CJ1301" i="4" s="1"/>
  <c r="AP438" i="4"/>
  <c r="CI1301" i="4" s="1"/>
  <c r="AW438" i="4"/>
  <c r="BE438" i="4"/>
  <c r="AU438" i="4"/>
  <c r="CJ1302" i="4" s="1"/>
  <c r="BG438" i="4"/>
  <c r="AX438" i="4"/>
  <c r="AO438" i="4"/>
  <c r="AN438" i="4"/>
  <c r="AM438" i="4"/>
  <c r="CJ1300" i="4" s="1"/>
  <c r="AV438" i="4"/>
  <c r="AJ438" i="4"/>
  <c r="AG438" i="4"/>
  <c r="AL438" i="4"/>
  <c r="CI1300" i="4" s="1"/>
  <c r="AK438" i="4"/>
  <c r="AI438" i="4"/>
  <c r="AH438" i="4"/>
  <c r="AE438" i="4"/>
  <c r="AC438" i="4"/>
  <c r="AD438" i="4"/>
  <c r="AA438" i="4"/>
  <c r="AB438" i="4"/>
  <c r="AF438" i="4"/>
  <c r="K114" i="4"/>
  <c r="CF62" i="4"/>
  <c r="CD62" i="4"/>
  <c r="CC62" i="4"/>
  <c r="CQ174" i="4" s="1"/>
  <c r="CB62" i="4"/>
  <c r="CP174" i="4" s="1"/>
  <c r="CE62" i="4"/>
  <c r="CA62" i="4"/>
  <c r="CG62" i="4"/>
  <c r="BX62" i="4"/>
  <c r="CP173" i="4" s="1"/>
  <c r="BW62" i="4"/>
  <c r="BU62" i="4"/>
  <c r="CQ172" i="4" s="1"/>
  <c r="BS62" i="4"/>
  <c r="BR62" i="4"/>
  <c r="BQ62" i="4"/>
  <c r="BP62" i="4"/>
  <c r="BO62" i="4"/>
  <c r="BN62" i="4"/>
  <c r="BM62" i="4"/>
  <c r="BZ62" i="4"/>
  <c r="BY62" i="4"/>
  <c r="CQ173" i="4" s="1"/>
  <c r="BT62" i="4"/>
  <c r="CP172" i="4" s="1"/>
  <c r="BV62" i="4"/>
  <c r="BJ62" i="4"/>
  <c r="BK62" i="4"/>
  <c r="BH62" i="4"/>
  <c r="BL62" i="4"/>
  <c r="AY62" i="4"/>
  <c r="AX62" i="4"/>
  <c r="AW62" i="4"/>
  <c r="AV62" i="4"/>
  <c r="AU62" i="4"/>
  <c r="CJ174" i="4" s="1"/>
  <c r="AT62" i="4"/>
  <c r="CI174" i="4" s="1"/>
  <c r="BF62" i="4"/>
  <c r="BE62" i="4"/>
  <c r="BG62" i="4"/>
  <c r="BI62" i="4"/>
  <c r="AQ62" i="4"/>
  <c r="CJ173" i="4" s="1"/>
  <c r="AR62" i="4"/>
  <c r="AS62" i="4"/>
  <c r="AO62" i="4"/>
  <c r="AP62" i="4"/>
  <c r="CI173" i="4" s="1"/>
  <c r="AL62" i="4"/>
  <c r="CI172" i="4" s="1"/>
  <c r="AN62" i="4"/>
  <c r="AM62" i="4"/>
  <c r="CJ172" i="4" s="1"/>
  <c r="AG62" i="4"/>
  <c r="AK62" i="4"/>
  <c r="AI62" i="4"/>
  <c r="AH62" i="4"/>
  <c r="AF62" i="4"/>
  <c r="AE62" i="4"/>
  <c r="AD62" i="4"/>
  <c r="AC62" i="4"/>
  <c r="AB62" i="4"/>
  <c r="AA62" i="4"/>
  <c r="AJ62" i="4"/>
  <c r="M20" i="4"/>
  <c r="CE137" i="4"/>
  <c r="CD137" i="4"/>
  <c r="CF137" i="4"/>
  <c r="CG137" i="4"/>
  <c r="CB137" i="4"/>
  <c r="CP399" i="4" s="1"/>
  <c r="CC137" i="4"/>
  <c r="CQ399" i="4" s="1"/>
  <c r="CA137" i="4"/>
  <c r="BZ137" i="4"/>
  <c r="BY137" i="4"/>
  <c r="CQ398" i="4" s="1"/>
  <c r="BX137" i="4"/>
  <c r="CP398" i="4" s="1"/>
  <c r="BW137" i="4"/>
  <c r="BV137" i="4"/>
  <c r="BN137" i="4"/>
  <c r="BL137" i="4"/>
  <c r="BT137" i="4"/>
  <c r="CP397" i="4" s="1"/>
  <c r="BS137" i="4"/>
  <c r="BM137" i="4"/>
  <c r="BU137" i="4"/>
  <c r="CQ397" i="4" s="1"/>
  <c r="BO137" i="4"/>
  <c r="BK137" i="4"/>
  <c r="BP137" i="4"/>
  <c r="BR137" i="4"/>
  <c r="BE137" i="4"/>
  <c r="AY137" i="4"/>
  <c r="BJ137" i="4"/>
  <c r="BH137" i="4"/>
  <c r="BI137" i="4"/>
  <c r="BQ137" i="4"/>
  <c r="BF137" i="4"/>
  <c r="AV137" i="4"/>
  <c r="BG137" i="4"/>
  <c r="AW137" i="4"/>
  <c r="AU137" i="4"/>
  <c r="CJ399" i="4" s="1"/>
  <c r="AT137" i="4"/>
  <c r="CI399" i="4" s="1"/>
  <c r="AS137" i="4"/>
  <c r="AX137" i="4"/>
  <c r="AQ137" i="4"/>
  <c r="CJ398" i="4" s="1"/>
  <c r="AR137" i="4"/>
  <c r="AP137" i="4"/>
  <c r="CI398" i="4" s="1"/>
  <c r="AO137" i="4"/>
  <c r="AL137" i="4"/>
  <c r="CI397" i="4" s="1"/>
  <c r="AK137" i="4"/>
  <c r="AM137" i="4"/>
  <c r="CJ397" i="4" s="1"/>
  <c r="AF137" i="4"/>
  <c r="AI137" i="4"/>
  <c r="AH137" i="4"/>
  <c r="AG137" i="4"/>
  <c r="AJ137" i="4"/>
  <c r="AN137" i="4"/>
  <c r="AB137" i="4"/>
  <c r="AD137" i="4"/>
  <c r="AE137" i="4"/>
  <c r="AC137" i="4"/>
  <c r="AA137" i="4"/>
  <c r="N54" i="4"/>
  <c r="K56" i="4"/>
  <c r="N50" i="4"/>
  <c r="K71" i="4"/>
  <c r="CG269" i="4"/>
  <c r="CD269" i="4"/>
  <c r="CC269" i="4"/>
  <c r="CQ795" i="4" s="1"/>
  <c r="CF269" i="4"/>
  <c r="CB269" i="4"/>
  <c r="CP795" i="4" s="1"/>
  <c r="CE269" i="4"/>
  <c r="CA269" i="4"/>
  <c r="BW269" i="4"/>
  <c r="BS269" i="4"/>
  <c r="BR269" i="4"/>
  <c r="BQ269" i="4"/>
  <c r="BY269" i="4"/>
  <c r="CQ794" i="4" s="1"/>
  <c r="BT269" i="4"/>
  <c r="CP793" i="4" s="1"/>
  <c r="BV269" i="4"/>
  <c r="BX269" i="4"/>
  <c r="CP794" i="4" s="1"/>
  <c r="BO269" i="4"/>
  <c r="BP269" i="4"/>
  <c r="BM269" i="4"/>
  <c r="BL269" i="4"/>
  <c r="BU269" i="4"/>
  <c r="CQ793" i="4" s="1"/>
  <c r="BN269" i="4"/>
  <c r="BJ269" i="4"/>
  <c r="BZ269" i="4"/>
  <c r="BK269" i="4"/>
  <c r="BE269" i="4"/>
  <c r="BG269" i="4"/>
  <c r="AY269" i="4"/>
  <c r="BH269" i="4"/>
  <c r="BI269" i="4"/>
  <c r="BF269" i="4"/>
  <c r="AX269" i="4"/>
  <c r="AU269" i="4"/>
  <c r="CJ795" i="4" s="1"/>
  <c r="AW269" i="4"/>
  <c r="AT269" i="4"/>
  <c r="CI795" i="4" s="1"/>
  <c r="AR269" i="4"/>
  <c r="AN269" i="4"/>
  <c r="AS269" i="4"/>
  <c r="AQ269" i="4"/>
  <c r="CJ794" i="4" s="1"/>
  <c r="AV269" i="4"/>
  <c r="AO269" i="4"/>
  <c r="AM269" i="4"/>
  <c r="CJ793" i="4" s="1"/>
  <c r="AL269" i="4"/>
  <c r="CI793" i="4" s="1"/>
  <c r="AK269" i="4"/>
  <c r="AH269" i="4"/>
  <c r="AJ269" i="4"/>
  <c r="AI269" i="4"/>
  <c r="AP269" i="4"/>
  <c r="CI794" i="4" s="1"/>
  <c r="AA269" i="4"/>
  <c r="AF269" i="4"/>
  <c r="AG269" i="4"/>
  <c r="AE269" i="4"/>
  <c r="AC269" i="4"/>
  <c r="AD269" i="4"/>
  <c r="AB269" i="4"/>
  <c r="CG391" i="4"/>
  <c r="CF391" i="4"/>
  <c r="CE391" i="4"/>
  <c r="CD391" i="4"/>
  <c r="CC391" i="4"/>
  <c r="CQ1161" i="4" s="1"/>
  <c r="CB391" i="4"/>
  <c r="CP1161" i="4" s="1"/>
  <c r="CA391" i="4"/>
  <c r="BZ391" i="4"/>
  <c r="BY391" i="4"/>
  <c r="CQ1160" i="4" s="1"/>
  <c r="BX391" i="4"/>
  <c r="CP1160" i="4" s="1"/>
  <c r="BW391" i="4"/>
  <c r="BU391" i="4"/>
  <c r="CQ1159" i="4" s="1"/>
  <c r="BN391" i="4"/>
  <c r="BM391" i="4"/>
  <c r="BL391" i="4"/>
  <c r="BS391" i="4"/>
  <c r="BR391" i="4"/>
  <c r="BQ391" i="4"/>
  <c r="BT391" i="4"/>
  <c r="CP1159" i="4" s="1"/>
  <c r="BO391" i="4"/>
  <c r="BK391" i="4"/>
  <c r="BV391" i="4"/>
  <c r="BP391" i="4"/>
  <c r="BJ391" i="4"/>
  <c r="BI391" i="4"/>
  <c r="BH391" i="4"/>
  <c r="BE391" i="4"/>
  <c r="AY391" i="4"/>
  <c r="BF391" i="4"/>
  <c r="BG391" i="4"/>
  <c r="AX391" i="4"/>
  <c r="AV391" i="4"/>
  <c r="AT391" i="4"/>
  <c r="CI1161" i="4" s="1"/>
  <c r="AS391" i="4"/>
  <c r="AQ391" i="4"/>
  <c r="CJ1160" i="4" s="1"/>
  <c r="AW391" i="4"/>
  <c r="AR391" i="4"/>
  <c r="AU391" i="4"/>
  <c r="CJ1161" i="4" s="1"/>
  <c r="AP391" i="4"/>
  <c r="CI1160" i="4" s="1"/>
  <c r="AN391" i="4"/>
  <c r="AO391" i="4"/>
  <c r="AM391" i="4"/>
  <c r="CJ1159" i="4" s="1"/>
  <c r="AI391" i="4"/>
  <c r="AH391" i="4"/>
  <c r="AL391" i="4"/>
  <c r="CI1159" i="4" s="1"/>
  <c r="AJ391" i="4"/>
  <c r="AF391" i="4"/>
  <c r="AB391" i="4"/>
  <c r="AD391" i="4"/>
  <c r="AA391" i="4"/>
  <c r="AK391" i="4"/>
  <c r="AG391" i="4"/>
  <c r="AE391" i="4"/>
  <c r="AC391" i="4"/>
  <c r="CF175" i="4"/>
  <c r="CE175" i="4"/>
  <c r="CD175" i="4"/>
  <c r="CA175" i="4"/>
  <c r="CG175" i="4"/>
  <c r="BZ175" i="4"/>
  <c r="BY175" i="4"/>
  <c r="CQ512" i="4" s="1"/>
  <c r="BX175" i="4"/>
  <c r="CP512" i="4" s="1"/>
  <c r="CB175" i="4"/>
  <c r="CP513" i="4" s="1"/>
  <c r="BW175" i="4"/>
  <c r="BT175" i="4"/>
  <c r="CP511" i="4" s="1"/>
  <c r="BS175" i="4"/>
  <c r="BR175" i="4"/>
  <c r="BQ175" i="4"/>
  <c r="BV175" i="4"/>
  <c r="BU175" i="4"/>
  <c r="CQ511" i="4" s="1"/>
  <c r="BP175" i="4"/>
  <c r="CC175" i="4"/>
  <c r="CQ513" i="4" s="1"/>
  <c r="BN175" i="4"/>
  <c r="BM175" i="4"/>
  <c r="BL175" i="4"/>
  <c r="BK175" i="4"/>
  <c r="BO175" i="4"/>
  <c r="BJ175" i="4"/>
  <c r="BG175" i="4"/>
  <c r="BF175" i="4"/>
  <c r="BI175" i="4"/>
  <c r="AW175" i="4"/>
  <c r="BE175" i="4"/>
  <c r="AY175" i="4"/>
  <c r="AU175" i="4"/>
  <c r="CJ513" i="4" s="1"/>
  <c r="BH175" i="4"/>
  <c r="AV175" i="4"/>
  <c r="AR175" i="4"/>
  <c r="AX175" i="4"/>
  <c r="AS175" i="4"/>
  <c r="AT175" i="4"/>
  <c r="CI513" i="4" s="1"/>
  <c r="AQ175" i="4"/>
  <c r="CJ512" i="4" s="1"/>
  <c r="AP175" i="4"/>
  <c r="CI512" i="4" s="1"/>
  <c r="AL175" i="4"/>
  <c r="CI511" i="4" s="1"/>
  <c r="AN175" i="4"/>
  <c r="AM175" i="4"/>
  <c r="CJ511" i="4" s="1"/>
  <c r="AO175" i="4"/>
  <c r="AI175" i="4"/>
  <c r="AK175" i="4"/>
  <c r="AJ175" i="4"/>
  <c r="AH175" i="4"/>
  <c r="AG175" i="4"/>
  <c r="AF175" i="4"/>
  <c r="AE175" i="4"/>
  <c r="AB175" i="4"/>
  <c r="AC175" i="4"/>
  <c r="AA175" i="4"/>
  <c r="AD175" i="4"/>
  <c r="CG465" i="4"/>
  <c r="CF465" i="4"/>
  <c r="BZ465" i="4"/>
  <c r="BY465" i="4"/>
  <c r="CQ1382" i="4" s="1"/>
  <c r="BX465" i="4"/>
  <c r="CP1382" i="4" s="1"/>
  <c r="BW465" i="4"/>
  <c r="CC465" i="4"/>
  <c r="CQ1383" i="4" s="1"/>
  <c r="CE465" i="4"/>
  <c r="CA465" i="4"/>
  <c r="CD465" i="4"/>
  <c r="CB465" i="4"/>
  <c r="CP1383" i="4" s="1"/>
  <c r="BT465" i="4"/>
  <c r="CP1381" i="4" s="1"/>
  <c r="BS465" i="4"/>
  <c r="BR465" i="4"/>
  <c r="BQ465" i="4"/>
  <c r="BP465" i="4"/>
  <c r="BU465" i="4"/>
  <c r="CQ1381" i="4" s="1"/>
  <c r="BO465" i="4"/>
  <c r="BV465" i="4"/>
  <c r="BN465" i="4"/>
  <c r="BL465" i="4"/>
  <c r="BK465" i="4"/>
  <c r="BJ465" i="4"/>
  <c r="BI465" i="4"/>
  <c r="BH465" i="4"/>
  <c r="BG465" i="4"/>
  <c r="BF465" i="4"/>
  <c r="BM465" i="4"/>
  <c r="BE465" i="4"/>
  <c r="AY465" i="4"/>
  <c r="AW465" i="4"/>
  <c r="AU465" i="4"/>
  <c r="CJ1383" i="4" s="1"/>
  <c r="AX465" i="4"/>
  <c r="AR465" i="4"/>
  <c r="AV465" i="4"/>
  <c r="AS465" i="4"/>
  <c r="AQ465" i="4"/>
  <c r="CJ1382" i="4" s="1"/>
  <c r="AP465" i="4"/>
  <c r="CI1382" i="4" s="1"/>
  <c r="AM465" i="4"/>
  <c r="CJ1381" i="4" s="1"/>
  <c r="AT465" i="4"/>
  <c r="CI1383" i="4" s="1"/>
  <c r="AO465" i="4"/>
  <c r="AN465" i="4"/>
  <c r="AI465" i="4"/>
  <c r="AJ465" i="4"/>
  <c r="AH465" i="4"/>
  <c r="AL465" i="4"/>
  <c r="CI1381" i="4" s="1"/>
  <c r="AF465" i="4"/>
  <c r="AG465" i="4"/>
  <c r="AK465" i="4"/>
  <c r="AE465" i="4"/>
  <c r="AB465" i="4"/>
  <c r="AC465" i="4"/>
  <c r="AA465" i="4"/>
  <c r="AD465" i="4"/>
  <c r="R121" i="4"/>
  <c r="K10" i="4"/>
  <c r="CB306" i="4"/>
  <c r="CP906" i="4" s="1"/>
  <c r="BZ306" i="4"/>
  <c r="BY306" i="4"/>
  <c r="CQ905" i="4" s="1"/>
  <c r="BX306" i="4"/>
  <c r="CP905" i="4" s="1"/>
  <c r="BW306" i="4"/>
  <c r="CD306" i="4"/>
  <c r="CE306" i="4"/>
  <c r="CG306" i="4"/>
  <c r="CA306" i="4"/>
  <c r="BS306" i="4"/>
  <c r="BR306" i="4"/>
  <c r="BQ306" i="4"/>
  <c r="BP306" i="4"/>
  <c r="BO306" i="4"/>
  <c r="CF306" i="4"/>
  <c r="BV306" i="4"/>
  <c r="BU306" i="4"/>
  <c r="CQ904" i="4" s="1"/>
  <c r="BN306" i="4"/>
  <c r="CC306" i="4"/>
  <c r="CQ906" i="4" s="1"/>
  <c r="BT306" i="4"/>
  <c r="CP904" i="4" s="1"/>
  <c r="BL306" i="4"/>
  <c r="BM306" i="4"/>
  <c r="BK306" i="4"/>
  <c r="BI306" i="4"/>
  <c r="BJ306" i="4"/>
  <c r="BF306" i="4"/>
  <c r="BG306" i="4"/>
  <c r="AU306" i="4"/>
  <c r="CJ906" i="4" s="1"/>
  <c r="AV306" i="4"/>
  <c r="BE306" i="4"/>
  <c r="AY306" i="4"/>
  <c r="AX306" i="4"/>
  <c r="AT306" i="4"/>
  <c r="CI906" i="4" s="1"/>
  <c r="BH306" i="4"/>
  <c r="AS306" i="4"/>
  <c r="AW306" i="4"/>
  <c r="AR306" i="4"/>
  <c r="AO306" i="4"/>
  <c r="AN306" i="4"/>
  <c r="AP306" i="4"/>
  <c r="CI905" i="4" s="1"/>
  <c r="AQ306" i="4"/>
  <c r="CJ905" i="4" s="1"/>
  <c r="AM306" i="4"/>
  <c r="CJ904" i="4" s="1"/>
  <c r="AI306" i="4"/>
  <c r="AH306" i="4"/>
  <c r="AJ306" i="4"/>
  <c r="AL306" i="4"/>
  <c r="CI904" i="4" s="1"/>
  <c r="AB306" i="4"/>
  <c r="AK306" i="4"/>
  <c r="AF306" i="4"/>
  <c r="AG306" i="4"/>
  <c r="AE306" i="4"/>
  <c r="AA306" i="4"/>
  <c r="AC306" i="4"/>
  <c r="AD306" i="4"/>
  <c r="K118" i="4"/>
  <c r="R118" i="4"/>
  <c r="R105" i="4"/>
  <c r="CC257" i="4"/>
  <c r="CQ759" i="4" s="1"/>
  <c r="BZ257" i="4"/>
  <c r="BY257" i="4"/>
  <c r="CQ758" i="4" s="1"/>
  <c r="BX257" i="4"/>
  <c r="CP758" i="4" s="1"/>
  <c r="BW257" i="4"/>
  <c r="BV257" i="4"/>
  <c r="CG257" i="4"/>
  <c r="CA257" i="4"/>
  <c r="CE257" i="4"/>
  <c r="CD257" i="4"/>
  <c r="CF257" i="4"/>
  <c r="BS257" i="4"/>
  <c r="BR257" i="4"/>
  <c r="BQ257" i="4"/>
  <c r="BP257" i="4"/>
  <c r="BO257" i="4"/>
  <c r="BN257" i="4"/>
  <c r="CB257" i="4"/>
  <c r="CP759" i="4" s="1"/>
  <c r="BU257" i="4"/>
  <c r="CQ757" i="4" s="1"/>
  <c r="BT257" i="4"/>
  <c r="CP757" i="4" s="1"/>
  <c r="BM257" i="4"/>
  <c r="BJ257" i="4"/>
  <c r="BI257" i="4"/>
  <c r="BH257" i="4"/>
  <c r="BG257" i="4"/>
  <c r="BF257" i="4"/>
  <c r="BL257" i="4"/>
  <c r="BK257" i="4"/>
  <c r="BE257" i="4"/>
  <c r="AY257" i="4"/>
  <c r="AV257" i="4"/>
  <c r="AU257" i="4"/>
  <c r="CJ759" i="4" s="1"/>
  <c r="AX257" i="4"/>
  <c r="AW257" i="4"/>
  <c r="AR257" i="4"/>
  <c r="AS257" i="4"/>
  <c r="AQ257" i="4"/>
  <c r="CJ758" i="4" s="1"/>
  <c r="AP257" i="4"/>
  <c r="CI758" i="4" s="1"/>
  <c r="AT257" i="4"/>
  <c r="CI759" i="4" s="1"/>
  <c r="AL257" i="4"/>
  <c r="CI757" i="4" s="1"/>
  <c r="AG257" i="4"/>
  <c r="AK257" i="4"/>
  <c r="AM257" i="4"/>
  <c r="CJ757" i="4" s="1"/>
  <c r="AJ257" i="4"/>
  <c r="AI257" i="4"/>
  <c r="AE257" i="4"/>
  <c r="AH257" i="4"/>
  <c r="AD257" i="4"/>
  <c r="AO257" i="4"/>
  <c r="AN257" i="4"/>
  <c r="AF257" i="4"/>
  <c r="AB257" i="4"/>
  <c r="AC257" i="4"/>
  <c r="AA257" i="4"/>
  <c r="M108" i="4"/>
  <c r="R107" i="4"/>
  <c r="CG359" i="4"/>
  <c r="CF359" i="4"/>
  <c r="CE359" i="4"/>
  <c r="CD359" i="4"/>
  <c r="CC359" i="4"/>
  <c r="CQ1065" i="4" s="1"/>
  <c r="CB359" i="4"/>
  <c r="CP1065" i="4" s="1"/>
  <c r="BZ359" i="4"/>
  <c r="BY359" i="4"/>
  <c r="CQ1064" i="4" s="1"/>
  <c r="BX359" i="4"/>
  <c r="CP1064" i="4" s="1"/>
  <c r="BW359" i="4"/>
  <c r="CA359" i="4"/>
  <c r="BV359" i="4"/>
  <c r="BM359" i="4"/>
  <c r="BL359" i="4"/>
  <c r="BO359" i="4"/>
  <c r="BT359" i="4"/>
  <c r="CP1063" i="4" s="1"/>
  <c r="BN359" i="4"/>
  <c r="BS359" i="4"/>
  <c r="BQ359" i="4"/>
  <c r="BU359" i="4"/>
  <c r="CQ1063" i="4" s="1"/>
  <c r="BP359" i="4"/>
  <c r="BR359" i="4"/>
  <c r="BK359" i="4"/>
  <c r="BI359" i="4"/>
  <c r="BJ359" i="4"/>
  <c r="BF359" i="4"/>
  <c r="BE359" i="4"/>
  <c r="AV359" i="4"/>
  <c r="BH359" i="4"/>
  <c r="AY359" i="4"/>
  <c r="AT359" i="4"/>
  <c r="CI1065" i="4" s="1"/>
  <c r="AS359" i="4"/>
  <c r="AX359" i="4"/>
  <c r="AU359" i="4"/>
  <c r="CJ1065" i="4" s="1"/>
  <c r="BG359" i="4"/>
  <c r="AO359" i="4"/>
  <c r="AW359" i="4"/>
  <c r="AR359" i="4"/>
  <c r="AQ359" i="4"/>
  <c r="CJ1064" i="4" s="1"/>
  <c r="AL359" i="4"/>
  <c r="CI1063" i="4" s="1"/>
  <c r="AN359" i="4"/>
  <c r="AK359" i="4"/>
  <c r="AI359" i="4"/>
  <c r="AP359" i="4"/>
  <c r="CI1064" i="4" s="1"/>
  <c r="AG359" i="4"/>
  <c r="AM359" i="4"/>
  <c r="CJ1063" i="4" s="1"/>
  <c r="AF359" i="4"/>
  <c r="AC359" i="4"/>
  <c r="AA359" i="4"/>
  <c r="AJ359" i="4"/>
  <c r="AD359" i="4"/>
  <c r="AB359" i="4"/>
  <c r="AH359" i="4"/>
  <c r="AE359" i="4"/>
  <c r="CE480" i="4"/>
  <c r="CF480" i="4"/>
  <c r="CA480" i="4"/>
  <c r="CG480" i="4"/>
  <c r="CB480" i="4"/>
  <c r="CP1428" i="4" s="1"/>
  <c r="BZ480" i="4"/>
  <c r="CC480" i="4"/>
  <c r="CQ1428" i="4" s="1"/>
  <c r="BW480" i="4"/>
  <c r="CD480" i="4"/>
  <c r="BY480" i="4"/>
  <c r="CQ1427" i="4" s="1"/>
  <c r="BO480" i="4"/>
  <c r="BX480" i="4"/>
  <c r="CP1427" i="4" s="1"/>
  <c r="BS480" i="4"/>
  <c r="BQ480" i="4"/>
  <c r="BU480" i="4"/>
  <c r="CQ1426" i="4" s="1"/>
  <c r="BN480" i="4"/>
  <c r="BR480" i="4"/>
  <c r="BV480" i="4"/>
  <c r="BM480" i="4"/>
  <c r="BL480" i="4"/>
  <c r="BK480" i="4"/>
  <c r="BT480" i="4"/>
  <c r="CP1426" i="4" s="1"/>
  <c r="BJ480" i="4"/>
  <c r="BF480" i="4"/>
  <c r="BE480" i="4"/>
  <c r="AY480" i="4"/>
  <c r="BG480" i="4"/>
  <c r="BP480" i="4"/>
  <c r="BH480" i="4"/>
  <c r="AW480" i="4"/>
  <c r="BI480" i="4"/>
  <c r="AX480" i="4"/>
  <c r="AT480" i="4"/>
  <c r="CI1428" i="4" s="1"/>
  <c r="AR480" i="4"/>
  <c r="AS480" i="4"/>
  <c r="AQ480" i="4"/>
  <c r="CJ1427" i="4" s="1"/>
  <c r="AV480" i="4"/>
  <c r="AU480" i="4"/>
  <c r="CJ1428" i="4" s="1"/>
  <c r="AP480" i="4"/>
  <c r="CI1427" i="4" s="1"/>
  <c r="AM480" i="4"/>
  <c r="CJ1426" i="4" s="1"/>
  <c r="AO480" i="4"/>
  <c r="AI480" i="4"/>
  <c r="AH480" i="4"/>
  <c r="AG480" i="4"/>
  <c r="AN480" i="4"/>
  <c r="AJ480" i="4"/>
  <c r="AL480" i="4"/>
  <c r="CI1426" i="4" s="1"/>
  <c r="AK480" i="4"/>
  <c r="AC480" i="4"/>
  <c r="AB480" i="4"/>
  <c r="AD480" i="4"/>
  <c r="AE480" i="4"/>
  <c r="AF480" i="4"/>
  <c r="AA480" i="4"/>
  <c r="M125" i="4"/>
  <c r="R112" i="4"/>
  <c r="CG307" i="4"/>
  <c r="CE307" i="4"/>
  <c r="CC307" i="4"/>
  <c r="CQ909" i="4" s="1"/>
  <c r="CB307" i="4"/>
  <c r="CP909" i="4" s="1"/>
  <c r="BZ307" i="4"/>
  <c r="BY307" i="4"/>
  <c r="CQ908" i="4" s="1"/>
  <c r="BX307" i="4"/>
  <c r="CP908" i="4" s="1"/>
  <c r="CA307" i="4"/>
  <c r="BS307" i="4"/>
  <c r="BR307" i="4"/>
  <c r="BQ307" i="4"/>
  <c r="BP307" i="4"/>
  <c r="BO307" i="4"/>
  <c r="BN307" i="4"/>
  <c r="CD307" i="4"/>
  <c r="BU307" i="4"/>
  <c r="CQ907" i="4" s="1"/>
  <c r="BT307" i="4"/>
  <c r="CP907" i="4" s="1"/>
  <c r="BL307" i="4"/>
  <c r="BV307" i="4"/>
  <c r="CF307" i="4"/>
  <c r="BJ307" i="4"/>
  <c r="BI307" i="4"/>
  <c r="BW307" i="4"/>
  <c r="BK307" i="4"/>
  <c r="BF307" i="4"/>
  <c r="BM307" i="4"/>
  <c r="AY307" i="4"/>
  <c r="BG307" i="4"/>
  <c r="AU307" i="4"/>
  <c r="CJ909" i="4" s="1"/>
  <c r="AV307" i="4"/>
  <c r="BE307" i="4"/>
  <c r="AS307" i="4"/>
  <c r="BH307" i="4"/>
  <c r="AX307" i="4"/>
  <c r="AW307" i="4"/>
  <c r="AT307" i="4"/>
  <c r="CI909" i="4" s="1"/>
  <c r="AO307" i="4"/>
  <c r="AL307" i="4"/>
  <c r="CI907" i="4" s="1"/>
  <c r="AK307" i="4"/>
  <c r="AJ307" i="4"/>
  <c r="AR307" i="4"/>
  <c r="AN307" i="4"/>
  <c r="AQ307" i="4"/>
  <c r="CJ908" i="4" s="1"/>
  <c r="AH307" i="4"/>
  <c r="AG307" i="4"/>
  <c r="AI307" i="4"/>
  <c r="AM307" i="4"/>
  <c r="CJ907" i="4" s="1"/>
  <c r="AP307" i="4"/>
  <c r="CI908" i="4" s="1"/>
  <c r="AC307" i="4"/>
  <c r="AF307" i="4"/>
  <c r="AE307" i="4"/>
  <c r="AA307" i="4"/>
  <c r="AB307" i="4"/>
  <c r="AD307" i="4"/>
  <c r="CF64" i="4"/>
  <c r="CD64" i="4"/>
  <c r="CG64" i="4"/>
  <c r="CB64" i="4"/>
  <c r="CP180" i="4" s="1"/>
  <c r="CC64" i="4"/>
  <c r="CQ180" i="4" s="1"/>
  <c r="BX64" i="4"/>
  <c r="CP179" i="4" s="1"/>
  <c r="BW64" i="4"/>
  <c r="CA64" i="4"/>
  <c r="BV64" i="4"/>
  <c r="BT64" i="4"/>
  <c r="CP178" i="4" s="1"/>
  <c r="CE64" i="4"/>
  <c r="BZ64" i="4"/>
  <c r="BU64" i="4"/>
  <c r="CQ178" i="4" s="1"/>
  <c r="BO64" i="4"/>
  <c r="BP64" i="4"/>
  <c r="BS64" i="4"/>
  <c r="BL64" i="4"/>
  <c r="BK64" i="4"/>
  <c r="BJ64" i="4"/>
  <c r="BQ64" i="4"/>
  <c r="BY64" i="4"/>
  <c r="CQ179" i="4" s="1"/>
  <c r="BI64" i="4"/>
  <c r="BM64" i="4"/>
  <c r="BR64" i="4"/>
  <c r="BH64" i="4"/>
  <c r="AY64" i="4"/>
  <c r="BN64" i="4"/>
  <c r="BG64" i="4"/>
  <c r="BE64" i="4"/>
  <c r="AW64" i="4"/>
  <c r="AT64" i="4"/>
  <c r="CI180" i="4" s="1"/>
  <c r="AX64" i="4"/>
  <c r="BF64" i="4"/>
  <c r="AV64" i="4"/>
  <c r="AS64" i="4"/>
  <c r="AR64" i="4"/>
  <c r="AU64" i="4"/>
  <c r="CJ180" i="4" s="1"/>
  <c r="AQ64" i="4"/>
  <c r="CJ179" i="4" s="1"/>
  <c r="AN64" i="4"/>
  <c r="AO64" i="4"/>
  <c r="AH64" i="4"/>
  <c r="AG64" i="4"/>
  <c r="AP64" i="4"/>
  <c r="CI179" i="4" s="1"/>
  <c r="AL64" i="4"/>
  <c r="CI178" i="4" s="1"/>
  <c r="AM64" i="4"/>
  <c r="CJ178" i="4" s="1"/>
  <c r="AK64" i="4"/>
  <c r="AI64" i="4"/>
  <c r="AJ64" i="4"/>
  <c r="AF64" i="4"/>
  <c r="AE64" i="4"/>
  <c r="AD64" i="4"/>
  <c r="AB64" i="4"/>
  <c r="AC64" i="4"/>
  <c r="AA64" i="4"/>
  <c r="CG328" i="4"/>
  <c r="CE328" i="4"/>
  <c r="CD328" i="4"/>
  <c r="CC328" i="4"/>
  <c r="CQ972" i="4" s="1"/>
  <c r="CB328" i="4"/>
  <c r="CP972" i="4" s="1"/>
  <c r="BZ328" i="4"/>
  <c r="BY328" i="4"/>
  <c r="CQ971" i="4" s="1"/>
  <c r="BX328" i="4"/>
  <c r="CP971" i="4" s="1"/>
  <c r="BW328" i="4"/>
  <c r="CA328" i="4"/>
  <c r="BS328" i="4"/>
  <c r="BR328" i="4"/>
  <c r="BQ328" i="4"/>
  <c r="BP328" i="4"/>
  <c r="BM328" i="4"/>
  <c r="BL328" i="4"/>
  <c r="BK328" i="4"/>
  <c r="BV328" i="4"/>
  <c r="BN328" i="4"/>
  <c r="BT328" i="4"/>
  <c r="CP970" i="4" s="1"/>
  <c r="BO328" i="4"/>
  <c r="BU328" i="4"/>
  <c r="CQ970" i="4" s="1"/>
  <c r="CF328" i="4"/>
  <c r="BI328" i="4"/>
  <c r="BG328" i="4"/>
  <c r="BE328" i="4"/>
  <c r="AY328" i="4"/>
  <c r="BF328" i="4"/>
  <c r="BJ328" i="4"/>
  <c r="AW328" i="4"/>
  <c r="BH328" i="4"/>
  <c r="AU328" i="4"/>
  <c r="CJ972" i="4" s="1"/>
  <c r="AX328" i="4"/>
  <c r="AV328" i="4"/>
  <c r="AR328" i="4"/>
  <c r="AS328" i="4"/>
  <c r="AQ328" i="4"/>
  <c r="CJ971" i="4" s="1"/>
  <c r="AT328" i="4"/>
  <c r="CI972" i="4" s="1"/>
  <c r="AO328" i="4"/>
  <c r="AN328" i="4"/>
  <c r="AP328" i="4"/>
  <c r="CI971" i="4" s="1"/>
  <c r="AM328" i="4"/>
  <c r="CJ970" i="4" s="1"/>
  <c r="AJ328" i="4"/>
  <c r="AH328" i="4"/>
  <c r="AG328" i="4"/>
  <c r="AI328" i="4"/>
  <c r="AL328" i="4"/>
  <c r="CI970" i="4" s="1"/>
  <c r="AC328" i="4"/>
  <c r="AA328" i="4"/>
  <c r="AF328" i="4"/>
  <c r="AD328" i="4"/>
  <c r="AB328" i="4"/>
  <c r="AE328" i="4"/>
  <c r="AK328" i="4"/>
  <c r="CF388" i="4"/>
  <c r="CA388" i="4"/>
  <c r="CC388" i="4"/>
  <c r="CQ1152" i="4" s="1"/>
  <c r="CG388" i="4"/>
  <c r="CE388" i="4"/>
  <c r="CD388" i="4"/>
  <c r="CB388" i="4"/>
  <c r="CP1152" i="4" s="1"/>
  <c r="BW388" i="4"/>
  <c r="BX388" i="4"/>
  <c r="CP1151" i="4" s="1"/>
  <c r="BV388" i="4"/>
  <c r="BU388" i="4"/>
  <c r="CQ1150" i="4" s="1"/>
  <c r="BR388" i="4"/>
  <c r="BQ388" i="4"/>
  <c r="BZ388" i="4"/>
  <c r="BY388" i="4"/>
  <c r="CQ1151" i="4" s="1"/>
  <c r="BS388" i="4"/>
  <c r="BO388" i="4"/>
  <c r="BP388" i="4"/>
  <c r="BJ388" i="4"/>
  <c r="BI388" i="4"/>
  <c r="BN388" i="4"/>
  <c r="BK388" i="4"/>
  <c r="BH388" i="4"/>
  <c r="BT388" i="4"/>
  <c r="CP1150" i="4" s="1"/>
  <c r="BG388" i="4"/>
  <c r="BL388" i="4"/>
  <c r="BF388" i="4"/>
  <c r="AX388" i="4"/>
  <c r="AW388" i="4"/>
  <c r="BE388" i="4"/>
  <c r="AV388" i="4"/>
  <c r="AR388" i="4"/>
  <c r="AU388" i="4"/>
  <c r="CJ1152" i="4" s="1"/>
  <c r="AQ388" i="4"/>
  <c r="CJ1151" i="4" s="1"/>
  <c r="AY388" i="4"/>
  <c r="BM388" i="4"/>
  <c r="AS388" i="4"/>
  <c r="AP388" i="4"/>
  <c r="CI1151" i="4" s="1"/>
  <c r="AO388" i="4"/>
  <c r="AK388" i="4"/>
  <c r="AT388" i="4"/>
  <c r="CI1152" i="4" s="1"/>
  <c r="AJ388" i="4"/>
  <c r="AM388" i="4"/>
  <c r="CJ1150" i="4" s="1"/>
  <c r="AH388" i="4"/>
  <c r="AN388" i="4"/>
  <c r="AL388" i="4"/>
  <c r="CI1150" i="4" s="1"/>
  <c r="AG388" i="4"/>
  <c r="AI388" i="4"/>
  <c r="AB388" i="4"/>
  <c r="AC388" i="4"/>
  <c r="AD388" i="4"/>
  <c r="AA388" i="4"/>
  <c r="AE388" i="4"/>
  <c r="AF388" i="4"/>
  <c r="CG134" i="4"/>
  <c r="CB134" i="4"/>
  <c r="CP390" i="4" s="1"/>
  <c r="CA134" i="4"/>
  <c r="CE134" i="4"/>
  <c r="BZ134" i="4"/>
  <c r="BV134" i="4"/>
  <c r="CF134" i="4"/>
  <c r="BW134" i="4"/>
  <c r="CC134" i="4"/>
  <c r="CQ390" i="4" s="1"/>
  <c r="BX134" i="4"/>
  <c r="CP389" i="4" s="1"/>
  <c r="BU134" i="4"/>
  <c r="CQ388" i="4" s="1"/>
  <c r="BT134" i="4"/>
  <c r="CP388" i="4" s="1"/>
  <c r="BS134" i="4"/>
  <c r="BM134" i="4"/>
  <c r="BR134" i="4"/>
  <c r="BY134" i="4"/>
  <c r="CQ389" i="4" s="1"/>
  <c r="CD134" i="4"/>
  <c r="BP134" i="4"/>
  <c r="BK134" i="4"/>
  <c r="BN134" i="4"/>
  <c r="BO134" i="4"/>
  <c r="BQ134" i="4"/>
  <c r="BH134" i="4"/>
  <c r="BL134" i="4"/>
  <c r="BI134" i="4"/>
  <c r="BJ134" i="4"/>
  <c r="BF134" i="4"/>
  <c r="AS134" i="4"/>
  <c r="AR134" i="4"/>
  <c r="AQ134" i="4"/>
  <c r="CJ389" i="4" s="1"/>
  <c r="AP134" i="4"/>
  <c r="CI389" i="4" s="1"/>
  <c r="AX134" i="4"/>
  <c r="BE134" i="4"/>
  <c r="AO134" i="4"/>
  <c r="AN134" i="4"/>
  <c r="AM134" i="4"/>
  <c r="CJ388" i="4" s="1"/>
  <c r="AL134" i="4"/>
  <c r="CI388" i="4" s="1"/>
  <c r="BG134" i="4"/>
  <c r="AY134" i="4"/>
  <c r="AV134" i="4"/>
  <c r="AU134" i="4"/>
  <c r="CJ390" i="4" s="1"/>
  <c r="AW134" i="4"/>
  <c r="AT134" i="4"/>
  <c r="CI390" i="4" s="1"/>
  <c r="AI134" i="4"/>
  <c r="AH134" i="4"/>
  <c r="AG134" i="4"/>
  <c r="AJ134" i="4"/>
  <c r="AK134" i="4"/>
  <c r="AF134" i="4"/>
  <c r="AB134" i="4"/>
  <c r="AD134" i="4"/>
  <c r="AC134" i="4"/>
  <c r="AA134" i="4"/>
  <c r="AE134" i="4"/>
  <c r="N16" i="4"/>
  <c r="CF210" i="4"/>
  <c r="CG210" i="4"/>
  <c r="CE210" i="4"/>
  <c r="BZ210" i="4"/>
  <c r="BY210" i="4"/>
  <c r="CQ617" i="4" s="1"/>
  <c r="BX210" i="4"/>
  <c r="CP617" i="4" s="1"/>
  <c r="BW210" i="4"/>
  <c r="CC210" i="4"/>
  <c r="CQ618" i="4" s="1"/>
  <c r="CD210" i="4"/>
  <c r="CB210" i="4"/>
  <c r="CP618" i="4" s="1"/>
  <c r="BT210" i="4"/>
  <c r="CP616" i="4" s="1"/>
  <c r="BV210" i="4"/>
  <c r="CA210" i="4"/>
  <c r="BS210" i="4"/>
  <c r="BR210" i="4"/>
  <c r="BQ210" i="4"/>
  <c r="BP210" i="4"/>
  <c r="BO210" i="4"/>
  <c r="BU210" i="4"/>
  <c r="CQ616" i="4" s="1"/>
  <c r="BN210" i="4"/>
  <c r="BL210" i="4"/>
  <c r="BG210" i="4"/>
  <c r="BF210" i="4"/>
  <c r="BH210" i="4"/>
  <c r="BM210" i="4"/>
  <c r="BK210" i="4"/>
  <c r="AX210" i="4"/>
  <c r="BJ210" i="4"/>
  <c r="BE210" i="4"/>
  <c r="BI210" i="4"/>
  <c r="AW210" i="4"/>
  <c r="AT210" i="4"/>
  <c r="CI618" i="4" s="1"/>
  <c r="AS210" i="4"/>
  <c r="AY210" i="4"/>
  <c r="AR210" i="4"/>
  <c r="AU210" i="4"/>
  <c r="CJ618" i="4" s="1"/>
  <c r="AV210" i="4"/>
  <c r="AL210" i="4"/>
  <c r="CI616" i="4" s="1"/>
  <c r="AQ210" i="4"/>
  <c r="CJ617" i="4" s="1"/>
  <c r="AO210" i="4"/>
  <c r="AM210" i="4"/>
  <c r="CJ616" i="4" s="1"/>
  <c r="AI210" i="4"/>
  <c r="AP210" i="4"/>
  <c r="CI617" i="4" s="1"/>
  <c r="AN210" i="4"/>
  <c r="AK210" i="4"/>
  <c r="AJ210" i="4"/>
  <c r="AH210" i="4"/>
  <c r="AF210" i="4"/>
  <c r="AE210" i="4"/>
  <c r="AD210" i="4"/>
  <c r="AG210" i="4"/>
  <c r="AC210" i="4"/>
  <c r="AB210" i="4"/>
  <c r="AA210" i="4"/>
  <c r="L57" i="4"/>
  <c r="CF40" i="4"/>
  <c r="CD40" i="4"/>
  <c r="CC40" i="4"/>
  <c r="CQ108" i="4" s="1"/>
  <c r="CB40" i="4"/>
  <c r="CP108" i="4" s="1"/>
  <c r="CE40" i="4"/>
  <c r="CA40" i="4"/>
  <c r="CG40" i="4"/>
  <c r="BZ40" i="4"/>
  <c r="BY40" i="4"/>
  <c r="CQ107" i="4" s="1"/>
  <c r="BX40" i="4"/>
  <c r="CP107" i="4" s="1"/>
  <c r="BW40" i="4"/>
  <c r="BT40" i="4"/>
  <c r="CP106" i="4" s="1"/>
  <c r="BV40" i="4"/>
  <c r="BS40" i="4"/>
  <c r="BR40" i="4"/>
  <c r="BQ40" i="4"/>
  <c r="BP40" i="4"/>
  <c r="BO40" i="4"/>
  <c r="BL40" i="4"/>
  <c r="BK40" i="4"/>
  <c r="BJ40" i="4"/>
  <c r="BU40" i="4"/>
  <c r="CQ106" i="4" s="1"/>
  <c r="BM40" i="4"/>
  <c r="BN40" i="4"/>
  <c r="AY40" i="4"/>
  <c r="AX40" i="4"/>
  <c r="BG40" i="4"/>
  <c r="BF40" i="4"/>
  <c r="BE40" i="4"/>
  <c r="BH40" i="4"/>
  <c r="AW40" i="4"/>
  <c r="AV40" i="4"/>
  <c r="BI40" i="4"/>
  <c r="AU40" i="4"/>
  <c r="CJ108" i="4" s="1"/>
  <c r="AS40" i="4"/>
  <c r="AR40" i="4"/>
  <c r="AT40" i="4"/>
  <c r="CI108" i="4" s="1"/>
  <c r="AQ40" i="4"/>
  <c r="CJ107" i="4" s="1"/>
  <c r="AL40" i="4"/>
  <c r="CI106" i="4" s="1"/>
  <c r="AO40" i="4"/>
  <c r="AM40" i="4"/>
  <c r="CJ106" i="4" s="1"/>
  <c r="AN40" i="4"/>
  <c r="AF40" i="4"/>
  <c r="AH40" i="4"/>
  <c r="AK40" i="4"/>
  <c r="AI40" i="4"/>
  <c r="AG40" i="4"/>
  <c r="AE40" i="4"/>
  <c r="AP40" i="4"/>
  <c r="CI107" i="4" s="1"/>
  <c r="AA40" i="4"/>
  <c r="AD40" i="4"/>
  <c r="AC40" i="4"/>
  <c r="AJ40" i="4"/>
  <c r="AB40" i="4"/>
  <c r="M67" i="4"/>
  <c r="CE53" i="4"/>
  <c r="CF53" i="4"/>
  <c r="CD53" i="4"/>
  <c r="CC53" i="4"/>
  <c r="CQ147" i="4" s="1"/>
  <c r="BZ53" i="4"/>
  <c r="BY53" i="4"/>
  <c r="CQ146" i="4" s="1"/>
  <c r="BX53" i="4"/>
  <c r="CP146" i="4" s="1"/>
  <c r="BW53" i="4"/>
  <c r="BV53" i="4"/>
  <c r="BU53" i="4"/>
  <c r="CQ145" i="4" s="1"/>
  <c r="BT53" i="4"/>
  <c r="CP145" i="4" s="1"/>
  <c r="CB53" i="4"/>
  <c r="CP147" i="4" s="1"/>
  <c r="CA53" i="4"/>
  <c r="BS53" i="4"/>
  <c r="BN53" i="4"/>
  <c r="BM53" i="4"/>
  <c r="BR53" i="4"/>
  <c r="BO53" i="4"/>
  <c r="BL53" i="4"/>
  <c r="BK53" i="4"/>
  <c r="BP53" i="4"/>
  <c r="BF53" i="4"/>
  <c r="CG53" i="4"/>
  <c r="BE53" i="4"/>
  <c r="BJ53" i="4"/>
  <c r="BI53" i="4"/>
  <c r="BQ53" i="4"/>
  <c r="BG53" i="4"/>
  <c r="AV53" i="4"/>
  <c r="AX53" i="4"/>
  <c r="AT53" i="4"/>
  <c r="CI147" i="4" s="1"/>
  <c r="AY53" i="4"/>
  <c r="AU53" i="4"/>
  <c r="CJ147" i="4" s="1"/>
  <c r="BH53" i="4"/>
  <c r="AW53" i="4"/>
  <c r="AQ53" i="4"/>
  <c r="CJ146" i="4" s="1"/>
  <c r="AS53" i="4"/>
  <c r="AR53" i="4"/>
  <c r="AO53" i="4"/>
  <c r="AK53" i="4"/>
  <c r="AP53" i="4"/>
  <c r="CI146" i="4" s="1"/>
  <c r="AN53" i="4"/>
  <c r="AJ53" i="4"/>
  <c r="AL53" i="4"/>
  <c r="CI145" i="4" s="1"/>
  <c r="AG53" i="4"/>
  <c r="AM53" i="4"/>
  <c r="CJ145" i="4" s="1"/>
  <c r="AA53" i="4"/>
  <c r="AI53" i="4"/>
  <c r="AD53" i="4"/>
  <c r="AF53" i="4"/>
  <c r="AB53" i="4"/>
  <c r="AC53" i="4"/>
  <c r="AH53" i="4"/>
  <c r="AE53" i="4"/>
  <c r="M18" i="4"/>
  <c r="CF148" i="4"/>
  <c r="CE148" i="4"/>
  <c r="BZ148" i="4"/>
  <c r="CD148" i="4"/>
  <c r="CG148" i="4"/>
  <c r="BY148" i="4"/>
  <c r="CQ431" i="4" s="1"/>
  <c r="CA148" i="4"/>
  <c r="BU148" i="4"/>
  <c r="CQ430" i="4" s="1"/>
  <c r="BT148" i="4"/>
  <c r="CP430" i="4" s="1"/>
  <c r="CC148" i="4"/>
  <c r="CQ432" i="4" s="1"/>
  <c r="CB148" i="4"/>
  <c r="CP432" i="4" s="1"/>
  <c r="BP148" i="4"/>
  <c r="BS148" i="4"/>
  <c r="BW148" i="4"/>
  <c r="BX148" i="4"/>
  <c r="CP431" i="4" s="1"/>
  <c r="BR148" i="4"/>
  <c r="BO148" i="4"/>
  <c r="BM148" i="4"/>
  <c r="BL148" i="4"/>
  <c r="BV148" i="4"/>
  <c r="BK148" i="4"/>
  <c r="BJ148" i="4"/>
  <c r="BI148" i="4"/>
  <c r="BH148" i="4"/>
  <c r="BN148" i="4"/>
  <c r="BF148" i="4"/>
  <c r="BG148" i="4"/>
  <c r="BE148" i="4"/>
  <c r="AY148" i="4"/>
  <c r="BQ148" i="4"/>
  <c r="AW148" i="4"/>
  <c r="AV148" i="4"/>
  <c r="AU148" i="4"/>
  <c r="CJ432" i="4" s="1"/>
  <c r="AT148" i="4"/>
  <c r="CI432" i="4" s="1"/>
  <c r="AS148" i="4"/>
  <c r="AO148" i="4"/>
  <c r="AP148" i="4"/>
  <c r="CI431" i="4" s="1"/>
  <c r="AM148" i="4"/>
  <c r="CJ430" i="4" s="1"/>
  <c r="AL148" i="4"/>
  <c r="CI430" i="4" s="1"/>
  <c r="AR148" i="4"/>
  <c r="AQ148" i="4"/>
  <c r="CJ431" i="4" s="1"/>
  <c r="AX148" i="4"/>
  <c r="AH148" i="4"/>
  <c r="AG148" i="4"/>
  <c r="AN148" i="4"/>
  <c r="AJ148" i="4"/>
  <c r="AK148" i="4"/>
  <c r="AI148" i="4"/>
  <c r="AE148" i="4"/>
  <c r="AF148" i="4"/>
  <c r="AD148" i="4"/>
  <c r="AB148" i="4"/>
  <c r="AC148" i="4"/>
  <c r="AA148" i="4"/>
  <c r="N42" i="4"/>
  <c r="CD104" i="4"/>
  <c r="CC104" i="4"/>
  <c r="CQ300" i="4" s="1"/>
  <c r="CB104" i="4"/>
  <c r="CP300" i="4" s="1"/>
  <c r="CF104" i="4"/>
  <c r="BZ104" i="4"/>
  <c r="BY104" i="4"/>
  <c r="CQ299" i="4" s="1"/>
  <c r="BX104" i="4"/>
  <c r="CP299" i="4" s="1"/>
  <c r="BW104" i="4"/>
  <c r="CG104" i="4"/>
  <c r="CA104" i="4"/>
  <c r="BV104" i="4"/>
  <c r="BS104" i="4"/>
  <c r="BR104" i="4"/>
  <c r="BQ104" i="4"/>
  <c r="BP104" i="4"/>
  <c r="BO104" i="4"/>
  <c r="BL104" i="4"/>
  <c r="BK104" i="4"/>
  <c r="BN104" i="4"/>
  <c r="BM104" i="4"/>
  <c r="BT104" i="4"/>
  <c r="CP298" i="4" s="1"/>
  <c r="BU104" i="4"/>
  <c r="CQ298" i="4" s="1"/>
  <c r="CE104" i="4"/>
  <c r="BF104" i="4"/>
  <c r="AY104" i="4"/>
  <c r="BI104" i="4"/>
  <c r="BE104" i="4"/>
  <c r="BJ104" i="4"/>
  <c r="BH104" i="4"/>
  <c r="AV104" i="4"/>
  <c r="BG104" i="4"/>
  <c r="AT104" i="4"/>
  <c r="CI300" i="4" s="1"/>
  <c r="AX104" i="4"/>
  <c r="AS104" i="4"/>
  <c r="AR104" i="4"/>
  <c r="AU104" i="4"/>
  <c r="CJ300" i="4" s="1"/>
  <c r="AW104" i="4"/>
  <c r="AO104" i="4"/>
  <c r="AP104" i="4"/>
  <c r="CI299" i="4" s="1"/>
  <c r="AN104" i="4"/>
  <c r="AL104" i="4"/>
  <c r="CI298" i="4" s="1"/>
  <c r="AF104" i="4"/>
  <c r="AK104" i="4"/>
  <c r="AI104" i="4"/>
  <c r="AG104" i="4"/>
  <c r="AQ104" i="4"/>
  <c r="CJ299" i="4" s="1"/>
  <c r="AM104" i="4"/>
  <c r="CJ298" i="4" s="1"/>
  <c r="AJ104" i="4"/>
  <c r="AD104" i="4"/>
  <c r="AC104" i="4"/>
  <c r="AE104" i="4"/>
  <c r="AH104" i="4"/>
  <c r="AB104" i="4"/>
  <c r="AA104" i="4"/>
  <c r="CF348" i="4"/>
  <c r="CG348" i="4"/>
  <c r="CE348" i="4"/>
  <c r="CC348" i="4"/>
  <c r="CQ1032" i="4" s="1"/>
  <c r="BU348" i="4"/>
  <c r="CQ1030" i="4" s="1"/>
  <c r="CB348" i="4"/>
  <c r="CP1032" i="4" s="1"/>
  <c r="BT348" i="4"/>
  <c r="CP1030" i="4" s="1"/>
  <c r="BS348" i="4"/>
  <c r="BR348" i="4"/>
  <c r="BZ348" i="4"/>
  <c r="BX348" i="4"/>
  <c r="CP1031" i="4" s="1"/>
  <c r="BV348" i="4"/>
  <c r="BQ348" i="4"/>
  <c r="BP348" i="4"/>
  <c r="BM348" i="4"/>
  <c r="BL348" i="4"/>
  <c r="CD348" i="4"/>
  <c r="CA348" i="4"/>
  <c r="BY348" i="4"/>
  <c r="CQ1031" i="4" s="1"/>
  <c r="BW348" i="4"/>
  <c r="BN348" i="4"/>
  <c r="BJ348" i="4"/>
  <c r="BI348" i="4"/>
  <c r="BO348" i="4"/>
  <c r="BH348" i="4"/>
  <c r="BG348" i="4"/>
  <c r="BK348" i="4"/>
  <c r="BF348" i="4"/>
  <c r="AY348" i="4"/>
  <c r="AX348" i="4"/>
  <c r="BE348" i="4"/>
  <c r="AR348" i="4"/>
  <c r="AW348" i="4"/>
  <c r="AV348" i="4"/>
  <c r="AU348" i="4"/>
  <c r="CJ1032" i="4" s="1"/>
  <c r="AS348" i="4"/>
  <c r="AQ348" i="4"/>
  <c r="CJ1031" i="4" s="1"/>
  <c r="AT348" i="4"/>
  <c r="CI1032" i="4" s="1"/>
  <c r="AN348" i="4"/>
  <c r="AM348" i="4"/>
  <c r="CJ1030" i="4" s="1"/>
  <c r="AO348" i="4"/>
  <c r="AP348" i="4"/>
  <c r="CI1031" i="4" s="1"/>
  <c r="AF348" i="4"/>
  <c r="AE348" i="4"/>
  <c r="AD348" i="4"/>
  <c r="AC348" i="4"/>
  <c r="AJ348" i="4"/>
  <c r="AL348" i="4"/>
  <c r="CI1030" i="4" s="1"/>
  <c r="AI348" i="4"/>
  <c r="AK348" i="4"/>
  <c r="AH348" i="4"/>
  <c r="AB348" i="4"/>
  <c r="AG348" i="4"/>
  <c r="AA348" i="4"/>
  <c r="CG215" i="4"/>
  <c r="CF215" i="4"/>
  <c r="CE215" i="4"/>
  <c r="CD215" i="4"/>
  <c r="CC215" i="4"/>
  <c r="CQ633" i="4" s="1"/>
  <c r="CB215" i="4"/>
  <c r="CP633" i="4" s="1"/>
  <c r="BZ215" i="4"/>
  <c r="BY215" i="4"/>
  <c r="CQ632" i="4" s="1"/>
  <c r="BX215" i="4"/>
  <c r="CP632" i="4" s="1"/>
  <c r="BW215" i="4"/>
  <c r="BU215" i="4"/>
  <c r="CQ631" i="4" s="1"/>
  <c r="BT215" i="4"/>
  <c r="CP631" i="4" s="1"/>
  <c r="CA215" i="4"/>
  <c r="BV215" i="4"/>
  <c r="BS215" i="4"/>
  <c r="BM215" i="4"/>
  <c r="BL215" i="4"/>
  <c r="BK215" i="4"/>
  <c r="BR215" i="4"/>
  <c r="BO215" i="4"/>
  <c r="BQ215" i="4"/>
  <c r="BN215" i="4"/>
  <c r="BP215" i="4"/>
  <c r="BI215" i="4"/>
  <c r="BG215" i="4"/>
  <c r="BF215" i="4"/>
  <c r="BH215" i="4"/>
  <c r="BJ215" i="4"/>
  <c r="BE215" i="4"/>
  <c r="AY215" i="4"/>
  <c r="AX215" i="4"/>
  <c r="AW215" i="4"/>
  <c r="AU215" i="4"/>
  <c r="CJ633" i="4" s="1"/>
  <c r="AT215" i="4"/>
  <c r="CI633" i="4" s="1"/>
  <c r="AV215" i="4"/>
  <c r="AO215" i="4"/>
  <c r="AR215" i="4"/>
  <c r="AP215" i="4"/>
  <c r="CI632" i="4" s="1"/>
  <c r="AN215" i="4"/>
  <c r="AJ215" i="4"/>
  <c r="AL215" i="4"/>
  <c r="CI631" i="4" s="1"/>
  <c r="AS215" i="4"/>
  <c r="AM215" i="4"/>
  <c r="CJ631" i="4" s="1"/>
  <c r="AQ215" i="4"/>
  <c r="CJ632" i="4" s="1"/>
  <c r="AG215" i="4"/>
  <c r="AK215" i="4"/>
  <c r="AI215" i="4"/>
  <c r="AD215" i="4"/>
  <c r="AH215" i="4"/>
  <c r="AC215" i="4"/>
  <c r="AF215" i="4"/>
  <c r="AA215" i="4"/>
  <c r="AE215" i="4"/>
  <c r="AB215" i="4"/>
  <c r="O24" i="4"/>
  <c r="CF223" i="4"/>
  <c r="CA223" i="4"/>
  <c r="CB223" i="4"/>
  <c r="CP657" i="4" s="1"/>
  <c r="CE223" i="4"/>
  <c r="BZ223" i="4"/>
  <c r="BY223" i="4"/>
  <c r="CQ656" i="4" s="1"/>
  <c r="BW223" i="4"/>
  <c r="BV223" i="4"/>
  <c r="CG223" i="4"/>
  <c r="BX223" i="4"/>
  <c r="CP656" i="4" s="1"/>
  <c r="BS223" i="4"/>
  <c r="BR223" i="4"/>
  <c r="CC223" i="4"/>
  <c r="CQ657" i="4" s="1"/>
  <c r="BQ223" i="4"/>
  <c r="BT223" i="4"/>
  <c r="CP655" i="4" s="1"/>
  <c r="BN223" i="4"/>
  <c r="BU223" i="4"/>
  <c r="CQ655" i="4" s="1"/>
  <c r="BM223" i="4"/>
  <c r="BL223" i="4"/>
  <c r="BK223" i="4"/>
  <c r="BO223" i="4"/>
  <c r="CD223" i="4"/>
  <c r="BJ223" i="4"/>
  <c r="BP223" i="4"/>
  <c r="BF223" i="4"/>
  <c r="BI223" i="4"/>
  <c r="BH223" i="4"/>
  <c r="AV223" i="4"/>
  <c r="AY223" i="4"/>
  <c r="BE223" i="4"/>
  <c r="AT223" i="4"/>
  <c r="CI657" i="4" s="1"/>
  <c r="AQ223" i="4"/>
  <c r="CJ656" i="4" s="1"/>
  <c r="AX223" i="4"/>
  <c r="AR223" i="4"/>
  <c r="AO223" i="4"/>
  <c r="AU223" i="4"/>
  <c r="CJ657" i="4" s="1"/>
  <c r="AW223" i="4"/>
  <c r="BG223" i="4"/>
  <c r="AN223" i="4"/>
  <c r="AS223" i="4"/>
  <c r="AJ223" i="4"/>
  <c r="AM223" i="4"/>
  <c r="CJ655" i="4" s="1"/>
  <c r="AP223" i="4"/>
  <c r="CI656" i="4" s="1"/>
  <c r="AH223" i="4"/>
  <c r="AG223" i="4"/>
  <c r="AL223" i="4"/>
  <c r="CI655" i="4" s="1"/>
  <c r="AE223" i="4"/>
  <c r="AK223" i="4"/>
  <c r="AI223" i="4"/>
  <c r="AF223" i="4"/>
  <c r="AC223" i="4"/>
  <c r="AB223" i="4"/>
  <c r="AA223" i="4"/>
  <c r="AD223" i="4"/>
  <c r="CD317" i="4"/>
  <c r="CC317" i="4"/>
  <c r="CQ939" i="4" s="1"/>
  <c r="CE317" i="4"/>
  <c r="CG317" i="4"/>
  <c r="CF317" i="4"/>
  <c r="CA317" i="4"/>
  <c r="CB317" i="4"/>
  <c r="CP939" i="4" s="1"/>
  <c r="BW317" i="4"/>
  <c r="BV317" i="4"/>
  <c r="BU317" i="4"/>
  <c r="CQ937" i="4" s="1"/>
  <c r="BS317" i="4"/>
  <c r="BR317" i="4"/>
  <c r="BQ317" i="4"/>
  <c r="BT317" i="4"/>
  <c r="CP937" i="4" s="1"/>
  <c r="BP317" i="4"/>
  <c r="BZ317" i="4"/>
  <c r="BY317" i="4"/>
  <c r="CQ938" i="4" s="1"/>
  <c r="BM317" i="4"/>
  <c r="BL317" i="4"/>
  <c r="BX317" i="4"/>
  <c r="CP938" i="4" s="1"/>
  <c r="BO317" i="4"/>
  <c r="BK317" i="4"/>
  <c r="BJ317" i="4"/>
  <c r="BN317" i="4"/>
  <c r="BH317" i="4"/>
  <c r="BE317" i="4"/>
  <c r="BG317" i="4"/>
  <c r="BF317" i="4"/>
  <c r="BI317" i="4"/>
  <c r="AX317" i="4"/>
  <c r="AW317" i="4"/>
  <c r="AY317" i="4"/>
  <c r="AT317" i="4"/>
  <c r="CI939" i="4" s="1"/>
  <c r="AQ317" i="4"/>
  <c r="CJ938" i="4" s="1"/>
  <c r="AV317" i="4"/>
  <c r="AU317" i="4"/>
  <c r="CJ939" i="4" s="1"/>
  <c r="AR317" i="4"/>
  <c r="AS317" i="4"/>
  <c r="AK317" i="4"/>
  <c r="AJ317" i="4"/>
  <c r="AG317" i="4"/>
  <c r="AP317" i="4"/>
  <c r="CI938" i="4" s="1"/>
  <c r="AI317" i="4"/>
  <c r="AL317" i="4"/>
  <c r="CI937" i="4" s="1"/>
  <c r="AN317" i="4"/>
  <c r="AF317" i="4"/>
  <c r="AH317" i="4"/>
  <c r="AM317" i="4"/>
  <c r="CJ937" i="4" s="1"/>
  <c r="AD317" i="4"/>
  <c r="AE317" i="4"/>
  <c r="AC317" i="4"/>
  <c r="AO317" i="4"/>
  <c r="AB317" i="4"/>
  <c r="AA317" i="4"/>
  <c r="M74" i="4"/>
  <c r="M49" i="4"/>
  <c r="L64" i="4"/>
  <c r="M121" i="4"/>
  <c r="CF21" i="4"/>
  <c r="CE21" i="4"/>
  <c r="CG21" i="4"/>
  <c r="CD21" i="4"/>
  <c r="CA21" i="4"/>
  <c r="BY21" i="4"/>
  <c r="CQ50" i="4" s="1"/>
  <c r="BX21" i="4"/>
  <c r="CP50" i="4" s="1"/>
  <c r="BW21" i="4"/>
  <c r="BV21" i="4"/>
  <c r="BU21" i="4"/>
  <c r="CQ49" i="4" s="1"/>
  <c r="BT21" i="4"/>
  <c r="CP49" i="4" s="1"/>
  <c r="CC21" i="4"/>
  <c r="CQ51" i="4" s="1"/>
  <c r="BZ21" i="4"/>
  <c r="CB21" i="4"/>
  <c r="CP51" i="4" s="1"/>
  <c r="BN21" i="4"/>
  <c r="BS21" i="4"/>
  <c r="BQ21" i="4"/>
  <c r="BL21" i="4"/>
  <c r="BK21" i="4"/>
  <c r="BJ21" i="4"/>
  <c r="BR21" i="4"/>
  <c r="BM21" i="4"/>
  <c r="BO21" i="4"/>
  <c r="BG21" i="4"/>
  <c r="BI21" i="4"/>
  <c r="BF21" i="4"/>
  <c r="BE21" i="4"/>
  <c r="AW21" i="4"/>
  <c r="AY21" i="4"/>
  <c r="AU21" i="4"/>
  <c r="CJ51" i="4" s="1"/>
  <c r="AQ21" i="4"/>
  <c r="CJ50" i="4" s="1"/>
  <c r="BH21" i="4"/>
  <c r="BP21" i="4"/>
  <c r="AR21" i="4"/>
  <c r="AX21" i="4"/>
  <c r="AV21" i="4"/>
  <c r="AT21" i="4"/>
  <c r="CI51" i="4" s="1"/>
  <c r="AP21" i="4"/>
  <c r="CI50" i="4" s="1"/>
  <c r="AS21" i="4"/>
  <c r="AK21" i="4"/>
  <c r="AN21" i="4"/>
  <c r="AO21" i="4"/>
  <c r="AH21" i="4"/>
  <c r="AM21" i="4"/>
  <c r="CJ49" i="4" s="1"/>
  <c r="AI21" i="4"/>
  <c r="AL21" i="4"/>
  <c r="CI49" i="4" s="1"/>
  <c r="AE21" i="4"/>
  <c r="AF21" i="4"/>
  <c r="AJ21" i="4"/>
  <c r="AG21" i="4"/>
  <c r="AA21" i="4"/>
  <c r="AD21" i="4"/>
  <c r="AB21" i="4"/>
  <c r="AC21" i="4"/>
  <c r="L10" i="4"/>
  <c r="CE342" i="4"/>
  <c r="CG342" i="4"/>
  <c r="CC342" i="4"/>
  <c r="CQ1014" i="4" s="1"/>
  <c r="CA342" i="4"/>
  <c r="BW342" i="4"/>
  <c r="CD342" i="4"/>
  <c r="BY342" i="4"/>
  <c r="CQ1013" i="4" s="1"/>
  <c r="BV342" i="4"/>
  <c r="BX342" i="4"/>
  <c r="CP1013" i="4" s="1"/>
  <c r="BU342" i="4"/>
  <c r="CQ1012" i="4" s="1"/>
  <c r="BO342" i="4"/>
  <c r="BN342" i="4"/>
  <c r="BR342" i="4"/>
  <c r="BZ342" i="4"/>
  <c r="CF342" i="4"/>
  <c r="BP342" i="4"/>
  <c r="CB342" i="4"/>
  <c r="CP1014" i="4" s="1"/>
  <c r="BS342" i="4"/>
  <c r="BL342" i="4"/>
  <c r="BK342" i="4"/>
  <c r="BT342" i="4"/>
  <c r="CP1012" i="4" s="1"/>
  <c r="BQ342" i="4"/>
  <c r="BM342" i="4"/>
  <c r="BI342" i="4"/>
  <c r="BF342" i="4"/>
  <c r="AV342" i="4"/>
  <c r="BJ342" i="4"/>
  <c r="BE342" i="4"/>
  <c r="BH342" i="4"/>
  <c r="AT342" i="4"/>
  <c r="CI1014" i="4" s="1"/>
  <c r="AS342" i="4"/>
  <c r="AR342" i="4"/>
  <c r="AQ342" i="4"/>
  <c r="CJ1013" i="4" s="1"/>
  <c r="AP342" i="4"/>
  <c r="CI1013" i="4" s="1"/>
  <c r="AY342" i="4"/>
  <c r="AU342" i="4"/>
  <c r="CJ1014" i="4" s="1"/>
  <c r="AX342" i="4"/>
  <c r="AO342" i="4"/>
  <c r="AN342" i="4"/>
  <c r="AM342" i="4"/>
  <c r="CJ1012" i="4" s="1"/>
  <c r="AW342" i="4"/>
  <c r="BG342" i="4"/>
  <c r="AJ342" i="4"/>
  <c r="AL342" i="4"/>
  <c r="CI1012" i="4" s="1"/>
  <c r="AI342" i="4"/>
  <c r="AK342" i="4"/>
  <c r="AG342" i="4"/>
  <c r="AF342" i="4"/>
  <c r="AC342" i="4"/>
  <c r="AE342" i="4"/>
  <c r="AA342" i="4"/>
  <c r="AD342" i="4"/>
  <c r="AB342" i="4"/>
  <c r="AH342" i="4"/>
  <c r="L90" i="4"/>
  <c r="CE37" i="4"/>
  <c r="CG37" i="4"/>
  <c r="CD37" i="4"/>
  <c r="CB37" i="4"/>
  <c r="CP99" i="4" s="1"/>
  <c r="BZ37" i="4"/>
  <c r="BY37" i="4"/>
  <c r="CQ98" i="4" s="1"/>
  <c r="BX37" i="4"/>
  <c r="CP98" i="4" s="1"/>
  <c r="BW37" i="4"/>
  <c r="BV37" i="4"/>
  <c r="BU37" i="4"/>
  <c r="CQ97" i="4" s="1"/>
  <c r="BT37" i="4"/>
  <c r="CP97" i="4" s="1"/>
  <c r="CC37" i="4"/>
  <c r="CQ99" i="4" s="1"/>
  <c r="CA37" i="4"/>
  <c r="CF37" i="4"/>
  <c r="BR37" i="4"/>
  <c r="BO37" i="4"/>
  <c r="BQ37" i="4"/>
  <c r="BP37" i="4"/>
  <c r="BN37" i="4"/>
  <c r="BM37" i="4"/>
  <c r="BL37" i="4"/>
  <c r="BK37" i="4"/>
  <c r="BJ37" i="4"/>
  <c r="BF37" i="4"/>
  <c r="BH37" i="4"/>
  <c r="BS37" i="4"/>
  <c r="BG37" i="4"/>
  <c r="AW37" i="4"/>
  <c r="BI37" i="4"/>
  <c r="BE37" i="4"/>
  <c r="AU37" i="4"/>
  <c r="CJ99" i="4" s="1"/>
  <c r="AV37" i="4"/>
  <c r="AY37" i="4"/>
  <c r="AR37" i="4"/>
  <c r="AX37" i="4"/>
  <c r="AP37" i="4"/>
  <c r="CI98" i="4" s="1"/>
  <c r="AT37" i="4"/>
  <c r="CI99" i="4" s="1"/>
  <c r="AQ37" i="4"/>
  <c r="CJ98" i="4" s="1"/>
  <c r="AS37" i="4"/>
  <c r="AK37" i="4"/>
  <c r="AO37" i="4"/>
  <c r="AL37" i="4"/>
  <c r="CI97" i="4" s="1"/>
  <c r="AM37" i="4"/>
  <c r="CJ97" i="4" s="1"/>
  <c r="AI37" i="4"/>
  <c r="AN37" i="4"/>
  <c r="AJ37" i="4"/>
  <c r="AG37" i="4"/>
  <c r="AF37" i="4"/>
  <c r="AE37" i="4"/>
  <c r="AD37" i="4"/>
  <c r="AH37" i="4"/>
  <c r="AB37" i="4"/>
  <c r="AA37" i="4"/>
  <c r="AC37" i="4"/>
  <c r="M14" i="4"/>
  <c r="CF400" i="4"/>
  <c r="CG400" i="4"/>
  <c r="CE400" i="4"/>
  <c r="CB400" i="4"/>
  <c r="CP1188" i="4" s="1"/>
  <c r="CC400" i="4"/>
  <c r="CQ1188" i="4" s="1"/>
  <c r="BZ400" i="4"/>
  <c r="BU400" i="4"/>
  <c r="CQ1186" i="4" s="1"/>
  <c r="CD400" i="4"/>
  <c r="BY400" i="4"/>
  <c r="CQ1187" i="4" s="1"/>
  <c r="BT400" i="4"/>
  <c r="CP1186" i="4" s="1"/>
  <c r="BS400" i="4"/>
  <c r="BW400" i="4"/>
  <c r="BO400" i="4"/>
  <c r="BR400" i="4"/>
  <c r="BN400" i="4"/>
  <c r="BM400" i="4"/>
  <c r="BL400" i="4"/>
  <c r="BK400" i="4"/>
  <c r="BX400" i="4"/>
  <c r="CP1187" i="4" s="1"/>
  <c r="BV400" i="4"/>
  <c r="BJ400" i="4"/>
  <c r="BQ400" i="4"/>
  <c r="CA400" i="4"/>
  <c r="BH400" i="4"/>
  <c r="BG400" i="4"/>
  <c r="BP400" i="4"/>
  <c r="BF400" i="4"/>
  <c r="BE400" i="4"/>
  <c r="AY400" i="4"/>
  <c r="AX400" i="4"/>
  <c r="AW400" i="4"/>
  <c r="AU400" i="4"/>
  <c r="CJ1188" i="4" s="1"/>
  <c r="AT400" i="4"/>
  <c r="CI1188" i="4" s="1"/>
  <c r="AQ400" i="4"/>
  <c r="CJ1187" i="4" s="1"/>
  <c r="AV400" i="4"/>
  <c r="AR400" i="4"/>
  <c r="AP400" i="4"/>
  <c r="CI1187" i="4" s="1"/>
  <c r="AO400" i="4"/>
  <c r="AS400" i="4"/>
  <c r="BI400" i="4"/>
  <c r="AM400" i="4"/>
  <c r="CJ1186" i="4" s="1"/>
  <c r="AI400" i="4"/>
  <c r="AH400" i="4"/>
  <c r="AG400" i="4"/>
  <c r="AN400" i="4"/>
  <c r="AJ400" i="4"/>
  <c r="AK400" i="4"/>
  <c r="AL400" i="4"/>
  <c r="CI1186" i="4" s="1"/>
  <c r="AF400" i="4"/>
  <c r="AC400" i="4"/>
  <c r="AD400" i="4"/>
  <c r="AA400" i="4"/>
  <c r="AE400" i="4"/>
  <c r="AB400" i="4"/>
  <c r="CF82" i="4"/>
  <c r="BZ82" i="4"/>
  <c r="BY82" i="4"/>
  <c r="CQ233" i="4" s="1"/>
  <c r="BX82" i="4"/>
  <c r="CP233" i="4" s="1"/>
  <c r="BW82" i="4"/>
  <c r="BV82" i="4"/>
  <c r="CG82" i="4"/>
  <c r="CC82" i="4"/>
  <c r="CQ234" i="4" s="1"/>
  <c r="CD82" i="4"/>
  <c r="CE82" i="4"/>
  <c r="BU82" i="4"/>
  <c r="CQ232" i="4" s="1"/>
  <c r="BS82" i="4"/>
  <c r="BR82" i="4"/>
  <c r="BQ82" i="4"/>
  <c r="BP82" i="4"/>
  <c r="BO82" i="4"/>
  <c r="CB82" i="4"/>
  <c r="CP234" i="4" s="1"/>
  <c r="BT82" i="4"/>
  <c r="CP232" i="4" s="1"/>
  <c r="CA82" i="4"/>
  <c r="BM82" i="4"/>
  <c r="BN82" i="4"/>
  <c r="BK82" i="4"/>
  <c r="BL82" i="4"/>
  <c r="BH82" i="4"/>
  <c r="BI82" i="4"/>
  <c r="BG82" i="4"/>
  <c r="BF82" i="4"/>
  <c r="BE82" i="4"/>
  <c r="AX82" i="4"/>
  <c r="BJ82" i="4"/>
  <c r="AY82" i="4"/>
  <c r="AW82" i="4"/>
  <c r="AT82" i="4"/>
  <c r="CI234" i="4" s="1"/>
  <c r="AS82" i="4"/>
  <c r="AU82" i="4"/>
  <c r="CJ234" i="4" s="1"/>
  <c r="AR82" i="4"/>
  <c r="AV82" i="4"/>
  <c r="AN82" i="4"/>
  <c r="AM82" i="4"/>
  <c r="CJ232" i="4" s="1"/>
  <c r="AQ82" i="4"/>
  <c r="CJ233" i="4" s="1"/>
  <c r="AL82" i="4"/>
  <c r="CI232" i="4" s="1"/>
  <c r="AH82" i="4"/>
  <c r="AO82" i="4"/>
  <c r="AP82" i="4"/>
  <c r="CI233" i="4" s="1"/>
  <c r="AK82" i="4"/>
  <c r="AG82" i="4"/>
  <c r="AI82" i="4"/>
  <c r="AJ82" i="4"/>
  <c r="AF82" i="4"/>
  <c r="AA82" i="4"/>
  <c r="AE82" i="4"/>
  <c r="AB82" i="4"/>
  <c r="AD82" i="4"/>
  <c r="AC82" i="4"/>
  <c r="CG375" i="4"/>
  <c r="CF375" i="4"/>
  <c r="CE375" i="4"/>
  <c r="CD375" i="4"/>
  <c r="CC375" i="4"/>
  <c r="CQ1113" i="4" s="1"/>
  <c r="CB375" i="4"/>
  <c r="CP1113" i="4" s="1"/>
  <c r="CA375" i="4"/>
  <c r="BZ375" i="4"/>
  <c r="BY375" i="4"/>
  <c r="CQ1112" i="4" s="1"/>
  <c r="BX375" i="4"/>
  <c r="CP1112" i="4" s="1"/>
  <c r="BW375" i="4"/>
  <c r="BV375" i="4"/>
  <c r="BU375" i="4"/>
  <c r="CQ1111" i="4" s="1"/>
  <c r="BR375" i="4"/>
  <c r="BM375" i="4"/>
  <c r="BL375" i="4"/>
  <c r="BP375" i="4"/>
  <c r="BN375" i="4"/>
  <c r="BT375" i="4"/>
  <c r="CP1111" i="4" s="1"/>
  <c r="BQ375" i="4"/>
  <c r="BO375" i="4"/>
  <c r="BK375" i="4"/>
  <c r="BS375" i="4"/>
  <c r="BE375" i="4"/>
  <c r="BG375" i="4"/>
  <c r="BJ375" i="4"/>
  <c r="AY375" i="4"/>
  <c r="BF375" i="4"/>
  <c r="BH375" i="4"/>
  <c r="AW375" i="4"/>
  <c r="AT375" i="4"/>
  <c r="CI1113" i="4" s="1"/>
  <c r="AV375" i="4"/>
  <c r="AU375" i="4"/>
  <c r="CJ1113" i="4" s="1"/>
  <c r="AQ375" i="4"/>
  <c r="CJ1112" i="4" s="1"/>
  <c r="AN375" i="4"/>
  <c r="BI375" i="4"/>
  <c r="AS375" i="4"/>
  <c r="AM375" i="4"/>
  <c r="CJ1111" i="4" s="1"/>
  <c r="AK375" i="4"/>
  <c r="AI375" i="4"/>
  <c r="AH375" i="4"/>
  <c r="AG375" i="4"/>
  <c r="AX375" i="4"/>
  <c r="AO375" i="4"/>
  <c r="AP375" i="4"/>
  <c r="CI1112" i="4" s="1"/>
  <c r="AL375" i="4"/>
  <c r="CI1111" i="4" s="1"/>
  <c r="AJ375" i="4"/>
  <c r="AF375" i="4"/>
  <c r="AR375" i="4"/>
  <c r="AA375" i="4"/>
  <c r="AE375" i="4"/>
  <c r="AD375" i="4"/>
  <c r="AB375" i="4"/>
  <c r="AC375" i="4"/>
  <c r="CG408" i="4"/>
  <c r="CE408" i="4"/>
  <c r="CD408" i="4"/>
  <c r="CC408" i="4"/>
  <c r="CQ1212" i="4" s="1"/>
  <c r="CA408" i="4"/>
  <c r="BZ408" i="4"/>
  <c r="BY408" i="4"/>
  <c r="CQ1211" i="4" s="1"/>
  <c r="BX408" i="4"/>
  <c r="CP1211" i="4" s="1"/>
  <c r="BW408" i="4"/>
  <c r="CB408" i="4"/>
  <c r="CP1212" i="4" s="1"/>
  <c r="CF408" i="4"/>
  <c r="BU408" i="4"/>
  <c r="CQ1210" i="4" s="1"/>
  <c r="BT408" i="4"/>
  <c r="CP1210" i="4" s="1"/>
  <c r="BS408" i="4"/>
  <c r="BR408" i="4"/>
  <c r="BQ408" i="4"/>
  <c r="BP408" i="4"/>
  <c r="BV408" i="4"/>
  <c r="BN408" i="4"/>
  <c r="BM408" i="4"/>
  <c r="BL408" i="4"/>
  <c r="BK408" i="4"/>
  <c r="BO408" i="4"/>
  <c r="BE408" i="4"/>
  <c r="AY408" i="4"/>
  <c r="BI408" i="4"/>
  <c r="BJ408" i="4"/>
  <c r="BH408" i="4"/>
  <c r="AV408" i="4"/>
  <c r="BG408" i="4"/>
  <c r="BF408" i="4"/>
  <c r="AT408" i="4"/>
  <c r="CI1212" i="4" s="1"/>
  <c r="AW408" i="4"/>
  <c r="AS408" i="4"/>
  <c r="AX408" i="4"/>
  <c r="AQ408" i="4"/>
  <c r="CJ1211" i="4" s="1"/>
  <c r="AU408" i="4"/>
  <c r="CJ1212" i="4" s="1"/>
  <c r="AR408" i="4"/>
  <c r="AP408" i="4"/>
  <c r="CI1211" i="4" s="1"/>
  <c r="AM408" i="4"/>
  <c r="CJ1210" i="4" s="1"/>
  <c r="AI408" i="4"/>
  <c r="AL408" i="4"/>
  <c r="CI1210" i="4" s="1"/>
  <c r="AH408" i="4"/>
  <c r="AN408" i="4"/>
  <c r="AJ408" i="4"/>
  <c r="AO408" i="4"/>
  <c r="AG408" i="4"/>
  <c r="AF408" i="4"/>
  <c r="AB408" i="4"/>
  <c r="AA408" i="4"/>
  <c r="AK408" i="4"/>
  <c r="AC408" i="4"/>
  <c r="AD408" i="4"/>
  <c r="AE408" i="4"/>
  <c r="M107" i="4"/>
  <c r="CG172" i="4"/>
  <c r="CD172" i="4"/>
  <c r="CA172" i="4"/>
  <c r="CE172" i="4"/>
  <c r="CF172" i="4"/>
  <c r="BZ172" i="4"/>
  <c r="BS172" i="4"/>
  <c r="BR172" i="4"/>
  <c r="BV172" i="4"/>
  <c r="BX172" i="4"/>
  <c r="CP503" i="4" s="1"/>
  <c r="CB172" i="4"/>
  <c r="CP504" i="4" s="1"/>
  <c r="BT172" i="4"/>
  <c r="CP502" i="4" s="1"/>
  <c r="CC172" i="4"/>
  <c r="CQ504" i="4" s="1"/>
  <c r="BN172" i="4"/>
  <c r="BM172" i="4"/>
  <c r="BL172" i="4"/>
  <c r="BK172" i="4"/>
  <c r="BU172" i="4"/>
  <c r="CQ502" i="4" s="1"/>
  <c r="BP172" i="4"/>
  <c r="BO172" i="4"/>
  <c r="BJ172" i="4"/>
  <c r="BI172" i="4"/>
  <c r="BH172" i="4"/>
  <c r="BY172" i="4"/>
  <c r="CQ503" i="4" s="1"/>
  <c r="BW172" i="4"/>
  <c r="BQ172" i="4"/>
  <c r="BF172" i="4"/>
  <c r="BE172" i="4"/>
  <c r="AV172" i="4"/>
  <c r="AY172" i="4"/>
  <c r="AT172" i="4"/>
  <c r="CI504" i="4" s="1"/>
  <c r="BG172" i="4"/>
  <c r="AX172" i="4"/>
  <c r="AQ172" i="4"/>
  <c r="CJ503" i="4" s="1"/>
  <c r="AU172" i="4"/>
  <c r="CJ504" i="4" s="1"/>
  <c r="AR172" i="4"/>
  <c r="AW172" i="4"/>
  <c r="AL172" i="4"/>
  <c r="CI502" i="4" s="1"/>
  <c r="AO172" i="4"/>
  <c r="AN172" i="4"/>
  <c r="AS172" i="4"/>
  <c r="AM172" i="4"/>
  <c r="CJ502" i="4" s="1"/>
  <c r="AI172" i="4"/>
  <c r="AF172" i="4"/>
  <c r="AE172" i="4"/>
  <c r="AD172" i="4"/>
  <c r="AC172" i="4"/>
  <c r="AK172" i="4"/>
  <c r="AJ172" i="4"/>
  <c r="AH172" i="4"/>
  <c r="AG172" i="4"/>
  <c r="AP172" i="4"/>
  <c r="CI503" i="4" s="1"/>
  <c r="AA172" i="4"/>
  <c r="AB172" i="4"/>
  <c r="CG467" i="4"/>
  <c r="CF467" i="4"/>
  <c r="BZ467" i="4"/>
  <c r="BY467" i="4"/>
  <c r="CQ1388" i="4" s="1"/>
  <c r="CC467" i="4"/>
  <c r="CQ1389" i="4" s="1"/>
  <c r="CE467" i="4"/>
  <c r="CA467" i="4"/>
  <c r="CD467" i="4"/>
  <c r="CB467" i="4"/>
  <c r="CP1389" i="4" s="1"/>
  <c r="BU467" i="4"/>
  <c r="CQ1387" i="4" s="1"/>
  <c r="BX467" i="4"/>
  <c r="CP1388" i="4" s="1"/>
  <c r="BW467" i="4"/>
  <c r="BT467" i="4"/>
  <c r="CP1387" i="4" s="1"/>
  <c r="BS467" i="4"/>
  <c r="BR467" i="4"/>
  <c r="BQ467" i="4"/>
  <c r="BP467" i="4"/>
  <c r="BV467" i="4"/>
  <c r="BO467" i="4"/>
  <c r="BL467" i="4"/>
  <c r="BK467" i="4"/>
  <c r="BJ467" i="4"/>
  <c r="BI467" i="4"/>
  <c r="BN467" i="4"/>
  <c r="BH467" i="4"/>
  <c r="BG467" i="4"/>
  <c r="BF467" i="4"/>
  <c r="BM467" i="4"/>
  <c r="AX467" i="4"/>
  <c r="AY467" i="4"/>
  <c r="AV467" i="4"/>
  <c r="AR467" i="4"/>
  <c r="AW467" i="4"/>
  <c r="AU467" i="4"/>
  <c r="CJ1389" i="4" s="1"/>
  <c r="BE467" i="4"/>
  <c r="AS467" i="4"/>
  <c r="AT467" i="4"/>
  <c r="CI1389" i="4" s="1"/>
  <c r="AO467" i="4"/>
  <c r="AL467" i="4"/>
  <c r="CI1387" i="4" s="1"/>
  <c r="AK467" i="4"/>
  <c r="AJ467" i="4"/>
  <c r="AP467" i="4"/>
  <c r="CI1388" i="4" s="1"/>
  <c r="AQ467" i="4"/>
  <c r="CJ1388" i="4" s="1"/>
  <c r="AI467" i="4"/>
  <c r="AM467" i="4"/>
  <c r="CJ1387" i="4" s="1"/>
  <c r="AF467" i="4"/>
  <c r="AN467" i="4"/>
  <c r="AH467" i="4"/>
  <c r="AB467" i="4"/>
  <c r="AC467" i="4"/>
  <c r="AA467" i="4"/>
  <c r="AG467" i="4"/>
  <c r="AD467" i="4"/>
  <c r="AE467" i="4"/>
  <c r="CF417" i="4"/>
  <c r="CG417" i="4"/>
  <c r="BZ417" i="4"/>
  <c r="BY417" i="4"/>
  <c r="CQ1238" i="4" s="1"/>
  <c r="BX417" i="4"/>
  <c r="CP1238" i="4" s="1"/>
  <c r="BW417" i="4"/>
  <c r="CB417" i="4"/>
  <c r="CP1239" i="4" s="1"/>
  <c r="CC417" i="4"/>
  <c r="CQ1239" i="4" s="1"/>
  <c r="CD417" i="4"/>
  <c r="BU417" i="4"/>
  <c r="CQ1237" i="4" s="1"/>
  <c r="BT417" i="4"/>
  <c r="CP1237" i="4" s="1"/>
  <c r="BS417" i="4"/>
  <c r="BR417" i="4"/>
  <c r="BQ417" i="4"/>
  <c r="BP417" i="4"/>
  <c r="CE417" i="4"/>
  <c r="BV417" i="4"/>
  <c r="BO417" i="4"/>
  <c r="BN417" i="4"/>
  <c r="CA417" i="4"/>
  <c r="BM417" i="4"/>
  <c r="BJ417" i="4"/>
  <c r="BI417" i="4"/>
  <c r="BH417" i="4"/>
  <c r="BG417" i="4"/>
  <c r="BF417" i="4"/>
  <c r="BL417" i="4"/>
  <c r="BE417" i="4"/>
  <c r="AY417" i="4"/>
  <c r="AX417" i="4"/>
  <c r="AU417" i="4"/>
  <c r="CJ1239" i="4" s="1"/>
  <c r="AT417" i="4"/>
  <c r="CI1239" i="4" s="1"/>
  <c r="AQ417" i="4"/>
  <c r="CJ1238" i="4" s="1"/>
  <c r="AW417" i="4"/>
  <c r="AV417" i="4"/>
  <c r="AS417" i="4"/>
  <c r="BK417" i="4"/>
  <c r="AP417" i="4"/>
  <c r="CI1238" i="4" s="1"/>
  <c r="AO417" i="4"/>
  <c r="AR417" i="4"/>
  <c r="AN417" i="4"/>
  <c r="AJ417" i="4"/>
  <c r="AM417" i="4"/>
  <c r="CJ1237" i="4" s="1"/>
  <c r="AK417" i="4"/>
  <c r="AI417" i="4"/>
  <c r="AL417" i="4"/>
  <c r="CI1237" i="4" s="1"/>
  <c r="AC417" i="4"/>
  <c r="AG417" i="4"/>
  <c r="AF417" i="4"/>
  <c r="AH417" i="4"/>
  <c r="AE417" i="4"/>
  <c r="AD417" i="4"/>
  <c r="AB417" i="4"/>
  <c r="AA417" i="4"/>
  <c r="CE479" i="4"/>
  <c r="CA479" i="4"/>
  <c r="CG479" i="4"/>
  <c r="CB479" i="4"/>
  <c r="CP1425" i="4" s="1"/>
  <c r="CD479" i="4"/>
  <c r="BZ479" i="4"/>
  <c r="BY479" i="4"/>
  <c r="CQ1424" i="4" s="1"/>
  <c r="CC479" i="4"/>
  <c r="CQ1425" i="4" s="1"/>
  <c r="BW479" i="4"/>
  <c r="BT479" i="4"/>
  <c r="CP1423" i="4" s="1"/>
  <c r="BS479" i="4"/>
  <c r="BR479" i="4"/>
  <c r="BV479" i="4"/>
  <c r="BO479" i="4"/>
  <c r="BX479" i="4"/>
  <c r="CP1424" i="4" s="1"/>
  <c r="BQ479" i="4"/>
  <c r="BU479" i="4"/>
  <c r="CQ1423" i="4" s="1"/>
  <c r="BN479" i="4"/>
  <c r="CF479" i="4"/>
  <c r="BM479" i="4"/>
  <c r="BL479" i="4"/>
  <c r="BF479" i="4"/>
  <c r="BK479" i="4"/>
  <c r="BJ479" i="4"/>
  <c r="AV479" i="4"/>
  <c r="BP479" i="4"/>
  <c r="BG479" i="4"/>
  <c r="BE479" i="4"/>
  <c r="BI479" i="4"/>
  <c r="AY479" i="4"/>
  <c r="AX479" i="4"/>
  <c r="AU479" i="4"/>
  <c r="CJ1425" i="4" s="1"/>
  <c r="BH479" i="4"/>
  <c r="AS479" i="4"/>
  <c r="AT479" i="4"/>
  <c r="CI1425" i="4" s="1"/>
  <c r="AW479" i="4"/>
  <c r="AQ479" i="4"/>
  <c r="CJ1424" i="4" s="1"/>
  <c r="AP479" i="4"/>
  <c r="CI1424" i="4" s="1"/>
  <c r="AM479" i="4"/>
  <c r="CJ1423" i="4" s="1"/>
  <c r="AO479" i="4"/>
  <c r="AN479" i="4"/>
  <c r="AR479" i="4"/>
  <c r="AJ479" i="4"/>
  <c r="AL479" i="4"/>
  <c r="CI1423" i="4" s="1"/>
  <c r="AH479" i="4"/>
  <c r="AK479" i="4"/>
  <c r="AG479" i="4"/>
  <c r="AC479" i="4"/>
  <c r="AB479" i="4"/>
  <c r="AA479" i="4"/>
  <c r="AD479" i="4"/>
  <c r="AI479" i="4"/>
  <c r="AE479" i="4"/>
  <c r="AF479" i="4"/>
  <c r="O125" i="4"/>
  <c r="K70" i="4"/>
  <c r="N21" i="4"/>
  <c r="CD13" i="4"/>
  <c r="CC13" i="4"/>
  <c r="CQ27" i="4" s="1"/>
  <c r="CB13" i="4"/>
  <c r="CP27" i="4" s="1"/>
  <c r="CG13" i="4"/>
  <c r="CF13" i="4"/>
  <c r="CE13" i="4"/>
  <c r="BS13" i="4"/>
  <c r="BR13" i="4"/>
  <c r="BQ13" i="4"/>
  <c r="BP13" i="4"/>
  <c r="BW13" i="4"/>
  <c r="BY13" i="4"/>
  <c r="CQ26" i="4" s="1"/>
  <c r="BT13" i="4"/>
  <c r="CP25" i="4" s="1"/>
  <c r="CA13" i="4"/>
  <c r="BV13" i="4"/>
  <c r="BM13" i="4"/>
  <c r="BO13" i="4"/>
  <c r="BL13" i="4"/>
  <c r="BK13" i="4"/>
  <c r="BZ13" i="4"/>
  <c r="BU13" i="4"/>
  <c r="CQ25" i="4" s="1"/>
  <c r="BN13" i="4"/>
  <c r="BX13" i="4"/>
  <c r="CP26" i="4" s="1"/>
  <c r="BJ13" i="4"/>
  <c r="BH13" i="4"/>
  <c r="BG13" i="4"/>
  <c r="AY13" i="4"/>
  <c r="BI13" i="4"/>
  <c r="BE13" i="4"/>
  <c r="AU13" i="4"/>
  <c r="CJ27" i="4" s="1"/>
  <c r="AS13" i="4"/>
  <c r="AX13" i="4"/>
  <c r="AT13" i="4"/>
  <c r="CI27" i="4" s="1"/>
  <c r="AR13" i="4"/>
  <c r="AW13" i="4"/>
  <c r="BF13" i="4"/>
  <c r="AV13" i="4"/>
  <c r="AO13" i="4"/>
  <c r="AQ13" i="4"/>
  <c r="CJ26" i="4" s="1"/>
  <c r="AP13" i="4"/>
  <c r="CI26" i="4" s="1"/>
  <c r="AM13" i="4"/>
  <c r="CJ25" i="4" s="1"/>
  <c r="AN13" i="4"/>
  <c r="AL13" i="4"/>
  <c r="CI25" i="4" s="1"/>
  <c r="AJ13" i="4"/>
  <c r="AG13" i="4"/>
  <c r="AI13" i="4"/>
  <c r="AH13" i="4"/>
  <c r="AA13" i="4"/>
  <c r="AK13" i="4"/>
  <c r="AF13" i="4"/>
  <c r="AE13" i="4"/>
  <c r="AB13" i="4"/>
  <c r="AD13" i="4"/>
  <c r="AC13" i="4"/>
  <c r="CG16" i="4"/>
  <c r="CD16" i="4"/>
  <c r="CE16" i="4"/>
  <c r="BZ16" i="4"/>
  <c r="CF16" i="4"/>
  <c r="CC16" i="4"/>
  <c r="CQ36" i="4" s="1"/>
  <c r="CA16" i="4"/>
  <c r="BV16" i="4"/>
  <c r="BW16" i="4"/>
  <c r="CB16" i="4"/>
  <c r="CP36" i="4" s="1"/>
  <c r="BU16" i="4"/>
  <c r="CQ34" i="4" s="1"/>
  <c r="BN16" i="4"/>
  <c r="BY16" i="4"/>
  <c r="CQ35" i="4" s="1"/>
  <c r="BX16" i="4"/>
  <c r="CP35" i="4" s="1"/>
  <c r="BM16" i="4"/>
  <c r="BS16" i="4"/>
  <c r="BO16" i="4"/>
  <c r="BT16" i="4"/>
  <c r="CP34" i="4" s="1"/>
  <c r="BR16" i="4"/>
  <c r="BL16" i="4"/>
  <c r="BK16" i="4"/>
  <c r="BJ16" i="4"/>
  <c r="BI16" i="4"/>
  <c r="BQ16" i="4"/>
  <c r="BE16" i="4"/>
  <c r="BH16" i="4"/>
  <c r="AY16" i="4"/>
  <c r="AX16" i="4"/>
  <c r="AU16" i="4"/>
  <c r="CJ36" i="4" s="1"/>
  <c r="BG16" i="4"/>
  <c r="BF16" i="4"/>
  <c r="BP16" i="4"/>
  <c r="AV16" i="4"/>
  <c r="AW16" i="4"/>
  <c r="AT16" i="4"/>
  <c r="CI36" i="4" s="1"/>
  <c r="AS16" i="4"/>
  <c r="AO16" i="4"/>
  <c r="AQ16" i="4"/>
  <c r="CJ35" i="4" s="1"/>
  <c r="AH16" i="4"/>
  <c r="AG16" i="4"/>
  <c r="AM16" i="4"/>
  <c r="CJ34" i="4" s="1"/>
  <c r="AR16" i="4"/>
  <c r="AN16" i="4"/>
  <c r="AI16" i="4"/>
  <c r="AK16" i="4"/>
  <c r="AL16" i="4"/>
  <c r="CI34" i="4" s="1"/>
  <c r="AJ16" i="4"/>
  <c r="AP16" i="4"/>
  <c r="CI35" i="4" s="1"/>
  <c r="AE16" i="4"/>
  <c r="AB16" i="4"/>
  <c r="AA16" i="4"/>
  <c r="AF16" i="4"/>
  <c r="AC16" i="4"/>
  <c r="AD16" i="4"/>
  <c r="CG73" i="4"/>
  <c r="CF73" i="4"/>
  <c r="CE73" i="4"/>
  <c r="CD73" i="4"/>
  <c r="BZ73" i="4"/>
  <c r="BY73" i="4"/>
  <c r="CQ206" i="4" s="1"/>
  <c r="BX73" i="4"/>
  <c r="CP206" i="4" s="1"/>
  <c r="CC73" i="4"/>
  <c r="CQ207" i="4" s="1"/>
  <c r="CA73" i="4"/>
  <c r="BT73" i="4"/>
  <c r="CP205" i="4" s="1"/>
  <c r="CB73" i="4"/>
  <c r="CP207" i="4" s="1"/>
  <c r="BW73" i="4"/>
  <c r="BV73" i="4"/>
  <c r="BU73" i="4"/>
  <c r="CQ205" i="4" s="1"/>
  <c r="BL73" i="4"/>
  <c r="BQ73" i="4"/>
  <c r="BO73" i="4"/>
  <c r="BN73" i="4"/>
  <c r="BM73" i="4"/>
  <c r="BP73" i="4"/>
  <c r="BR73" i="4"/>
  <c r="BK73" i="4"/>
  <c r="BI73" i="4"/>
  <c r="BG73" i="4"/>
  <c r="AY73" i="4"/>
  <c r="AX73" i="4"/>
  <c r="BF73" i="4"/>
  <c r="BE73" i="4"/>
  <c r="AW73" i="4"/>
  <c r="BJ73" i="4"/>
  <c r="BH73" i="4"/>
  <c r="BS73" i="4"/>
  <c r="AQ73" i="4"/>
  <c r="CJ206" i="4" s="1"/>
  <c r="AT73" i="4"/>
  <c r="CI207" i="4" s="1"/>
  <c r="AV73" i="4"/>
  <c r="AU73" i="4"/>
  <c r="CJ207" i="4" s="1"/>
  <c r="AO73" i="4"/>
  <c r="AS73" i="4"/>
  <c r="AP73" i="4"/>
  <c r="CI206" i="4" s="1"/>
  <c r="AF73" i="4"/>
  <c r="AM73" i="4"/>
  <c r="CJ205" i="4" s="1"/>
  <c r="AJ73" i="4"/>
  <c r="AE73" i="4"/>
  <c r="AI73" i="4"/>
  <c r="AH73" i="4"/>
  <c r="AD73" i="4"/>
  <c r="AL73" i="4"/>
  <c r="CI205" i="4" s="1"/>
  <c r="AR73" i="4"/>
  <c r="AG73" i="4"/>
  <c r="AB73" i="4"/>
  <c r="AA73" i="4"/>
  <c r="AC73" i="4"/>
  <c r="AN73" i="4"/>
  <c r="AK73" i="4"/>
  <c r="CE446" i="4"/>
  <c r="CD446" i="4"/>
  <c r="CC446" i="4"/>
  <c r="CQ1326" i="4" s="1"/>
  <c r="CB446" i="4"/>
  <c r="CP1326" i="4" s="1"/>
  <c r="CF446" i="4"/>
  <c r="CA446" i="4"/>
  <c r="CG446" i="4"/>
  <c r="BZ446" i="4"/>
  <c r="BT446" i="4"/>
  <c r="CP1324" i="4" s="1"/>
  <c r="BS446" i="4"/>
  <c r="BR446" i="4"/>
  <c r="BQ446" i="4"/>
  <c r="BP446" i="4"/>
  <c r="BO446" i="4"/>
  <c r="BN446" i="4"/>
  <c r="BX446" i="4"/>
  <c r="CP1325" i="4" s="1"/>
  <c r="BW446" i="4"/>
  <c r="BU446" i="4"/>
  <c r="CQ1324" i="4" s="1"/>
  <c r="BY446" i="4"/>
  <c r="CQ1325" i="4" s="1"/>
  <c r="BK446" i="4"/>
  <c r="BM446" i="4"/>
  <c r="BJ446" i="4"/>
  <c r="BV446" i="4"/>
  <c r="BF446" i="4"/>
  <c r="BE446" i="4"/>
  <c r="AY446" i="4"/>
  <c r="AX446" i="4"/>
  <c r="AW446" i="4"/>
  <c r="AV446" i="4"/>
  <c r="AU446" i="4"/>
  <c r="CJ1326" i="4" s="1"/>
  <c r="BI446" i="4"/>
  <c r="BL446" i="4"/>
  <c r="BG446" i="4"/>
  <c r="BH446" i="4"/>
  <c r="AT446" i="4"/>
  <c r="CI1326" i="4" s="1"/>
  <c r="AR446" i="4"/>
  <c r="AS446" i="4"/>
  <c r="AQ446" i="4"/>
  <c r="CJ1325" i="4" s="1"/>
  <c r="AP446" i="4"/>
  <c r="CI1325" i="4" s="1"/>
  <c r="AO446" i="4"/>
  <c r="AM446" i="4"/>
  <c r="CJ1324" i="4" s="1"/>
  <c r="AN446" i="4"/>
  <c r="AI446" i="4"/>
  <c r="AF446" i="4"/>
  <c r="AE446" i="4"/>
  <c r="AD446" i="4"/>
  <c r="AC446" i="4"/>
  <c r="AB446" i="4"/>
  <c r="AJ446" i="4"/>
  <c r="AH446" i="4"/>
  <c r="AA446" i="4"/>
  <c r="AK446" i="4"/>
  <c r="AL446" i="4"/>
  <c r="CI1324" i="4" s="1"/>
  <c r="AG446" i="4"/>
  <c r="L38" i="4"/>
  <c r="L94" i="4"/>
  <c r="R16" i="4"/>
  <c r="CG33" i="4"/>
  <c r="CB33" i="4"/>
  <c r="CP87" i="4" s="1"/>
  <c r="BZ33" i="4"/>
  <c r="BY33" i="4"/>
  <c r="CQ86" i="4" s="1"/>
  <c r="BX33" i="4"/>
  <c r="CP86" i="4" s="1"/>
  <c r="BW33" i="4"/>
  <c r="BV33" i="4"/>
  <c r="CC33" i="4"/>
  <c r="CQ87" i="4" s="1"/>
  <c r="CE33" i="4"/>
  <c r="CF33" i="4"/>
  <c r="BS33" i="4"/>
  <c r="BR33" i="4"/>
  <c r="BQ33" i="4"/>
  <c r="BP33" i="4"/>
  <c r="BO33" i="4"/>
  <c r="CD33" i="4"/>
  <c r="BU33" i="4"/>
  <c r="CQ85" i="4" s="1"/>
  <c r="CA33" i="4"/>
  <c r="BN33" i="4"/>
  <c r="BM33" i="4"/>
  <c r="BT33" i="4"/>
  <c r="CP85" i="4" s="1"/>
  <c r="BL33" i="4"/>
  <c r="BI33" i="4"/>
  <c r="BH33" i="4"/>
  <c r="BG33" i="4"/>
  <c r="BF33" i="4"/>
  <c r="BE33" i="4"/>
  <c r="BK33" i="4"/>
  <c r="AY33" i="4"/>
  <c r="AX33" i="4"/>
  <c r="AU33" i="4"/>
  <c r="CJ87" i="4" s="1"/>
  <c r="BJ33" i="4"/>
  <c r="AW33" i="4"/>
  <c r="AV33" i="4"/>
  <c r="AT33" i="4"/>
  <c r="CI87" i="4" s="1"/>
  <c r="AS33" i="4"/>
  <c r="AR33" i="4"/>
  <c r="AO33" i="4"/>
  <c r="AP33" i="4"/>
  <c r="CI86" i="4" s="1"/>
  <c r="AQ33" i="4"/>
  <c r="CJ86" i="4" s="1"/>
  <c r="AM33" i="4"/>
  <c r="CJ85" i="4" s="1"/>
  <c r="AN33" i="4"/>
  <c r="AJ33" i="4"/>
  <c r="AL33" i="4"/>
  <c r="CI85" i="4" s="1"/>
  <c r="AH33" i="4"/>
  <c r="AD33" i="4"/>
  <c r="AC33" i="4"/>
  <c r="AI33" i="4"/>
  <c r="AK33" i="4"/>
  <c r="AA33" i="4"/>
  <c r="AG33" i="4"/>
  <c r="AB33" i="4"/>
  <c r="AE33" i="4"/>
  <c r="AF33" i="4"/>
  <c r="CF158" i="4"/>
  <c r="CE158" i="4"/>
  <c r="CG158" i="4"/>
  <c r="CD158" i="4"/>
  <c r="CC158" i="4"/>
  <c r="CQ462" i="4" s="1"/>
  <c r="CB158" i="4"/>
  <c r="CP462" i="4" s="1"/>
  <c r="CA158" i="4"/>
  <c r="BT158" i="4"/>
  <c r="CP460" i="4" s="1"/>
  <c r="BX158" i="4"/>
  <c r="CP461" i="4" s="1"/>
  <c r="BW158" i="4"/>
  <c r="BS158" i="4"/>
  <c r="BR158" i="4"/>
  <c r="BQ158" i="4"/>
  <c r="BP158" i="4"/>
  <c r="BO158" i="4"/>
  <c r="BN158" i="4"/>
  <c r="BM158" i="4"/>
  <c r="BY158" i="4"/>
  <c r="CQ461" i="4" s="1"/>
  <c r="BV158" i="4"/>
  <c r="BU158" i="4"/>
  <c r="CQ460" i="4" s="1"/>
  <c r="BZ158" i="4"/>
  <c r="BJ158" i="4"/>
  <c r="BI158" i="4"/>
  <c r="BG158" i="4"/>
  <c r="BK158" i="4"/>
  <c r="BH158" i="4"/>
  <c r="BL158" i="4"/>
  <c r="BF158" i="4"/>
  <c r="BE158" i="4"/>
  <c r="AY158" i="4"/>
  <c r="AX158" i="4"/>
  <c r="AW158" i="4"/>
  <c r="AV158" i="4"/>
  <c r="AU158" i="4"/>
  <c r="CJ462" i="4" s="1"/>
  <c r="AT158" i="4"/>
  <c r="CI462" i="4" s="1"/>
  <c r="AO158" i="4"/>
  <c r="AS158" i="4"/>
  <c r="AP158" i="4"/>
  <c r="CI461" i="4" s="1"/>
  <c r="AQ158" i="4"/>
  <c r="CJ461" i="4" s="1"/>
  <c r="AN158" i="4"/>
  <c r="AL158" i="4"/>
  <c r="CI460" i="4" s="1"/>
  <c r="AI158" i="4"/>
  <c r="AF158" i="4"/>
  <c r="AE158" i="4"/>
  <c r="AD158" i="4"/>
  <c r="AC158" i="4"/>
  <c r="AB158" i="4"/>
  <c r="AA158" i="4"/>
  <c r="AM158" i="4"/>
  <c r="CJ460" i="4" s="1"/>
  <c r="AR158" i="4"/>
  <c r="AK158" i="4"/>
  <c r="AH158" i="4"/>
  <c r="AG158" i="4"/>
  <c r="AJ158" i="4"/>
  <c r="N44" i="4"/>
  <c r="L67" i="4"/>
  <c r="CF383" i="4"/>
  <c r="CG383" i="4"/>
  <c r="CE383" i="4"/>
  <c r="CD383" i="4"/>
  <c r="CB383" i="4"/>
  <c r="CP1137" i="4" s="1"/>
  <c r="CC383" i="4"/>
  <c r="CQ1137" i="4" s="1"/>
  <c r="BZ383" i="4"/>
  <c r="BY383" i="4"/>
  <c r="CQ1136" i="4" s="1"/>
  <c r="BX383" i="4"/>
  <c r="CP1136" i="4" s="1"/>
  <c r="CA383" i="4"/>
  <c r="BU383" i="4"/>
  <c r="CQ1135" i="4" s="1"/>
  <c r="BT383" i="4"/>
  <c r="CP1135" i="4" s="1"/>
  <c r="BS383" i="4"/>
  <c r="BR383" i="4"/>
  <c r="BQ383" i="4"/>
  <c r="BW383" i="4"/>
  <c r="BP383" i="4"/>
  <c r="BO383" i="4"/>
  <c r="BN383" i="4"/>
  <c r="BM383" i="4"/>
  <c r="BL383" i="4"/>
  <c r="BV383" i="4"/>
  <c r="BJ383" i="4"/>
  <c r="BK383" i="4"/>
  <c r="BI383" i="4"/>
  <c r="BH383" i="4"/>
  <c r="BG383" i="4"/>
  <c r="BF383" i="4"/>
  <c r="AX383" i="4"/>
  <c r="AU383" i="4"/>
  <c r="CJ1137" i="4" s="1"/>
  <c r="AY383" i="4"/>
  <c r="AV383" i="4"/>
  <c r="AT383" i="4"/>
  <c r="CI1137" i="4" s="1"/>
  <c r="AS383" i="4"/>
  <c r="AW383" i="4"/>
  <c r="AP383" i="4"/>
  <c r="CI1136" i="4" s="1"/>
  <c r="AR383" i="4"/>
  <c r="AM383" i="4"/>
  <c r="CJ1135" i="4" s="1"/>
  <c r="AQ383" i="4"/>
  <c r="CJ1136" i="4" s="1"/>
  <c r="BE383" i="4"/>
  <c r="AN383" i="4"/>
  <c r="AL383" i="4"/>
  <c r="CI1135" i="4" s="1"/>
  <c r="AJ383" i="4"/>
  <c r="AO383" i="4"/>
  <c r="AH383" i="4"/>
  <c r="AG383" i="4"/>
  <c r="AI383" i="4"/>
  <c r="AK383" i="4"/>
  <c r="AC383" i="4"/>
  <c r="AF383" i="4"/>
  <c r="AB383" i="4"/>
  <c r="AD383" i="4"/>
  <c r="AE383" i="4"/>
  <c r="AA383" i="4"/>
  <c r="CG301" i="4"/>
  <c r="CF301" i="4"/>
  <c r="CD301" i="4"/>
  <c r="CC301" i="4"/>
  <c r="CQ891" i="4" s="1"/>
  <c r="CE301" i="4"/>
  <c r="CA301" i="4"/>
  <c r="CB301" i="4"/>
  <c r="CP891" i="4" s="1"/>
  <c r="BS301" i="4"/>
  <c r="BR301" i="4"/>
  <c r="BQ301" i="4"/>
  <c r="BZ301" i="4"/>
  <c r="BU301" i="4"/>
  <c r="CQ889" i="4" s="1"/>
  <c r="BV301" i="4"/>
  <c r="BY301" i="4"/>
  <c r="CQ890" i="4" s="1"/>
  <c r="BO301" i="4"/>
  <c r="BM301" i="4"/>
  <c r="BL301" i="4"/>
  <c r="BX301" i="4"/>
  <c r="CP890" i="4" s="1"/>
  <c r="BN301" i="4"/>
  <c r="BK301" i="4"/>
  <c r="BJ301" i="4"/>
  <c r="BP301" i="4"/>
  <c r="BT301" i="4"/>
  <c r="CP889" i="4" s="1"/>
  <c r="BW301" i="4"/>
  <c r="BI301" i="4"/>
  <c r="BE301" i="4"/>
  <c r="BH301" i="4"/>
  <c r="BF301" i="4"/>
  <c r="AY301" i="4"/>
  <c r="AW301" i="4"/>
  <c r="BG301" i="4"/>
  <c r="AX301" i="4"/>
  <c r="AQ301" i="4"/>
  <c r="CJ890" i="4" s="1"/>
  <c r="AS301" i="4"/>
  <c r="AU301" i="4"/>
  <c r="CJ891" i="4" s="1"/>
  <c r="AV301" i="4"/>
  <c r="AR301" i="4"/>
  <c r="AT301" i="4"/>
  <c r="CI891" i="4" s="1"/>
  <c r="AN301" i="4"/>
  <c r="AM301" i="4"/>
  <c r="CJ889" i="4" s="1"/>
  <c r="AL301" i="4"/>
  <c r="CI889" i="4" s="1"/>
  <c r="AO301" i="4"/>
  <c r="AK301" i="4"/>
  <c r="AJ301" i="4"/>
  <c r="AG301" i="4"/>
  <c r="AI301" i="4"/>
  <c r="AP301" i="4"/>
  <c r="CI890" i="4" s="1"/>
  <c r="AH301" i="4"/>
  <c r="AF301" i="4"/>
  <c r="AE301" i="4"/>
  <c r="AC301" i="4"/>
  <c r="AD301" i="4"/>
  <c r="AB301" i="4"/>
  <c r="AA301" i="4"/>
  <c r="L18" i="4"/>
  <c r="CF58" i="4"/>
  <c r="CD58" i="4"/>
  <c r="CC58" i="4"/>
  <c r="CQ162" i="4" s="1"/>
  <c r="CB58" i="4"/>
  <c r="CP162" i="4" s="1"/>
  <c r="CA58" i="4"/>
  <c r="CE58" i="4"/>
  <c r="CG58" i="4"/>
  <c r="BZ58" i="4"/>
  <c r="BY58" i="4"/>
  <c r="CQ161" i="4" s="1"/>
  <c r="BX58" i="4"/>
  <c r="CP161" i="4" s="1"/>
  <c r="BW58" i="4"/>
  <c r="BU58" i="4"/>
  <c r="CQ160" i="4" s="1"/>
  <c r="BS58" i="4"/>
  <c r="BR58" i="4"/>
  <c r="BQ58" i="4"/>
  <c r="BP58" i="4"/>
  <c r="BO58" i="4"/>
  <c r="BV58" i="4"/>
  <c r="BT58" i="4"/>
  <c r="CP160" i="4" s="1"/>
  <c r="BL58" i="4"/>
  <c r="BN58" i="4"/>
  <c r="BJ58" i="4"/>
  <c r="BM58" i="4"/>
  <c r="BK58" i="4"/>
  <c r="BI58" i="4"/>
  <c r="BH58" i="4"/>
  <c r="BG58" i="4"/>
  <c r="BF58" i="4"/>
  <c r="AW58" i="4"/>
  <c r="AX58" i="4"/>
  <c r="AU58" i="4"/>
  <c r="CJ162" i="4" s="1"/>
  <c r="BE58" i="4"/>
  <c r="AR58" i="4"/>
  <c r="AV58" i="4"/>
  <c r="AS58" i="4"/>
  <c r="AT58" i="4"/>
  <c r="CI162" i="4" s="1"/>
  <c r="AQ58" i="4"/>
  <c r="CJ161" i="4" s="1"/>
  <c r="AO58" i="4"/>
  <c r="AP58" i="4"/>
  <c r="CI161" i="4" s="1"/>
  <c r="AL58" i="4"/>
  <c r="CI160" i="4" s="1"/>
  <c r="AN58" i="4"/>
  <c r="AM58" i="4"/>
  <c r="CJ160" i="4" s="1"/>
  <c r="AK58" i="4"/>
  <c r="AH58" i="4"/>
  <c r="AI58" i="4"/>
  <c r="AY58" i="4"/>
  <c r="AJ58" i="4"/>
  <c r="AE58" i="4"/>
  <c r="AG58" i="4"/>
  <c r="AF58" i="4"/>
  <c r="AB58" i="4"/>
  <c r="AA58" i="4"/>
  <c r="AC58" i="4"/>
  <c r="AD58" i="4"/>
  <c r="K106" i="4"/>
  <c r="CE139" i="4"/>
  <c r="CD139" i="4"/>
  <c r="CC139" i="4"/>
  <c r="CQ405" i="4" s="1"/>
  <c r="CB139" i="4"/>
  <c r="CP405" i="4" s="1"/>
  <c r="CA139" i="4"/>
  <c r="CG139" i="4"/>
  <c r="CF139" i="4"/>
  <c r="BS139" i="4"/>
  <c r="BR139" i="4"/>
  <c r="BQ139" i="4"/>
  <c r="BP139" i="4"/>
  <c r="BO139" i="4"/>
  <c r="BZ139" i="4"/>
  <c r="BV139" i="4"/>
  <c r="BY139" i="4"/>
  <c r="CQ404" i="4" s="1"/>
  <c r="BT139" i="4"/>
  <c r="CP403" i="4" s="1"/>
  <c r="BW139" i="4"/>
  <c r="BN139" i="4"/>
  <c r="BX139" i="4"/>
  <c r="CP404" i="4" s="1"/>
  <c r="BM139" i="4"/>
  <c r="BJ139" i="4"/>
  <c r="BI139" i="4"/>
  <c r="BH139" i="4"/>
  <c r="BK139" i="4"/>
  <c r="BL139" i="4"/>
  <c r="BF139" i="4"/>
  <c r="BU139" i="4"/>
  <c r="CQ403" i="4" s="1"/>
  <c r="BG139" i="4"/>
  <c r="BE139" i="4"/>
  <c r="AW139" i="4"/>
  <c r="AY139" i="4"/>
  <c r="AX139" i="4"/>
  <c r="AV139" i="4"/>
  <c r="AU139" i="4"/>
  <c r="CJ405" i="4" s="1"/>
  <c r="AT139" i="4"/>
  <c r="CI405" i="4" s="1"/>
  <c r="AS139" i="4"/>
  <c r="AQ139" i="4"/>
  <c r="CJ404" i="4" s="1"/>
  <c r="AR139" i="4"/>
  <c r="AO139" i="4"/>
  <c r="AN139" i="4"/>
  <c r="AI139" i="4"/>
  <c r="AM139" i="4"/>
  <c r="CJ403" i="4" s="1"/>
  <c r="AP139" i="4"/>
  <c r="CI404" i="4" s="1"/>
  <c r="AH139" i="4"/>
  <c r="AG139" i="4"/>
  <c r="AL139" i="4"/>
  <c r="CI403" i="4" s="1"/>
  <c r="AK139" i="4"/>
  <c r="AE139" i="4"/>
  <c r="AF139" i="4"/>
  <c r="AJ139" i="4"/>
  <c r="AB139" i="4"/>
  <c r="AA139" i="4"/>
  <c r="AD139" i="4"/>
  <c r="AC139" i="4"/>
  <c r="CF366" i="4"/>
  <c r="CE366" i="4"/>
  <c r="CD366" i="4"/>
  <c r="CC366" i="4"/>
  <c r="CQ1086" i="4" s="1"/>
  <c r="CB366" i="4"/>
  <c r="CP1086" i="4" s="1"/>
  <c r="CG366" i="4"/>
  <c r="BZ366" i="4"/>
  <c r="BU366" i="4"/>
  <c r="CQ1084" i="4" s="1"/>
  <c r="BY366" i="4"/>
  <c r="CQ1085" i="4" s="1"/>
  <c r="BW366" i="4"/>
  <c r="BT366" i="4"/>
  <c r="CP1084" i="4" s="1"/>
  <c r="BS366" i="4"/>
  <c r="BR366" i="4"/>
  <c r="BQ366" i="4"/>
  <c r="BP366" i="4"/>
  <c r="BO366" i="4"/>
  <c r="BN366" i="4"/>
  <c r="BX366" i="4"/>
  <c r="CP1085" i="4" s="1"/>
  <c r="BV366" i="4"/>
  <c r="CA366" i="4"/>
  <c r="BM366" i="4"/>
  <c r="BJ366" i="4"/>
  <c r="BL366" i="4"/>
  <c r="BH366" i="4"/>
  <c r="BG366" i="4"/>
  <c r="BI366" i="4"/>
  <c r="BF366" i="4"/>
  <c r="BE366" i="4"/>
  <c r="AY366" i="4"/>
  <c r="AX366" i="4"/>
  <c r="AW366" i="4"/>
  <c r="AV366" i="4"/>
  <c r="AU366" i="4"/>
  <c r="CJ1086" i="4" s="1"/>
  <c r="AT366" i="4"/>
  <c r="CI1086" i="4" s="1"/>
  <c r="AS366" i="4"/>
  <c r="AR366" i="4"/>
  <c r="BK366" i="4"/>
  <c r="AP366" i="4"/>
  <c r="CI1085" i="4" s="1"/>
  <c r="AM366" i="4"/>
  <c r="CJ1084" i="4" s="1"/>
  <c r="AL366" i="4"/>
  <c r="CI1084" i="4" s="1"/>
  <c r="AO366" i="4"/>
  <c r="AJ366" i="4"/>
  <c r="AF366" i="4"/>
  <c r="AE366" i="4"/>
  <c r="AD366" i="4"/>
  <c r="AC366" i="4"/>
  <c r="AB366" i="4"/>
  <c r="AQ366" i="4"/>
  <c r="CJ1085" i="4" s="1"/>
  <c r="AN366" i="4"/>
  <c r="AK366" i="4"/>
  <c r="AI366" i="4"/>
  <c r="AH366" i="4"/>
  <c r="AA366" i="4"/>
  <c r="AG366" i="4"/>
  <c r="CD218" i="4"/>
  <c r="CC218" i="4"/>
  <c r="CQ642" i="4" s="1"/>
  <c r="CB218" i="4"/>
  <c r="CP642" i="4" s="1"/>
  <c r="CA218" i="4"/>
  <c r="CG218" i="4"/>
  <c r="CF218" i="4"/>
  <c r="BZ218" i="4"/>
  <c r="BY218" i="4"/>
  <c r="CQ641" i="4" s="1"/>
  <c r="BX218" i="4"/>
  <c r="CP641" i="4" s="1"/>
  <c r="BS218" i="4"/>
  <c r="BR218" i="4"/>
  <c r="BQ218" i="4"/>
  <c r="BP218" i="4"/>
  <c r="BO218" i="4"/>
  <c r="BT218" i="4"/>
  <c r="CP640" i="4" s="1"/>
  <c r="BV218" i="4"/>
  <c r="BM218" i="4"/>
  <c r="BU218" i="4"/>
  <c r="CQ640" i="4" s="1"/>
  <c r="BW218" i="4"/>
  <c r="BN218" i="4"/>
  <c r="CE218" i="4"/>
  <c r="BK218" i="4"/>
  <c r="BL218" i="4"/>
  <c r="BJ218" i="4"/>
  <c r="BI218" i="4"/>
  <c r="BG218" i="4"/>
  <c r="BF218" i="4"/>
  <c r="BH218" i="4"/>
  <c r="AX218" i="4"/>
  <c r="AV218" i="4"/>
  <c r="BE218" i="4"/>
  <c r="AY218" i="4"/>
  <c r="AU218" i="4"/>
  <c r="CJ642" i="4" s="1"/>
  <c r="AW218" i="4"/>
  <c r="AR218" i="4"/>
  <c r="AQ218" i="4"/>
  <c r="CJ641" i="4" s="1"/>
  <c r="AS218" i="4"/>
  <c r="AN218" i="4"/>
  <c r="AO218" i="4"/>
  <c r="AT218" i="4"/>
  <c r="CI642" i="4" s="1"/>
  <c r="AM218" i="4"/>
  <c r="CJ640" i="4" s="1"/>
  <c r="AH218" i="4"/>
  <c r="AP218" i="4"/>
  <c r="CI641" i="4" s="1"/>
  <c r="AL218" i="4"/>
  <c r="CI640" i="4" s="1"/>
  <c r="AK218" i="4"/>
  <c r="AG218" i="4"/>
  <c r="AA218" i="4"/>
  <c r="AJ218" i="4"/>
  <c r="AI218" i="4"/>
  <c r="AF218" i="4"/>
  <c r="AD218" i="4"/>
  <c r="AE218" i="4"/>
  <c r="AB218" i="4"/>
  <c r="AC218" i="4"/>
  <c r="CE477" i="4"/>
  <c r="CD477" i="4"/>
  <c r="CC477" i="4"/>
  <c r="CQ1419" i="4" s="1"/>
  <c r="CB477" i="4"/>
  <c r="CP1419" i="4" s="1"/>
  <c r="CF477" i="4"/>
  <c r="CA477" i="4"/>
  <c r="CG477" i="4"/>
  <c r="BZ477" i="4"/>
  <c r="BW477" i="4"/>
  <c r="BY477" i="4"/>
  <c r="CQ1418" i="4" s="1"/>
  <c r="BT477" i="4"/>
  <c r="CP1417" i="4" s="1"/>
  <c r="BS477" i="4"/>
  <c r="BR477" i="4"/>
  <c r="BQ477" i="4"/>
  <c r="BV477" i="4"/>
  <c r="BU477" i="4"/>
  <c r="CQ1417" i="4" s="1"/>
  <c r="BN477" i="4"/>
  <c r="BM477" i="4"/>
  <c r="BL477" i="4"/>
  <c r="BX477" i="4"/>
  <c r="CP1418" i="4" s="1"/>
  <c r="BO477" i="4"/>
  <c r="BK477" i="4"/>
  <c r="BJ477" i="4"/>
  <c r="BP477" i="4"/>
  <c r="BG477" i="4"/>
  <c r="BF477" i="4"/>
  <c r="BI477" i="4"/>
  <c r="AY477" i="4"/>
  <c r="AX477" i="4"/>
  <c r="AT477" i="4"/>
  <c r="CI1419" i="4" s="1"/>
  <c r="AV477" i="4"/>
  <c r="BE477" i="4"/>
  <c r="AW477" i="4"/>
  <c r="AQ477" i="4"/>
  <c r="CJ1418" i="4" s="1"/>
  <c r="BH477" i="4"/>
  <c r="AP477" i="4"/>
  <c r="CI1418" i="4" s="1"/>
  <c r="AN477" i="4"/>
  <c r="AU477" i="4"/>
  <c r="CJ1419" i="4" s="1"/>
  <c r="AO477" i="4"/>
  <c r="AS477" i="4"/>
  <c r="AR477" i="4"/>
  <c r="AJ477" i="4"/>
  <c r="AL477" i="4"/>
  <c r="CI1417" i="4" s="1"/>
  <c r="AH477" i="4"/>
  <c r="AK477" i="4"/>
  <c r="AG477" i="4"/>
  <c r="AM477" i="4"/>
  <c r="CJ1417" i="4" s="1"/>
  <c r="AI477" i="4"/>
  <c r="AF477" i="4"/>
  <c r="AC477" i="4"/>
  <c r="AB477" i="4"/>
  <c r="AA477" i="4"/>
  <c r="AD477" i="4"/>
  <c r="AE477" i="4"/>
  <c r="L124" i="4"/>
  <c r="R111" i="4"/>
  <c r="M114" i="4"/>
  <c r="CF60" i="4"/>
  <c r="CE60" i="4"/>
  <c r="CB60" i="4"/>
  <c r="CP168" i="4" s="1"/>
  <c r="CA60" i="4"/>
  <c r="CD60" i="4"/>
  <c r="BW60" i="4"/>
  <c r="CC60" i="4"/>
  <c r="CQ168" i="4" s="1"/>
  <c r="BU60" i="4"/>
  <c r="CQ166" i="4" s="1"/>
  <c r="BS60" i="4"/>
  <c r="BR60" i="4"/>
  <c r="BQ60" i="4"/>
  <c r="BV60" i="4"/>
  <c r="BT60" i="4"/>
  <c r="CP166" i="4" s="1"/>
  <c r="BP60" i="4"/>
  <c r="BL60" i="4"/>
  <c r="BK60" i="4"/>
  <c r="BY60" i="4"/>
  <c r="CQ167" i="4" s="1"/>
  <c r="BX60" i="4"/>
  <c r="CP167" i="4" s="1"/>
  <c r="BZ60" i="4"/>
  <c r="BI60" i="4"/>
  <c r="BH60" i="4"/>
  <c r="BJ60" i="4"/>
  <c r="BM60" i="4"/>
  <c r="BO60" i="4"/>
  <c r="CG60" i="4"/>
  <c r="BG60" i="4"/>
  <c r="BN60" i="4"/>
  <c r="BE60" i="4"/>
  <c r="AX60" i="4"/>
  <c r="AV60" i="4"/>
  <c r="AS60" i="4"/>
  <c r="BF60" i="4"/>
  <c r="AU60" i="4"/>
  <c r="CJ168" i="4" s="1"/>
  <c r="AP60" i="4"/>
  <c r="CI167" i="4" s="1"/>
  <c r="AY60" i="4"/>
  <c r="AT60" i="4"/>
  <c r="CI168" i="4" s="1"/>
  <c r="AW60" i="4"/>
  <c r="AN60" i="4"/>
  <c r="AR60" i="4"/>
  <c r="AO60" i="4"/>
  <c r="AQ60" i="4"/>
  <c r="CJ167" i="4" s="1"/>
  <c r="AK60" i="4"/>
  <c r="AI60" i="4"/>
  <c r="AH60" i="4"/>
  <c r="AF60" i="4"/>
  <c r="AE60" i="4"/>
  <c r="AD60" i="4"/>
  <c r="AC60" i="4"/>
  <c r="AB60" i="4"/>
  <c r="AL60" i="4"/>
  <c r="CI166" i="4" s="1"/>
  <c r="AJ60" i="4"/>
  <c r="AG60" i="4"/>
  <c r="AM60" i="4"/>
  <c r="CJ166" i="4" s="1"/>
  <c r="AA60" i="4"/>
  <c r="CG136" i="4"/>
  <c r="CD136" i="4"/>
  <c r="CC136" i="4"/>
  <c r="CQ396" i="4" s="1"/>
  <c r="CB136" i="4"/>
  <c r="CP396" i="4" s="1"/>
  <c r="CF136" i="4"/>
  <c r="BZ136" i="4"/>
  <c r="BY136" i="4"/>
  <c r="CQ395" i="4" s="1"/>
  <c r="BX136" i="4"/>
  <c r="CP395" i="4" s="1"/>
  <c r="BW136" i="4"/>
  <c r="CA136" i="4"/>
  <c r="CE136" i="4"/>
  <c r="BV136" i="4"/>
  <c r="BU136" i="4"/>
  <c r="CQ394" i="4" s="1"/>
  <c r="BS136" i="4"/>
  <c r="BR136" i="4"/>
  <c r="BQ136" i="4"/>
  <c r="BP136" i="4"/>
  <c r="BO136" i="4"/>
  <c r="BN136" i="4"/>
  <c r="BL136" i="4"/>
  <c r="BK136" i="4"/>
  <c r="BT136" i="4"/>
  <c r="CP394" i="4" s="1"/>
  <c r="BM136" i="4"/>
  <c r="BE136" i="4"/>
  <c r="AY136" i="4"/>
  <c r="BJ136" i="4"/>
  <c r="BH136" i="4"/>
  <c r="BI136" i="4"/>
  <c r="BF136" i="4"/>
  <c r="BG136" i="4"/>
  <c r="AV136" i="4"/>
  <c r="AT136" i="4"/>
  <c r="CI396" i="4" s="1"/>
  <c r="AS136" i="4"/>
  <c r="AU136" i="4"/>
  <c r="CJ396" i="4" s="1"/>
  <c r="AX136" i="4"/>
  <c r="AR136" i="4"/>
  <c r="AN136" i="4"/>
  <c r="AP136" i="4"/>
  <c r="CI395" i="4" s="1"/>
  <c r="AL136" i="4"/>
  <c r="CI394" i="4" s="1"/>
  <c r="AM136" i="4"/>
  <c r="CJ394" i="4" s="1"/>
  <c r="AF136" i="4"/>
  <c r="AI136" i="4"/>
  <c r="AH136" i="4"/>
  <c r="AG136" i="4"/>
  <c r="AJ136" i="4"/>
  <c r="AW136" i="4"/>
  <c r="AE136" i="4"/>
  <c r="AQ136" i="4"/>
  <c r="CJ395" i="4" s="1"/>
  <c r="AD136" i="4"/>
  <c r="AK136" i="4"/>
  <c r="AO136" i="4"/>
  <c r="AB136" i="4"/>
  <c r="AC136" i="4"/>
  <c r="AA136" i="4"/>
  <c r="L39" i="4"/>
  <c r="K54" i="4"/>
  <c r="CF226" i="4"/>
  <c r="CE226" i="4"/>
  <c r="BZ226" i="4"/>
  <c r="BY226" i="4"/>
  <c r="CQ665" i="4" s="1"/>
  <c r="BX226" i="4"/>
  <c r="CP665" i="4" s="1"/>
  <c r="BW226" i="4"/>
  <c r="CA226" i="4"/>
  <c r="CB226" i="4"/>
  <c r="CP666" i="4" s="1"/>
  <c r="BT226" i="4"/>
  <c r="CP664" i="4" s="1"/>
  <c r="CG226" i="4"/>
  <c r="BV226" i="4"/>
  <c r="BS226" i="4"/>
  <c r="BR226" i="4"/>
  <c r="BQ226" i="4"/>
  <c r="BP226" i="4"/>
  <c r="BO226" i="4"/>
  <c r="BU226" i="4"/>
  <c r="CQ664" i="4" s="1"/>
  <c r="CC226" i="4"/>
  <c r="CQ666" i="4" s="1"/>
  <c r="BN226" i="4"/>
  <c r="CD226" i="4"/>
  <c r="BM226" i="4"/>
  <c r="BK226" i="4"/>
  <c r="BL226" i="4"/>
  <c r="BG226" i="4"/>
  <c r="BJ226" i="4"/>
  <c r="BH226" i="4"/>
  <c r="BF226" i="4"/>
  <c r="BI226" i="4"/>
  <c r="AW226" i="4"/>
  <c r="AY226" i="4"/>
  <c r="AU226" i="4"/>
  <c r="CJ666" i="4" s="1"/>
  <c r="BE226" i="4"/>
  <c r="AV226" i="4"/>
  <c r="AX226" i="4"/>
  <c r="AS226" i="4"/>
  <c r="AQ226" i="4"/>
  <c r="CJ665" i="4" s="1"/>
  <c r="AP226" i="4"/>
  <c r="CI665" i="4" s="1"/>
  <c r="AT226" i="4"/>
  <c r="CI666" i="4" s="1"/>
  <c r="AL226" i="4"/>
  <c r="CI664" i="4" s="1"/>
  <c r="AM226" i="4"/>
  <c r="CJ664" i="4" s="1"/>
  <c r="AR226" i="4"/>
  <c r="AI226" i="4"/>
  <c r="AO226" i="4"/>
  <c r="AK226" i="4"/>
  <c r="AJ226" i="4"/>
  <c r="AN226" i="4"/>
  <c r="AH226" i="4"/>
  <c r="AF226" i="4"/>
  <c r="AC226" i="4"/>
  <c r="AB226" i="4"/>
  <c r="AE226" i="4"/>
  <c r="AA226" i="4"/>
  <c r="AD226" i="4"/>
  <c r="AG226" i="4"/>
  <c r="L61" i="4"/>
  <c r="CF315" i="4"/>
  <c r="CD315" i="4"/>
  <c r="CC315" i="4"/>
  <c r="CQ933" i="4" s="1"/>
  <c r="CB315" i="4"/>
  <c r="CP933" i="4" s="1"/>
  <c r="CA315" i="4"/>
  <c r="CE315" i="4"/>
  <c r="BV315" i="4"/>
  <c r="BU315" i="4"/>
  <c r="CQ931" i="4" s="1"/>
  <c r="BS315" i="4"/>
  <c r="BR315" i="4"/>
  <c r="BQ315" i="4"/>
  <c r="BP315" i="4"/>
  <c r="BO315" i="4"/>
  <c r="BT315" i="4"/>
  <c r="CP931" i="4" s="1"/>
  <c r="BX315" i="4"/>
  <c r="CP932" i="4" s="1"/>
  <c r="BZ315" i="4"/>
  <c r="BW315" i="4"/>
  <c r="BY315" i="4"/>
  <c r="CQ932" i="4" s="1"/>
  <c r="CG315" i="4"/>
  <c r="BN315" i="4"/>
  <c r="BJ315" i="4"/>
  <c r="BI315" i="4"/>
  <c r="BL315" i="4"/>
  <c r="BH315" i="4"/>
  <c r="BG315" i="4"/>
  <c r="BF315" i="4"/>
  <c r="BM315" i="4"/>
  <c r="BE315" i="4"/>
  <c r="BK315" i="4"/>
  <c r="AX315" i="4"/>
  <c r="AW315" i="4"/>
  <c r="AY315" i="4"/>
  <c r="AU315" i="4"/>
  <c r="CJ933" i="4" s="1"/>
  <c r="AT315" i="4"/>
  <c r="CI933" i="4" s="1"/>
  <c r="AR315" i="4"/>
  <c r="AQ315" i="4"/>
  <c r="CJ932" i="4" s="1"/>
  <c r="AS315" i="4"/>
  <c r="AV315" i="4"/>
  <c r="AO315" i="4"/>
  <c r="AN315" i="4"/>
  <c r="AP315" i="4"/>
  <c r="CI932" i="4" s="1"/>
  <c r="AL315" i="4"/>
  <c r="CI931" i="4" s="1"/>
  <c r="AK315" i="4"/>
  <c r="AJ315" i="4"/>
  <c r="AH315" i="4"/>
  <c r="AF315" i="4"/>
  <c r="AI315" i="4"/>
  <c r="AE315" i="4"/>
  <c r="AM315" i="4"/>
  <c r="CJ931" i="4" s="1"/>
  <c r="AG315" i="4"/>
  <c r="AD315" i="4"/>
  <c r="AB315" i="4"/>
  <c r="AC315" i="4"/>
  <c r="AA315" i="4"/>
  <c r="R88" i="4"/>
  <c r="M83" i="4"/>
  <c r="CF159" i="4"/>
  <c r="CE159" i="4"/>
  <c r="CG159" i="4"/>
  <c r="CC159" i="4"/>
  <c r="CQ465" i="4" s="1"/>
  <c r="CB159" i="4"/>
  <c r="CP465" i="4" s="1"/>
  <c r="CA159" i="4"/>
  <c r="BZ159" i="4"/>
  <c r="BY159" i="4"/>
  <c r="CQ464" i="4" s="1"/>
  <c r="BX159" i="4"/>
  <c r="CP464" i="4" s="1"/>
  <c r="BT159" i="4"/>
  <c r="CP463" i="4" s="1"/>
  <c r="BW159" i="4"/>
  <c r="BS159" i="4"/>
  <c r="BR159" i="4"/>
  <c r="BQ159" i="4"/>
  <c r="BV159" i="4"/>
  <c r="BU159" i="4"/>
  <c r="CQ463" i="4" s="1"/>
  <c r="BO159" i="4"/>
  <c r="BN159" i="4"/>
  <c r="BM159" i="4"/>
  <c r="BL159" i="4"/>
  <c r="BK159" i="4"/>
  <c r="CD159" i="4"/>
  <c r="BJ159" i="4"/>
  <c r="BP159" i="4"/>
  <c r="BI159" i="4"/>
  <c r="BG159" i="4"/>
  <c r="BH159" i="4"/>
  <c r="BF159" i="4"/>
  <c r="AX159" i="4"/>
  <c r="AW159" i="4"/>
  <c r="BE159" i="4"/>
  <c r="AU159" i="4"/>
  <c r="CJ465" i="4" s="1"/>
  <c r="AY159" i="4"/>
  <c r="AT159" i="4"/>
  <c r="CI465" i="4" s="1"/>
  <c r="AV159" i="4"/>
  <c r="AS159" i="4"/>
  <c r="AR159" i="4"/>
  <c r="AL159" i="4"/>
  <c r="CI463" i="4" s="1"/>
  <c r="AP159" i="4"/>
  <c r="CI464" i="4" s="1"/>
  <c r="AQ159" i="4"/>
  <c r="CJ464" i="4" s="1"/>
  <c r="AO159" i="4"/>
  <c r="AN159" i="4"/>
  <c r="AI159" i="4"/>
  <c r="AK159" i="4"/>
  <c r="AJ159" i="4"/>
  <c r="AG159" i="4"/>
  <c r="AM159" i="4"/>
  <c r="CJ463" i="4" s="1"/>
  <c r="AF159" i="4"/>
  <c r="AH159" i="4"/>
  <c r="AE159" i="4"/>
  <c r="AD159" i="4"/>
  <c r="AB159" i="4"/>
  <c r="AA159" i="4"/>
  <c r="AC159" i="4"/>
  <c r="L121" i="4"/>
  <c r="CF22" i="4"/>
  <c r="CE22" i="4"/>
  <c r="CG22" i="4"/>
  <c r="CA22" i="4"/>
  <c r="BZ22" i="4"/>
  <c r="CD22" i="4"/>
  <c r="BT22" i="4"/>
  <c r="CP52" i="4" s="1"/>
  <c r="BV22" i="4"/>
  <c r="BX22" i="4"/>
  <c r="CP53" i="4" s="1"/>
  <c r="BU22" i="4"/>
  <c r="CQ52" i="4" s="1"/>
  <c r="BY22" i="4"/>
  <c r="CQ53" i="4" s="1"/>
  <c r="CC22" i="4"/>
  <c r="CQ54" i="4" s="1"/>
  <c r="BW22" i="4"/>
  <c r="BN22" i="4"/>
  <c r="BS22" i="4"/>
  <c r="BO22" i="4"/>
  <c r="BM22" i="4"/>
  <c r="BJ22" i="4"/>
  <c r="CB22" i="4"/>
  <c r="CP54" i="4" s="1"/>
  <c r="BK22" i="4"/>
  <c r="BR22" i="4"/>
  <c r="BG22" i="4"/>
  <c r="BI22" i="4"/>
  <c r="BF22" i="4"/>
  <c r="BQ22" i="4"/>
  <c r="BE22" i="4"/>
  <c r="BP22" i="4"/>
  <c r="BL22" i="4"/>
  <c r="AW22" i="4"/>
  <c r="AS22" i="4"/>
  <c r="AR22" i="4"/>
  <c r="AQ22" i="4"/>
  <c r="CJ53" i="4" s="1"/>
  <c r="AP22" i="4"/>
  <c r="CI53" i="4" s="1"/>
  <c r="BH22" i="4"/>
  <c r="AY22" i="4"/>
  <c r="AO22" i="4"/>
  <c r="AN22" i="4"/>
  <c r="AM22" i="4"/>
  <c r="CJ52" i="4" s="1"/>
  <c r="AL22" i="4"/>
  <c r="CI52" i="4" s="1"/>
  <c r="AX22" i="4"/>
  <c r="AU22" i="4"/>
  <c r="CJ54" i="4" s="1"/>
  <c r="AV22" i="4"/>
  <c r="AT22" i="4"/>
  <c r="CI54" i="4" s="1"/>
  <c r="AH22" i="4"/>
  <c r="AI22" i="4"/>
  <c r="AK22" i="4"/>
  <c r="AE22" i="4"/>
  <c r="AJ22" i="4"/>
  <c r="AG22" i="4"/>
  <c r="AD22" i="4"/>
  <c r="AB22" i="4"/>
  <c r="AF22" i="4"/>
  <c r="AA22" i="4"/>
  <c r="AC22" i="4"/>
  <c r="N10" i="4"/>
  <c r="CG341" i="4"/>
  <c r="CE341" i="4"/>
  <c r="BZ341" i="4"/>
  <c r="BY341" i="4"/>
  <c r="CQ1010" i="4" s="1"/>
  <c r="BX341" i="4"/>
  <c r="CP1010" i="4" s="1"/>
  <c r="BW341" i="4"/>
  <c r="BV341" i="4"/>
  <c r="BU341" i="4"/>
  <c r="CQ1009" i="4" s="1"/>
  <c r="BT341" i="4"/>
  <c r="CP1009" i="4" s="1"/>
  <c r="CC341" i="4"/>
  <c r="CQ1011" i="4" s="1"/>
  <c r="CA341" i="4"/>
  <c r="CF341" i="4"/>
  <c r="CD341" i="4"/>
  <c r="CB341" i="4"/>
  <c r="CP1011" i="4" s="1"/>
  <c r="BO341" i="4"/>
  <c r="BN341" i="4"/>
  <c r="BR341" i="4"/>
  <c r="BS341" i="4"/>
  <c r="BM341" i="4"/>
  <c r="BL341" i="4"/>
  <c r="BK341" i="4"/>
  <c r="BP341" i="4"/>
  <c r="BQ341" i="4"/>
  <c r="BI341" i="4"/>
  <c r="BJ341" i="4"/>
  <c r="BE341" i="4"/>
  <c r="BH341" i="4"/>
  <c r="BG341" i="4"/>
  <c r="AX341" i="4"/>
  <c r="AT341" i="4"/>
  <c r="CI1011" i="4" s="1"/>
  <c r="AS341" i="4"/>
  <c r="AW341" i="4"/>
  <c r="AV341" i="4"/>
  <c r="AR341" i="4"/>
  <c r="AY341" i="4"/>
  <c r="AP341" i="4"/>
  <c r="CI1010" i="4" s="1"/>
  <c r="AL341" i="4"/>
  <c r="CI1009" i="4" s="1"/>
  <c r="AK341" i="4"/>
  <c r="BF341" i="4"/>
  <c r="AU341" i="4"/>
  <c r="CJ1011" i="4" s="1"/>
  <c r="AM341" i="4"/>
  <c r="CJ1009" i="4" s="1"/>
  <c r="AO341" i="4"/>
  <c r="AJ341" i="4"/>
  <c r="AN341" i="4"/>
  <c r="AH341" i="4"/>
  <c r="AI341" i="4"/>
  <c r="AG341" i="4"/>
  <c r="AQ341" i="4"/>
  <c r="CJ1010" i="4" s="1"/>
  <c r="AF341" i="4"/>
  <c r="AC341" i="4"/>
  <c r="AE341" i="4"/>
  <c r="AA341" i="4"/>
  <c r="AD341" i="4"/>
  <c r="AB341" i="4"/>
  <c r="N90" i="4"/>
  <c r="O78" i="4"/>
  <c r="CG35" i="4"/>
  <c r="CB35" i="4"/>
  <c r="CP93" i="4" s="1"/>
  <c r="BZ35" i="4"/>
  <c r="BY35" i="4"/>
  <c r="CQ92" i="4" s="1"/>
  <c r="BX35" i="4"/>
  <c r="CP92" i="4" s="1"/>
  <c r="CC35" i="4"/>
  <c r="CQ93" i="4" s="1"/>
  <c r="CE35" i="4"/>
  <c r="CF35" i="4"/>
  <c r="CA35" i="4"/>
  <c r="BW35" i="4"/>
  <c r="BS35" i="4"/>
  <c r="BR35" i="4"/>
  <c r="BQ35" i="4"/>
  <c r="BP35" i="4"/>
  <c r="BO35" i="4"/>
  <c r="BT35" i="4"/>
  <c r="CP91" i="4" s="1"/>
  <c r="BN35" i="4"/>
  <c r="BM35" i="4"/>
  <c r="BU35" i="4"/>
  <c r="CQ91" i="4" s="1"/>
  <c r="BV35" i="4"/>
  <c r="CD35" i="4"/>
  <c r="BL35" i="4"/>
  <c r="BI35" i="4"/>
  <c r="BH35" i="4"/>
  <c r="BE35" i="4"/>
  <c r="BK35" i="4"/>
  <c r="BF35" i="4"/>
  <c r="AV35" i="4"/>
  <c r="BJ35" i="4"/>
  <c r="AX35" i="4"/>
  <c r="AW35" i="4"/>
  <c r="BG35" i="4"/>
  <c r="AU35" i="4"/>
  <c r="CJ93" i="4" s="1"/>
  <c r="AT35" i="4"/>
  <c r="CI93" i="4" s="1"/>
  <c r="AQ35" i="4"/>
  <c r="CJ92" i="4" s="1"/>
  <c r="AS35" i="4"/>
  <c r="AK35" i="4"/>
  <c r="AJ35" i="4"/>
  <c r="AI35" i="4"/>
  <c r="AO35" i="4"/>
  <c r="AY35" i="4"/>
  <c r="AP35" i="4"/>
  <c r="CI92" i="4" s="1"/>
  <c r="AM35" i="4"/>
  <c r="CJ91" i="4" s="1"/>
  <c r="AN35" i="4"/>
  <c r="AR35" i="4"/>
  <c r="AG35" i="4"/>
  <c r="AL35" i="4"/>
  <c r="CI91" i="4" s="1"/>
  <c r="AH35" i="4"/>
  <c r="AF35" i="4"/>
  <c r="AB35" i="4"/>
  <c r="AA35" i="4"/>
  <c r="AE35" i="4"/>
  <c r="AC35" i="4"/>
  <c r="AD35" i="4"/>
  <c r="CF399" i="4"/>
  <c r="CG399" i="4"/>
  <c r="CE399" i="4"/>
  <c r="CC399" i="4"/>
  <c r="CQ1185" i="4" s="1"/>
  <c r="BZ399" i="4"/>
  <c r="BY399" i="4"/>
  <c r="CQ1184" i="4" s="1"/>
  <c r="BU399" i="4"/>
  <c r="CQ1183" i="4" s="1"/>
  <c r="CD399" i="4"/>
  <c r="CA399" i="4"/>
  <c r="BT399" i="4"/>
  <c r="CP1183" i="4" s="1"/>
  <c r="BS399" i="4"/>
  <c r="BR399" i="4"/>
  <c r="CB399" i="4"/>
  <c r="CP1185" i="4" s="1"/>
  <c r="BV399" i="4"/>
  <c r="BW399" i="4"/>
  <c r="BO399" i="4"/>
  <c r="BM399" i="4"/>
  <c r="BL399" i="4"/>
  <c r="BQ399" i="4"/>
  <c r="BP399" i="4"/>
  <c r="BN399" i="4"/>
  <c r="BJ399" i="4"/>
  <c r="BX399" i="4"/>
  <c r="CP1184" i="4" s="1"/>
  <c r="BK399" i="4"/>
  <c r="BH399" i="4"/>
  <c r="BG399" i="4"/>
  <c r="BF399" i="4"/>
  <c r="AX399" i="4"/>
  <c r="BE399" i="4"/>
  <c r="AY399" i="4"/>
  <c r="AV399" i="4"/>
  <c r="AW399" i="4"/>
  <c r="AR399" i="4"/>
  <c r="AU399" i="4"/>
  <c r="CJ1185" i="4" s="1"/>
  <c r="AS399" i="4"/>
  <c r="AQ399" i="4"/>
  <c r="CJ1184" i="4" s="1"/>
  <c r="BI399" i="4"/>
  <c r="AT399" i="4"/>
  <c r="CI1185" i="4" s="1"/>
  <c r="AP399" i="4"/>
  <c r="CI1184" i="4" s="1"/>
  <c r="AO399" i="4"/>
  <c r="AM399" i="4"/>
  <c r="CJ1183" i="4" s="1"/>
  <c r="AN399" i="4"/>
  <c r="AJ399" i="4"/>
  <c r="AK399" i="4"/>
  <c r="AI399" i="4"/>
  <c r="AL399" i="4"/>
  <c r="CI1183" i="4" s="1"/>
  <c r="AH399" i="4"/>
  <c r="AC399" i="4"/>
  <c r="AF399" i="4"/>
  <c r="AG399" i="4"/>
  <c r="AE399" i="4"/>
  <c r="AD399" i="4"/>
  <c r="AA399" i="4"/>
  <c r="AB399" i="4"/>
  <c r="N69" i="4"/>
  <c r="CG376" i="4"/>
  <c r="CE376" i="4"/>
  <c r="CD376" i="4"/>
  <c r="CC376" i="4"/>
  <c r="CQ1116" i="4" s="1"/>
  <c r="CA376" i="4"/>
  <c r="BZ376" i="4"/>
  <c r="BY376" i="4"/>
  <c r="CQ1115" i="4" s="1"/>
  <c r="BX376" i="4"/>
  <c r="CP1115" i="4" s="1"/>
  <c r="BW376" i="4"/>
  <c r="CF376" i="4"/>
  <c r="CB376" i="4"/>
  <c r="CP1116" i="4" s="1"/>
  <c r="BV376" i="4"/>
  <c r="BT376" i="4"/>
  <c r="CP1114" i="4" s="1"/>
  <c r="BS376" i="4"/>
  <c r="BR376" i="4"/>
  <c r="BQ376" i="4"/>
  <c r="BP376" i="4"/>
  <c r="BO376" i="4"/>
  <c r="BM376" i="4"/>
  <c r="BL376" i="4"/>
  <c r="BK376" i="4"/>
  <c r="BN376" i="4"/>
  <c r="BU376" i="4"/>
  <c r="CQ1114" i="4" s="1"/>
  <c r="BE376" i="4"/>
  <c r="AY376" i="4"/>
  <c r="BF376" i="4"/>
  <c r="AV376" i="4"/>
  <c r="BG376" i="4"/>
  <c r="BJ376" i="4"/>
  <c r="BI376" i="4"/>
  <c r="BH376" i="4"/>
  <c r="AX376" i="4"/>
  <c r="AW376" i="4"/>
  <c r="AT376" i="4"/>
  <c r="CI1116" i="4" s="1"/>
  <c r="AS376" i="4"/>
  <c r="AU376" i="4"/>
  <c r="CJ1116" i="4" s="1"/>
  <c r="AR376" i="4"/>
  <c r="AQ376" i="4"/>
  <c r="CJ1115" i="4" s="1"/>
  <c r="AL376" i="4"/>
  <c r="CI1114" i="4" s="1"/>
  <c r="AP376" i="4"/>
  <c r="CI1115" i="4" s="1"/>
  <c r="AM376" i="4"/>
  <c r="CJ1114" i="4" s="1"/>
  <c r="AK376" i="4"/>
  <c r="AI376" i="4"/>
  <c r="AG376" i="4"/>
  <c r="AO376" i="4"/>
  <c r="AN376" i="4"/>
  <c r="AJ376" i="4"/>
  <c r="AA376" i="4"/>
  <c r="AF376" i="4"/>
  <c r="AB376" i="4"/>
  <c r="AH376" i="4"/>
  <c r="AC376" i="4"/>
  <c r="AD376" i="4"/>
  <c r="AE376" i="4"/>
  <c r="CE410" i="4"/>
  <c r="CD410" i="4"/>
  <c r="CC410" i="4"/>
  <c r="CQ1218" i="4" s="1"/>
  <c r="CB410" i="4"/>
  <c r="CP1218" i="4" s="1"/>
  <c r="CA410" i="4"/>
  <c r="CF410" i="4"/>
  <c r="BZ410" i="4"/>
  <c r="BY410" i="4"/>
  <c r="CQ1217" i="4" s="1"/>
  <c r="BX410" i="4"/>
  <c r="CP1217" i="4" s="1"/>
  <c r="BW410" i="4"/>
  <c r="BT410" i="4"/>
  <c r="CP1216" i="4" s="1"/>
  <c r="BS410" i="4"/>
  <c r="BR410" i="4"/>
  <c r="BQ410" i="4"/>
  <c r="BP410" i="4"/>
  <c r="CG410" i="4"/>
  <c r="BV410" i="4"/>
  <c r="BO410" i="4"/>
  <c r="BN410" i="4"/>
  <c r="BM410" i="4"/>
  <c r="BU410" i="4"/>
  <c r="CQ1216" i="4" s="1"/>
  <c r="BK410" i="4"/>
  <c r="BL410" i="4"/>
  <c r="BJ410" i="4"/>
  <c r="BI410" i="4"/>
  <c r="BF410" i="4"/>
  <c r="AV410" i="4"/>
  <c r="BH410" i="4"/>
  <c r="BG410" i="4"/>
  <c r="AY410" i="4"/>
  <c r="AT410" i="4"/>
  <c r="CI1218" i="4" s="1"/>
  <c r="AS410" i="4"/>
  <c r="BE410" i="4"/>
  <c r="AX410" i="4"/>
  <c r="AU410" i="4"/>
  <c r="CJ1218" i="4" s="1"/>
  <c r="AQ410" i="4"/>
  <c r="CJ1217" i="4" s="1"/>
  <c r="AP410" i="4"/>
  <c r="CI1217" i="4" s="1"/>
  <c r="AW410" i="4"/>
  <c r="AI410" i="4"/>
  <c r="AL410" i="4"/>
  <c r="CI1216" i="4" s="1"/>
  <c r="AN410" i="4"/>
  <c r="AJ410" i="4"/>
  <c r="AR410" i="4"/>
  <c r="AM410" i="4"/>
  <c r="CJ1216" i="4" s="1"/>
  <c r="AK410" i="4"/>
  <c r="AG410" i="4"/>
  <c r="AF410" i="4"/>
  <c r="AH410" i="4"/>
  <c r="AD410" i="4"/>
  <c r="AA410" i="4"/>
  <c r="AB410" i="4"/>
  <c r="AO410" i="4"/>
  <c r="AC410" i="4"/>
  <c r="AE410" i="4"/>
  <c r="CG171" i="4"/>
  <c r="CD171" i="4"/>
  <c r="CC171" i="4"/>
  <c r="CQ501" i="4" s="1"/>
  <c r="CB171" i="4"/>
  <c r="CP501" i="4" s="1"/>
  <c r="CA171" i="4"/>
  <c r="CE171" i="4"/>
  <c r="BS171" i="4"/>
  <c r="BR171" i="4"/>
  <c r="BQ171" i="4"/>
  <c r="BP171" i="4"/>
  <c r="BO171" i="4"/>
  <c r="BV171" i="4"/>
  <c r="CF171" i="4"/>
  <c r="BN171" i="4"/>
  <c r="BU171" i="4"/>
  <c r="CQ499" i="4" s="1"/>
  <c r="BZ171" i="4"/>
  <c r="BT171" i="4"/>
  <c r="CP499" i="4" s="1"/>
  <c r="BJ171" i="4"/>
  <c r="BI171" i="4"/>
  <c r="BH171" i="4"/>
  <c r="BY171" i="4"/>
  <c r="CQ500" i="4" s="1"/>
  <c r="BW171" i="4"/>
  <c r="BK171" i="4"/>
  <c r="BM171" i="4"/>
  <c r="BL171" i="4"/>
  <c r="BF171" i="4"/>
  <c r="BE171" i="4"/>
  <c r="AV171" i="4"/>
  <c r="AY171" i="4"/>
  <c r="BX171" i="4"/>
  <c r="CP500" i="4" s="1"/>
  <c r="AT171" i="4"/>
  <c r="CI501" i="4" s="1"/>
  <c r="BG171" i="4"/>
  <c r="AX171" i="4"/>
  <c r="AS171" i="4"/>
  <c r="AR171" i="4"/>
  <c r="AQ171" i="4"/>
  <c r="CJ500" i="4" s="1"/>
  <c r="AW171" i="4"/>
  <c r="AU171" i="4"/>
  <c r="CJ501" i="4" s="1"/>
  <c r="AP171" i="4"/>
  <c r="CI500" i="4" s="1"/>
  <c r="AO171" i="4"/>
  <c r="AN171" i="4"/>
  <c r="AK171" i="4"/>
  <c r="AI171" i="4"/>
  <c r="AM171" i="4"/>
  <c r="CJ499" i="4" s="1"/>
  <c r="AJ171" i="4"/>
  <c r="AG171" i="4"/>
  <c r="AL171" i="4"/>
  <c r="CI499" i="4" s="1"/>
  <c r="AH171" i="4"/>
  <c r="AE171" i="4"/>
  <c r="AD171" i="4"/>
  <c r="AB171" i="4"/>
  <c r="AC171" i="4"/>
  <c r="AA171" i="4"/>
  <c r="AF171" i="4"/>
  <c r="CG469" i="4"/>
  <c r="CF469" i="4"/>
  <c r="CE469" i="4"/>
  <c r="BZ469" i="4"/>
  <c r="BY469" i="4"/>
  <c r="CQ1394" i="4" s="1"/>
  <c r="BX469" i="4"/>
  <c r="CP1394" i="4" s="1"/>
  <c r="BW469" i="4"/>
  <c r="BV469" i="4"/>
  <c r="BU469" i="4"/>
  <c r="CQ1393" i="4" s="1"/>
  <c r="CC469" i="4"/>
  <c r="CQ1395" i="4" s="1"/>
  <c r="CA469" i="4"/>
  <c r="CD469" i="4"/>
  <c r="CB469" i="4"/>
  <c r="CP1395" i="4" s="1"/>
  <c r="BR469" i="4"/>
  <c r="BP469" i="4"/>
  <c r="BN469" i="4"/>
  <c r="BS469" i="4"/>
  <c r="BM469" i="4"/>
  <c r="BL469" i="4"/>
  <c r="BO469" i="4"/>
  <c r="BT469" i="4"/>
  <c r="CP1393" i="4" s="1"/>
  <c r="BK469" i="4"/>
  <c r="BQ469" i="4"/>
  <c r="BJ469" i="4"/>
  <c r="BH469" i="4"/>
  <c r="BG469" i="4"/>
  <c r="BI469" i="4"/>
  <c r="BF469" i="4"/>
  <c r="BE469" i="4"/>
  <c r="AX469" i="4"/>
  <c r="AY469" i="4"/>
  <c r="AW469" i="4"/>
  <c r="AS469" i="4"/>
  <c r="AP469" i="4"/>
  <c r="CI1394" i="4" s="1"/>
  <c r="AT469" i="4"/>
  <c r="CI1395" i="4" s="1"/>
  <c r="AV469" i="4"/>
  <c r="AR469" i="4"/>
  <c r="AO469" i="4"/>
  <c r="AL469" i="4"/>
  <c r="CI1393" i="4" s="1"/>
  <c r="AU469" i="4"/>
  <c r="CJ1395" i="4" s="1"/>
  <c r="AQ469" i="4"/>
  <c r="CJ1394" i="4" s="1"/>
  <c r="AN469" i="4"/>
  <c r="AK469" i="4"/>
  <c r="AI469" i="4"/>
  <c r="AM469" i="4"/>
  <c r="CJ1393" i="4" s="1"/>
  <c r="AH469" i="4"/>
  <c r="AF469" i="4"/>
  <c r="AJ469" i="4"/>
  <c r="AG469" i="4"/>
  <c r="AD469" i="4"/>
  <c r="AE469" i="4"/>
  <c r="AB469" i="4"/>
  <c r="AA469" i="4"/>
  <c r="AC469" i="4"/>
  <c r="R122" i="4"/>
  <c r="R35" i="4"/>
  <c r="CF261" i="4"/>
  <c r="CE261" i="4"/>
  <c r="CG261" i="4"/>
  <c r="CD261" i="4"/>
  <c r="CA261" i="4"/>
  <c r="CC261" i="4"/>
  <c r="CQ771" i="4" s="1"/>
  <c r="BZ261" i="4"/>
  <c r="BY261" i="4"/>
  <c r="CQ770" i="4" s="1"/>
  <c r="BX261" i="4"/>
  <c r="CP770" i="4" s="1"/>
  <c r="BW261" i="4"/>
  <c r="BV261" i="4"/>
  <c r="BU261" i="4"/>
  <c r="CQ769" i="4" s="1"/>
  <c r="BT261" i="4"/>
  <c r="CP769" i="4" s="1"/>
  <c r="CB261" i="4"/>
  <c r="CP771" i="4" s="1"/>
  <c r="BS261" i="4"/>
  <c r="BP261" i="4"/>
  <c r="BR261" i="4"/>
  <c r="BQ261" i="4"/>
  <c r="BN261" i="4"/>
  <c r="BO261" i="4"/>
  <c r="BM261" i="4"/>
  <c r="BL261" i="4"/>
  <c r="BK261" i="4"/>
  <c r="BG261" i="4"/>
  <c r="BF261" i="4"/>
  <c r="BH261" i="4"/>
  <c r="BI261" i="4"/>
  <c r="AX261" i="4"/>
  <c r="BE261" i="4"/>
  <c r="BJ261" i="4"/>
  <c r="AV261" i="4"/>
  <c r="AU261" i="4"/>
  <c r="CJ771" i="4" s="1"/>
  <c r="AS261" i="4"/>
  <c r="AT261" i="4"/>
  <c r="CI771" i="4" s="1"/>
  <c r="AQ261" i="4"/>
  <c r="CJ770" i="4" s="1"/>
  <c r="AY261" i="4"/>
  <c r="AW261" i="4"/>
  <c r="AR261" i="4"/>
  <c r="AL261" i="4"/>
  <c r="CI769" i="4" s="1"/>
  <c r="AK261" i="4"/>
  <c r="AN261" i="4"/>
  <c r="AP261" i="4"/>
  <c r="CI770" i="4" s="1"/>
  <c r="AO261" i="4"/>
  <c r="AH261" i="4"/>
  <c r="AF261" i="4"/>
  <c r="AI261" i="4"/>
  <c r="AG261" i="4"/>
  <c r="AE261" i="4"/>
  <c r="AJ261" i="4"/>
  <c r="AC261" i="4"/>
  <c r="AB261" i="4"/>
  <c r="AD261" i="4"/>
  <c r="AA261" i="4"/>
  <c r="AM261" i="4"/>
  <c r="CJ769" i="4" s="1"/>
  <c r="CD14" i="4"/>
  <c r="CC14" i="4"/>
  <c r="CQ30" i="4" s="1"/>
  <c r="CB14" i="4"/>
  <c r="CP30" i="4" s="1"/>
  <c r="CA14" i="4"/>
  <c r="CG14" i="4"/>
  <c r="CF14" i="4"/>
  <c r="CE14" i="4"/>
  <c r="BZ14" i="4"/>
  <c r="BS14" i="4"/>
  <c r="BR14" i="4"/>
  <c r="BQ14" i="4"/>
  <c r="BP14" i="4"/>
  <c r="BO14" i="4"/>
  <c r="BN14" i="4"/>
  <c r="BM14" i="4"/>
  <c r="BW14" i="4"/>
  <c r="BU14" i="4"/>
  <c r="CQ28" i="4" s="1"/>
  <c r="BY14" i="4"/>
  <c r="CQ29" i="4" s="1"/>
  <c r="BT14" i="4"/>
  <c r="CP28" i="4" s="1"/>
  <c r="BX14" i="4"/>
  <c r="CP29" i="4" s="1"/>
  <c r="BV14" i="4"/>
  <c r="BL14" i="4"/>
  <c r="BK14" i="4"/>
  <c r="BJ14" i="4"/>
  <c r="BH14" i="4"/>
  <c r="AY14" i="4"/>
  <c r="AX14" i="4"/>
  <c r="AW14" i="4"/>
  <c r="AV14" i="4"/>
  <c r="AU14" i="4"/>
  <c r="CJ30" i="4" s="1"/>
  <c r="AT14" i="4"/>
  <c r="CI30" i="4" s="1"/>
  <c r="BI14" i="4"/>
  <c r="BG14" i="4"/>
  <c r="BE14" i="4"/>
  <c r="AS14" i="4"/>
  <c r="BF14" i="4"/>
  <c r="AQ14" i="4"/>
  <c r="CJ29" i="4" s="1"/>
  <c r="AM14" i="4"/>
  <c r="CJ28" i="4" s="1"/>
  <c r="AR14" i="4"/>
  <c r="AP14" i="4"/>
  <c r="CI29" i="4" s="1"/>
  <c r="AO14" i="4"/>
  <c r="AK14" i="4"/>
  <c r="AL14" i="4"/>
  <c r="CI28" i="4" s="1"/>
  <c r="AJ14" i="4"/>
  <c r="AG14" i="4"/>
  <c r="AF14" i="4"/>
  <c r="AE14" i="4"/>
  <c r="AD14" i="4"/>
  <c r="AC14" i="4"/>
  <c r="AB14" i="4"/>
  <c r="AA14" i="4"/>
  <c r="AH14" i="4"/>
  <c r="AI14" i="4"/>
  <c r="AN14" i="4"/>
  <c r="CG15" i="4"/>
  <c r="CD15" i="4"/>
  <c r="CB15" i="4"/>
  <c r="CP33" i="4" s="1"/>
  <c r="CC15" i="4"/>
  <c r="CQ33" i="4" s="1"/>
  <c r="BY15" i="4"/>
  <c r="CQ32" i="4" s="1"/>
  <c r="BX15" i="4"/>
  <c r="CP32" i="4" s="1"/>
  <c r="BV15" i="4"/>
  <c r="CF15" i="4"/>
  <c r="CE15" i="4"/>
  <c r="BS15" i="4"/>
  <c r="BR15" i="4"/>
  <c r="BQ15" i="4"/>
  <c r="BZ15" i="4"/>
  <c r="BU15" i="4"/>
  <c r="CQ31" i="4" s="1"/>
  <c r="BM15" i="4"/>
  <c r="BW15" i="4"/>
  <c r="BO15" i="4"/>
  <c r="BT15" i="4"/>
  <c r="CP31" i="4" s="1"/>
  <c r="BL15" i="4"/>
  <c r="BK15" i="4"/>
  <c r="BP15" i="4"/>
  <c r="CA15" i="4"/>
  <c r="BI15" i="4"/>
  <c r="BN15" i="4"/>
  <c r="BJ15" i="4"/>
  <c r="BH15" i="4"/>
  <c r="BE15" i="4"/>
  <c r="AY15" i="4"/>
  <c r="BG15" i="4"/>
  <c r="AX15" i="4"/>
  <c r="AU15" i="4"/>
  <c r="CJ33" i="4" s="1"/>
  <c r="AT15" i="4"/>
  <c r="CI33" i="4" s="1"/>
  <c r="AS15" i="4"/>
  <c r="AV15" i="4"/>
  <c r="BF15" i="4"/>
  <c r="AW15" i="4"/>
  <c r="AO15" i="4"/>
  <c r="AQ15" i="4"/>
  <c r="CJ32" i="4" s="1"/>
  <c r="AP15" i="4"/>
  <c r="CI32" i="4" s="1"/>
  <c r="AR15" i="4"/>
  <c r="AN15" i="4"/>
  <c r="AK15" i="4"/>
  <c r="AM15" i="4"/>
  <c r="CJ31" i="4" s="1"/>
  <c r="AL15" i="4"/>
  <c r="CI31" i="4" s="1"/>
  <c r="AJ15" i="4"/>
  <c r="AD15" i="4"/>
  <c r="AI15" i="4"/>
  <c r="AH15" i="4"/>
  <c r="AC15" i="4"/>
  <c r="AF15" i="4"/>
  <c r="AA15" i="4"/>
  <c r="AE15" i="4"/>
  <c r="AB15" i="4"/>
  <c r="AG15" i="4"/>
  <c r="L102" i="4"/>
  <c r="CF71" i="4"/>
  <c r="CE71" i="4"/>
  <c r="CD71" i="4"/>
  <c r="CC71" i="4"/>
  <c r="CQ201" i="4" s="1"/>
  <c r="CB71" i="4"/>
  <c r="CP201" i="4" s="1"/>
  <c r="CG71" i="4"/>
  <c r="BZ71" i="4"/>
  <c r="BY71" i="4"/>
  <c r="CQ200" i="4" s="1"/>
  <c r="BX71" i="4"/>
  <c r="CP200" i="4" s="1"/>
  <c r="BW71" i="4"/>
  <c r="BT71" i="4"/>
  <c r="CP199" i="4" s="1"/>
  <c r="BL71" i="4"/>
  <c r="BK71" i="4"/>
  <c r="BV71" i="4"/>
  <c r="BQ71" i="4"/>
  <c r="BU71" i="4"/>
  <c r="CQ199" i="4" s="1"/>
  <c r="CA71" i="4"/>
  <c r="BO71" i="4"/>
  <c r="BN71" i="4"/>
  <c r="BP71" i="4"/>
  <c r="BM71" i="4"/>
  <c r="BR71" i="4"/>
  <c r="BF71" i="4"/>
  <c r="BJ71" i="4"/>
  <c r="BI71" i="4"/>
  <c r="BG71" i="4"/>
  <c r="AY71" i="4"/>
  <c r="AX71" i="4"/>
  <c r="AW71" i="4"/>
  <c r="BE71" i="4"/>
  <c r="BH71" i="4"/>
  <c r="BS71" i="4"/>
  <c r="AU71" i="4"/>
  <c r="CJ201" i="4" s="1"/>
  <c r="AS71" i="4"/>
  <c r="AT71" i="4"/>
  <c r="CI201" i="4" s="1"/>
  <c r="AR71" i="4"/>
  <c r="AQ71" i="4"/>
  <c r="CJ200" i="4" s="1"/>
  <c r="AO71" i="4"/>
  <c r="AP71" i="4"/>
  <c r="CI200" i="4" s="1"/>
  <c r="AV71" i="4"/>
  <c r="AM71" i="4"/>
  <c r="CJ199" i="4" s="1"/>
  <c r="AJ71" i="4"/>
  <c r="AK71" i="4"/>
  <c r="AG71" i="4"/>
  <c r="AN71" i="4"/>
  <c r="AL71" i="4"/>
  <c r="CI199" i="4" s="1"/>
  <c r="AH71" i="4"/>
  <c r="AF71" i="4"/>
  <c r="AA71" i="4"/>
  <c r="AE71" i="4"/>
  <c r="AC71" i="4"/>
  <c r="AI71" i="4"/>
  <c r="AD71" i="4"/>
  <c r="AB71" i="4"/>
  <c r="N23" i="4"/>
  <c r="CE443" i="4"/>
  <c r="CD443" i="4"/>
  <c r="CC443" i="4"/>
  <c r="CQ1317" i="4" s="1"/>
  <c r="CB443" i="4"/>
  <c r="CP1317" i="4" s="1"/>
  <c r="CA443" i="4"/>
  <c r="BZ443" i="4"/>
  <c r="BT443" i="4"/>
  <c r="CP1315" i="4" s="1"/>
  <c r="BS443" i="4"/>
  <c r="BR443" i="4"/>
  <c r="BQ443" i="4"/>
  <c r="BP443" i="4"/>
  <c r="BY443" i="4"/>
  <c r="CQ1316" i="4" s="1"/>
  <c r="BX443" i="4"/>
  <c r="CP1316" i="4" s="1"/>
  <c r="BW443" i="4"/>
  <c r="BV443" i="4"/>
  <c r="BU443" i="4"/>
  <c r="CQ1315" i="4" s="1"/>
  <c r="BN443" i="4"/>
  <c r="CF443" i="4"/>
  <c r="BJ443" i="4"/>
  <c r="BI443" i="4"/>
  <c r="CG443" i="4"/>
  <c r="BM443" i="4"/>
  <c r="BL443" i="4"/>
  <c r="BK443" i="4"/>
  <c r="BE443" i="4"/>
  <c r="BH443" i="4"/>
  <c r="AY443" i="4"/>
  <c r="BG443" i="4"/>
  <c r="BF443" i="4"/>
  <c r="AT443" i="4"/>
  <c r="CI1317" i="4" s="1"/>
  <c r="BO443" i="4"/>
  <c r="AV443" i="4"/>
  <c r="AW443" i="4"/>
  <c r="AQ443" i="4"/>
  <c r="CJ1316" i="4" s="1"/>
  <c r="AS443" i="4"/>
  <c r="AN443" i="4"/>
  <c r="AU443" i="4"/>
  <c r="CJ1317" i="4" s="1"/>
  <c r="AP443" i="4"/>
  <c r="CI1316" i="4" s="1"/>
  <c r="AX443" i="4"/>
  <c r="AM443" i="4"/>
  <c r="CJ1315" i="4" s="1"/>
  <c r="AR443" i="4"/>
  <c r="AJ443" i="4"/>
  <c r="AH443" i="4"/>
  <c r="AO443" i="4"/>
  <c r="AG443" i="4"/>
  <c r="AL443" i="4"/>
  <c r="CI1315" i="4" s="1"/>
  <c r="AF443" i="4"/>
  <c r="AE443" i="4"/>
  <c r="AK443" i="4"/>
  <c r="AB443" i="4"/>
  <c r="AA443" i="4"/>
  <c r="AC443" i="4"/>
  <c r="AI443" i="4"/>
  <c r="AD443" i="4"/>
  <c r="N94" i="4"/>
  <c r="M16" i="4"/>
  <c r="N57" i="4"/>
  <c r="CG419" i="4"/>
  <c r="CE419" i="4"/>
  <c r="BZ419" i="4"/>
  <c r="BY419" i="4"/>
  <c r="CQ1244" i="4" s="1"/>
  <c r="CF419" i="4"/>
  <c r="CC419" i="4"/>
  <c r="CQ1245" i="4" s="1"/>
  <c r="BV419" i="4"/>
  <c r="BU419" i="4"/>
  <c r="CQ1243" i="4" s="1"/>
  <c r="CB419" i="4"/>
  <c r="CP1245" i="4" s="1"/>
  <c r="CD419" i="4"/>
  <c r="BW419" i="4"/>
  <c r="BT419" i="4"/>
  <c r="CP1243" i="4" s="1"/>
  <c r="BS419" i="4"/>
  <c r="BR419" i="4"/>
  <c r="BQ419" i="4"/>
  <c r="BP419" i="4"/>
  <c r="CA419" i="4"/>
  <c r="BX419" i="4"/>
  <c r="CP1244" i="4" s="1"/>
  <c r="BO419" i="4"/>
  <c r="BN419" i="4"/>
  <c r="BM419" i="4"/>
  <c r="BJ419" i="4"/>
  <c r="BI419" i="4"/>
  <c r="BK419" i="4"/>
  <c r="BH419" i="4"/>
  <c r="BL419" i="4"/>
  <c r="BG419" i="4"/>
  <c r="BE419" i="4"/>
  <c r="AY419" i="4"/>
  <c r="AX419" i="4"/>
  <c r="AV419" i="4"/>
  <c r="AU419" i="4"/>
  <c r="CJ1245" i="4" s="1"/>
  <c r="BF419" i="4"/>
  <c r="AR419" i="4"/>
  <c r="AW419" i="4"/>
  <c r="AS419" i="4"/>
  <c r="AT419" i="4"/>
  <c r="CI1245" i="4" s="1"/>
  <c r="AP419" i="4"/>
  <c r="CI1244" i="4" s="1"/>
  <c r="AL419" i="4"/>
  <c r="CI1243" i="4" s="1"/>
  <c r="AK419" i="4"/>
  <c r="AJ419" i="4"/>
  <c r="AO419" i="4"/>
  <c r="AM419" i="4"/>
  <c r="CJ1243" i="4" s="1"/>
  <c r="AN419" i="4"/>
  <c r="AQ419" i="4"/>
  <c r="CJ1244" i="4" s="1"/>
  <c r="AI419" i="4"/>
  <c r="AC419" i="4"/>
  <c r="AH419" i="4"/>
  <c r="AE419" i="4"/>
  <c r="AG419" i="4"/>
  <c r="AD419" i="4"/>
  <c r="AB419" i="4"/>
  <c r="AF419" i="4"/>
  <c r="AA419" i="4"/>
  <c r="O62" i="4"/>
  <c r="N15" i="4"/>
  <c r="CG32" i="4"/>
  <c r="CD32" i="4"/>
  <c r="CC32" i="4"/>
  <c r="CQ84" i="4" s="1"/>
  <c r="BY32" i="4"/>
  <c r="CQ83" i="4" s="1"/>
  <c r="BW32" i="4"/>
  <c r="BX32" i="4"/>
  <c r="CP83" i="4" s="1"/>
  <c r="CF32" i="4"/>
  <c r="CE32" i="4"/>
  <c r="BU32" i="4"/>
  <c r="CQ82" i="4" s="1"/>
  <c r="BV32" i="4"/>
  <c r="CB32" i="4"/>
  <c r="CP84" i="4" s="1"/>
  <c r="CA32" i="4"/>
  <c r="BM32" i="4"/>
  <c r="BQ32" i="4"/>
  <c r="BP32" i="4"/>
  <c r="BL32" i="4"/>
  <c r="BK32" i="4"/>
  <c r="BJ32" i="4"/>
  <c r="BR32" i="4"/>
  <c r="BO32" i="4"/>
  <c r="BN32" i="4"/>
  <c r="BI32" i="4"/>
  <c r="BS32" i="4"/>
  <c r="BZ32" i="4"/>
  <c r="BT32" i="4"/>
  <c r="CP82" i="4" s="1"/>
  <c r="BH32" i="4"/>
  <c r="AY32" i="4"/>
  <c r="AX32" i="4"/>
  <c r="BE32" i="4"/>
  <c r="BF32" i="4"/>
  <c r="BG32" i="4"/>
  <c r="AU32" i="4"/>
  <c r="CJ84" i="4" s="1"/>
  <c r="AV32" i="4"/>
  <c r="AT32" i="4"/>
  <c r="CI84" i="4" s="1"/>
  <c r="AS32" i="4"/>
  <c r="AQ32" i="4"/>
  <c r="CJ83" i="4" s="1"/>
  <c r="AW32" i="4"/>
  <c r="AM32" i="4"/>
  <c r="CJ82" i="4" s="1"/>
  <c r="AH32" i="4"/>
  <c r="AG32" i="4"/>
  <c r="AN32" i="4"/>
  <c r="AO32" i="4"/>
  <c r="AR32" i="4"/>
  <c r="AJ32" i="4"/>
  <c r="AP32" i="4"/>
  <c r="CI83" i="4" s="1"/>
  <c r="AK32" i="4"/>
  <c r="AL32" i="4"/>
  <c r="CI82" i="4" s="1"/>
  <c r="AI32" i="4"/>
  <c r="AE32" i="4"/>
  <c r="AC32" i="4"/>
  <c r="AD32" i="4"/>
  <c r="AF32" i="4"/>
  <c r="AA32" i="4"/>
  <c r="AB32" i="4"/>
  <c r="K13" i="4"/>
  <c r="CG155" i="4"/>
  <c r="CD155" i="4"/>
  <c r="CC155" i="4"/>
  <c r="CQ453" i="4" s="1"/>
  <c r="CB155" i="4"/>
  <c r="CP453" i="4" s="1"/>
  <c r="CA155" i="4"/>
  <c r="CE155" i="4"/>
  <c r="CF155" i="4"/>
  <c r="BW155" i="4"/>
  <c r="BS155" i="4"/>
  <c r="BR155" i="4"/>
  <c r="BQ155" i="4"/>
  <c r="BP155" i="4"/>
  <c r="BO155" i="4"/>
  <c r="BY155" i="4"/>
  <c r="CQ452" i="4" s="1"/>
  <c r="BV155" i="4"/>
  <c r="BZ155" i="4"/>
  <c r="BX155" i="4"/>
  <c r="CP452" i="4" s="1"/>
  <c r="BU155" i="4"/>
  <c r="CQ451" i="4" s="1"/>
  <c r="BN155" i="4"/>
  <c r="BM155" i="4"/>
  <c r="BJ155" i="4"/>
  <c r="BI155" i="4"/>
  <c r="BH155" i="4"/>
  <c r="BL155" i="4"/>
  <c r="BT155" i="4"/>
  <c r="CP451" i="4" s="1"/>
  <c r="BF155" i="4"/>
  <c r="BK155" i="4"/>
  <c r="AV155" i="4"/>
  <c r="BG155" i="4"/>
  <c r="AT155" i="4"/>
  <c r="CI453" i="4" s="1"/>
  <c r="BE155" i="4"/>
  <c r="AY155" i="4"/>
  <c r="AX155" i="4"/>
  <c r="AW155" i="4"/>
  <c r="AU155" i="4"/>
  <c r="CJ453" i="4" s="1"/>
  <c r="AR155" i="4"/>
  <c r="AS155" i="4"/>
  <c r="AQ155" i="4"/>
  <c r="CJ452" i="4" s="1"/>
  <c r="AP155" i="4"/>
  <c r="CI452" i="4" s="1"/>
  <c r="AL155" i="4"/>
  <c r="CI451" i="4" s="1"/>
  <c r="AK155" i="4"/>
  <c r="AN155" i="4"/>
  <c r="AM155" i="4"/>
  <c r="CJ451" i="4" s="1"/>
  <c r="AO155" i="4"/>
  <c r="AI155" i="4"/>
  <c r="AH155" i="4"/>
  <c r="AJ155" i="4"/>
  <c r="AG155" i="4"/>
  <c r="AF155" i="4"/>
  <c r="AB155" i="4"/>
  <c r="AE155" i="4"/>
  <c r="AD155" i="4"/>
  <c r="AC155" i="4"/>
  <c r="AA155" i="4"/>
  <c r="K101" i="4"/>
  <c r="K80" i="4"/>
  <c r="R18" i="4"/>
  <c r="K126" i="4"/>
  <c r="O42" i="4"/>
  <c r="CG163" i="4"/>
  <c r="CE163" i="4"/>
  <c r="BZ163" i="4"/>
  <c r="BY163" i="4"/>
  <c r="CQ476" i="4" s="1"/>
  <c r="CC163" i="4"/>
  <c r="CQ477" i="4" s="1"/>
  <c r="CB163" i="4"/>
  <c r="CP477" i="4" s="1"/>
  <c r="CD163" i="4"/>
  <c r="BX163" i="4"/>
  <c r="CP476" i="4" s="1"/>
  <c r="BU163" i="4"/>
  <c r="CQ475" i="4" s="1"/>
  <c r="CF163" i="4"/>
  <c r="BT163" i="4"/>
  <c r="CP475" i="4" s="1"/>
  <c r="BW163" i="4"/>
  <c r="CA163" i="4"/>
  <c r="BS163" i="4"/>
  <c r="BR163" i="4"/>
  <c r="BQ163" i="4"/>
  <c r="BP163" i="4"/>
  <c r="BO163" i="4"/>
  <c r="BV163" i="4"/>
  <c r="BK163" i="4"/>
  <c r="BM163" i="4"/>
  <c r="BJ163" i="4"/>
  <c r="BI163" i="4"/>
  <c r="BH163" i="4"/>
  <c r="BN163" i="4"/>
  <c r="BL163" i="4"/>
  <c r="BG163" i="4"/>
  <c r="AX163" i="4"/>
  <c r="AV163" i="4"/>
  <c r="BF163" i="4"/>
  <c r="AU163" i="4"/>
  <c r="CJ477" i="4" s="1"/>
  <c r="AY163" i="4"/>
  <c r="AW163" i="4"/>
  <c r="AT163" i="4"/>
  <c r="CI477" i="4" s="1"/>
  <c r="AS163" i="4"/>
  <c r="AQ163" i="4"/>
  <c r="CJ476" i="4" s="1"/>
  <c r="AR163" i="4"/>
  <c r="AP163" i="4"/>
  <c r="CI476" i="4" s="1"/>
  <c r="AL163" i="4"/>
  <c r="CI475" i="4" s="1"/>
  <c r="AK163" i="4"/>
  <c r="AJ163" i="4"/>
  <c r="AO163" i="4"/>
  <c r="BE163" i="4"/>
  <c r="AM163" i="4"/>
  <c r="CJ475" i="4" s="1"/>
  <c r="AN163" i="4"/>
  <c r="AI163" i="4"/>
  <c r="AH163" i="4"/>
  <c r="AG163" i="4"/>
  <c r="AF163" i="4"/>
  <c r="AA163" i="4"/>
  <c r="AC163" i="4"/>
  <c r="AD163" i="4"/>
  <c r="AE163" i="4"/>
  <c r="AB163" i="4"/>
  <c r="N46" i="4"/>
  <c r="L31" i="4"/>
  <c r="CF55" i="4"/>
  <c r="CE55" i="4"/>
  <c r="CD55" i="4"/>
  <c r="CC55" i="4"/>
  <c r="CQ153" i="4" s="1"/>
  <c r="CB55" i="4"/>
  <c r="CP153" i="4" s="1"/>
  <c r="CG55" i="4"/>
  <c r="BZ55" i="4"/>
  <c r="BY55" i="4"/>
  <c r="CQ152" i="4" s="1"/>
  <c r="BX55" i="4"/>
  <c r="CP152" i="4" s="1"/>
  <c r="BW55" i="4"/>
  <c r="CA55" i="4"/>
  <c r="BL55" i="4"/>
  <c r="BK55" i="4"/>
  <c r="BS55" i="4"/>
  <c r="BN55" i="4"/>
  <c r="BT55" i="4"/>
  <c r="CP151" i="4" s="1"/>
  <c r="BR55" i="4"/>
  <c r="BU55" i="4"/>
  <c r="CQ151" i="4" s="1"/>
  <c r="BP55" i="4"/>
  <c r="BM55" i="4"/>
  <c r="BO55" i="4"/>
  <c r="BQ55" i="4"/>
  <c r="BV55" i="4"/>
  <c r="BJ55" i="4"/>
  <c r="BH55" i="4"/>
  <c r="BG55" i="4"/>
  <c r="BF55" i="4"/>
  <c r="BE55" i="4"/>
  <c r="BI55" i="4"/>
  <c r="AY55" i="4"/>
  <c r="AW55" i="4"/>
  <c r="AX55" i="4"/>
  <c r="AU55" i="4"/>
  <c r="CJ153" i="4" s="1"/>
  <c r="AV55" i="4"/>
  <c r="AR55" i="4"/>
  <c r="AT55" i="4"/>
  <c r="CI153" i="4" s="1"/>
  <c r="AO55" i="4"/>
  <c r="AS55" i="4"/>
  <c r="AP55" i="4"/>
  <c r="CI152" i="4" s="1"/>
  <c r="AM55" i="4"/>
  <c r="CJ151" i="4" s="1"/>
  <c r="AI55" i="4"/>
  <c r="AQ55" i="4"/>
  <c r="CJ152" i="4" s="1"/>
  <c r="AJ55" i="4"/>
  <c r="AL55" i="4"/>
  <c r="CI151" i="4" s="1"/>
  <c r="AK55" i="4"/>
  <c r="AE55" i="4"/>
  <c r="AG55" i="4"/>
  <c r="AN55" i="4"/>
  <c r="AD55" i="4"/>
  <c r="AH55" i="4"/>
  <c r="AF55" i="4"/>
  <c r="AB55" i="4"/>
  <c r="AA55" i="4"/>
  <c r="AC55" i="4"/>
  <c r="O19" i="4"/>
  <c r="M106" i="4"/>
  <c r="CF141" i="4"/>
  <c r="CE141" i="4"/>
  <c r="CD141" i="4"/>
  <c r="CC141" i="4"/>
  <c r="CQ411" i="4" s="1"/>
  <c r="CG141" i="4"/>
  <c r="CB141" i="4"/>
  <c r="CP411" i="4" s="1"/>
  <c r="CA141" i="4"/>
  <c r="BY141" i="4"/>
  <c r="CQ410" i="4" s="1"/>
  <c r="BT141" i="4"/>
  <c r="CP409" i="4" s="1"/>
  <c r="BS141" i="4"/>
  <c r="BR141" i="4"/>
  <c r="BQ141" i="4"/>
  <c r="BZ141" i="4"/>
  <c r="BX141" i="4"/>
  <c r="CP410" i="4" s="1"/>
  <c r="BW141" i="4"/>
  <c r="BV141" i="4"/>
  <c r="BU141" i="4"/>
  <c r="CQ409" i="4" s="1"/>
  <c r="BN141" i="4"/>
  <c r="BL141" i="4"/>
  <c r="BK141" i="4"/>
  <c r="BM141" i="4"/>
  <c r="BJ141" i="4"/>
  <c r="BP141" i="4"/>
  <c r="BO141" i="4"/>
  <c r="BG141" i="4"/>
  <c r="BF141" i="4"/>
  <c r="BE141" i="4"/>
  <c r="BI141" i="4"/>
  <c r="BH141" i="4"/>
  <c r="AY141" i="4"/>
  <c r="AX141" i="4"/>
  <c r="AW141" i="4"/>
  <c r="AQ141" i="4"/>
  <c r="CJ410" i="4" s="1"/>
  <c r="AV141" i="4"/>
  <c r="AU141" i="4"/>
  <c r="CJ411" i="4" s="1"/>
  <c r="AT141" i="4"/>
  <c r="CI411" i="4" s="1"/>
  <c r="AS141" i="4"/>
  <c r="AP141" i="4"/>
  <c r="CI410" i="4" s="1"/>
  <c r="AO141" i="4"/>
  <c r="AL141" i="4"/>
  <c r="CI409" i="4" s="1"/>
  <c r="AR141" i="4"/>
  <c r="AM141" i="4"/>
  <c r="CJ409" i="4" s="1"/>
  <c r="AN141" i="4"/>
  <c r="AI141" i="4"/>
  <c r="AG141" i="4"/>
  <c r="AJ141" i="4"/>
  <c r="AH141" i="4"/>
  <c r="AF141" i="4"/>
  <c r="AK141" i="4"/>
  <c r="AA141" i="4"/>
  <c r="AE141" i="4"/>
  <c r="AC141" i="4"/>
  <c r="AD141" i="4"/>
  <c r="AB141" i="4"/>
  <c r="CF365" i="4"/>
  <c r="CE365" i="4"/>
  <c r="CD365" i="4"/>
  <c r="CC365" i="4"/>
  <c r="CQ1083" i="4" s="1"/>
  <c r="CG365" i="4"/>
  <c r="BZ365" i="4"/>
  <c r="BU365" i="4"/>
  <c r="CQ1081" i="4" s="1"/>
  <c r="BY365" i="4"/>
  <c r="CQ1082" i="4" s="1"/>
  <c r="BW365" i="4"/>
  <c r="BT365" i="4"/>
  <c r="CP1081" i="4" s="1"/>
  <c r="BS365" i="4"/>
  <c r="BR365" i="4"/>
  <c r="BQ365" i="4"/>
  <c r="BX365" i="4"/>
  <c r="CP1082" i="4" s="1"/>
  <c r="CB365" i="4"/>
  <c r="CP1083" i="4" s="1"/>
  <c r="BV365" i="4"/>
  <c r="BO365" i="4"/>
  <c r="BM365" i="4"/>
  <c r="BL365" i="4"/>
  <c r="CA365" i="4"/>
  <c r="BN365" i="4"/>
  <c r="BJ365" i="4"/>
  <c r="BP365" i="4"/>
  <c r="BH365" i="4"/>
  <c r="BG365" i="4"/>
  <c r="BI365" i="4"/>
  <c r="BF365" i="4"/>
  <c r="BE365" i="4"/>
  <c r="AX365" i="4"/>
  <c r="BK365" i="4"/>
  <c r="AY365" i="4"/>
  <c r="AV365" i="4"/>
  <c r="AR365" i="4"/>
  <c r="AU365" i="4"/>
  <c r="CJ1083" i="4" s="1"/>
  <c r="AW365" i="4"/>
  <c r="AS365" i="4"/>
  <c r="AP365" i="4"/>
  <c r="CI1082" i="4" s="1"/>
  <c r="AQ365" i="4"/>
  <c r="CJ1082" i="4" s="1"/>
  <c r="AT365" i="4"/>
  <c r="CI1083" i="4" s="1"/>
  <c r="AO365" i="4"/>
  <c r="AL365" i="4"/>
  <c r="CI1081" i="4" s="1"/>
  <c r="AJ365" i="4"/>
  <c r="AM365" i="4"/>
  <c r="CJ1081" i="4" s="1"/>
  <c r="AN365" i="4"/>
  <c r="AK365" i="4"/>
  <c r="AG365" i="4"/>
  <c r="AH365" i="4"/>
  <c r="AI365" i="4"/>
  <c r="AE365" i="4"/>
  <c r="AF365" i="4"/>
  <c r="AB365" i="4"/>
  <c r="AC365" i="4"/>
  <c r="AA365" i="4"/>
  <c r="AD365" i="4"/>
  <c r="CE191" i="4"/>
  <c r="CG191" i="4"/>
  <c r="CA191" i="4"/>
  <c r="CC191" i="4"/>
  <c r="CQ561" i="4" s="1"/>
  <c r="CB191" i="4"/>
  <c r="CP561" i="4" s="1"/>
  <c r="BZ191" i="4"/>
  <c r="BY191" i="4"/>
  <c r="CQ560" i="4" s="1"/>
  <c r="BX191" i="4"/>
  <c r="CP560" i="4" s="1"/>
  <c r="CD191" i="4"/>
  <c r="BV191" i="4"/>
  <c r="BS191" i="4"/>
  <c r="BR191" i="4"/>
  <c r="BQ191" i="4"/>
  <c r="BW191" i="4"/>
  <c r="BN191" i="4"/>
  <c r="CF191" i="4"/>
  <c r="BT191" i="4"/>
  <c r="CP559" i="4" s="1"/>
  <c r="BM191" i="4"/>
  <c r="BL191" i="4"/>
  <c r="BK191" i="4"/>
  <c r="BP191" i="4"/>
  <c r="BU191" i="4"/>
  <c r="CQ559" i="4" s="1"/>
  <c r="BO191" i="4"/>
  <c r="BJ191" i="4"/>
  <c r="BG191" i="4"/>
  <c r="BF191" i="4"/>
  <c r="BI191" i="4"/>
  <c r="BH191" i="4"/>
  <c r="AW191" i="4"/>
  <c r="AX191" i="4"/>
  <c r="AT191" i="4"/>
  <c r="CI561" i="4" s="1"/>
  <c r="BE191" i="4"/>
  <c r="AR191" i="4"/>
  <c r="AU191" i="4"/>
  <c r="CJ561" i="4" s="1"/>
  <c r="AS191" i="4"/>
  <c r="AV191" i="4"/>
  <c r="AY191" i="4"/>
  <c r="AP191" i="4"/>
  <c r="CI560" i="4" s="1"/>
  <c r="AN191" i="4"/>
  <c r="AL191" i="4"/>
  <c r="CI559" i="4" s="1"/>
  <c r="AM191" i="4"/>
  <c r="CJ559" i="4" s="1"/>
  <c r="AK191" i="4"/>
  <c r="AI191" i="4"/>
  <c r="AO191" i="4"/>
  <c r="AJ191" i="4"/>
  <c r="AH191" i="4"/>
  <c r="AQ191" i="4"/>
  <c r="CJ560" i="4" s="1"/>
  <c r="AF191" i="4"/>
  <c r="AE191" i="4"/>
  <c r="AG191" i="4"/>
  <c r="AD191" i="4"/>
  <c r="AC191" i="4"/>
  <c r="AB191" i="4"/>
  <c r="AA191" i="4"/>
  <c r="CE478" i="4"/>
  <c r="CD478" i="4"/>
  <c r="CC478" i="4"/>
  <c r="CQ1422" i="4" s="1"/>
  <c r="CB478" i="4"/>
  <c r="CP1422" i="4" s="1"/>
  <c r="CG478" i="4"/>
  <c r="CF478" i="4"/>
  <c r="CA478" i="4"/>
  <c r="BZ478" i="4"/>
  <c r="BW478" i="4"/>
  <c r="BY478" i="4"/>
  <c r="CQ1421" i="4" s="1"/>
  <c r="BT478" i="4"/>
  <c r="CP1420" i="4" s="1"/>
  <c r="BS478" i="4"/>
  <c r="BR478" i="4"/>
  <c r="BQ478" i="4"/>
  <c r="BP478" i="4"/>
  <c r="BO478" i="4"/>
  <c r="BN478" i="4"/>
  <c r="BV478" i="4"/>
  <c r="BX478" i="4"/>
  <c r="CP1421" i="4" s="1"/>
  <c r="BU478" i="4"/>
  <c r="CQ1420" i="4" s="1"/>
  <c r="BM478" i="4"/>
  <c r="BJ478" i="4"/>
  <c r="BK478" i="4"/>
  <c r="BE478" i="4"/>
  <c r="AY478" i="4"/>
  <c r="AX478" i="4"/>
  <c r="AW478" i="4"/>
  <c r="AV478" i="4"/>
  <c r="AU478" i="4"/>
  <c r="CJ1422" i="4" s="1"/>
  <c r="BL478" i="4"/>
  <c r="BF478" i="4"/>
  <c r="BI478" i="4"/>
  <c r="AT478" i="4"/>
  <c r="CI1422" i="4" s="1"/>
  <c r="AS478" i="4"/>
  <c r="BG478" i="4"/>
  <c r="AP478" i="4"/>
  <c r="CI1421" i="4" s="1"/>
  <c r="AO478" i="4"/>
  <c r="AR478" i="4"/>
  <c r="AQ478" i="4"/>
  <c r="CJ1421" i="4" s="1"/>
  <c r="AM478" i="4"/>
  <c r="CJ1420" i="4" s="1"/>
  <c r="BH478" i="4"/>
  <c r="AN478" i="4"/>
  <c r="AJ478" i="4"/>
  <c r="AL478" i="4"/>
  <c r="CI1420" i="4" s="1"/>
  <c r="AF478" i="4"/>
  <c r="AE478" i="4"/>
  <c r="AD478" i="4"/>
  <c r="AC478" i="4"/>
  <c r="AB478" i="4"/>
  <c r="AK478" i="4"/>
  <c r="AG478" i="4"/>
  <c r="AA478" i="4"/>
  <c r="AI478" i="4"/>
  <c r="AH478" i="4"/>
  <c r="N124" i="4"/>
  <c r="CF435" i="4"/>
  <c r="CG435" i="4"/>
  <c r="CC435" i="4"/>
  <c r="CQ1293" i="4" s="1"/>
  <c r="CB435" i="4"/>
  <c r="CP1293" i="4" s="1"/>
  <c r="BZ435" i="4"/>
  <c r="BY435" i="4"/>
  <c r="CQ1292" i="4" s="1"/>
  <c r="CD435" i="4"/>
  <c r="CE435" i="4"/>
  <c r="BX435" i="4"/>
  <c r="CP1292" i="4" s="1"/>
  <c r="BV435" i="4"/>
  <c r="CA435" i="4"/>
  <c r="BW435" i="4"/>
  <c r="BU435" i="4"/>
  <c r="CQ1291" i="4" s="1"/>
  <c r="BT435" i="4"/>
  <c r="CP1291" i="4" s="1"/>
  <c r="BS435" i="4"/>
  <c r="BR435" i="4"/>
  <c r="BQ435" i="4"/>
  <c r="BP435" i="4"/>
  <c r="BN435" i="4"/>
  <c r="BL435" i="4"/>
  <c r="BO435" i="4"/>
  <c r="BJ435" i="4"/>
  <c r="BI435" i="4"/>
  <c r="BM435" i="4"/>
  <c r="BK435" i="4"/>
  <c r="BH435" i="4"/>
  <c r="BG435" i="4"/>
  <c r="BF435" i="4"/>
  <c r="AX435" i="4"/>
  <c r="AW435" i="4"/>
  <c r="AS435" i="4"/>
  <c r="AU435" i="4"/>
  <c r="CJ1293" i="4" s="1"/>
  <c r="BE435" i="4"/>
  <c r="AV435" i="4"/>
  <c r="AP435" i="4"/>
  <c r="CI1292" i="4" s="1"/>
  <c r="AT435" i="4"/>
  <c r="CI1293" i="4" s="1"/>
  <c r="AQ435" i="4"/>
  <c r="CJ1292" i="4" s="1"/>
  <c r="AL435" i="4"/>
  <c r="CI1291" i="4" s="1"/>
  <c r="AK435" i="4"/>
  <c r="AJ435" i="4"/>
  <c r="AO435" i="4"/>
  <c r="AY435" i="4"/>
  <c r="AR435" i="4"/>
  <c r="AN435" i="4"/>
  <c r="AI435" i="4"/>
  <c r="AH435" i="4"/>
  <c r="AC435" i="4"/>
  <c r="AM435" i="4"/>
  <c r="CJ1291" i="4" s="1"/>
  <c r="AF435" i="4"/>
  <c r="AG435" i="4"/>
  <c r="AE435" i="4"/>
  <c r="AB435" i="4"/>
  <c r="AD435" i="4"/>
  <c r="AA435" i="4"/>
  <c r="O114" i="4"/>
  <c r="L66" i="4"/>
  <c r="CF59" i="4"/>
  <c r="CD59" i="4"/>
  <c r="CC59" i="4"/>
  <c r="CQ165" i="4" s="1"/>
  <c r="CB59" i="4"/>
  <c r="CP165" i="4" s="1"/>
  <c r="CA59" i="4"/>
  <c r="CE59" i="4"/>
  <c r="BW59" i="4"/>
  <c r="BU59" i="4"/>
  <c r="CQ163" i="4" s="1"/>
  <c r="BS59" i="4"/>
  <c r="BR59" i="4"/>
  <c r="BQ59" i="4"/>
  <c r="BP59" i="4"/>
  <c r="BO59" i="4"/>
  <c r="BV59" i="4"/>
  <c r="BT59" i="4"/>
  <c r="CP163" i="4" s="1"/>
  <c r="BZ59" i="4"/>
  <c r="CG59" i="4"/>
  <c r="BX59" i="4"/>
  <c r="CP164" i="4" s="1"/>
  <c r="BY59" i="4"/>
  <c r="CQ164" i="4" s="1"/>
  <c r="BN59" i="4"/>
  <c r="BI59" i="4"/>
  <c r="BH59" i="4"/>
  <c r="BJ59" i="4"/>
  <c r="BM59" i="4"/>
  <c r="BL59" i="4"/>
  <c r="BG59" i="4"/>
  <c r="BF59" i="4"/>
  <c r="BE59" i="4"/>
  <c r="BK59" i="4"/>
  <c r="AW59" i="4"/>
  <c r="AV59" i="4"/>
  <c r="AX59" i="4"/>
  <c r="AU59" i="4"/>
  <c r="CJ165" i="4" s="1"/>
  <c r="AT59" i="4"/>
  <c r="CI165" i="4" s="1"/>
  <c r="AO59" i="4"/>
  <c r="AQ59" i="4"/>
  <c r="CJ164" i="4" s="1"/>
  <c r="AP59" i="4"/>
  <c r="CI164" i="4" s="1"/>
  <c r="AL59" i="4"/>
  <c r="CI163" i="4" s="1"/>
  <c r="AI59" i="4"/>
  <c r="AN59" i="4"/>
  <c r="AM59" i="4"/>
  <c r="CJ163" i="4" s="1"/>
  <c r="AS59" i="4"/>
  <c r="AK59" i="4"/>
  <c r="AH59" i="4"/>
  <c r="AY59" i="4"/>
  <c r="AR59" i="4"/>
  <c r="AJ59" i="4"/>
  <c r="AF59" i="4"/>
  <c r="AE59" i="4"/>
  <c r="AG59" i="4"/>
  <c r="AA59" i="4"/>
  <c r="AD59" i="4"/>
  <c r="AB59" i="4"/>
  <c r="AC59" i="4"/>
  <c r="N120" i="4"/>
  <c r="CF181" i="4"/>
  <c r="CE181" i="4"/>
  <c r="CD181" i="4"/>
  <c r="CC181" i="4"/>
  <c r="CQ531" i="4" s="1"/>
  <c r="CB181" i="4"/>
  <c r="CP531" i="4" s="1"/>
  <c r="BZ181" i="4"/>
  <c r="BY181" i="4"/>
  <c r="CQ530" i="4" s="1"/>
  <c r="BX181" i="4"/>
  <c r="CP530" i="4" s="1"/>
  <c r="BW181" i="4"/>
  <c r="BV181" i="4"/>
  <c r="BU181" i="4"/>
  <c r="CQ529" i="4" s="1"/>
  <c r="BT181" i="4"/>
  <c r="CP529" i="4" s="1"/>
  <c r="CG181" i="4"/>
  <c r="BO181" i="4"/>
  <c r="BS181" i="4"/>
  <c r="CA181" i="4"/>
  <c r="BP181" i="4"/>
  <c r="BR181" i="4"/>
  <c r="BQ181" i="4"/>
  <c r="BM181" i="4"/>
  <c r="BL181" i="4"/>
  <c r="BK181" i="4"/>
  <c r="BN181" i="4"/>
  <c r="BJ181" i="4"/>
  <c r="BH181" i="4"/>
  <c r="BG181" i="4"/>
  <c r="BF181" i="4"/>
  <c r="BI181" i="4"/>
  <c r="AX181" i="4"/>
  <c r="AW181" i="4"/>
  <c r="AY181" i="4"/>
  <c r="AV181" i="4"/>
  <c r="AU181" i="4"/>
  <c r="CJ531" i="4" s="1"/>
  <c r="AQ181" i="4"/>
  <c r="CJ530" i="4" s="1"/>
  <c r="AT181" i="4"/>
  <c r="CI531" i="4" s="1"/>
  <c r="AS181" i="4"/>
  <c r="BE181" i="4"/>
  <c r="AN181" i="4"/>
  <c r="AO181" i="4"/>
  <c r="AL181" i="4"/>
  <c r="CI529" i="4" s="1"/>
  <c r="AK181" i="4"/>
  <c r="AR181" i="4"/>
  <c r="AJ181" i="4"/>
  <c r="AG181" i="4"/>
  <c r="AM181" i="4"/>
  <c r="CJ529" i="4" s="1"/>
  <c r="AI181" i="4"/>
  <c r="AH181" i="4"/>
  <c r="AF181" i="4"/>
  <c r="AA181" i="4"/>
  <c r="AP181" i="4"/>
  <c r="CI530" i="4" s="1"/>
  <c r="AE181" i="4"/>
  <c r="AC181" i="4"/>
  <c r="AB181" i="4"/>
  <c r="AD181" i="4"/>
  <c r="CG263" i="4"/>
  <c r="CF263" i="4"/>
  <c r="CE263" i="4"/>
  <c r="CD263" i="4"/>
  <c r="CC263" i="4"/>
  <c r="CQ777" i="4" s="1"/>
  <c r="CB263" i="4"/>
  <c r="CP777" i="4" s="1"/>
  <c r="CA263" i="4"/>
  <c r="BZ263" i="4"/>
  <c r="BY263" i="4"/>
  <c r="CQ776" i="4" s="1"/>
  <c r="BX263" i="4"/>
  <c r="CP776" i="4" s="1"/>
  <c r="BW263" i="4"/>
  <c r="BU263" i="4"/>
  <c r="CQ775" i="4" s="1"/>
  <c r="BT263" i="4"/>
  <c r="CP775" i="4" s="1"/>
  <c r="BV263" i="4"/>
  <c r="BO263" i="4"/>
  <c r="BM263" i="4"/>
  <c r="BL263" i="4"/>
  <c r="BS263" i="4"/>
  <c r="BP263" i="4"/>
  <c r="BR263" i="4"/>
  <c r="BQ263" i="4"/>
  <c r="BN263" i="4"/>
  <c r="BK263" i="4"/>
  <c r="BJ263" i="4"/>
  <c r="BG263" i="4"/>
  <c r="BF263" i="4"/>
  <c r="BE263" i="4"/>
  <c r="AY263" i="4"/>
  <c r="BI263" i="4"/>
  <c r="AX263" i="4"/>
  <c r="AT263" i="4"/>
  <c r="CI777" i="4" s="1"/>
  <c r="AR263" i="4"/>
  <c r="AW263" i="4"/>
  <c r="AV263" i="4"/>
  <c r="BH263" i="4"/>
  <c r="AS263" i="4"/>
  <c r="AU263" i="4"/>
  <c r="CJ777" i="4" s="1"/>
  <c r="AQ263" i="4"/>
  <c r="CJ776" i="4" s="1"/>
  <c r="AP263" i="4"/>
  <c r="CI776" i="4" s="1"/>
  <c r="AM263" i="4"/>
  <c r="CJ775" i="4" s="1"/>
  <c r="AK263" i="4"/>
  <c r="AN263" i="4"/>
  <c r="AJ263" i="4"/>
  <c r="AI263" i="4"/>
  <c r="AO263" i="4"/>
  <c r="AL263" i="4"/>
  <c r="CI775" i="4" s="1"/>
  <c r="AF263" i="4"/>
  <c r="AH263" i="4"/>
  <c r="AE263" i="4"/>
  <c r="AC263" i="4"/>
  <c r="AD263" i="4"/>
  <c r="AG263" i="4"/>
  <c r="AA263" i="4"/>
  <c r="AB263" i="4"/>
  <c r="CE225" i="4"/>
  <c r="CG225" i="4"/>
  <c r="BZ225" i="4"/>
  <c r="BY225" i="4"/>
  <c r="CQ662" i="4" s="1"/>
  <c r="BX225" i="4"/>
  <c r="CP662" i="4" s="1"/>
  <c r="BW225" i="4"/>
  <c r="BV225" i="4"/>
  <c r="CF225" i="4"/>
  <c r="CA225" i="4"/>
  <c r="CB225" i="4"/>
  <c r="CP663" i="4" s="1"/>
  <c r="BS225" i="4"/>
  <c r="BR225" i="4"/>
  <c r="BQ225" i="4"/>
  <c r="BP225" i="4"/>
  <c r="BO225" i="4"/>
  <c r="CC225" i="4"/>
  <c r="CQ663" i="4" s="1"/>
  <c r="BT225" i="4"/>
  <c r="CP661" i="4" s="1"/>
  <c r="BN225" i="4"/>
  <c r="BM225" i="4"/>
  <c r="CD225" i="4"/>
  <c r="BU225" i="4"/>
  <c r="CQ661" i="4" s="1"/>
  <c r="BJ225" i="4"/>
  <c r="BI225" i="4"/>
  <c r="BH225" i="4"/>
  <c r="BG225" i="4"/>
  <c r="BF225" i="4"/>
  <c r="BL225" i="4"/>
  <c r="BE225" i="4"/>
  <c r="AY225" i="4"/>
  <c r="BK225" i="4"/>
  <c r="AW225" i="4"/>
  <c r="AX225" i="4"/>
  <c r="AV225" i="4"/>
  <c r="AR225" i="4"/>
  <c r="AT225" i="4"/>
  <c r="CI663" i="4" s="1"/>
  <c r="AQ225" i="4"/>
  <c r="CJ662" i="4" s="1"/>
  <c r="AU225" i="4"/>
  <c r="CJ663" i="4" s="1"/>
  <c r="AP225" i="4"/>
  <c r="CI662" i="4" s="1"/>
  <c r="AS225" i="4"/>
  <c r="AM225" i="4"/>
  <c r="CJ661" i="4" s="1"/>
  <c r="AK225" i="4"/>
  <c r="AN225" i="4"/>
  <c r="AI225" i="4"/>
  <c r="AJ225" i="4"/>
  <c r="AH225" i="4"/>
  <c r="AG225" i="4"/>
  <c r="AF225" i="4"/>
  <c r="AE225" i="4"/>
  <c r="AO225" i="4"/>
  <c r="AC225" i="4"/>
  <c r="AB225" i="4"/>
  <c r="AL225" i="4"/>
  <c r="CI661" i="4" s="1"/>
  <c r="AA225" i="4"/>
  <c r="AD225" i="4"/>
  <c r="CF178" i="4"/>
  <c r="CG178" i="4"/>
  <c r="CB178" i="4"/>
  <c r="CP522" i="4" s="1"/>
  <c r="BZ178" i="4"/>
  <c r="BY178" i="4"/>
  <c r="CQ521" i="4" s="1"/>
  <c r="BX178" i="4"/>
  <c r="CP521" i="4" s="1"/>
  <c r="BW178" i="4"/>
  <c r="CD178" i="4"/>
  <c r="CE178" i="4"/>
  <c r="CA178" i="4"/>
  <c r="BU178" i="4"/>
  <c r="CQ520" i="4" s="1"/>
  <c r="BT178" i="4"/>
  <c r="CP520" i="4" s="1"/>
  <c r="BS178" i="4"/>
  <c r="BR178" i="4"/>
  <c r="BQ178" i="4"/>
  <c r="BP178" i="4"/>
  <c r="BO178" i="4"/>
  <c r="BV178" i="4"/>
  <c r="CC178" i="4"/>
  <c r="CQ522" i="4" s="1"/>
  <c r="BN178" i="4"/>
  <c r="BL178" i="4"/>
  <c r="BH178" i="4"/>
  <c r="BG178" i="4"/>
  <c r="BK178" i="4"/>
  <c r="BF178" i="4"/>
  <c r="BJ178" i="4"/>
  <c r="BI178" i="4"/>
  <c r="AX178" i="4"/>
  <c r="BE178" i="4"/>
  <c r="BM178" i="4"/>
  <c r="AT178" i="4"/>
  <c r="CI522" i="4" s="1"/>
  <c r="AV178" i="4"/>
  <c r="AY178" i="4"/>
  <c r="AS178" i="4"/>
  <c r="AO178" i="4"/>
  <c r="AR178" i="4"/>
  <c r="AU178" i="4"/>
  <c r="CJ522" i="4" s="1"/>
  <c r="AW178" i="4"/>
  <c r="AI178" i="4"/>
  <c r="AN178" i="4"/>
  <c r="AL178" i="4"/>
  <c r="CI520" i="4" s="1"/>
  <c r="AM178" i="4"/>
  <c r="CJ520" i="4" s="1"/>
  <c r="AJ178" i="4"/>
  <c r="AQ178" i="4"/>
  <c r="CJ521" i="4" s="1"/>
  <c r="AP178" i="4"/>
  <c r="CI521" i="4" s="1"/>
  <c r="AG178" i="4"/>
  <c r="AK178" i="4"/>
  <c r="AA178" i="4"/>
  <c r="AE178" i="4"/>
  <c r="AD178" i="4"/>
  <c r="AH178" i="4"/>
  <c r="AB178" i="4"/>
  <c r="AC178" i="4"/>
  <c r="AF178" i="4"/>
  <c r="CD238" i="4"/>
  <c r="CC238" i="4"/>
  <c r="CQ702" i="4" s="1"/>
  <c r="CB238" i="4"/>
  <c r="CP702" i="4" s="1"/>
  <c r="CG238" i="4"/>
  <c r="CF238" i="4"/>
  <c r="CE238" i="4"/>
  <c r="CA238" i="4"/>
  <c r="BS238" i="4"/>
  <c r="BR238" i="4"/>
  <c r="BQ238" i="4"/>
  <c r="BP238" i="4"/>
  <c r="BO238" i="4"/>
  <c r="BN238" i="4"/>
  <c r="BU238" i="4"/>
  <c r="CQ700" i="4" s="1"/>
  <c r="BV238" i="4"/>
  <c r="BY238" i="4"/>
  <c r="CQ701" i="4" s="1"/>
  <c r="BT238" i="4"/>
  <c r="CP700" i="4" s="1"/>
  <c r="BZ238" i="4"/>
  <c r="BX238" i="4"/>
  <c r="CP701" i="4" s="1"/>
  <c r="BK238" i="4"/>
  <c r="BJ238" i="4"/>
  <c r="BM238" i="4"/>
  <c r="BL238" i="4"/>
  <c r="BW238" i="4"/>
  <c r="BE238" i="4"/>
  <c r="AY238" i="4"/>
  <c r="AX238" i="4"/>
  <c r="AW238" i="4"/>
  <c r="AV238" i="4"/>
  <c r="AU238" i="4"/>
  <c r="CJ702" i="4" s="1"/>
  <c r="AT238" i="4"/>
  <c r="CI702" i="4" s="1"/>
  <c r="BH238" i="4"/>
  <c r="BG238" i="4"/>
  <c r="BI238" i="4"/>
  <c r="AR238" i="4"/>
  <c r="AP238" i="4"/>
  <c r="CI701" i="4" s="1"/>
  <c r="BF238" i="4"/>
  <c r="AN238" i="4"/>
  <c r="AO238" i="4"/>
  <c r="AS238" i="4"/>
  <c r="AQ238" i="4"/>
  <c r="CJ701" i="4" s="1"/>
  <c r="AH238" i="4"/>
  <c r="AL238" i="4"/>
  <c r="CI700" i="4" s="1"/>
  <c r="AM238" i="4"/>
  <c r="CJ700" i="4" s="1"/>
  <c r="AG238" i="4"/>
  <c r="AF238" i="4"/>
  <c r="AE238" i="4"/>
  <c r="AD238" i="4"/>
  <c r="AC238" i="4"/>
  <c r="AB238" i="4"/>
  <c r="AA238" i="4"/>
  <c r="AK238" i="4"/>
  <c r="AJ238" i="4"/>
  <c r="AI238" i="4"/>
  <c r="N64" i="4"/>
  <c r="CF162" i="4"/>
  <c r="CE162" i="4"/>
  <c r="BZ162" i="4"/>
  <c r="BY162" i="4"/>
  <c r="CQ473" i="4" s="1"/>
  <c r="BX162" i="4"/>
  <c r="CP473" i="4" s="1"/>
  <c r="BW162" i="4"/>
  <c r="CD162" i="4"/>
  <c r="BU162" i="4"/>
  <c r="CQ472" i="4" s="1"/>
  <c r="BT162" i="4"/>
  <c r="CP472" i="4" s="1"/>
  <c r="CA162" i="4"/>
  <c r="BS162" i="4"/>
  <c r="BR162" i="4"/>
  <c r="BQ162" i="4"/>
  <c r="BP162" i="4"/>
  <c r="BO162" i="4"/>
  <c r="CG162" i="4"/>
  <c r="BN162" i="4"/>
  <c r="BV162" i="4"/>
  <c r="CC162" i="4"/>
  <c r="CQ474" i="4" s="1"/>
  <c r="BK162" i="4"/>
  <c r="CB162" i="4"/>
  <c r="CP474" i="4" s="1"/>
  <c r="BM162" i="4"/>
  <c r="BL162" i="4"/>
  <c r="BI162" i="4"/>
  <c r="BG162" i="4"/>
  <c r="BH162" i="4"/>
  <c r="BF162" i="4"/>
  <c r="BJ162" i="4"/>
  <c r="AX162" i="4"/>
  <c r="AW162" i="4"/>
  <c r="AV162" i="4"/>
  <c r="AS162" i="4"/>
  <c r="AU162" i="4"/>
  <c r="CJ474" i="4" s="1"/>
  <c r="AY162" i="4"/>
  <c r="BE162" i="4"/>
  <c r="AP162" i="4"/>
  <c r="CI473" i="4" s="1"/>
  <c r="AQ162" i="4"/>
  <c r="CJ473" i="4" s="1"/>
  <c r="AT162" i="4"/>
  <c r="CI474" i="4" s="1"/>
  <c r="AO162" i="4"/>
  <c r="AI162" i="4"/>
  <c r="AH162" i="4"/>
  <c r="AR162" i="4"/>
  <c r="AM162" i="4"/>
  <c r="CJ472" i="4" s="1"/>
  <c r="AN162" i="4"/>
  <c r="AL162" i="4"/>
  <c r="CI472" i="4" s="1"/>
  <c r="AJ162" i="4"/>
  <c r="AF162" i="4"/>
  <c r="AK162" i="4"/>
  <c r="AA162" i="4"/>
  <c r="AG162" i="4"/>
  <c r="AC162" i="4"/>
  <c r="AB162" i="4"/>
  <c r="AD162" i="4"/>
  <c r="AE162" i="4"/>
  <c r="M97" i="4"/>
  <c r="CE19" i="4"/>
  <c r="CF19" i="4"/>
  <c r="CG19" i="4"/>
  <c r="CA19" i="4"/>
  <c r="BY19" i="4"/>
  <c r="CQ44" i="4" s="1"/>
  <c r="BX19" i="4"/>
  <c r="CP44" i="4" s="1"/>
  <c r="BZ19" i="4"/>
  <c r="CB19" i="4"/>
  <c r="CP45" i="4" s="1"/>
  <c r="BV19" i="4"/>
  <c r="BW19" i="4"/>
  <c r="CC19" i="4"/>
  <c r="CQ45" i="4" s="1"/>
  <c r="BS19" i="4"/>
  <c r="BR19" i="4"/>
  <c r="BQ19" i="4"/>
  <c r="BP19" i="4"/>
  <c r="BO19" i="4"/>
  <c r="BT19" i="4"/>
  <c r="CP43" i="4" s="1"/>
  <c r="BU19" i="4"/>
  <c r="CQ43" i="4" s="1"/>
  <c r="BN19" i="4"/>
  <c r="BM19" i="4"/>
  <c r="CD19" i="4"/>
  <c r="BK19" i="4"/>
  <c r="BI19" i="4"/>
  <c r="BH19" i="4"/>
  <c r="BJ19" i="4"/>
  <c r="BF19" i="4"/>
  <c r="BE19" i="4"/>
  <c r="AV19" i="4"/>
  <c r="AY19" i="4"/>
  <c r="BG19" i="4"/>
  <c r="AT19" i="4"/>
  <c r="CI45" i="4" s="1"/>
  <c r="AX19" i="4"/>
  <c r="AU19" i="4"/>
  <c r="CJ45" i="4" s="1"/>
  <c r="AR19" i="4"/>
  <c r="AW19" i="4"/>
  <c r="BL19" i="4"/>
  <c r="AP19" i="4"/>
  <c r="CI44" i="4" s="1"/>
  <c r="AS19" i="4"/>
  <c r="AK19" i="4"/>
  <c r="AJ19" i="4"/>
  <c r="AI19" i="4"/>
  <c r="AO19" i="4"/>
  <c r="AL19" i="4"/>
  <c r="CI43" i="4" s="1"/>
  <c r="AM19" i="4"/>
  <c r="CJ43" i="4" s="1"/>
  <c r="AQ19" i="4"/>
  <c r="CJ44" i="4" s="1"/>
  <c r="AN19" i="4"/>
  <c r="AG19" i="4"/>
  <c r="AE19" i="4"/>
  <c r="AF19" i="4"/>
  <c r="AH19" i="4"/>
  <c r="AD19" i="4"/>
  <c r="AB19" i="4"/>
  <c r="AA19" i="4"/>
  <c r="AC19" i="4"/>
  <c r="CG340" i="4"/>
  <c r="CE340" i="4"/>
  <c r="CA340" i="4"/>
  <c r="CF340" i="4"/>
  <c r="CD340" i="4"/>
  <c r="BW340" i="4"/>
  <c r="CC340" i="4"/>
  <c r="CQ1008" i="4" s="1"/>
  <c r="BZ340" i="4"/>
  <c r="BX340" i="4"/>
  <c r="CP1007" i="4" s="1"/>
  <c r="BY340" i="4"/>
  <c r="CQ1007" i="4" s="1"/>
  <c r="BV340" i="4"/>
  <c r="BU340" i="4"/>
  <c r="CQ1006" i="4" s="1"/>
  <c r="BO340" i="4"/>
  <c r="BN340" i="4"/>
  <c r="BR340" i="4"/>
  <c r="CB340" i="4"/>
  <c r="CP1008" i="4" s="1"/>
  <c r="BL340" i="4"/>
  <c r="BK340" i="4"/>
  <c r="BM340" i="4"/>
  <c r="BS340" i="4"/>
  <c r="BT340" i="4"/>
  <c r="CP1006" i="4" s="1"/>
  <c r="BJ340" i="4"/>
  <c r="BI340" i="4"/>
  <c r="BP340" i="4"/>
  <c r="BQ340" i="4"/>
  <c r="BH340" i="4"/>
  <c r="BE340" i="4"/>
  <c r="BG340" i="4"/>
  <c r="BF340" i="4"/>
  <c r="AX340" i="4"/>
  <c r="AT340" i="4"/>
  <c r="CI1008" i="4" s="1"/>
  <c r="AW340" i="4"/>
  <c r="AV340" i="4"/>
  <c r="AY340" i="4"/>
  <c r="AU340" i="4"/>
  <c r="CJ1008" i="4" s="1"/>
  <c r="AS340" i="4"/>
  <c r="AQ340" i="4"/>
  <c r="CJ1007" i="4" s="1"/>
  <c r="AO340" i="4"/>
  <c r="AP340" i="4"/>
  <c r="CI1007" i="4" s="1"/>
  <c r="AR340" i="4"/>
  <c r="AN340" i="4"/>
  <c r="AL340" i="4"/>
  <c r="CI1006" i="4" s="1"/>
  <c r="AH340" i="4"/>
  <c r="AI340" i="4"/>
  <c r="AK340" i="4"/>
  <c r="AM340" i="4"/>
  <c r="CJ1006" i="4" s="1"/>
  <c r="AB340" i="4"/>
  <c r="AG340" i="4"/>
  <c r="AC340" i="4"/>
  <c r="AE340" i="4"/>
  <c r="AA340" i="4"/>
  <c r="AJ340" i="4"/>
  <c r="AD340" i="4"/>
  <c r="AF340" i="4"/>
  <c r="K78" i="4"/>
  <c r="CF38" i="4"/>
  <c r="CE38" i="4"/>
  <c r="CA38" i="4"/>
  <c r="CC38" i="4"/>
  <c r="CQ102" i="4" s="1"/>
  <c r="BV38" i="4"/>
  <c r="BY38" i="4"/>
  <c r="CQ101" i="4" s="1"/>
  <c r="BW38" i="4"/>
  <c r="BX38" i="4"/>
  <c r="CP101" i="4" s="1"/>
  <c r="CB38" i="4"/>
  <c r="CP102" i="4" s="1"/>
  <c r="BZ38" i="4"/>
  <c r="CD38" i="4"/>
  <c r="BT38" i="4"/>
  <c r="CP100" i="4" s="1"/>
  <c r="BR38" i="4"/>
  <c r="BO38" i="4"/>
  <c r="BQ38" i="4"/>
  <c r="BP38" i="4"/>
  <c r="BN38" i="4"/>
  <c r="BU38" i="4"/>
  <c r="CQ100" i="4" s="1"/>
  <c r="CG38" i="4"/>
  <c r="BJ38" i="4"/>
  <c r="BL38" i="4"/>
  <c r="BG38" i="4"/>
  <c r="BF38" i="4"/>
  <c r="BE38" i="4"/>
  <c r="BH38" i="4"/>
  <c r="BK38" i="4"/>
  <c r="BS38" i="4"/>
  <c r="BM38" i="4"/>
  <c r="AY38" i="4"/>
  <c r="AW38" i="4"/>
  <c r="AU38" i="4"/>
  <c r="CJ102" i="4" s="1"/>
  <c r="AS38" i="4"/>
  <c r="AR38" i="4"/>
  <c r="AQ38" i="4"/>
  <c r="CJ101" i="4" s="1"/>
  <c r="AP38" i="4"/>
  <c r="CI101" i="4" s="1"/>
  <c r="AX38" i="4"/>
  <c r="BI38" i="4"/>
  <c r="AV38" i="4"/>
  <c r="AO38" i="4"/>
  <c r="AN38" i="4"/>
  <c r="AM38" i="4"/>
  <c r="CJ100" i="4" s="1"/>
  <c r="AL38" i="4"/>
  <c r="CI100" i="4" s="1"/>
  <c r="AT38" i="4"/>
  <c r="CI102" i="4" s="1"/>
  <c r="AH38" i="4"/>
  <c r="AK38" i="4"/>
  <c r="AI38" i="4"/>
  <c r="AJ38" i="4"/>
  <c r="AF38" i="4"/>
  <c r="AE38" i="4"/>
  <c r="AB38" i="4"/>
  <c r="AC38" i="4"/>
  <c r="AG38" i="4"/>
  <c r="AD38" i="4"/>
  <c r="AA38" i="4"/>
  <c r="M105" i="4"/>
  <c r="L25" i="4"/>
  <c r="CG378" i="4"/>
  <c r="CE378" i="4"/>
  <c r="CD378" i="4"/>
  <c r="CC378" i="4"/>
  <c r="CQ1122" i="4" s="1"/>
  <c r="CB378" i="4"/>
  <c r="CP1122" i="4" s="1"/>
  <c r="CA378" i="4"/>
  <c r="CF378" i="4"/>
  <c r="BZ378" i="4"/>
  <c r="BY378" i="4"/>
  <c r="CQ1121" i="4" s="1"/>
  <c r="BX378" i="4"/>
  <c r="CP1121" i="4" s="1"/>
  <c r="BT378" i="4"/>
  <c r="CP1120" i="4" s="1"/>
  <c r="BS378" i="4"/>
  <c r="BR378" i="4"/>
  <c r="BQ378" i="4"/>
  <c r="BP378" i="4"/>
  <c r="BO378" i="4"/>
  <c r="BM378" i="4"/>
  <c r="BN378" i="4"/>
  <c r="BV378" i="4"/>
  <c r="BW378" i="4"/>
  <c r="BU378" i="4"/>
  <c r="CQ1120" i="4" s="1"/>
  <c r="BL378" i="4"/>
  <c r="BK378" i="4"/>
  <c r="BJ378" i="4"/>
  <c r="BI378" i="4"/>
  <c r="BF378" i="4"/>
  <c r="BG378" i="4"/>
  <c r="BH378" i="4"/>
  <c r="AW378" i="4"/>
  <c r="BE378" i="4"/>
  <c r="AX378" i="4"/>
  <c r="AU378" i="4"/>
  <c r="CJ1122" i="4" s="1"/>
  <c r="AT378" i="4"/>
  <c r="CI1122" i="4" s="1"/>
  <c r="AR378" i="4"/>
  <c r="AY378" i="4"/>
  <c r="AS378" i="4"/>
  <c r="AQ378" i="4"/>
  <c r="CJ1121" i="4" s="1"/>
  <c r="AV378" i="4"/>
  <c r="AP378" i="4"/>
  <c r="CI1121" i="4" s="1"/>
  <c r="AN378" i="4"/>
  <c r="AO378" i="4"/>
  <c r="AM378" i="4"/>
  <c r="CJ1120" i="4" s="1"/>
  <c r="AK378" i="4"/>
  <c r="AI378" i="4"/>
  <c r="AH378" i="4"/>
  <c r="AL378" i="4"/>
  <c r="CI1120" i="4" s="1"/>
  <c r="AJ378" i="4"/>
  <c r="AF378" i="4"/>
  <c r="AC378" i="4"/>
  <c r="AA378" i="4"/>
  <c r="AE378" i="4"/>
  <c r="AD378" i="4"/>
  <c r="AG378" i="4"/>
  <c r="AB378" i="4"/>
  <c r="CG407" i="4"/>
  <c r="CF407" i="4"/>
  <c r="CE407" i="4"/>
  <c r="CD407" i="4"/>
  <c r="CC407" i="4"/>
  <c r="CQ1209" i="4" s="1"/>
  <c r="CB407" i="4"/>
  <c r="CP1209" i="4" s="1"/>
  <c r="CA407" i="4"/>
  <c r="BZ407" i="4"/>
  <c r="BY407" i="4"/>
  <c r="CQ1208" i="4" s="1"/>
  <c r="BX407" i="4"/>
  <c r="CP1208" i="4" s="1"/>
  <c r="BW407" i="4"/>
  <c r="BV407" i="4"/>
  <c r="BU407" i="4"/>
  <c r="CQ1207" i="4" s="1"/>
  <c r="BM407" i="4"/>
  <c r="BL407" i="4"/>
  <c r="BP407" i="4"/>
  <c r="BT407" i="4"/>
  <c r="CP1207" i="4" s="1"/>
  <c r="BS407" i="4"/>
  <c r="BQ407" i="4"/>
  <c r="BN407" i="4"/>
  <c r="BK407" i="4"/>
  <c r="BI407" i="4"/>
  <c r="BR407" i="4"/>
  <c r="BJ407" i="4"/>
  <c r="BH407" i="4"/>
  <c r="BE407" i="4"/>
  <c r="BO407" i="4"/>
  <c r="BF407" i="4"/>
  <c r="AX407" i="4"/>
  <c r="AV407" i="4"/>
  <c r="BG407" i="4"/>
  <c r="AT407" i="4"/>
  <c r="CI1209" i="4" s="1"/>
  <c r="AW407" i="4"/>
  <c r="AS407" i="4"/>
  <c r="AQ407" i="4"/>
  <c r="CJ1208" i="4" s="1"/>
  <c r="AU407" i="4"/>
  <c r="CJ1209" i="4" s="1"/>
  <c r="AR407" i="4"/>
  <c r="AN407" i="4"/>
  <c r="AM407" i="4"/>
  <c r="CJ1207" i="4" s="1"/>
  <c r="AY407" i="4"/>
  <c r="AK407" i="4"/>
  <c r="AL407" i="4"/>
  <c r="CI1207" i="4" s="1"/>
  <c r="AH407" i="4"/>
  <c r="AG407" i="4"/>
  <c r="AJ407" i="4"/>
  <c r="AP407" i="4"/>
  <c r="CI1208" i="4" s="1"/>
  <c r="AO407" i="4"/>
  <c r="AF407" i="4"/>
  <c r="AE407" i="4"/>
  <c r="AA407" i="4"/>
  <c r="AI407" i="4"/>
  <c r="AB407" i="4"/>
  <c r="AC407" i="4"/>
  <c r="AD407" i="4"/>
  <c r="CE173" i="4"/>
  <c r="CG173" i="4"/>
  <c r="CD173" i="4"/>
  <c r="CC173" i="4"/>
  <c r="CQ507" i="4" s="1"/>
  <c r="CF173" i="4"/>
  <c r="CA173" i="4"/>
  <c r="BZ173" i="4"/>
  <c r="BS173" i="4"/>
  <c r="BR173" i="4"/>
  <c r="BQ173" i="4"/>
  <c r="BV173" i="4"/>
  <c r="BX173" i="4"/>
  <c r="CP506" i="4" s="1"/>
  <c r="BY173" i="4"/>
  <c r="CQ506" i="4" s="1"/>
  <c r="BW173" i="4"/>
  <c r="BT173" i="4"/>
  <c r="CP505" i="4" s="1"/>
  <c r="BN173" i="4"/>
  <c r="BM173" i="4"/>
  <c r="BL173" i="4"/>
  <c r="BU173" i="4"/>
  <c r="CQ505" i="4" s="1"/>
  <c r="BO173" i="4"/>
  <c r="BJ173" i="4"/>
  <c r="CB173" i="4"/>
  <c r="CP507" i="4" s="1"/>
  <c r="BF173" i="4"/>
  <c r="BK173" i="4"/>
  <c r="BE173" i="4"/>
  <c r="BP173" i="4"/>
  <c r="BI173" i="4"/>
  <c r="BG173" i="4"/>
  <c r="AW173" i="4"/>
  <c r="AY173" i="4"/>
  <c r="AX173" i="4"/>
  <c r="BH173" i="4"/>
  <c r="AT173" i="4"/>
  <c r="CI507" i="4" s="1"/>
  <c r="AV173" i="4"/>
  <c r="AS173" i="4"/>
  <c r="AR173" i="4"/>
  <c r="AQ173" i="4"/>
  <c r="CJ506" i="4" s="1"/>
  <c r="AU173" i="4"/>
  <c r="CJ507" i="4" s="1"/>
  <c r="AL173" i="4"/>
  <c r="CI505" i="4" s="1"/>
  <c r="AO173" i="4"/>
  <c r="AK173" i="4"/>
  <c r="AM173" i="4"/>
  <c r="CJ505" i="4" s="1"/>
  <c r="AI173" i="4"/>
  <c r="AJ173" i="4"/>
  <c r="AH173" i="4"/>
  <c r="AN173" i="4"/>
  <c r="AG173" i="4"/>
  <c r="AP173" i="4"/>
  <c r="CI506" i="4" s="1"/>
  <c r="AF173" i="4"/>
  <c r="AE173" i="4"/>
  <c r="AD173" i="4"/>
  <c r="AB173" i="4"/>
  <c r="AC173" i="4"/>
  <c r="AA173" i="4"/>
  <c r="K17" i="4"/>
  <c r="CF372" i="4"/>
  <c r="CB372" i="4"/>
  <c r="CP1104" i="4" s="1"/>
  <c r="CA372" i="4"/>
  <c r="CC372" i="4"/>
  <c r="CQ1104" i="4" s="1"/>
  <c r="CE372" i="4"/>
  <c r="BZ372" i="4"/>
  <c r="CG372" i="4"/>
  <c r="BY372" i="4"/>
  <c r="CQ1103" i="4" s="1"/>
  <c r="BV372" i="4"/>
  <c r="BW372" i="4"/>
  <c r="BU372" i="4"/>
  <c r="CQ1102" i="4" s="1"/>
  <c r="BX372" i="4"/>
  <c r="CP1103" i="4" s="1"/>
  <c r="BT372" i="4"/>
  <c r="CP1102" i="4" s="1"/>
  <c r="CD372" i="4"/>
  <c r="BS372" i="4"/>
  <c r="BP372" i="4"/>
  <c r="BN372" i="4"/>
  <c r="BO372" i="4"/>
  <c r="BK372" i="4"/>
  <c r="BQ372" i="4"/>
  <c r="BL372" i="4"/>
  <c r="BM372" i="4"/>
  <c r="BR372" i="4"/>
  <c r="BJ372" i="4"/>
  <c r="BI372" i="4"/>
  <c r="BH372" i="4"/>
  <c r="BG372" i="4"/>
  <c r="AY372" i="4"/>
  <c r="BE372" i="4"/>
  <c r="AX372" i="4"/>
  <c r="AT372" i="4"/>
  <c r="CI1104" i="4" s="1"/>
  <c r="AV372" i="4"/>
  <c r="AS372" i="4"/>
  <c r="AW372" i="4"/>
  <c r="AQ372" i="4"/>
  <c r="CJ1103" i="4" s="1"/>
  <c r="BF372" i="4"/>
  <c r="AN372" i="4"/>
  <c r="AM372" i="4"/>
  <c r="CJ1102" i="4" s="1"/>
  <c r="AP372" i="4"/>
  <c r="CI1103" i="4" s="1"/>
  <c r="AO372" i="4"/>
  <c r="AK372" i="4"/>
  <c r="AI372" i="4"/>
  <c r="AH372" i="4"/>
  <c r="AR372" i="4"/>
  <c r="AJ372" i="4"/>
  <c r="AF372" i="4"/>
  <c r="AU372" i="4"/>
  <c r="CJ1104" i="4" s="1"/>
  <c r="AG372" i="4"/>
  <c r="AA372" i="4"/>
  <c r="AL372" i="4"/>
  <c r="CI1102" i="4" s="1"/>
  <c r="AD372" i="4"/>
  <c r="AE372" i="4"/>
  <c r="AC372" i="4"/>
  <c r="AB372" i="4"/>
  <c r="K98" i="4"/>
  <c r="CF281" i="4"/>
  <c r="CG281" i="4"/>
  <c r="CC281" i="4"/>
  <c r="CQ831" i="4" s="1"/>
  <c r="CA281" i="4"/>
  <c r="CD281" i="4"/>
  <c r="BZ281" i="4"/>
  <c r="BY281" i="4"/>
  <c r="CQ830" i="4" s="1"/>
  <c r="BX281" i="4"/>
  <c r="CP830" i="4" s="1"/>
  <c r="CB281" i="4"/>
  <c r="CP831" i="4" s="1"/>
  <c r="BU281" i="4"/>
  <c r="CQ829" i="4" s="1"/>
  <c r="BV281" i="4"/>
  <c r="BT281" i="4"/>
  <c r="CP829" i="4" s="1"/>
  <c r="CE281" i="4"/>
  <c r="BW281" i="4"/>
  <c r="BM281" i="4"/>
  <c r="BL281" i="4"/>
  <c r="BS281" i="4"/>
  <c r="BN281" i="4"/>
  <c r="BK281" i="4"/>
  <c r="BP281" i="4"/>
  <c r="BQ281" i="4"/>
  <c r="BO281" i="4"/>
  <c r="BE281" i="4"/>
  <c r="AY281" i="4"/>
  <c r="BG281" i="4"/>
  <c r="BI281" i="4"/>
  <c r="BF281" i="4"/>
  <c r="BH281" i="4"/>
  <c r="BJ281" i="4"/>
  <c r="AX281" i="4"/>
  <c r="BR281" i="4"/>
  <c r="AW281" i="4"/>
  <c r="AV281" i="4"/>
  <c r="AT281" i="4"/>
  <c r="CI831" i="4" s="1"/>
  <c r="AR281" i="4"/>
  <c r="AQ281" i="4"/>
  <c r="CJ830" i="4" s="1"/>
  <c r="AU281" i="4"/>
  <c r="CJ831" i="4" s="1"/>
  <c r="AS281" i="4"/>
  <c r="AN281" i="4"/>
  <c r="AP281" i="4"/>
  <c r="CI830" i="4" s="1"/>
  <c r="AK281" i="4"/>
  <c r="AO281" i="4"/>
  <c r="AL281" i="4"/>
  <c r="CI829" i="4" s="1"/>
  <c r="AJ281" i="4"/>
  <c r="AI281" i="4"/>
  <c r="AM281" i="4"/>
  <c r="CJ829" i="4" s="1"/>
  <c r="AH281" i="4"/>
  <c r="AF281" i="4"/>
  <c r="AE281" i="4"/>
  <c r="AG281" i="4"/>
  <c r="AC281" i="4"/>
  <c r="AD281" i="4"/>
  <c r="AA281" i="4"/>
  <c r="AB281" i="4"/>
  <c r="K112" i="4"/>
  <c r="CE259" i="4"/>
  <c r="CA259" i="4"/>
  <c r="CC259" i="4"/>
  <c r="CQ765" i="4" s="1"/>
  <c r="BZ259" i="4"/>
  <c r="BY259" i="4"/>
  <c r="CQ764" i="4" s="1"/>
  <c r="CG259" i="4"/>
  <c r="BV259" i="4"/>
  <c r="CF259" i="4"/>
  <c r="CD259" i="4"/>
  <c r="CB259" i="4"/>
  <c r="CP765" i="4" s="1"/>
  <c r="BW259" i="4"/>
  <c r="BS259" i="4"/>
  <c r="BR259" i="4"/>
  <c r="BQ259" i="4"/>
  <c r="BP259" i="4"/>
  <c r="BO259" i="4"/>
  <c r="BN259" i="4"/>
  <c r="BU259" i="4"/>
  <c r="CQ763" i="4" s="1"/>
  <c r="BX259" i="4"/>
  <c r="CP764" i="4" s="1"/>
  <c r="BT259" i="4"/>
  <c r="CP763" i="4" s="1"/>
  <c r="BM259" i="4"/>
  <c r="BJ259" i="4"/>
  <c r="BI259" i="4"/>
  <c r="BH259" i="4"/>
  <c r="BF259" i="4"/>
  <c r="BL259" i="4"/>
  <c r="BK259" i="4"/>
  <c r="BG259" i="4"/>
  <c r="AW259" i="4"/>
  <c r="BE259" i="4"/>
  <c r="AY259" i="4"/>
  <c r="AX259" i="4"/>
  <c r="AR259" i="4"/>
  <c r="AU259" i="4"/>
  <c r="CJ765" i="4" s="1"/>
  <c r="AS259" i="4"/>
  <c r="AV259" i="4"/>
  <c r="AT259" i="4"/>
  <c r="CI765" i="4" s="1"/>
  <c r="AL259" i="4"/>
  <c r="CI763" i="4" s="1"/>
  <c r="AK259" i="4"/>
  <c r="AJ259" i="4"/>
  <c r="AQ259" i="4"/>
  <c r="CJ764" i="4" s="1"/>
  <c r="AO259" i="4"/>
  <c r="AN259" i="4"/>
  <c r="AH259" i="4"/>
  <c r="AP259" i="4"/>
  <c r="CI764" i="4" s="1"/>
  <c r="AG259" i="4"/>
  <c r="AM259" i="4"/>
  <c r="CJ763" i="4" s="1"/>
  <c r="AI259" i="4"/>
  <c r="AE259" i="4"/>
  <c r="AB259" i="4"/>
  <c r="AF259" i="4"/>
  <c r="AA259" i="4"/>
  <c r="AC259" i="4"/>
  <c r="AD259" i="4"/>
  <c r="CG12" i="4"/>
  <c r="CF12" i="4"/>
  <c r="CE12" i="4"/>
  <c r="CD12" i="4"/>
  <c r="CB12" i="4"/>
  <c r="CP24" i="4" s="1"/>
  <c r="CC12" i="4"/>
  <c r="CQ24" i="4" s="1"/>
  <c r="BS12" i="4"/>
  <c r="BR12" i="4"/>
  <c r="BQ12" i="4"/>
  <c r="BW12" i="4"/>
  <c r="BZ12" i="4"/>
  <c r="BU12" i="4"/>
  <c r="CQ22" i="4" s="1"/>
  <c r="BY12" i="4"/>
  <c r="CQ23" i="4" s="1"/>
  <c r="BT12" i="4"/>
  <c r="CP22" i="4" s="1"/>
  <c r="CA12" i="4"/>
  <c r="BX12" i="4"/>
  <c r="CP23" i="4" s="1"/>
  <c r="BV12" i="4"/>
  <c r="BO12" i="4"/>
  <c r="BL12" i="4"/>
  <c r="BK12" i="4"/>
  <c r="BP12" i="4"/>
  <c r="BI12" i="4"/>
  <c r="BH12" i="4"/>
  <c r="BM12" i="4"/>
  <c r="BJ12" i="4"/>
  <c r="BN12" i="4"/>
  <c r="BG12" i="4"/>
  <c r="AX12" i="4"/>
  <c r="BF12" i="4"/>
  <c r="AW12" i="4"/>
  <c r="BE12" i="4"/>
  <c r="AU12" i="4"/>
  <c r="CJ24" i="4" s="1"/>
  <c r="AY12" i="4"/>
  <c r="AS12" i="4"/>
  <c r="AT12" i="4"/>
  <c r="CI24" i="4" s="1"/>
  <c r="AV12" i="4"/>
  <c r="AQ12" i="4"/>
  <c r="CJ23" i="4" s="1"/>
  <c r="AO12" i="4"/>
  <c r="AR12" i="4"/>
  <c r="AM12" i="4"/>
  <c r="CJ22" i="4" s="1"/>
  <c r="AN12" i="4"/>
  <c r="AL12" i="4"/>
  <c r="CI22" i="4" s="1"/>
  <c r="AP12" i="4"/>
  <c r="CI23" i="4" s="1"/>
  <c r="AJ12" i="4"/>
  <c r="AG12" i="4"/>
  <c r="AF12" i="4"/>
  <c r="AE12" i="4"/>
  <c r="AD12" i="4"/>
  <c r="AC12" i="4"/>
  <c r="AB12" i="4"/>
  <c r="AI12" i="4"/>
  <c r="AH12" i="4"/>
  <c r="AK12" i="4"/>
  <c r="AA12" i="4"/>
  <c r="CG18" i="4"/>
  <c r="CA18" i="4"/>
  <c r="CE18" i="4"/>
  <c r="BY18" i="4"/>
  <c r="CQ41" i="4" s="1"/>
  <c r="BX18" i="4"/>
  <c r="CP41" i="4" s="1"/>
  <c r="BW18" i="4"/>
  <c r="BV18" i="4"/>
  <c r="BZ18" i="4"/>
  <c r="CD18" i="4"/>
  <c r="CB18" i="4"/>
  <c r="CP42" i="4" s="1"/>
  <c r="CF18" i="4"/>
  <c r="CC18" i="4"/>
  <c r="CQ42" i="4" s="1"/>
  <c r="BS18" i="4"/>
  <c r="BR18" i="4"/>
  <c r="BQ18" i="4"/>
  <c r="BP18" i="4"/>
  <c r="BO18" i="4"/>
  <c r="BU18" i="4"/>
  <c r="CQ40" i="4" s="1"/>
  <c r="BN18" i="4"/>
  <c r="BM18" i="4"/>
  <c r="BK18" i="4"/>
  <c r="BI18" i="4"/>
  <c r="BE18" i="4"/>
  <c r="BJ18" i="4"/>
  <c r="BH18" i="4"/>
  <c r="BT18" i="4"/>
  <c r="CP40" i="4" s="1"/>
  <c r="BF18" i="4"/>
  <c r="AV18" i="4"/>
  <c r="AY18" i="4"/>
  <c r="BG18" i="4"/>
  <c r="AX18" i="4"/>
  <c r="AW18" i="4"/>
  <c r="AU18" i="4"/>
  <c r="CJ42" i="4" s="1"/>
  <c r="AQ18" i="4"/>
  <c r="CJ41" i="4" s="1"/>
  <c r="AR18" i="4"/>
  <c r="BL18" i="4"/>
  <c r="AS18" i="4"/>
  <c r="AO18" i="4"/>
  <c r="AT18" i="4"/>
  <c r="CI42" i="4" s="1"/>
  <c r="AL18" i="4"/>
  <c r="CI40" i="4" s="1"/>
  <c r="AH18" i="4"/>
  <c r="AP18" i="4"/>
  <c r="CI41" i="4" s="1"/>
  <c r="AM18" i="4"/>
  <c r="CJ40" i="4" s="1"/>
  <c r="AN18" i="4"/>
  <c r="AI18" i="4"/>
  <c r="AK18" i="4"/>
  <c r="AG18" i="4"/>
  <c r="AJ18" i="4"/>
  <c r="AF18" i="4"/>
  <c r="AE18" i="4"/>
  <c r="AB18" i="4"/>
  <c r="AA18" i="4"/>
  <c r="AC18" i="4"/>
  <c r="AD18" i="4"/>
  <c r="CE72" i="4"/>
  <c r="CD72" i="4"/>
  <c r="CC72" i="4"/>
  <c r="CQ204" i="4" s="1"/>
  <c r="CB72" i="4"/>
  <c r="CP204" i="4" s="1"/>
  <c r="CG72" i="4"/>
  <c r="BZ72" i="4"/>
  <c r="BY72" i="4"/>
  <c r="CQ203" i="4" s="1"/>
  <c r="BX72" i="4"/>
  <c r="CP203" i="4" s="1"/>
  <c r="BW72" i="4"/>
  <c r="BS72" i="4"/>
  <c r="BR72" i="4"/>
  <c r="BQ72" i="4"/>
  <c r="BP72" i="4"/>
  <c r="BO72" i="4"/>
  <c r="BL72" i="4"/>
  <c r="BK72" i="4"/>
  <c r="BJ72" i="4"/>
  <c r="BV72" i="4"/>
  <c r="BU72" i="4"/>
  <c r="CQ202" i="4" s="1"/>
  <c r="CA72" i="4"/>
  <c r="BN72" i="4"/>
  <c r="CF72" i="4"/>
  <c r="BT72" i="4"/>
  <c r="CP202" i="4" s="1"/>
  <c r="BM72" i="4"/>
  <c r="BI72" i="4"/>
  <c r="BG72" i="4"/>
  <c r="AY72" i="4"/>
  <c r="BF72" i="4"/>
  <c r="BE72" i="4"/>
  <c r="AX72" i="4"/>
  <c r="AW72" i="4"/>
  <c r="AU72" i="4"/>
  <c r="CJ204" i="4" s="1"/>
  <c r="BH72" i="4"/>
  <c r="AT72" i="4"/>
  <c r="CI204" i="4" s="1"/>
  <c r="AR72" i="4"/>
  <c r="AS72" i="4"/>
  <c r="AQ72" i="4"/>
  <c r="CJ203" i="4" s="1"/>
  <c r="AO72" i="4"/>
  <c r="AV72" i="4"/>
  <c r="AM72" i="4"/>
  <c r="CJ202" i="4" s="1"/>
  <c r="AP72" i="4"/>
  <c r="CI203" i="4" s="1"/>
  <c r="AF72" i="4"/>
  <c r="AJ72" i="4"/>
  <c r="AK72" i="4"/>
  <c r="AN72" i="4"/>
  <c r="AI72" i="4"/>
  <c r="AH72" i="4"/>
  <c r="AG72" i="4"/>
  <c r="AL72" i="4"/>
  <c r="CI202" i="4" s="1"/>
  <c r="AA72" i="4"/>
  <c r="AD72" i="4"/>
  <c r="AB72" i="4"/>
  <c r="AE72" i="4"/>
  <c r="AC72" i="4"/>
  <c r="R79" i="4"/>
  <c r="CF23" i="4"/>
  <c r="CE23" i="4"/>
  <c r="CG23" i="4"/>
  <c r="CD23" i="4"/>
  <c r="CC23" i="4"/>
  <c r="CQ57" i="4" s="1"/>
  <c r="CB23" i="4"/>
  <c r="CP57" i="4" s="1"/>
  <c r="CA23" i="4"/>
  <c r="BY23" i="4"/>
  <c r="CQ56" i="4" s="1"/>
  <c r="BX23" i="4"/>
  <c r="CP56" i="4" s="1"/>
  <c r="BW23" i="4"/>
  <c r="BZ23" i="4"/>
  <c r="BT23" i="4"/>
  <c r="CP55" i="4" s="1"/>
  <c r="BV23" i="4"/>
  <c r="BQ23" i="4"/>
  <c r="BL23" i="4"/>
  <c r="BK23" i="4"/>
  <c r="BU23" i="4"/>
  <c r="CQ55" i="4" s="1"/>
  <c r="BS23" i="4"/>
  <c r="BO23" i="4"/>
  <c r="BM23" i="4"/>
  <c r="BP23" i="4"/>
  <c r="BJ23" i="4"/>
  <c r="BR23" i="4"/>
  <c r="BG23" i="4"/>
  <c r="BN23" i="4"/>
  <c r="BI23" i="4"/>
  <c r="BF23" i="4"/>
  <c r="BE23" i="4"/>
  <c r="AY23" i="4"/>
  <c r="AW23" i="4"/>
  <c r="AV23" i="4"/>
  <c r="BH23" i="4"/>
  <c r="AT23" i="4"/>
  <c r="CI57" i="4" s="1"/>
  <c r="AS23" i="4"/>
  <c r="AQ23" i="4"/>
  <c r="CJ56" i="4" s="1"/>
  <c r="AU23" i="4"/>
  <c r="CJ57" i="4" s="1"/>
  <c r="AO23" i="4"/>
  <c r="AR23" i="4"/>
  <c r="AX23" i="4"/>
  <c r="AN23" i="4"/>
  <c r="AL23" i="4"/>
  <c r="CI55" i="4" s="1"/>
  <c r="AP23" i="4"/>
  <c r="CI56" i="4" s="1"/>
  <c r="AH23" i="4"/>
  <c r="AM23" i="4"/>
  <c r="CJ55" i="4" s="1"/>
  <c r="AI23" i="4"/>
  <c r="AK23" i="4"/>
  <c r="AJ23" i="4"/>
  <c r="AG23" i="4"/>
  <c r="AE23" i="4"/>
  <c r="AF23" i="4"/>
  <c r="AD23" i="4"/>
  <c r="AB23" i="4"/>
  <c r="AA23" i="4"/>
  <c r="AC23" i="4"/>
  <c r="CG290" i="4"/>
  <c r="CE290" i="4"/>
  <c r="BZ290" i="4"/>
  <c r="BY290" i="4"/>
  <c r="CQ857" i="4" s="1"/>
  <c r="BX290" i="4"/>
  <c r="CP857" i="4" s="1"/>
  <c r="BW290" i="4"/>
  <c r="CB290" i="4"/>
  <c r="CP858" i="4" s="1"/>
  <c r="CF290" i="4"/>
  <c r="CA290" i="4"/>
  <c r="CC290" i="4"/>
  <c r="CQ858" i="4" s="1"/>
  <c r="BS290" i="4"/>
  <c r="BR290" i="4"/>
  <c r="BQ290" i="4"/>
  <c r="BP290" i="4"/>
  <c r="BO290" i="4"/>
  <c r="CD290" i="4"/>
  <c r="BN290" i="4"/>
  <c r="BV290" i="4"/>
  <c r="BT290" i="4"/>
  <c r="CP856" i="4" s="1"/>
  <c r="BU290" i="4"/>
  <c r="CQ856" i="4" s="1"/>
  <c r="BK290" i="4"/>
  <c r="BL290" i="4"/>
  <c r="BM290" i="4"/>
  <c r="BJ290" i="4"/>
  <c r="BE290" i="4"/>
  <c r="BG290" i="4"/>
  <c r="BI290" i="4"/>
  <c r="BH290" i="4"/>
  <c r="AW290" i="4"/>
  <c r="AX290" i="4"/>
  <c r="AY290" i="4"/>
  <c r="AU290" i="4"/>
  <c r="CJ858" i="4" s="1"/>
  <c r="BF290" i="4"/>
  <c r="AT290" i="4"/>
  <c r="CI858" i="4" s="1"/>
  <c r="AS290" i="4"/>
  <c r="AQ290" i="4"/>
  <c r="CJ857" i="4" s="1"/>
  <c r="AV290" i="4"/>
  <c r="AO290" i="4"/>
  <c r="AP290" i="4"/>
  <c r="CI857" i="4" s="1"/>
  <c r="AI290" i="4"/>
  <c r="AN290" i="4"/>
  <c r="AM290" i="4"/>
  <c r="CJ856" i="4" s="1"/>
  <c r="AK290" i="4"/>
  <c r="AL290" i="4"/>
  <c r="CI856" i="4" s="1"/>
  <c r="AH290" i="4"/>
  <c r="AG290" i="4"/>
  <c r="AR290" i="4"/>
  <c r="AJ290" i="4"/>
  <c r="AF290" i="4"/>
  <c r="AA290" i="4"/>
  <c r="AC290" i="4"/>
  <c r="AD290" i="4"/>
  <c r="AB290" i="4"/>
  <c r="AE290" i="4"/>
  <c r="R94" i="4"/>
  <c r="CG46" i="4"/>
  <c r="CF46" i="4"/>
  <c r="CD46" i="4"/>
  <c r="CC46" i="4"/>
  <c r="CQ126" i="4" s="1"/>
  <c r="CB46" i="4"/>
  <c r="CP126" i="4" s="1"/>
  <c r="CE46" i="4"/>
  <c r="CA46" i="4"/>
  <c r="BZ46" i="4"/>
  <c r="BS46" i="4"/>
  <c r="BR46" i="4"/>
  <c r="BQ46" i="4"/>
  <c r="BP46" i="4"/>
  <c r="BO46" i="4"/>
  <c r="BN46" i="4"/>
  <c r="BM46" i="4"/>
  <c r="BU46" i="4"/>
  <c r="CQ124" i="4" s="1"/>
  <c r="BY46" i="4"/>
  <c r="CQ125" i="4" s="1"/>
  <c r="BT46" i="4"/>
  <c r="CP124" i="4" s="1"/>
  <c r="BX46" i="4"/>
  <c r="CP125" i="4" s="1"/>
  <c r="BW46" i="4"/>
  <c r="BV46" i="4"/>
  <c r="BL46" i="4"/>
  <c r="BK46" i="4"/>
  <c r="BI46" i="4"/>
  <c r="AY46" i="4"/>
  <c r="AX46" i="4"/>
  <c r="AW46" i="4"/>
  <c r="AV46" i="4"/>
  <c r="AU46" i="4"/>
  <c r="CJ126" i="4" s="1"/>
  <c r="AT46" i="4"/>
  <c r="CI126" i="4" s="1"/>
  <c r="BG46" i="4"/>
  <c r="BJ46" i="4"/>
  <c r="BH46" i="4"/>
  <c r="BF46" i="4"/>
  <c r="AS46" i="4"/>
  <c r="BE46" i="4"/>
  <c r="AO46" i="4"/>
  <c r="AR46" i="4"/>
  <c r="AP46" i="4"/>
  <c r="CI125" i="4" s="1"/>
  <c r="AN46" i="4"/>
  <c r="AM46" i="4"/>
  <c r="CJ124" i="4" s="1"/>
  <c r="AQ46" i="4"/>
  <c r="CJ125" i="4" s="1"/>
  <c r="AL46" i="4"/>
  <c r="CI124" i="4" s="1"/>
  <c r="AJ46" i="4"/>
  <c r="AG46" i="4"/>
  <c r="AK46" i="4"/>
  <c r="AF46" i="4"/>
  <c r="AE46" i="4"/>
  <c r="AD46" i="4"/>
  <c r="AC46" i="4"/>
  <c r="AB46" i="4"/>
  <c r="AA46" i="4"/>
  <c r="AI46" i="4"/>
  <c r="AH46" i="4"/>
  <c r="K12" i="4"/>
  <c r="CF421" i="4"/>
  <c r="CE421" i="4"/>
  <c r="BZ421" i="4"/>
  <c r="BY421" i="4"/>
  <c r="CQ1250" i="4" s="1"/>
  <c r="BX421" i="4"/>
  <c r="CP1250" i="4" s="1"/>
  <c r="BW421" i="4"/>
  <c r="BV421" i="4"/>
  <c r="BU421" i="4"/>
  <c r="CQ1249" i="4" s="1"/>
  <c r="CB421" i="4"/>
  <c r="CP1251" i="4" s="1"/>
  <c r="CC421" i="4"/>
  <c r="CQ1251" i="4" s="1"/>
  <c r="CA421" i="4"/>
  <c r="CD421" i="4"/>
  <c r="BR421" i="4"/>
  <c r="BQ421" i="4"/>
  <c r="BT421" i="4"/>
  <c r="CP1249" i="4" s="1"/>
  <c r="CG421" i="4"/>
  <c r="BM421" i="4"/>
  <c r="BL421" i="4"/>
  <c r="BO421" i="4"/>
  <c r="BS421" i="4"/>
  <c r="BH421" i="4"/>
  <c r="BP421" i="4"/>
  <c r="BI421" i="4"/>
  <c r="BF421" i="4"/>
  <c r="BN421" i="4"/>
  <c r="BG421" i="4"/>
  <c r="BE421" i="4"/>
  <c r="AY421" i="4"/>
  <c r="AW421" i="4"/>
  <c r="BJ421" i="4"/>
  <c r="AT421" i="4"/>
  <c r="CI1251" i="4" s="1"/>
  <c r="AU421" i="4"/>
  <c r="CJ1251" i="4" s="1"/>
  <c r="AV421" i="4"/>
  <c r="AO421" i="4"/>
  <c r="AX421" i="4"/>
  <c r="AR421" i="4"/>
  <c r="AM421" i="4"/>
  <c r="CJ1249" i="4" s="1"/>
  <c r="BK421" i="4"/>
  <c r="AP421" i="4"/>
  <c r="CI1250" i="4" s="1"/>
  <c r="AL421" i="4"/>
  <c r="CI1249" i="4" s="1"/>
  <c r="AQ421" i="4"/>
  <c r="CJ1250" i="4" s="1"/>
  <c r="AN421" i="4"/>
  <c r="AG421" i="4"/>
  <c r="AJ421" i="4"/>
  <c r="AS421" i="4"/>
  <c r="AK421" i="4"/>
  <c r="AE421" i="4"/>
  <c r="AD421" i="4"/>
  <c r="AI421" i="4"/>
  <c r="AB421" i="4"/>
  <c r="AC421" i="4"/>
  <c r="AF421" i="4"/>
  <c r="AA421" i="4"/>
  <c r="AH421" i="4"/>
  <c r="CF31" i="4"/>
  <c r="CC31" i="4"/>
  <c r="CQ81" i="4" s="1"/>
  <c r="CG31" i="4"/>
  <c r="CE31" i="4"/>
  <c r="CA31" i="4"/>
  <c r="CB31" i="4"/>
  <c r="CP81" i="4" s="1"/>
  <c r="BZ31" i="4"/>
  <c r="BY31" i="4"/>
  <c r="CQ80" i="4" s="1"/>
  <c r="BX31" i="4"/>
  <c r="CP80" i="4" s="1"/>
  <c r="BW31" i="4"/>
  <c r="BS31" i="4"/>
  <c r="BR31" i="4"/>
  <c r="BQ31" i="4"/>
  <c r="CD31" i="4"/>
  <c r="BU31" i="4"/>
  <c r="CQ79" i="4" s="1"/>
  <c r="BT31" i="4"/>
  <c r="CP79" i="4" s="1"/>
  <c r="BM31" i="4"/>
  <c r="BP31" i="4"/>
  <c r="BV31" i="4"/>
  <c r="BL31" i="4"/>
  <c r="BK31" i="4"/>
  <c r="BN31" i="4"/>
  <c r="BO31" i="4"/>
  <c r="BH31" i="4"/>
  <c r="BI31" i="4"/>
  <c r="BJ31" i="4"/>
  <c r="BF31" i="4"/>
  <c r="AX31" i="4"/>
  <c r="BE31" i="4"/>
  <c r="BG31" i="4"/>
  <c r="AV31" i="4"/>
  <c r="AT31" i="4"/>
  <c r="CI81" i="4" s="1"/>
  <c r="AY31" i="4"/>
  <c r="AS31" i="4"/>
  <c r="AW31" i="4"/>
  <c r="AQ31" i="4"/>
  <c r="CJ80" i="4" s="1"/>
  <c r="AO31" i="4"/>
  <c r="AM31" i="4"/>
  <c r="CJ79" i="4" s="1"/>
  <c r="AU31" i="4"/>
  <c r="CJ81" i="4" s="1"/>
  <c r="AR31" i="4"/>
  <c r="AP31" i="4"/>
  <c r="CI80" i="4" s="1"/>
  <c r="AJ31" i="4"/>
  <c r="AN31" i="4"/>
  <c r="AG31" i="4"/>
  <c r="AK31" i="4"/>
  <c r="AI31" i="4"/>
  <c r="AA31" i="4"/>
  <c r="AH31" i="4"/>
  <c r="AL31" i="4"/>
  <c r="CI79" i="4" s="1"/>
  <c r="AE31" i="4"/>
  <c r="AC31" i="4"/>
  <c r="AD31" i="4"/>
  <c r="AF31" i="4"/>
  <c r="AB31" i="4"/>
  <c r="CE157" i="4"/>
  <c r="CG157" i="4"/>
  <c r="CD157" i="4"/>
  <c r="CC157" i="4"/>
  <c r="CQ459" i="4" s="1"/>
  <c r="CB157" i="4"/>
  <c r="CP459" i="4" s="1"/>
  <c r="CA157" i="4"/>
  <c r="CF157" i="4"/>
  <c r="BX157" i="4"/>
  <c r="CP458" i="4" s="1"/>
  <c r="BW157" i="4"/>
  <c r="BS157" i="4"/>
  <c r="BR157" i="4"/>
  <c r="BQ157" i="4"/>
  <c r="BY157" i="4"/>
  <c r="CQ458" i="4" s="1"/>
  <c r="BV157" i="4"/>
  <c r="BU157" i="4"/>
  <c r="CQ457" i="4" s="1"/>
  <c r="BO157" i="4"/>
  <c r="BN157" i="4"/>
  <c r="BP157" i="4"/>
  <c r="BL157" i="4"/>
  <c r="BK157" i="4"/>
  <c r="BZ157" i="4"/>
  <c r="BJ157" i="4"/>
  <c r="BM157" i="4"/>
  <c r="BT157" i="4"/>
  <c r="CP457" i="4" s="1"/>
  <c r="BG157" i="4"/>
  <c r="BH157" i="4"/>
  <c r="BF157" i="4"/>
  <c r="BE157" i="4"/>
  <c r="BI157" i="4"/>
  <c r="AW157" i="4"/>
  <c r="AU157" i="4"/>
  <c r="CJ459" i="4" s="1"/>
  <c r="AY157" i="4"/>
  <c r="AT157" i="4"/>
  <c r="CI459" i="4" s="1"/>
  <c r="AX157" i="4"/>
  <c r="AR157" i="4"/>
  <c r="AV157" i="4"/>
  <c r="AS157" i="4"/>
  <c r="AQ157" i="4"/>
  <c r="CJ458" i="4" s="1"/>
  <c r="AP157" i="4"/>
  <c r="CI458" i="4" s="1"/>
  <c r="AL157" i="4"/>
  <c r="CI457" i="4" s="1"/>
  <c r="AN157" i="4"/>
  <c r="AM157" i="4"/>
  <c r="CJ457" i="4" s="1"/>
  <c r="AI157" i="4"/>
  <c r="AH157" i="4"/>
  <c r="AO157" i="4"/>
  <c r="AK157" i="4"/>
  <c r="AJ157" i="4"/>
  <c r="AG157" i="4"/>
  <c r="AF157" i="4"/>
  <c r="AE157" i="4"/>
  <c r="AD157" i="4"/>
  <c r="AB157" i="4"/>
  <c r="AA157" i="4"/>
  <c r="AC157" i="4"/>
  <c r="R44" i="4"/>
  <c r="CF380" i="4"/>
  <c r="CG380" i="4"/>
  <c r="CE380" i="4"/>
  <c r="CD380" i="4"/>
  <c r="CB380" i="4"/>
  <c r="CP1128" i="4" s="1"/>
  <c r="CA380" i="4"/>
  <c r="BT380" i="4"/>
  <c r="CP1126" i="4" s="1"/>
  <c r="BS380" i="4"/>
  <c r="BR380" i="4"/>
  <c r="BY380" i="4"/>
  <c r="CQ1127" i="4" s="1"/>
  <c r="CC380" i="4"/>
  <c r="CQ1128" i="4" s="1"/>
  <c r="BU380" i="4"/>
  <c r="CQ1126" i="4" s="1"/>
  <c r="BQ380" i="4"/>
  <c r="BW380" i="4"/>
  <c r="BP380" i="4"/>
  <c r="BO380" i="4"/>
  <c r="BM380" i="4"/>
  <c r="BL380" i="4"/>
  <c r="BN380" i="4"/>
  <c r="BV380" i="4"/>
  <c r="BZ380" i="4"/>
  <c r="BJ380" i="4"/>
  <c r="BI380" i="4"/>
  <c r="BX380" i="4"/>
  <c r="CP1127" i="4" s="1"/>
  <c r="BG380" i="4"/>
  <c r="BK380" i="4"/>
  <c r="BH380" i="4"/>
  <c r="AX380" i="4"/>
  <c r="AY380" i="4"/>
  <c r="BE380" i="4"/>
  <c r="BF380" i="4"/>
  <c r="AU380" i="4"/>
  <c r="CJ1128" i="4" s="1"/>
  <c r="AW380" i="4"/>
  <c r="AS380" i="4"/>
  <c r="AR380" i="4"/>
  <c r="AP380" i="4"/>
  <c r="CI1127" i="4" s="1"/>
  <c r="AO380" i="4"/>
  <c r="AV380" i="4"/>
  <c r="AT380" i="4"/>
  <c r="CI1128" i="4" s="1"/>
  <c r="AM380" i="4"/>
  <c r="CJ1126" i="4" s="1"/>
  <c r="AQ380" i="4"/>
  <c r="CJ1127" i="4" s="1"/>
  <c r="AN380" i="4"/>
  <c r="AJ380" i="4"/>
  <c r="AF380" i="4"/>
  <c r="AE380" i="4"/>
  <c r="AD380" i="4"/>
  <c r="AC380" i="4"/>
  <c r="AK380" i="4"/>
  <c r="AI380" i="4"/>
  <c r="AH380" i="4"/>
  <c r="AL380" i="4"/>
  <c r="CI1126" i="4" s="1"/>
  <c r="AG380" i="4"/>
  <c r="AA380" i="4"/>
  <c r="AB380" i="4"/>
  <c r="K100" i="4"/>
  <c r="K37" i="4"/>
  <c r="CG220" i="4"/>
  <c r="CE220" i="4"/>
  <c r="CD220" i="4"/>
  <c r="CC220" i="4"/>
  <c r="CQ648" i="4" s="1"/>
  <c r="BZ220" i="4"/>
  <c r="BY220" i="4"/>
  <c r="CQ647" i="4" s="1"/>
  <c r="BS220" i="4"/>
  <c r="BR220" i="4"/>
  <c r="BU220" i="4"/>
  <c r="CQ646" i="4" s="1"/>
  <c r="CF220" i="4"/>
  <c r="BW220" i="4"/>
  <c r="BV220" i="4"/>
  <c r="BQ220" i="4"/>
  <c r="BN220" i="4"/>
  <c r="CB220" i="4"/>
  <c r="CP648" i="4" s="1"/>
  <c r="BM220" i="4"/>
  <c r="BL220" i="4"/>
  <c r="BK220" i="4"/>
  <c r="CA220" i="4"/>
  <c r="BX220" i="4"/>
  <c r="CP647" i="4" s="1"/>
  <c r="BP220" i="4"/>
  <c r="BT220" i="4"/>
  <c r="CP646" i="4" s="1"/>
  <c r="BJ220" i="4"/>
  <c r="BI220" i="4"/>
  <c r="BH220" i="4"/>
  <c r="BO220" i="4"/>
  <c r="AY220" i="4"/>
  <c r="BF220" i="4"/>
  <c r="AV220" i="4"/>
  <c r="BE220" i="4"/>
  <c r="AU220" i="4"/>
  <c r="CJ648" i="4" s="1"/>
  <c r="AS220" i="4"/>
  <c r="BG220" i="4"/>
  <c r="AX220" i="4"/>
  <c r="AW220" i="4"/>
  <c r="AP220" i="4"/>
  <c r="CI647" i="4" s="1"/>
  <c r="AR220" i="4"/>
  <c r="AO220" i="4"/>
  <c r="AQ220" i="4"/>
  <c r="CJ647" i="4" s="1"/>
  <c r="AN220" i="4"/>
  <c r="AM220" i="4"/>
  <c r="CJ646" i="4" s="1"/>
  <c r="AH220" i="4"/>
  <c r="AF220" i="4"/>
  <c r="AE220" i="4"/>
  <c r="AD220" i="4"/>
  <c r="AC220" i="4"/>
  <c r="AI220" i="4"/>
  <c r="AK220" i="4"/>
  <c r="AG220" i="4"/>
  <c r="AB220" i="4"/>
  <c r="AL220" i="4"/>
  <c r="CI646" i="4" s="1"/>
  <c r="AT220" i="4"/>
  <c r="CI648" i="4" s="1"/>
  <c r="AA220" i="4"/>
  <c r="AJ220" i="4"/>
  <c r="L60" i="4"/>
  <c r="R126" i="4"/>
  <c r="CF164" i="4"/>
  <c r="CE164" i="4"/>
  <c r="BZ164" i="4"/>
  <c r="CC164" i="4"/>
  <c r="CQ480" i="4" s="1"/>
  <c r="CB164" i="4"/>
  <c r="CP480" i="4" s="1"/>
  <c r="CD164" i="4"/>
  <c r="BX164" i="4"/>
  <c r="CP479" i="4" s="1"/>
  <c r="BU164" i="4"/>
  <c r="CQ478" i="4" s="1"/>
  <c r="BW164" i="4"/>
  <c r="BV164" i="4"/>
  <c r="BQ164" i="4"/>
  <c r="BY164" i="4"/>
  <c r="CQ479" i="4" s="1"/>
  <c r="BP164" i="4"/>
  <c r="CA164" i="4"/>
  <c r="BK164" i="4"/>
  <c r="BS164" i="4"/>
  <c r="BM164" i="4"/>
  <c r="BJ164" i="4"/>
  <c r="BI164" i="4"/>
  <c r="BH164" i="4"/>
  <c r="CG164" i="4"/>
  <c r="BN164" i="4"/>
  <c r="BT164" i="4"/>
  <c r="CP478" i="4" s="1"/>
  <c r="BL164" i="4"/>
  <c r="BO164" i="4"/>
  <c r="BG164" i="4"/>
  <c r="BR164" i="4"/>
  <c r="BF164" i="4"/>
  <c r="AX164" i="4"/>
  <c r="AW164" i="4"/>
  <c r="AV164" i="4"/>
  <c r="AY164" i="4"/>
  <c r="AU164" i="4"/>
  <c r="CJ480" i="4" s="1"/>
  <c r="AQ164" i="4"/>
  <c r="CJ479" i="4" s="1"/>
  <c r="BE164" i="4"/>
  <c r="AS164" i="4"/>
  <c r="AN164" i="4"/>
  <c r="AO164" i="4"/>
  <c r="AM164" i="4"/>
  <c r="CJ478" i="4" s="1"/>
  <c r="AJ164" i="4"/>
  <c r="AT164" i="4"/>
  <c r="CI480" i="4" s="1"/>
  <c r="AP164" i="4"/>
  <c r="CI479" i="4" s="1"/>
  <c r="AK164" i="4"/>
  <c r="AG164" i="4"/>
  <c r="AL164" i="4"/>
  <c r="CI478" i="4" s="1"/>
  <c r="AH164" i="4"/>
  <c r="AI164" i="4"/>
  <c r="AC164" i="4"/>
  <c r="AR164" i="4"/>
  <c r="AA164" i="4"/>
  <c r="AF164" i="4"/>
  <c r="AE164" i="4"/>
  <c r="AB164" i="4"/>
  <c r="AD164" i="4"/>
  <c r="CG57" i="4"/>
  <c r="CF57" i="4"/>
  <c r="CE57" i="4"/>
  <c r="CB57" i="4"/>
  <c r="CP159" i="4" s="1"/>
  <c r="CA57" i="4"/>
  <c r="CC57" i="4"/>
  <c r="CQ159" i="4" s="1"/>
  <c r="CD57" i="4"/>
  <c r="BZ57" i="4"/>
  <c r="BY57" i="4"/>
  <c r="CQ158" i="4" s="1"/>
  <c r="BX57" i="4"/>
  <c r="CP158" i="4" s="1"/>
  <c r="BV57" i="4"/>
  <c r="BT57" i="4"/>
  <c r="CP157" i="4" s="1"/>
  <c r="BL57" i="4"/>
  <c r="BS57" i="4"/>
  <c r="BR57" i="4"/>
  <c r="BM57" i="4"/>
  <c r="BW57" i="4"/>
  <c r="BU57" i="4"/>
  <c r="CQ157" i="4" s="1"/>
  <c r="BJ57" i="4"/>
  <c r="BP57" i="4"/>
  <c r="BK57" i="4"/>
  <c r="BO57" i="4"/>
  <c r="BN57" i="4"/>
  <c r="BQ57" i="4"/>
  <c r="AY57" i="4"/>
  <c r="AX57" i="4"/>
  <c r="BH57" i="4"/>
  <c r="BG57" i="4"/>
  <c r="BF57" i="4"/>
  <c r="BE57" i="4"/>
  <c r="BI57" i="4"/>
  <c r="AW57" i="4"/>
  <c r="AV57" i="4"/>
  <c r="AU57" i="4"/>
  <c r="CJ159" i="4" s="1"/>
  <c r="AS57" i="4"/>
  <c r="AT57" i="4"/>
  <c r="CI159" i="4" s="1"/>
  <c r="AP57" i="4"/>
  <c r="CI158" i="4" s="1"/>
  <c r="AL57" i="4"/>
  <c r="CI157" i="4" s="1"/>
  <c r="AQ57" i="4"/>
  <c r="CJ158" i="4" s="1"/>
  <c r="AN57" i="4"/>
  <c r="AM57" i="4"/>
  <c r="CJ157" i="4" s="1"/>
  <c r="AR57" i="4"/>
  <c r="AH57" i="4"/>
  <c r="AF57" i="4"/>
  <c r="AI57" i="4"/>
  <c r="AJ57" i="4"/>
  <c r="AG57" i="4"/>
  <c r="AE57" i="4"/>
  <c r="AO57" i="4"/>
  <c r="AK57" i="4"/>
  <c r="AB57" i="4"/>
  <c r="AA57" i="4"/>
  <c r="AC57" i="4"/>
  <c r="AD57" i="4"/>
  <c r="O106" i="4"/>
  <c r="CE140" i="4"/>
  <c r="CG140" i="4"/>
  <c r="CD140" i="4"/>
  <c r="CF140" i="4"/>
  <c r="CC140" i="4"/>
  <c r="CQ408" i="4" s="1"/>
  <c r="CA140" i="4"/>
  <c r="BS140" i="4"/>
  <c r="BR140" i="4"/>
  <c r="BZ140" i="4"/>
  <c r="BX140" i="4"/>
  <c r="CP407" i="4" s="1"/>
  <c r="BW140" i="4"/>
  <c r="BV140" i="4"/>
  <c r="BT140" i="4"/>
  <c r="CP406" i="4" s="1"/>
  <c r="BN140" i="4"/>
  <c r="BL140" i="4"/>
  <c r="BK140" i="4"/>
  <c r="BY140" i="4"/>
  <c r="CQ407" i="4" s="1"/>
  <c r="CB140" i="4"/>
  <c r="CP408" i="4" s="1"/>
  <c r="BJ140" i="4"/>
  <c r="BI140" i="4"/>
  <c r="BH140" i="4"/>
  <c r="BP140" i="4"/>
  <c r="BO140" i="4"/>
  <c r="BU140" i="4"/>
  <c r="CQ406" i="4" s="1"/>
  <c r="BM140" i="4"/>
  <c r="BG140" i="4"/>
  <c r="BF140" i="4"/>
  <c r="BE140" i="4"/>
  <c r="BQ140" i="4"/>
  <c r="AW140" i="4"/>
  <c r="AU140" i="4"/>
  <c r="CJ408" i="4" s="1"/>
  <c r="AY140" i="4"/>
  <c r="AV140" i="4"/>
  <c r="AT140" i="4"/>
  <c r="CI408" i="4" s="1"/>
  <c r="AR140" i="4"/>
  <c r="AX140" i="4"/>
  <c r="AO140" i="4"/>
  <c r="AQ140" i="4"/>
  <c r="CJ407" i="4" s="1"/>
  <c r="AS140" i="4"/>
  <c r="AL140" i="4"/>
  <c r="CI406" i="4" s="1"/>
  <c r="AF140" i="4"/>
  <c r="AE140" i="4"/>
  <c r="AD140" i="4"/>
  <c r="AC140" i="4"/>
  <c r="AI140" i="4"/>
  <c r="AM140" i="4"/>
  <c r="CJ406" i="4" s="1"/>
  <c r="AP140" i="4"/>
  <c r="CI407" i="4" s="1"/>
  <c r="AJ140" i="4"/>
  <c r="AG140" i="4"/>
  <c r="AN140" i="4"/>
  <c r="AH140" i="4"/>
  <c r="AK140" i="4"/>
  <c r="AB140" i="4"/>
  <c r="AA140" i="4"/>
  <c r="M27" i="4"/>
  <c r="CG231" i="4"/>
  <c r="CF231" i="4"/>
  <c r="CE231" i="4"/>
  <c r="CD231" i="4"/>
  <c r="CC231" i="4"/>
  <c r="CQ681" i="4" s="1"/>
  <c r="CB231" i="4"/>
  <c r="CP681" i="4" s="1"/>
  <c r="BZ231" i="4"/>
  <c r="BY231" i="4"/>
  <c r="CQ680" i="4" s="1"/>
  <c r="BX231" i="4"/>
  <c r="CP680" i="4" s="1"/>
  <c r="BW231" i="4"/>
  <c r="CA231" i="4"/>
  <c r="BU231" i="4"/>
  <c r="CQ679" i="4" s="1"/>
  <c r="BT231" i="4"/>
  <c r="CP679" i="4" s="1"/>
  <c r="BV231" i="4"/>
  <c r="BP231" i="4"/>
  <c r="BM231" i="4"/>
  <c r="BL231" i="4"/>
  <c r="BK231" i="4"/>
  <c r="BS231" i="4"/>
  <c r="BQ231" i="4"/>
  <c r="BO231" i="4"/>
  <c r="BR231" i="4"/>
  <c r="BN231" i="4"/>
  <c r="BJ231" i="4"/>
  <c r="BH231" i="4"/>
  <c r="BG231" i="4"/>
  <c r="BI231" i="4"/>
  <c r="BE231" i="4"/>
  <c r="AY231" i="4"/>
  <c r="AX231" i="4"/>
  <c r="AV231" i="4"/>
  <c r="AS231" i="4"/>
  <c r="AT231" i="4"/>
  <c r="CI681" i="4" s="1"/>
  <c r="AP231" i="4"/>
  <c r="CI680" i="4" s="1"/>
  <c r="AW231" i="4"/>
  <c r="AU231" i="4"/>
  <c r="CJ681" i="4" s="1"/>
  <c r="AR231" i="4"/>
  <c r="BF231" i="4"/>
  <c r="AO231" i="4"/>
  <c r="AQ231" i="4"/>
  <c r="CJ680" i="4" s="1"/>
  <c r="AL231" i="4"/>
  <c r="CI679" i="4" s="1"/>
  <c r="AM231" i="4"/>
  <c r="CJ679" i="4" s="1"/>
  <c r="AK231" i="4"/>
  <c r="AI231" i="4"/>
  <c r="AJ231" i="4"/>
  <c r="AN231" i="4"/>
  <c r="AF231" i="4"/>
  <c r="AH231" i="4"/>
  <c r="AG231" i="4"/>
  <c r="AD231" i="4"/>
  <c r="AC231" i="4"/>
  <c r="AB231" i="4"/>
  <c r="AA231" i="4"/>
  <c r="AE231" i="4"/>
  <c r="CF193" i="4"/>
  <c r="CE193" i="4"/>
  <c r="CG193" i="4"/>
  <c r="BZ193" i="4"/>
  <c r="BY193" i="4"/>
  <c r="CQ566" i="4" s="1"/>
  <c r="BX193" i="4"/>
  <c r="CP566" i="4" s="1"/>
  <c r="BW193" i="4"/>
  <c r="BV193" i="4"/>
  <c r="CA193" i="4"/>
  <c r="CC193" i="4"/>
  <c r="CQ567" i="4" s="1"/>
  <c r="BT193" i="4"/>
  <c r="CP565" i="4" s="1"/>
  <c r="CB193" i="4"/>
  <c r="CP567" i="4" s="1"/>
  <c r="BS193" i="4"/>
  <c r="BR193" i="4"/>
  <c r="BQ193" i="4"/>
  <c r="BP193" i="4"/>
  <c r="BO193" i="4"/>
  <c r="BN193" i="4"/>
  <c r="BU193" i="4"/>
  <c r="CQ565" i="4" s="1"/>
  <c r="CD193" i="4"/>
  <c r="BK193" i="4"/>
  <c r="BM193" i="4"/>
  <c r="BJ193" i="4"/>
  <c r="BI193" i="4"/>
  <c r="BH193" i="4"/>
  <c r="BG193" i="4"/>
  <c r="BF193" i="4"/>
  <c r="BL193" i="4"/>
  <c r="BE193" i="4"/>
  <c r="AY193" i="4"/>
  <c r="AX193" i="4"/>
  <c r="AV193" i="4"/>
  <c r="AS193" i="4"/>
  <c r="AT193" i="4"/>
  <c r="CI567" i="4" s="1"/>
  <c r="AU193" i="4"/>
  <c r="CJ567" i="4" s="1"/>
  <c r="AP193" i="4"/>
  <c r="CI566" i="4" s="1"/>
  <c r="AR193" i="4"/>
  <c r="AQ193" i="4"/>
  <c r="CJ566" i="4" s="1"/>
  <c r="AW193" i="4"/>
  <c r="AN193" i="4"/>
  <c r="AL193" i="4"/>
  <c r="CI565" i="4" s="1"/>
  <c r="AM193" i="4"/>
  <c r="CJ565" i="4" s="1"/>
  <c r="AI193" i="4"/>
  <c r="AO193" i="4"/>
  <c r="AK193" i="4"/>
  <c r="AJ193" i="4"/>
  <c r="AH193" i="4"/>
  <c r="AF193" i="4"/>
  <c r="AG193" i="4"/>
  <c r="AD193" i="4"/>
  <c r="AB193" i="4"/>
  <c r="AC193" i="4"/>
  <c r="AE193" i="4"/>
  <c r="AA193" i="4"/>
  <c r="CG476" i="4"/>
  <c r="CF476" i="4"/>
  <c r="CC476" i="4"/>
  <c r="CQ1416" i="4" s="1"/>
  <c r="CA476" i="4"/>
  <c r="BZ476" i="4"/>
  <c r="BW476" i="4"/>
  <c r="CE476" i="4"/>
  <c r="BY476" i="4"/>
  <c r="CQ1415" i="4" s="1"/>
  <c r="BT476" i="4"/>
  <c r="CP1414" i="4" s="1"/>
  <c r="BS476" i="4"/>
  <c r="BR476" i="4"/>
  <c r="CD476" i="4"/>
  <c r="CB476" i="4"/>
  <c r="CP1416" i="4" s="1"/>
  <c r="BU476" i="4"/>
  <c r="CQ1414" i="4" s="1"/>
  <c r="BX476" i="4"/>
  <c r="CP1415" i="4" s="1"/>
  <c r="BQ476" i="4"/>
  <c r="BN476" i="4"/>
  <c r="BM476" i="4"/>
  <c r="BL476" i="4"/>
  <c r="BV476" i="4"/>
  <c r="BP476" i="4"/>
  <c r="BO476" i="4"/>
  <c r="BJ476" i="4"/>
  <c r="BI476" i="4"/>
  <c r="BH476" i="4"/>
  <c r="BK476" i="4"/>
  <c r="BG476" i="4"/>
  <c r="BE476" i="4"/>
  <c r="AY476" i="4"/>
  <c r="AX476" i="4"/>
  <c r="AT476" i="4"/>
  <c r="CI1416" i="4" s="1"/>
  <c r="AV476" i="4"/>
  <c r="AU476" i="4"/>
  <c r="CJ1416" i="4" s="1"/>
  <c r="AS476" i="4"/>
  <c r="BF476" i="4"/>
  <c r="AW476" i="4"/>
  <c r="AO476" i="4"/>
  <c r="AN476" i="4"/>
  <c r="AP476" i="4"/>
  <c r="CI1415" i="4" s="1"/>
  <c r="AL476" i="4"/>
  <c r="CI1414" i="4" s="1"/>
  <c r="AH476" i="4"/>
  <c r="AF476" i="4"/>
  <c r="AE476" i="4"/>
  <c r="AD476" i="4"/>
  <c r="AC476" i="4"/>
  <c r="AK476" i="4"/>
  <c r="AQ476" i="4"/>
  <c r="CJ1415" i="4" s="1"/>
  <c r="AI476" i="4"/>
  <c r="AG476" i="4"/>
  <c r="AB476" i="4"/>
  <c r="AJ476" i="4"/>
  <c r="AR476" i="4"/>
  <c r="AM476" i="4"/>
  <c r="CJ1414" i="4" s="1"/>
  <c r="AA476" i="4"/>
  <c r="M111" i="4"/>
  <c r="N20" i="4"/>
  <c r="CG197" i="4"/>
  <c r="CE197" i="4"/>
  <c r="CD197" i="4"/>
  <c r="BZ197" i="4"/>
  <c r="BY197" i="4"/>
  <c r="CQ578" i="4" s="1"/>
  <c r="BX197" i="4"/>
  <c r="CP578" i="4" s="1"/>
  <c r="BW197" i="4"/>
  <c r="BV197" i="4"/>
  <c r="BU197" i="4"/>
  <c r="CQ577" i="4" s="1"/>
  <c r="BT197" i="4"/>
  <c r="CP577" i="4" s="1"/>
  <c r="CF197" i="4"/>
  <c r="CC197" i="4"/>
  <c r="CQ579" i="4" s="1"/>
  <c r="CA197" i="4"/>
  <c r="CB197" i="4"/>
  <c r="CP579" i="4" s="1"/>
  <c r="BQ197" i="4"/>
  <c r="BS197" i="4"/>
  <c r="BM197" i="4"/>
  <c r="BL197" i="4"/>
  <c r="BK197" i="4"/>
  <c r="BP197" i="4"/>
  <c r="BO197" i="4"/>
  <c r="BR197" i="4"/>
  <c r="BN197" i="4"/>
  <c r="BI197" i="4"/>
  <c r="BG197" i="4"/>
  <c r="BJ197" i="4"/>
  <c r="BH197" i="4"/>
  <c r="AY197" i="4"/>
  <c r="AX197" i="4"/>
  <c r="AV197" i="4"/>
  <c r="BE197" i="4"/>
  <c r="AU197" i="4"/>
  <c r="CJ579" i="4" s="1"/>
  <c r="BF197" i="4"/>
  <c r="AT197" i="4"/>
  <c r="CI579" i="4" s="1"/>
  <c r="AW197" i="4"/>
  <c r="AS197" i="4"/>
  <c r="AR197" i="4"/>
  <c r="AQ197" i="4"/>
  <c r="CJ578" i="4" s="1"/>
  <c r="AO197" i="4"/>
  <c r="AL197" i="4"/>
  <c r="CI577" i="4" s="1"/>
  <c r="AK197" i="4"/>
  <c r="AP197" i="4"/>
  <c r="CI578" i="4" s="1"/>
  <c r="AN197" i="4"/>
  <c r="AI197" i="4"/>
  <c r="AD197" i="4"/>
  <c r="AM197" i="4"/>
  <c r="CJ577" i="4" s="1"/>
  <c r="AJ197" i="4"/>
  <c r="AC197" i="4"/>
  <c r="AF197" i="4"/>
  <c r="AA197" i="4"/>
  <c r="AG197" i="4"/>
  <c r="AB197" i="4"/>
  <c r="AH197" i="4"/>
  <c r="AE197" i="4"/>
  <c r="CE180" i="4"/>
  <c r="CG180" i="4"/>
  <c r="CF180" i="4"/>
  <c r="CC180" i="4"/>
  <c r="CQ528" i="4" s="1"/>
  <c r="CB180" i="4"/>
  <c r="CP528" i="4" s="1"/>
  <c r="BZ180" i="4"/>
  <c r="CD180" i="4"/>
  <c r="BY180" i="4"/>
  <c r="CQ527" i="4" s="1"/>
  <c r="BW180" i="4"/>
  <c r="BU180" i="4"/>
  <c r="CQ526" i="4" s="1"/>
  <c r="BT180" i="4"/>
  <c r="CP526" i="4" s="1"/>
  <c r="CA180" i="4"/>
  <c r="BO180" i="4"/>
  <c r="BS180" i="4"/>
  <c r="BP180" i="4"/>
  <c r="BV180" i="4"/>
  <c r="BR180" i="4"/>
  <c r="BX180" i="4"/>
  <c r="CP527" i="4" s="1"/>
  <c r="BM180" i="4"/>
  <c r="BQ180" i="4"/>
  <c r="BL180" i="4"/>
  <c r="BN180" i="4"/>
  <c r="BJ180" i="4"/>
  <c r="BI180" i="4"/>
  <c r="BH180" i="4"/>
  <c r="BG180" i="4"/>
  <c r="BK180" i="4"/>
  <c r="BF180" i="4"/>
  <c r="AX180" i="4"/>
  <c r="BE180" i="4"/>
  <c r="AY180" i="4"/>
  <c r="AV180" i="4"/>
  <c r="AW180" i="4"/>
  <c r="AU180" i="4"/>
  <c r="CJ528" i="4" s="1"/>
  <c r="AQ180" i="4"/>
  <c r="CJ527" i="4" s="1"/>
  <c r="AT180" i="4"/>
  <c r="CI528" i="4" s="1"/>
  <c r="AR180" i="4"/>
  <c r="AO180" i="4"/>
  <c r="AS180" i="4"/>
  <c r="AL180" i="4"/>
  <c r="CI526" i="4" s="1"/>
  <c r="AM180" i="4"/>
  <c r="CJ526" i="4" s="1"/>
  <c r="AI180" i="4"/>
  <c r="AK180" i="4"/>
  <c r="AP180" i="4"/>
  <c r="CI527" i="4" s="1"/>
  <c r="AJ180" i="4"/>
  <c r="AG180" i="4"/>
  <c r="AH180" i="4"/>
  <c r="AN180" i="4"/>
  <c r="AA180" i="4"/>
  <c r="AD180" i="4"/>
  <c r="AB180" i="4"/>
  <c r="AC180" i="4"/>
  <c r="AF180" i="4"/>
  <c r="AE180" i="4"/>
  <c r="CG265" i="4"/>
  <c r="CF265" i="4"/>
  <c r="CE265" i="4"/>
  <c r="CD265" i="4"/>
  <c r="CB265" i="4"/>
  <c r="CP783" i="4" s="1"/>
  <c r="CC265" i="4"/>
  <c r="CQ783" i="4" s="1"/>
  <c r="CA265" i="4"/>
  <c r="BZ265" i="4"/>
  <c r="BY265" i="4"/>
  <c r="CQ782" i="4" s="1"/>
  <c r="BX265" i="4"/>
  <c r="CP782" i="4" s="1"/>
  <c r="BU265" i="4"/>
  <c r="CQ781" i="4" s="1"/>
  <c r="BT265" i="4"/>
  <c r="CP781" i="4" s="1"/>
  <c r="BV265" i="4"/>
  <c r="BO265" i="4"/>
  <c r="BM265" i="4"/>
  <c r="BL265" i="4"/>
  <c r="BW265" i="4"/>
  <c r="BS265" i="4"/>
  <c r="BP265" i="4"/>
  <c r="BN265" i="4"/>
  <c r="BK265" i="4"/>
  <c r="BR265" i="4"/>
  <c r="BQ265" i="4"/>
  <c r="BE265" i="4"/>
  <c r="AY265" i="4"/>
  <c r="BJ265" i="4"/>
  <c r="BG265" i="4"/>
  <c r="BH265" i="4"/>
  <c r="BF265" i="4"/>
  <c r="BI265" i="4"/>
  <c r="AX265" i="4"/>
  <c r="AV265" i="4"/>
  <c r="AS265" i="4"/>
  <c r="AW265" i="4"/>
  <c r="AP265" i="4"/>
  <c r="CI782" i="4" s="1"/>
  <c r="AR265" i="4"/>
  <c r="AU265" i="4"/>
  <c r="CJ783" i="4" s="1"/>
  <c r="AQ265" i="4"/>
  <c r="CJ782" i="4" s="1"/>
  <c r="AT265" i="4"/>
  <c r="CI783" i="4" s="1"/>
  <c r="AO265" i="4"/>
  <c r="AL265" i="4"/>
  <c r="CI781" i="4" s="1"/>
  <c r="AM265" i="4"/>
  <c r="CJ781" i="4" s="1"/>
  <c r="AK265" i="4"/>
  <c r="AN265" i="4"/>
  <c r="AJ265" i="4"/>
  <c r="AI265" i="4"/>
  <c r="AH265" i="4"/>
  <c r="AF265" i="4"/>
  <c r="AG265" i="4"/>
  <c r="AC265" i="4"/>
  <c r="AB265" i="4"/>
  <c r="AD265" i="4"/>
  <c r="AE265" i="4"/>
  <c r="AA265" i="4"/>
  <c r="M71" i="4"/>
  <c r="CE188" i="4"/>
  <c r="CA188" i="4"/>
  <c r="CG188" i="4"/>
  <c r="CF188" i="4"/>
  <c r="CB188" i="4"/>
  <c r="CP552" i="4" s="1"/>
  <c r="CD188" i="4"/>
  <c r="CC188" i="4"/>
  <c r="CQ552" i="4" s="1"/>
  <c r="BV188" i="4"/>
  <c r="BS188" i="4"/>
  <c r="BR188" i="4"/>
  <c r="BY188" i="4"/>
  <c r="CQ551" i="4" s="1"/>
  <c r="BW188" i="4"/>
  <c r="BZ188" i="4"/>
  <c r="BX188" i="4"/>
  <c r="CP551" i="4" s="1"/>
  <c r="BQ188" i="4"/>
  <c r="BN188" i="4"/>
  <c r="BT188" i="4"/>
  <c r="CP550" i="4" s="1"/>
  <c r="BO188" i="4"/>
  <c r="BM188" i="4"/>
  <c r="BL188" i="4"/>
  <c r="BK188" i="4"/>
  <c r="BU188" i="4"/>
  <c r="CQ550" i="4" s="1"/>
  <c r="BJ188" i="4"/>
  <c r="BI188" i="4"/>
  <c r="BH188" i="4"/>
  <c r="BP188" i="4"/>
  <c r="BF188" i="4"/>
  <c r="BG188" i="4"/>
  <c r="AV188" i="4"/>
  <c r="AW188" i="4"/>
  <c r="AS188" i="4"/>
  <c r="AX188" i="4"/>
  <c r="BE188" i="4"/>
  <c r="AT188" i="4"/>
  <c r="CI552" i="4" s="1"/>
  <c r="AR188" i="4"/>
  <c r="AQ188" i="4"/>
  <c r="CJ551" i="4" s="1"/>
  <c r="AY188" i="4"/>
  <c r="AU188" i="4"/>
  <c r="CJ552" i="4" s="1"/>
  <c r="AP188" i="4"/>
  <c r="CI551" i="4" s="1"/>
  <c r="AM188" i="4"/>
  <c r="CJ550" i="4" s="1"/>
  <c r="AO188" i="4"/>
  <c r="AI188" i="4"/>
  <c r="AK188" i="4"/>
  <c r="AJ188" i="4"/>
  <c r="AF188" i="4"/>
  <c r="AE188" i="4"/>
  <c r="AD188" i="4"/>
  <c r="AC188" i="4"/>
  <c r="AG188" i="4"/>
  <c r="AL188" i="4"/>
  <c r="CI550" i="4" s="1"/>
  <c r="AN188" i="4"/>
  <c r="AH188" i="4"/>
  <c r="AB188" i="4"/>
  <c r="AA188" i="4"/>
  <c r="CF451" i="4"/>
  <c r="CG451" i="4"/>
  <c r="BZ451" i="4"/>
  <c r="BY451" i="4"/>
  <c r="CQ1340" i="4" s="1"/>
  <c r="CA451" i="4"/>
  <c r="CD451" i="4"/>
  <c r="BU451" i="4"/>
  <c r="CQ1339" i="4" s="1"/>
  <c r="BT451" i="4"/>
  <c r="CP1339" i="4" s="1"/>
  <c r="BS451" i="4"/>
  <c r="BR451" i="4"/>
  <c r="BQ451" i="4"/>
  <c r="BP451" i="4"/>
  <c r="CB451" i="4"/>
  <c r="CP1341" i="4" s="1"/>
  <c r="BV451" i="4"/>
  <c r="BW451" i="4"/>
  <c r="BO451" i="4"/>
  <c r="BN451" i="4"/>
  <c r="BX451" i="4"/>
  <c r="CP1340" i="4" s="1"/>
  <c r="CC451" i="4"/>
  <c r="CQ1341" i="4" s="1"/>
  <c r="BK451" i="4"/>
  <c r="BM451" i="4"/>
  <c r="BJ451" i="4"/>
  <c r="BI451" i="4"/>
  <c r="CE451" i="4"/>
  <c r="BH451" i="4"/>
  <c r="BG451" i="4"/>
  <c r="BF451" i="4"/>
  <c r="AX451" i="4"/>
  <c r="BE451" i="4"/>
  <c r="AY451" i="4"/>
  <c r="BL451" i="4"/>
  <c r="AV451" i="4"/>
  <c r="AT451" i="4"/>
  <c r="CI1341" i="4" s="1"/>
  <c r="AU451" i="4"/>
  <c r="CJ1341" i="4" s="1"/>
  <c r="AW451" i="4"/>
  <c r="AO451" i="4"/>
  <c r="AL451" i="4"/>
  <c r="CI1339" i="4" s="1"/>
  <c r="AK451" i="4"/>
  <c r="AJ451" i="4"/>
  <c r="AS451" i="4"/>
  <c r="AP451" i="4"/>
  <c r="CI1340" i="4" s="1"/>
  <c r="AN451" i="4"/>
  <c r="AR451" i="4"/>
  <c r="AQ451" i="4"/>
  <c r="CJ1340" i="4" s="1"/>
  <c r="AI451" i="4"/>
  <c r="AG451" i="4"/>
  <c r="AF451" i="4"/>
  <c r="AD451" i="4"/>
  <c r="AH451" i="4"/>
  <c r="AE451" i="4"/>
  <c r="AM451" i="4"/>
  <c r="CJ1339" i="4" s="1"/>
  <c r="AA451" i="4"/>
  <c r="AC451" i="4"/>
  <c r="AB451" i="4"/>
  <c r="CF433" i="4"/>
  <c r="CG433" i="4"/>
  <c r="BZ433" i="4"/>
  <c r="BY433" i="4"/>
  <c r="CQ1286" i="4" s="1"/>
  <c r="BX433" i="4"/>
  <c r="CP1286" i="4" s="1"/>
  <c r="BW433" i="4"/>
  <c r="CD433" i="4"/>
  <c r="CE433" i="4"/>
  <c r="CA433" i="4"/>
  <c r="CC433" i="4"/>
  <c r="CQ1287" i="4" s="1"/>
  <c r="BU433" i="4"/>
  <c r="CQ1285" i="4" s="1"/>
  <c r="BT433" i="4"/>
  <c r="CP1285" i="4" s="1"/>
  <c r="BS433" i="4"/>
  <c r="BR433" i="4"/>
  <c r="BQ433" i="4"/>
  <c r="BP433" i="4"/>
  <c r="CB433" i="4"/>
  <c r="CP1287" i="4" s="1"/>
  <c r="BV433" i="4"/>
  <c r="BO433" i="4"/>
  <c r="BL433" i="4"/>
  <c r="BK433" i="4"/>
  <c r="BJ433" i="4"/>
  <c r="BI433" i="4"/>
  <c r="BH433" i="4"/>
  <c r="BG433" i="4"/>
  <c r="BF433" i="4"/>
  <c r="BN433" i="4"/>
  <c r="BM433" i="4"/>
  <c r="BE433" i="4"/>
  <c r="AY433" i="4"/>
  <c r="AX433" i="4"/>
  <c r="AV433" i="4"/>
  <c r="AR433" i="4"/>
  <c r="AW433" i="4"/>
  <c r="AS433" i="4"/>
  <c r="AU433" i="4"/>
  <c r="CJ1287" i="4" s="1"/>
  <c r="AT433" i="4"/>
  <c r="CI1287" i="4" s="1"/>
  <c r="AO433" i="4"/>
  <c r="AQ433" i="4"/>
  <c r="CJ1286" i="4" s="1"/>
  <c r="AN433" i="4"/>
  <c r="AL433" i="4"/>
  <c r="CI1285" i="4" s="1"/>
  <c r="AK433" i="4"/>
  <c r="AI433" i="4"/>
  <c r="AM433" i="4"/>
  <c r="CJ1285" i="4" s="1"/>
  <c r="AP433" i="4"/>
  <c r="CI1286" i="4" s="1"/>
  <c r="AJ433" i="4"/>
  <c r="AG433" i="4"/>
  <c r="AF433" i="4"/>
  <c r="AH433" i="4"/>
  <c r="AD433" i="4"/>
  <c r="AA433" i="4"/>
  <c r="AE433" i="4"/>
  <c r="AB433" i="4"/>
  <c r="AC433" i="4"/>
  <c r="CG48" i="4"/>
  <c r="CF48" i="4"/>
  <c r="CD48" i="4"/>
  <c r="CA48" i="4"/>
  <c r="CB48" i="4"/>
  <c r="CP132" i="4" s="1"/>
  <c r="CC48" i="4"/>
  <c r="CQ132" i="4" s="1"/>
  <c r="BZ48" i="4"/>
  <c r="CE48" i="4"/>
  <c r="BU48" i="4"/>
  <c r="CQ130" i="4" s="1"/>
  <c r="BY48" i="4"/>
  <c r="CQ131" i="4" s="1"/>
  <c r="BT48" i="4"/>
  <c r="CP130" i="4" s="1"/>
  <c r="BS48" i="4"/>
  <c r="BM48" i="4"/>
  <c r="BR48" i="4"/>
  <c r="BX48" i="4"/>
  <c r="CP131" i="4" s="1"/>
  <c r="BQ48" i="4"/>
  <c r="BL48" i="4"/>
  <c r="BK48" i="4"/>
  <c r="BJ48" i="4"/>
  <c r="BN48" i="4"/>
  <c r="BP48" i="4"/>
  <c r="BO48" i="4"/>
  <c r="BI48" i="4"/>
  <c r="BW48" i="4"/>
  <c r="AY48" i="4"/>
  <c r="BV48" i="4"/>
  <c r="BH48" i="4"/>
  <c r="BF48" i="4"/>
  <c r="AX48" i="4"/>
  <c r="BG48" i="4"/>
  <c r="AT48" i="4"/>
  <c r="CI132" i="4" s="1"/>
  <c r="AW48" i="4"/>
  <c r="AS48" i="4"/>
  <c r="BE48" i="4"/>
  <c r="AQ48" i="4"/>
  <c r="CJ131" i="4" s="1"/>
  <c r="AR48" i="4"/>
  <c r="AU48" i="4"/>
  <c r="CJ132" i="4" s="1"/>
  <c r="AV48" i="4"/>
  <c r="AP48" i="4"/>
  <c r="CI131" i="4" s="1"/>
  <c r="AN48" i="4"/>
  <c r="AM48" i="4"/>
  <c r="CJ130" i="4" s="1"/>
  <c r="AH48" i="4"/>
  <c r="AG48" i="4"/>
  <c r="AJ48" i="4"/>
  <c r="AL48" i="4"/>
  <c r="CI130" i="4" s="1"/>
  <c r="AK48" i="4"/>
  <c r="AO48" i="4"/>
  <c r="AA48" i="4"/>
  <c r="AF48" i="4"/>
  <c r="AI48" i="4"/>
  <c r="AE48" i="4"/>
  <c r="AC48" i="4"/>
  <c r="AD48" i="4"/>
  <c r="AB48" i="4"/>
  <c r="CA425" i="4"/>
  <c r="CE425" i="4"/>
  <c r="BZ425" i="4"/>
  <c r="BY425" i="4"/>
  <c r="CQ1262" i="4" s="1"/>
  <c r="CD425" i="4"/>
  <c r="CB425" i="4"/>
  <c r="CP1263" i="4" s="1"/>
  <c r="CC425" i="4"/>
  <c r="CQ1263" i="4" s="1"/>
  <c r="CF425" i="4"/>
  <c r="BU425" i="4"/>
  <c r="CQ1261" i="4" s="1"/>
  <c r="BX425" i="4"/>
  <c r="CP1262" i="4" s="1"/>
  <c r="BN425" i="4"/>
  <c r="BM425" i="4"/>
  <c r="BL425" i="4"/>
  <c r="BR425" i="4"/>
  <c r="BV425" i="4"/>
  <c r="BO425" i="4"/>
  <c r="BS425" i="4"/>
  <c r="CG425" i="4"/>
  <c r="BT425" i="4"/>
  <c r="CP1261" i="4" s="1"/>
  <c r="BP425" i="4"/>
  <c r="BW425" i="4"/>
  <c r="BK425" i="4"/>
  <c r="BE425" i="4"/>
  <c r="AY425" i="4"/>
  <c r="BQ425" i="4"/>
  <c r="BH425" i="4"/>
  <c r="BI425" i="4"/>
  <c r="BF425" i="4"/>
  <c r="BG425" i="4"/>
  <c r="BJ425" i="4"/>
  <c r="AX425" i="4"/>
  <c r="AT425" i="4"/>
  <c r="CI1263" i="4" s="1"/>
  <c r="AS425" i="4"/>
  <c r="AV425" i="4"/>
  <c r="AQ425" i="4"/>
  <c r="CJ1262" i="4" s="1"/>
  <c r="AW425" i="4"/>
  <c r="AU425" i="4"/>
  <c r="CJ1263" i="4" s="1"/>
  <c r="AR425" i="4"/>
  <c r="AP425" i="4"/>
  <c r="CI1262" i="4" s="1"/>
  <c r="AO425" i="4"/>
  <c r="AH425" i="4"/>
  <c r="AM425" i="4"/>
  <c r="CJ1261" i="4" s="1"/>
  <c r="AJ425" i="4"/>
  <c r="AN425" i="4"/>
  <c r="AI425" i="4"/>
  <c r="AF425" i="4"/>
  <c r="AK425" i="4"/>
  <c r="AE425" i="4"/>
  <c r="AB425" i="4"/>
  <c r="AG425" i="4"/>
  <c r="AA425" i="4"/>
  <c r="AL425" i="4"/>
  <c r="CI1261" i="4" s="1"/>
  <c r="AC425" i="4"/>
  <c r="AD425" i="4"/>
  <c r="M24" i="4"/>
  <c r="N61" i="4"/>
  <c r="CF331" i="4"/>
  <c r="CE331" i="4"/>
  <c r="CD331" i="4"/>
  <c r="CC331" i="4"/>
  <c r="CQ981" i="4" s="1"/>
  <c r="CB331" i="4"/>
  <c r="CP981" i="4" s="1"/>
  <c r="CA331" i="4"/>
  <c r="BZ331" i="4"/>
  <c r="BU331" i="4"/>
  <c r="CQ979" i="4" s="1"/>
  <c r="BS331" i="4"/>
  <c r="BR331" i="4"/>
  <c r="BQ331" i="4"/>
  <c r="BP331" i="4"/>
  <c r="BO331" i="4"/>
  <c r="BY331" i="4"/>
  <c r="CQ980" i="4" s="1"/>
  <c r="BT331" i="4"/>
  <c r="CP979" i="4" s="1"/>
  <c r="BX331" i="4"/>
  <c r="CP980" i="4" s="1"/>
  <c r="BW331" i="4"/>
  <c r="CG331" i="4"/>
  <c r="BV331" i="4"/>
  <c r="BN331" i="4"/>
  <c r="BJ331" i="4"/>
  <c r="BI331" i="4"/>
  <c r="BM331" i="4"/>
  <c r="BK331" i="4"/>
  <c r="BH331" i="4"/>
  <c r="BG331" i="4"/>
  <c r="BF331" i="4"/>
  <c r="BL331" i="4"/>
  <c r="AX331" i="4"/>
  <c r="AR331" i="4"/>
  <c r="AV331" i="4"/>
  <c r="AU331" i="4"/>
  <c r="CJ981" i="4" s="1"/>
  <c r="AS331" i="4"/>
  <c r="AQ331" i="4"/>
  <c r="CJ980" i="4" s="1"/>
  <c r="AT331" i="4"/>
  <c r="CI981" i="4" s="1"/>
  <c r="BE331" i="4"/>
  <c r="AY331" i="4"/>
  <c r="AP331" i="4"/>
  <c r="CI980" i="4" s="1"/>
  <c r="AO331" i="4"/>
  <c r="AW331" i="4"/>
  <c r="AM331" i="4"/>
  <c r="CJ979" i="4" s="1"/>
  <c r="AK331" i="4"/>
  <c r="AN331" i="4"/>
  <c r="AJ331" i="4"/>
  <c r="AL331" i="4"/>
  <c r="CI979" i="4" s="1"/>
  <c r="AE331" i="4"/>
  <c r="AG331" i="4"/>
  <c r="AD331" i="4"/>
  <c r="AB331" i="4"/>
  <c r="AF331" i="4"/>
  <c r="AH331" i="4"/>
  <c r="AC331" i="4"/>
  <c r="AI331" i="4"/>
  <c r="AA331" i="4"/>
  <c r="L49" i="4"/>
  <c r="CG236" i="4"/>
  <c r="CF236" i="4"/>
  <c r="CD236" i="4"/>
  <c r="CC236" i="4"/>
  <c r="CQ696" i="4" s="1"/>
  <c r="CB236" i="4"/>
  <c r="CP696" i="4" s="1"/>
  <c r="CA236" i="4"/>
  <c r="BS236" i="4"/>
  <c r="BR236" i="4"/>
  <c r="BU236" i="4"/>
  <c r="CQ694" i="4" s="1"/>
  <c r="BZ236" i="4"/>
  <c r="BX236" i="4"/>
  <c r="CP695" i="4" s="1"/>
  <c r="BY236" i="4"/>
  <c r="CQ695" i="4" s="1"/>
  <c r="BW236" i="4"/>
  <c r="BT236" i="4"/>
  <c r="CP694" i="4" s="1"/>
  <c r="BO236" i="4"/>
  <c r="CE236" i="4"/>
  <c r="BP236" i="4"/>
  <c r="BM236" i="4"/>
  <c r="BL236" i="4"/>
  <c r="BK236" i="4"/>
  <c r="BV236" i="4"/>
  <c r="BQ236" i="4"/>
  <c r="BJ236" i="4"/>
  <c r="BI236" i="4"/>
  <c r="BH236" i="4"/>
  <c r="BN236" i="4"/>
  <c r="BE236" i="4"/>
  <c r="BF236" i="4"/>
  <c r="AX236" i="4"/>
  <c r="AW236" i="4"/>
  <c r="AU236" i="4"/>
  <c r="CJ696" i="4" s="1"/>
  <c r="AY236" i="4"/>
  <c r="AS236" i="4"/>
  <c r="AV236" i="4"/>
  <c r="AQ236" i="4"/>
  <c r="CJ695" i="4" s="1"/>
  <c r="AT236" i="4"/>
  <c r="CI696" i="4" s="1"/>
  <c r="BG236" i="4"/>
  <c r="AN236" i="4"/>
  <c r="AO236" i="4"/>
  <c r="AM236" i="4"/>
  <c r="CJ694" i="4" s="1"/>
  <c r="AR236" i="4"/>
  <c r="AP236" i="4"/>
  <c r="CI695" i="4" s="1"/>
  <c r="AH236" i="4"/>
  <c r="AL236" i="4"/>
  <c r="CI694" i="4" s="1"/>
  <c r="AG236" i="4"/>
  <c r="AF236" i="4"/>
  <c r="AE236" i="4"/>
  <c r="AD236" i="4"/>
  <c r="AC236" i="4"/>
  <c r="AK236" i="4"/>
  <c r="AJ236" i="4"/>
  <c r="AI236" i="4"/>
  <c r="AA236" i="4"/>
  <c r="AB236" i="4"/>
  <c r="CF161" i="4"/>
  <c r="BZ161" i="4"/>
  <c r="BY161" i="4"/>
  <c r="CQ470" i="4" s="1"/>
  <c r="BX161" i="4"/>
  <c r="CP470" i="4" s="1"/>
  <c r="BW161" i="4"/>
  <c r="BV161" i="4"/>
  <c r="CE161" i="4"/>
  <c r="CC161" i="4"/>
  <c r="CQ471" i="4" s="1"/>
  <c r="CB161" i="4"/>
  <c r="CP471" i="4" s="1"/>
  <c r="CG161" i="4"/>
  <c r="CD161" i="4"/>
  <c r="BU161" i="4"/>
  <c r="CQ469" i="4" s="1"/>
  <c r="BT161" i="4"/>
  <c r="CP469" i="4" s="1"/>
  <c r="CA161" i="4"/>
  <c r="BS161" i="4"/>
  <c r="BR161" i="4"/>
  <c r="BQ161" i="4"/>
  <c r="BP161" i="4"/>
  <c r="BO161" i="4"/>
  <c r="BN161" i="4"/>
  <c r="BM161" i="4"/>
  <c r="BJ161" i="4"/>
  <c r="BI161" i="4"/>
  <c r="BH161" i="4"/>
  <c r="BG161" i="4"/>
  <c r="BF161" i="4"/>
  <c r="BL161" i="4"/>
  <c r="BK161" i="4"/>
  <c r="BE161" i="4"/>
  <c r="AY161" i="4"/>
  <c r="AX161" i="4"/>
  <c r="AU161" i="4"/>
  <c r="CJ471" i="4" s="1"/>
  <c r="AW161" i="4"/>
  <c r="AT161" i="4"/>
  <c r="CI471" i="4" s="1"/>
  <c r="AV161" i="4"/>
  <c r="AS161" i="4"/>
  <c r="AO161" i="4"/>
  <c r="AR161" i="4"/>
  <c r="AL161" i="4"/>
  <c r="CI469" i="4" s="1"/>
  <c r="AP161" i="4"/>
  <c r="CI470" i="4" s="1"/>
  <c r="AN161" i="4"/>
  <c r="AI161" i="4"/>
  <c r="AH161" i="4"/>
  <c r="AQ161" i="4"/>
  <c r="CJ470" i="4" s="1"/>
  <c r="AD161" i="4"/>
  <c r="AM161" i="4"/>
  <c r="CJ469" i="4" s="1"/>
  <c r="AK161" i="4"/>
  <c r="AC161" i="4"/>
  <c r="AA161" i="4"/>
  <c r="AJ161" i="4"/>
  <c r="AF161" i="4"/>
  <c r="AB161" i="4"/>
  <c r="AE161" i="4"/>
  <c r="AG161" i="4"/>
  <c r="N45" i="4"/>
  <c r="CE20" i="4"/>
  <c r="CG20" i="4"/>
  <c r="CA20" i="4"/>
  <c r="BZ20" i="4"/>
  <c r="CD20" i="4"/>
  <c r="CF20" i="4"/>
  <c r="CB20" i="4"/>
  <c r="CP48" i="4" s="1"/>
  <c r="BV20" i="4"/>
  <c r="BW20" i="4"/>
  <c r="BY20" i="4"/>
  <c r="CQ47" i="4" s="1"/>
  <c r="BX20" i="4"/>
  <c r="CP47" i="4" s="1"/>
  <c r="BU20" i="4"/>
  <c r="CQ46" i="4" s="1"/>
  <c r="CC20" i="4"/>
  <c r="CQ48" i="4" s="1"/>
  <c r="BN20" i="4"/>
  <c r="BS20" i="4"/>
  <c r="BO20" i="4"/>
  <c r="BM20" i="4"/>
  <c r="BR20" i="4"/>
  <c r="BJ20" i="4"/>
  <c r="BK20" i="4"/>
  <c r="BQ20" i="4"/>
  <c r="BI20" i="4"/>
  <c r="BH20" i="4"/>
  <c r="BF20" i="4"/>
  <c r="BL20" i="4"/>
  <c r="BT20" i="4"/>
  <c r="CP46" i="4" s="1"/>
  <c r="BG20" i="4"/>
  <c r="AW20" i="4"/>
  <c r="AY20" i="4"/>
  <c r="BE20" i="4"/>
  <c r="AX20" i="4"/>
  <c r="AR20" i="4"/>
  <c r="BP20" i="4"/>
  <c r="AT20" i="4"/>
  <c r="CI48" i="4" s="1"/>
  <c r="AU20" i="4"/>
  <c r="CJ48" i="4" s="1"/>
  <c r="AV20" i="4"/>
  <c r="AQ20" i="4"/>
  <c r="CJ47" i="4" s="1"/>
  <c r="AN20" i="4"/>
  <c r="AO20" i="4"/>
  <c r="AL20" i="4"/>
  <c r="CI46" i="4" s="1"/>
  <c r="AP20" i="4"/>
  <c r="CI47" i="4" s="1"/>
  <c r="AM20" i="4"/>
  <c r="CJ46" i="4" s="1"/>
  <c r="AH20" i="4"/>
  <c r="AI20" i="4"/>
  <c r="AK20" i="4"/>
  <c r="AS20" i="4"/>
  <c r="AJ20" i="4"/>
  <c r="AG20" i="4"/>
  <c r="AE20" i="4"/>
  <c r="AF20" i="4"/>
  <c r="AB20" i="4"/>
  <c r="AD20" i="4"/>
  <c r="AA20" i="4"/>
  <c r="AC20" i="4"/>
  <c r="R10" i="4"/>
  <c r="M81" i="4"/>
  <c r="R78" i="4"/>
  <c r="O14" i="4"/>
  <c r="O118" i="4"/>
  <c r="O105" i="4"/>
  <c r="CG409" i="4"/>
  <c r="CF409" i="4"/>
  <c r="CC409" i="4"/>
  <c r="CQ1215" i="4" s="1"/>
  <c r="CD409" i="4"/>
  <c r="CA409" i="4"/>
  <c r="BZ409" i="4"/>
  <c r="BY409" i="4"/>
  <c r="CQ1214" i="4" s="1"/>
  <c r="CB409" i="4"/>
  <c r="CP1215" i="4" s="1"/>
  <c r="BV409" i="4"/>
  <c r="CE409" i="4"/>
  <c r="BU409" i="4"/>
  <c r="CQ1213" i="4" s="1"/>
  <c r="BX409" i="4"/>
  <c r="CP1214" i="4" s="1"/>
  <c r="BN409" i="4"/>
  <c r="BM409" i="4"/>
  <c r="BL409" i="4"/>
  <c r="BP409" i="4"/>
  <c r="BT409" i="4"/>
  <c r="CP1213" i="4" s="1"/>
  <c r="BW409" i="4"/>
  <c r="BS409" i="4"/>
  <c r="BK409" i="4"/>
  <c r="BE409" i="4"/>
  <c r="AY409" i="4"/>
  <c r="BI409" i="4"/>
  <c r="BR409" i="4"/>
  <c r="BQ409" i="4"/>
  <c r="BJ409" i="4"/>
  <c r="BH409" i="4"/>
  <c r="AV409" i="4"/>
  <c r="BG409" i="4"/>
  <c r="BF409" i="4"/>
  <c r="AT409" i="4"/>
  <c r="CI1215" i="4" s="1"/>
  <c r="AW409" i="4"/>
  <c r="AS409" i="4"/>
  <c r="BO409" i="4"/>
  <c r="AX409" i="4"/>
  <c r="AQ409" i="4"/>
  <c r="CJ1214" i="4" s="1"/>
  <c r="AU409" i="4"/>
  <c r="CJ1215" i="4" s="1"/>
  <c r="AN409" i="4"/>
  <c r="AP409" i="4"/>
  <c r="CI1214" i="4" s="1"/>
  <c r="AM409" i="4"/>
  <c r="CJ1213" i="4" s="1"/>
  <c r="AO409" i="4"/>
  <c r="AI409" i="4"/>
  <c r="AL409" i="4"/>
  <c r="CI1213" i="4" s="1"/>
  <c r="AH409" i="4"/>
  <c r="AG409" i="4"/>
  <c r="AJ409" i="4"/>
  <c r="AR409" i="4"/>
  <c r="AK409" i="4"/>
  <c r="AF409" i="4"/>
  <c r="AD409" i="4"/>
  <c r="AA409" i="4"/>
  <c r="AE409" i="4"/>
  <c r="AB409" i="4"/>
  <c r="AC409" i="4"/>
  <c r="R17" i="4"/>
  <c r="CF91" i="4"/>
  <c r="CG91" i="4"/>
  <c r="CE91" i="4"/>
  <c r="CD91" i="4"/>
  <c r="CC91" i="4"/>
  <c r="CQ261" i="4" s="1"/>
  <c r="CB91" i="4"/>
  <c r="CP261" i="4" s="1"/>
  <c r="CA91" i="4"/>
  <c r="BZ91" i="4"/>
  <c r="BT91" i="4"/>
  <c r="CP259" i="4" s="1"/>
  <c r="BS91" i="4"/>
  <c r="BR91" i="4"/>
  <c r="BQ91" i="4"/>
  <c r="BP91" i="4"/>
  <c r="BO91" i="4"/>
  <c r="BW91" i="4"/>
  <c r="BY91" i="4"/>
  <c r="CQ260" i="4" s="1"/>
  <c r="BX91" i="4"/>
  <c r="CP260" i="4" s="1"/>
  <c r="BV91" i="4"/>
  <c r="BM91" i="4"/>
  <c r="BJ91" i="4"/>
  <c r="BI91" i="4"/>
  <c r="BH91" i="4"/>
  <c r="BN91" i="4"/>
  <c r="BU91" i="4"/>
  <c r="CQ259" i="4" s="1"/>
  <c r="BK91" i="4"/>
  <c r="BG91" i="4"/>
  <c r="BF91" i="4"/>
  <c r="BE91" i="4"/>
  <c r="BL91" i="4"/>
  <c r="AY91" i="4"/>
  <c r="AX91" i="4"/>
  <c r="AW91" i="4"/>
  <c r="AV91" i="4"/>
  <c r="AU91" i="4"/>
  <c r="CJ261" i="4" s="1"/>
  <c r="AS91" i="4"/>
  <c r="AQ91" i="4"/>
  <c r="CJ260" i="4" s="1"/>
  <c r="AR91" i="4"/>
  <c r="AO91" i="4"/>
  <c r="AT91" i="4"/>
  <c r="CI261" i="4" s="1"/>
  <c r="AP91" i="4"/>
  <c r="CI260" i="4" s="1"/>
  <c r="AM91" i="4"/>
  <c r="CJ259" i="4" s="1"/>
  <c r="AN91" i="4"/>
  <c r="AJ91" i="4"/>
  <c r="AL91" i="4"/>
  <c r="CI259" i="4" s="1"/>
  <c r="AK91" i="4"/>
  <c r="AG91" i="4"/>
  <c r="AE91" i="4"/>
  <c r="AD91" i="4"/>
  <c r="AF91" i="4"/>
  <c r="AH91" i="4"/>
  <c r="AA91" i="4"/>
  <c r="AI91" i="4"/>
  <c r="AB91" i="4"/>
  <c r="AC91" i="4"/>
  <c r="L28" i="4"/>
  <c r="N35" i="4"/>
  <c r="CG373" i="4"/>
  <c r="CE373" i="4"/>
  <c r="CF373" i="4"/>
  <c r="CB373" i="4"/>
  <c r="CP1107" i="4" s="1"/>
  <c r="CA373" i="4"/>
  <c r="BZ373" i="4"/>
  <c r="BY373" i="4"/>
  <c r="CQ1106" i="4" s="1"/>
  <c r="BX373" i="4"/>
  <c r="CP1106" i="4" s="1"/>
  <c r="BW373" i="4"/>
  <c r="BV373" i="4"/>
  <c r="BU373" i="4"/>
  <c r="CQ1105" i="4" s="1"/>
  <c r="CD373" i="4"/>
  <c r="CC373" i="4"/>
  <c r="CQ1107" i="4" s="1"/>
  <c r="BT373" i="4"/>
  <c r="CP1105" i="4" s="1"/>
  <c r="BR373" i="4"/>
  <c r="BM373" i="4"/>
  <c r="BL373" i="4"/>
  <c r="BO373" i="4"/>
  <c r="BK373" i="4"/>
  <c r="BQ373" i="4"/>
  <c r="BP373" i="4"/>
  <c r="BS373" i="4"/>
  <c r="BJ373" i="4"/>
  <c r="BH373" i="4"/>
  <c r="BN373" i="4"/>
  <c r="AY373" i="4"/>
  <c r="BI373" i="4"/>
  <c r="BE373" i="4"/>
  <c r="AX373" i="4"/>
  <c r="AW373" i="4"/>
  <c r="AT373" i="4"/>
  <c r="CI1107" i="4" s="1"/>
  <c r="AV373" i="4"/>
  <c r="AS373" i="4"/>
  <c r="BF373" i="4"/>
  <c r="BG373" i="4"/>
  <c r="AR373" i="4"/>
  <c r="AL373" i="4"/>
  <c r="CI1105" i="4" s="1"/>
  <c r="AU373" i="4"/>
  <c r="CJ1107" i="4" s="1"/>
  <c r="AP373" i="4"/>
  <c r="CI1106" i="4" s="1"/>
  <c r="AN373" i="4"/>
  <c r="AQ373" i="4"/>
  <c r="CJ1106" i="4" s="1"/>
  <c r="AK373" i="4"/>
  <c r="AO373" i="4"/>
  <c r="AI373" i="4"/>
  <c r="AH373" i="4"/>
  <c r="AG373" i="4"/>
  <c r="AJ373" i="4"/>
  <c r="AM373" i="4"/>
  <c r="CJ1105" i="4" s="1"/>
  <c r="AF373" i="4"/>
  <c r="AE373" i="4"/>
  <c r="AA373" i="4"/>
  <c r="AD373" i="4"/>
  <c r="AB373" i="4"/>
  <c r="AC373" i="4"/>
  <c r="M98" i="4"/>
  <c r="CG280" i="4"/>
  <c r="CD280" i="4"/>
  <c r="CC280" i="4"/>
  <c r="CQ828" i="4" s="1"/>
  <c r="CF280" i="4"/>
  <c r="CE280" i="4"/>
  <c r="CA280" i="4"/>
  <c r="BZ280" i="4"/>
  <c r="BY280" i="4"/>
  <c r="CQ827" i="4" s="1"/>
  <c r="BX280" i="4"/>
  <c r="CP827" i="4" s="1"/>
  <c r="BW280" i="4"/>
  <c r="BU280" i="4"/>
  <c r="CQ826" i="4" s="1"/>
  <c r="BV280" i="4"/>
  <c r="BT280" i="4"/>
  <c r="CP826" i="4" s="1"/>
  <c r="CB280" i="4"/>
  <c r="CP828" i="4" s="1"/>
  <c r="BS280" i="4"/>
  <c r="BR280" i="4"/>
  <c r="BQ280" i="4"/>
  <c r="BP280" i="4"/>
  <c r="BO280" i="4"/>
  <c r="BM280" i="4"/>
  <c r="BL280" i="4"/>
  <c r="BK280" i="4"/>
  <c r="BN280" i="4"/>
  <c r="BE280" i="4"/>
  <c r="AY280" i="4"/>
  <c r="BG280" i="4"/>
  <c r="BI280" i="4"/>
  <c r="BF280" i="4"/>
  <c r="BH280" i="4"/>
  <c r="BJ280" i="4"/>
  <c r="AX280" i="4"/>
  <c r="AR280" i="4"/>
  <c r="AS280" i="4"/>
  <c r="AV280" i="4"/>
  <c r="AQ280" i="4"/>
  <c r="CJ827" i="4" s="1"/>
  <c r="AT280" i="4"/>
  <c r="CI828" i="4" s="1"/>
  <c r="AP280" i="4"/>
  <c r="CI827" i="4" s="1"/>
  <c r="AU280" i="4"/>
  <c r="CJ828" i="4" s="1"/>
  <c r="AW280" i="4"/>
  <c r="AN280" i="4"/>
  <c r="AO280" i="4"/>
  <c r="AI280" i="4"/>
  <c r="AM280" i="4"/>
  <c r="CJ826" i="4" s="1"/>
  <c r="AK280" i="4"/>
  <c r="AF280" i="4"/>
  <c r="AL280" i="4"/>
  <c r="CI826" i="4" s="1"/>
  <c r="AH280" i="4"/>
  <c r="AJ280" i="4"/>
  <c r="AC280" i="4"/>
  <c r="AB280" i="4"/>
  <c r="AD280" i="4"/>
  <c r="AA280" i="4"/>
  <c r="AE280" i="4"/>
  <c r="AG280" i="4"/>
  <c r="CF262" i="4"/>
  <c r="CE262" i="4"/>
  <c r="CB262" i="4"/>
  <c r="CP774" i="4" s="1"/>
  <c r="CA262" i="4"/>
  <c r="BT262" i="4"/>
  <c r="CP772" i="4" s="1"/>
  <c r="CC262" i="4"/>
  <c r="CQ774" i="4" s="1"/>
  <c r="BV262" i="4"/>
  <c r="BZ262" i="4"/>
  <c r="CD262" i="4"/>
  <c r="BY262" i="4"/>
  <c r="CQ773" i="4" s="1"/>
  <c r="BX262" i="4"/>
  <c r="CP773" i="4" s="1"/>
  <c r="BS262" i="4"/>
  <c r="BP262" i="4"/>
  <c r="CG262" i="4"/>
  <c r="BW262" i="4"/>
  <c r="BR262" i="4"/>
  <c r="BQ262" i="4"/>
  <c r="BU262" i="4"/>
  <c r="CQ772" i="4" s="1"/>
  <c r="BK262" i="4"/>
  <c r="BN262" i="4"/>
  <c r="BO262" i="4"/>
  <c r="BM262" i="4"/>
  <c r="BG262" i="4"/>
  <c r="BF262" i="4"/>
  <c r="BL262" i="4"/>
  <c r="BH262" i="4"/>
  <c r="BJ262" i="4"/>
  <c r="BI262" i="4"/>
  <c r="AX262" i="4"/>
  <c r="BE262" i="4"/>
  <c r="AV262" i="4"/>
  <c r="AS262" i="4"/>
  <c r="AR262" i="4"/>
  <c r="AQ262" i="4"/>
  <c r="CJ773" i="4" s="1"/>
  <c r="AP262" i="4"/>
  <c r="CI773" i="4" s="1"/>
  <c r="AW262" i="4"/>
  <c r="AO262" i="4"/>
  <c r="AN262" i="4"/>
  <c r="AM262" i="4"/>
  <c r="CJ772" i="4" s="1"/>
  <c r="AY262" i="4"/>
  <c r="AU262" i="4"/>
  <c r="CJ774" i="4" s="1"/>
  <c r="AJ262" i="4"/>
  <c r="AI262" i="4"/>
  <c r="AT262" i="4"/>
  <c r="CI774" i="4" s="1"/>
  <c r="AL262" i="4"/>
  <c r="CI772" i="4" s="1"/>
  <c r="AG262" i="4"/>
  <c r="AF262" i="4"/>
  <c r="AH262" i="4"/>
  <c r="AC262" i="4"/>
  <c r="AB262" i="4"/>
  <c r="AK262" i="4"/>
  <c r="AD262" i="4"/>
  <c r="AE262" i="4"/>
  <c r="AA262" i="4"/>
  <c r="M70" i="4"/>
  <c r="K21" i="4"/>
  <c r="CG11" i="4"/>
  <c r="CD11" i="4"/>
  <c r="CC11" i="4"/>
  <c r="CQ21" i="4" s="1"/>
  <c r="CB11" i="4"/>
  <c r="CP21" i="4" s="1"/>
  <c r="CA11" i="4"/>
  <c r="BZ11" i="4"/>
  <c r="CF11" i="4"/>
  <c r="CE11" i="4"/>
  <c r="BS11" i="4"/>
  <c r="BR11" i="4"/>
  <c r="BQ11" i="4"/>
  <c r="BP11" i="4"/>
  <c r="BO11" i="4"/>
  <c r="BW11" i="4"/>
  <c r="BU11" i="4"/>
  <c r="CQ19" i="4" s="1"/>
  <c r="BX11" i="4"/>
  <c r="CP20" i="4" s="1"/>
  <c r="BY11" i="4"/>
  <c r="CQ20" i="4" s="1"/>
  <c r="BT11" i="4"/>
  <c r="CP19" i="4" s="1"/>
  <c r="BM11" i="4"/>
  <c r="BV11" i="4"/>
  <c r="BI11" i="4"/>
  <c r="BH11" i="4"/>
  <c r="BJ11" i="4"/>
  <c r="BN11" i="4"/>
  <c r="BK11" i="4"/>
  <c r="BF11" i="4"/>
  <c r="BG11" i="4"/>
  <c r="AX11" i="4"/>
  <c r="AW11" i="4"/>
  <c r="AY11" i="4"/>
  <c r="AU11" i="4"/>
  <c r="CJ21" i="4" s="1"/>
  <c r="AT11" i="4"/>
  <c r="CI21" i="4" s="1"/>
  <c r="AV11" i="4"/>
  <c r="AQ11" i="4"/>
  <c r="CJ20" i="4" s="1"/>
  <c r="BL11" i="4"/>
  <c r="AP11" i="4"/>
  <c r="CI20" i="4" s="1"/>
  <c r="AS11" i="4"/>
  <c r="AN11" i="4"/>
  <c r="AR11" i="4"/>
  <c r="AM11" i="4"/>
  <c r="CJ19" i="4" s="1"/>
  <c r="BE11" i="4"/>
  <c r="AL11" i="4"/>
  <c r="CI19" i="4" s="1"/>
  <c r="AG11" i="4"/>
  <c r="AJ11" i="4"/>
  <c r="AO11" i="4"/>
  <c r="AH11" i="4"/>
  <c r="AK11" i="4"/>
  <c r="AI11" i="4"/>
  <c r="AC11" i="4"/>
  <c r="AD11" i="4"/>
  <c r="AA11" i="4"/>
  <c r="AE11" i="4"/>
  <c r="AB11" i="4"/>
  <c r="AF11" i="4"/>
  <c r="K9" i="4"/>
  <c r="R9" i="4"/>
  <c r="CF398" i="4"/>
  <c r="CE398" i="4"/>
  <c r="CD398" i="4"/>
  <c r="CC398" i="4"/>
  <c r="CQ1182" i="4" s="1"/>
  <c r="CB398" i="4"/>
  <c r="CP1182" i="4" s="1"/>
  <c r="CG398" i="4"/>
  <c r="CA398" i="4"/>
  <c r="BY398" i="4"/>
  <c r="CQ1181" i="4" s="1"/>
  <c r="BT398" i="4"/>
  <c r="CP1180" i="4" s="1"/>
  <c r="BS398" i="4"/>
  <c r="BR398" i="4"/>
  <c r="BQ398" i="4"/>
  <c r="BP398" i="4"/>
  <c r="BO398" i="4"/>
  <c r="BN398" i="4"/>
  <c r="BX398" i="4"/>
  <c r="CP1181" i="4" s="1"/>
  <c r="BW398" i="4"/>
  <c r="BZ398" i="4"/>
  <c r="BU398" i="4"/>
  <c r="CQ1180" i="4" s="1"/>
  <c r="BV398" i="4"/>
  <c r="BJ398" i="4"/>
  <c r="BL398" i="4"/>
  <c r="BH398" i="4"/>
  <c r="BG398" i="4"/>
  <c r="BF398" i="4"/>
  <c r="BK398" i="4"/>
  <c r="BE398" i="4"/>
  <c r="AY398" i="4"/>
  <c r="AX398" i="4"/>
  <c r="AW398" i="4"/>
  <c r="AV398" i="4"/>
  <c r="AU398" i="4"/>
  <c r="CJ1182" i="4" s="1"/>
  <c r="BM398" i="4"/>
  <c r="BI398" i="4"/>
  <c r="AS398" i="4"/>
  <c r="AR398" i="4"/>
  <c r="AT398" i="4"/>
  <c r="CI1182" i="4" s="1"/>
  <c r="AP398" i="4"/>
  <c r="CI1181" i="4" s="1"/>
  <c r="AO398" i="4"/>
  <c r="AN398" i="4"/>
  <c r="AQ398" i="4"/>
  <c r="CJ1181" i="4" s="1"/>
  <c r="AJ398" i="4"/>
  <c r="AK398" i="4"/>
  <c r="AF398" i="4"/>
  <c r="AE398" i="4"/>
  <c r="AD398" i="4"/>
  <c r="AC398" i="4"/>
  <c r="AB398" i="4"/>
  <c r="AI398" i="4"/>
  <c r="AH398" i="4"/>
  <c r="AM398" i="4"/>
  <c r="CJ1180" i="4" s="1"/>
  <c r="AL398" i="4"/>
  <c r="CI1180" i="4" s="1"/>
  <c r="AA398" i="4"/>
  <c r="AG398" i="4"/>
  <c r="R104" i="4"/>
  <c r="CG25" i="4"/>
  <c r="CF25" i="4"/>
  <c r="CC25" i="4"/>
  <c r="CQ63" i="4" s="1"/>
  <c r="CE25" i="4"/>
  <c r="CA25" i="4"/>
  <c r="CD25" i="4"/>
  <c r="BY25" i="4"/>
  <c r="CQ62" i="4" s="1"/>
  <c r="BX25" i="4"/>
  <c r="CP62" i="4" s="1"/>
  <c r="BZ25" i="4"/>
  <c r="BU25" i="4"/>
  <c r="CQ61" i="4" s="1"/>
  <c r="BT25" i="4"/>
  <c r="CP61" i="4" s="1"/>
  <c r="BV25" i="4"/>
  <c r="BQ25" i="4"/>
  <c r="BL25" i="4"/>
  <c r="BK25" i="4"/>
  <c r="BW25" i="4"/>
  <c r="BS25" i="4"/>
  <c r="BN25" i="4"/>
  <c r="CB25" i="4"/>
  <c r="CP63" i="4" s="1"/>
  <c r="BO25" i="4"/>
  <c r="BJ25" i="4"/>
  <c r="BR25" i="4"/>
  <c r="BM25" i="4"/>
  <c r="AY25" i="4"/>
  <c r="AX25" i="4"/>
  <c r="BG25" i="4"/>
  <c r="BI25" i="4"/>
  <c r="BF25" i="4"/>
  <c r="BE25" i="4"/>
  <c r="BP25" i="4"/>
  <c r="BH25" i="4"/>
  <c r="AW25" i="4"/>
  <c r="AV25" i="4"/>
  <c r="AU25" i="4"/>
  <c r="CJ63" i="4" s="1"/>
  <c r="AR25" i="4"/>
  <c r="AT25" i="4"/>
  <c r="CI63" i="4" s="1"/>
  <c r="AS25" i="4"/>
  <c r="AP25" i="4"/>
  <c r="CI62" i="4" s="1"/>
  <c r="AQ25" i="4"/>
  <c r="CJ62" i="4" s="1"/>
  <c r="AO25" i="4"/>
  <c r="AN25" i="4"/>
  <c r="AK25" i="4"/>
  <c r="AI25" i="4"/>
  <c r="AL25" i="4"/>
  <c r="CI61" i="4" s="1"/>
  <c r="AF25" i="4"/>
  <c r="AM25" i="4"/>
  <c r="CJ61" i="4" s="1"/>
  <c r="AH25" i="4"/>
  <c r="AE25" i="4"/>
  <c r="AJ25" i="4"/>
  <c r="AG25" i="4"/>
  <c r="AD25" i="4"/>
  <c r="AB25" i="4"/>
  <c r="AC25" i="4"/>
  <c r="AA25" i="4"/>
  <c r="K77" i="4"/>
  <c r="CE44" i="4"/>
  <c r="CF44" i="4"/>
  <c r="CD44" i="4"/>
  <c r="CA44" i="4"/>
  <c r="CB44" i="4"/>
  <c r="CP120" i="4" s="1"/>
  <c r="CG44" i="4"/>
  <c r="BZ44" i="4"/>
  <c r="BS44" i="4"/>
  <c r="BR44" i="4"/>
  <c r="BQ44" i="4"/>
  <c r="BU44" i="4"/>
  <c r="CQ118" i="4" s="1"/>
  <c r="BY44" i="4"/>
  <c r="CQ119" i="4" s="1"/>
  <c r="BT44" i="4"/>
  <c r="CP118" i="4" s="1"/>
  <c r="BX44" i="4"/>
  <c r="CP119" i="4" s="1"/>
  <c r="BW44" i="4"/>
  <c r="BV44" i="4"/>
  <c r="CC44" i="4"/>
  <c r="CQ120" i="4" s="1"/>
  <c r="BO44" i="4"/>
  <c r="BL44" i="4"/>
  <c r="BK44" i="4"/>
  <c r="BP44" i="4"/>
  <c r="BI44" i="4"/>
  <c r="BH44" i="4"/>
  <c r="BN44" i="4"/>
  <c r="BJ44" i="4"/>
  <c r="BM44" i="4"/>
  <c r="BG44" i="4"/>
  <c r="BF44" i="4"/>
  <c r="AY44" i="4"/>
  <c r="AW44" i="4"/>
  <c r="BE44" i="4"/>
  <c r="AV44" i="4"/>
  <c r="AT44" i="4"/>
  <c r="CI120" i="4" s="1"/>
  <c r="AS44" i="4"/>
  <c r="AX44" i="4"/>
  <c r="AQ44" i="4"/>
  <c r="CJ119" i="4" s="1"/>
  <c r="AN44" i="4"/>
  <c r="AR44" i="4"/>
  <c r="AL44" i="4"/>
  <c r="CI118" i="4" s="1"/>
  <c r="AJ44" i="4"/>
  <c r="AI44" i="4"/>
  <c r="AU44" i="4"/>
  <c r="CJ120" i="4" s="1"/>
  <c r="AG44" i="4"/>
  <c r="AF44" i="4"/>
  <c r="AE44" i="4"/>
  <c r="AD44" i="4"/>
  <c r="AC44" i="4"/>
  <c r="AB44" i="4"/>
  <c r="AK44" i="4"/>
  <c r="AH44" i="4"/>
  <c r="AP44" i="4"/>
  <c r="CI119" i="4" s="1"/>
  <c r="AO44" i="4"/>
  <c r="AM44" i="4"/>
  <c r="CJ118" i="4" s="1"/>
  <c r="AA44" i="4"/>
  <c r="M12" i="4"/>
  <c r="CF422" i="4"/>
  <c r="CE422" i="4"/>
  <c r="CB422" i="4"/>
  <c r="CP1254" i="4" s="1"/>
  <c r="CC422" i="4"/>
  <c r="CQ1254" i="4" s="1"/>
  <c r="CG422" i="4"/>
  <c r="BV422" i="4"/>
  <c r="BU422" i="4"/>
  <c r="CQ1252" i="4" s="1"/>
  <c r="CD422" i="4"/>
  <c r="BX422" i="4"/>
  <c r="CP1253" i="4" s="1"/>
  <c r="BZ422" i="4"/>
  <c r="BW422" i="4"/>
  <c r="CA422" i="4"/>
  <c r="BR422" i="4"/>
  <c r="BY422" i="4"/>
  <c r="CQ1253" i="4" s="1"/>
  <c r="BQ422" i="4"/>
  <c r="BT422" i="4"/>
  <c r="CP1252" i="4" s="1"/>
  <c r="BO422" i="4"/>
  <c r="BS422" i="4"/>
  <c r="BP422" i="4"/>
  <c r="BM422" i="4"/>
  <c r="BL422" i="4"/>
  <c r="BH422" i="4"/>
  <c r="BG422" i="4"/>
  <c r="BI422" i="4"/>
  <c r="BK422" i="4"/>
  <c r="BN422" i="4"/>
  <c r="BE422" i="4"/>
  <c r="AY422" i="4"/>
  <c r="AT422" i="4"/>
  <c r="CI1254" i="4" s="1"/>
  <c r="AS422" i="4"/>
  <c r="AR422" i="4"/>
  <c r="AQ422" i="4"/>
  <c r="CJ1253" i="4" s="1"/>
  <c r="AP422" i="4"/>
  <c r="CI1253" i="4" s="1"/>
  <c r="AX422" i="4"/>
  <c r="AW422" i="4"/>
  <c r="BF422" i="4"/>
  <c r="AU422" i="4"/>
  <c r="CJ1254" i="4" s="1"/>
  <c r="AO422" i="4"/>
  <c r="AN422" i="4"/>
  <c r="AM422" i="4"/>
  <c r="CJ1252" i="4" s="1"/>
  <c r="BJ422" i="4"/>
  <c r="AV422" i="4"/>
  <c r="AK422" i="4"/>
  <c r="AJ422" i="4"/>
  <c r="AH422" i="4"/>
  <c r="AL422" i="4"/>
  <c r="CI1252" i="4" s="1"/>
  <c r="AI422" i="4"/>
  <c r="AE422" i="4"/>
  <c r="AF422" i="4"/>
  <c r="AB422" i="4"/>
  <c r="AC422" i="4"/>
  <c r="AA422" i="4"/>
  <c r="AG422" i="4"/>
  <c r="AD422" i="4"/>
  <c r="M13" i="4"/>
  <c r="N55" i="4"/>
  <c r="K44" i="4"/>
  <c r="K89" i="4"/>
  <c r="CF386" i="4"/>
  <c r="CC386" i="4"/>
  <c r="CQ1146" i="4" s="1"/>
  <c r="BZ386" i="4"/>
  <c r="BY386" i="4"/>
  <c r="CQ1145" i="4" s="1"/>
  <c r="BX386" i="4"/>
  <c r="CP1145" i="4" s="1"/>
  <c r="BW386" i="4"/>
  <c r="CG386" i="4"/>
  <c r="CE386" i="4"/>
  <c r="BV386" i="4"/>
  <c r="CA386" i="4"/>
  <c r="BU386" i="4"/>
  <c r="CQ1144" i="4" s="1"/>
  <c r="BT386" i="4"/>
  <c r="CP1144" i="4" s="1"/>
  <c r="BS386" i="4"/>
  <c r="BR386" i="4"/>
  <c r="BQ386" i="4"/>
  <c r="BP386" i="4"/>
  <c r="CD386" i="4"/>
  <c r="CB386" i="4"/>
  <c r="CP1146" i="4" s="1"/>
  <c r="BO386" i="4"/>
  <c r="BM386" i="4"/>
  <c r="BL386" i="4"/>
  <c r="BK386" i="4"/>
  <c r="BI386" i="4"/>
  <c r="BH386" i="4"/>
  <c r="BG386" i="4"/>
  <c r="BF386" i="4"/>
  <c r="AX386" i="4"/>
  <c r="BN386" i="4"/>
  <c r="BJ386" i="4"/>
  <c r="AW386" i="4"/>
  <c r="AT386" i="4"/>
  <c r="CI1146" i="4" s="1"/>
  <c r="AU386" i="4"/>
  <c r="CJ1146" i="4" s="1"/>
  <c r="AQ386" i="4"/>
  <c r="CJ1145" i="4" s="1"/>
  <c r="BE386" i="4"/>
  <c r="AR386" i="4"/>
  <c r="AY386" i="4"/>
  <c r="AV386" i="4"/>
  <c r="AN386" i="4"/>
  <c r="AS386" i="4"/>
  <c r="AO386" i="4"/>
  <c r="AI386" i="4"/>
  <c r="AM386" i="4"/>
  <c r="CJ1144" i="4" s="1"/>
  <c r="AP386" i="4"/>
  <c r="CI1145" i="4" s="1"/>
  <c r="AG386" i="4"/>
  <c r="AL386" i="4"/>
  <c r="CI1144" i="4" s="1"/>
  <c r="AJ386" i="4"/>
  <c r="AE386" i="4"/>
  <c r="AF386" i="4"/>
  <c r="AK386" i="4"/>
  <c r="AH386" i="4"/>
  <c r="AB386" i="4"/>
  <c r="AC386" i="4"/>
  <c r="AA386" i="4"/>
  <c r="AD386" i="4"/>
  <c r="CG68" i="4"/>
  <c r="CE68" i="4"/>
  <c r="BZ68" i="4"/>
  <c r="CB68" i="4"/>
  <c r="CP192" i="4" s="1"/>
  <c r="CF68" i="4"/>
  <c r="CA68" i="4"/>
  <c r="CD68" i="4"/>
  <c r="BY68" i="4"/>
  <c r="CQ191" i="4" s="1"/>
  <c r="CC68" i="4"/>
  <c r="CQ192" i="4" s="1"/>
  <c r="BX68" i="4"/>
  <c r="CP191" i="4" s="1"/>
  <c r="BW68" i="4"/>
  <c r="BU68" i="4"/>
  <c r="CQ190" i="4" s="1"/>
  <c r="BO68" i="4"/>
  <c r="BN68" i="4"/>
  <c r="BP68" i="4"/>
  <c r="BM68" i="4"/>
  <c r="BS68" i="4"/>
  <c r="BV68" i="4"/>
  <c r="BQ68" i="4"/>
  <c r="BT68" i="4"/>
  <c r="CP190" i="4" s="1"/>
  <c r="BL68" i="4"/>
  <c r="BI68" i="4"/>
  <c r="BH68" i="4"/>
  <c r="BE68" i="4"/>
  <c r="BR68" i="4"/>
  <c r="BJ68" i="4"/>
  <c r="BK68" i="4"/>
  <c r="AY68" i="4"/>
  <c r="BG68" i="4"/>
  <c r="AX68" i="4"/>
  <c r="AT68" i="4"/>
  <c r="CI192" i="4" s="1"/>
  <c r="BF68" i="4"/>
  <c r="AV68" i="4"/>
  <c r="AS68" i="4"/>
  <c r="AW68" i="4"/>
  <c r="AQ68" i="4"/>
  <c r="CJ191" i="4" s="1"/>
  <c r="AR68" i="4"/>
  <c r="AP68" i="4"/>
  <c r="CI191" i="4" s="1"/>
  <c r="AU68" i="4"/>
  <c r="CJ192" i="4" s="1"/>
  <c r="AM68" i="4"/>
  <c r="CJ190" i="4" s="1"/>
  <c r="AO68" i="4"/>
  <c r="AJ68" i="4"/>
  <c r="AK68" i="4"/>
  <c r="AG68" i="4"/>
  <c r="AN68" i="4"/>
  <c r="AH68" i="4"/>
  <c r="AL68" i="4"/>
  <c r="CI190" i="4" s="1"/>
  <c r="AF68" i="4"/>
  <c r="AI68" i="4"/>
  <c r="AE68" i="4"/>
  <c r="AC68" i="4"/>
  <c r="AD68" i="4"/>
  <c r="AA68" i="4"/>
  <c r="AB68" i="4"/>
  <c r="CG379" i="4"/>
  <c r="CE379" i="4"/>
  <c r="CD379" i="4"/>
  <c r="CC379" i="4"/>
  <c r="CQ1125" i="4" s="1"/>
  <c r="CB379" i="4"/>
  <c r="CP1125" i="4" s="1"/>
  <c r="CA379" i="4"/>
  <c r="CF379" i="4"/>
  <c r="BT379" i="4"/>
  <c r="CP1123" i="4" s="1"/>
  <c r="BS379" i="4"/>
  <c r="BR379" i="4"/>
  <c r="BQ379" i="4"/>
  <c r="BP379" i="4"/>
  <c r="BZ379" i="4"/>
  <c r="BY379" i="4"/>
  <c r="CQ1124" i="4" s="1"/>
  <c r="BW379" i="4"/>
  <c r="BU379" i="4"/>
  <c r="CQ1123" i="4" s="1"/>
  <c r="BO379" i="4"/>
  <c r="BN379" i="4"/>
  <c r="BV379" i="4"/>
  <c r="BX379" i="4"/>
  <c r="CP1124" i="4" s="1"/>
  <c r="BJ379" i="4"/>
  <c r="BI379" i="4"/>
  <c r="BM379" i="4"/>
  <c r="BL379" i="4"/>
  <c r="BK379" i="4"/>
  <c r="BG379" i="4"/>
  <c r="BF379" i="4"/>
  <c r="BH379" i="4"/>
  <c r="AW379" i="4"/>
  <c r="AU379" i="4"/>
  <c r="CJ1125" i="4" s="1"/>
  <c r="AY379" i="4"/>
  <c r="BE379" i="4"/>
  <c r="AX379" i="4"/>
  <c r="AR379" i="4"/>
  <c r="AT379" i="4"/>
  <c r="CI1125" i="4" s="1"/>
  <c r="AP379" i="4"/>
  <c r="CI1124" i="4" s="1"/>
  <c r="AO379" i="4"/>
  <c r="AQ379" i="4"/>
  <c r="CJ1124" i="4" s="1"/>
  <c r="AL379" i="4"/>
  <c r="CI1123" i="4" s="1"/>
  <c r="AV379" i="4"/>
  <c r="AN379" i="4"/>
  <c r="AS379" i="4"/>
  <c r="AJ379" i="4"/>
  <c r="AM379" i="4"/>
  <c r="CJ1123" i="4" s="1"/>
  <c r="AK379" i="4"/>
  <c r="AI379" i="4"/>
  <c r="AH379" i="4"/>
  <c r="AC379" i="4"/>
  <c r="AF379" i="4"/>
  <c r="AG379" i="4"/>
  <c r="AA379" i="4"/>
  <c r="AE379" i="4"/>
  <c r="AD379" i="4"/>
  <c r="AB379" i="4"/>
  <c r="M100" i="4"/>
  <c r="CD221" i="4"/>
  <c r="CC221" i="4"/>
  <c r="CQ651" i="4" s="1"/>
  <c r="CB221" i="4"/>
  <c r="CP651" i="4" s="1"/>
  <c r="CE221" i="4"/>
  <c r="CF221" i="4"/>
  <c r="CA221" i="4"/>
  <c r="CG221" i="4"/>
  <c r="BX221" i="4"/>
  <c r="CP650" i="4" s="1"/>
  <c r="BZ221" i="4"/>
  <c r="BY221" i="4"/>
  <c r="CQ650" i="4" s="1"/>
  <c r="BS221" i="4"/>
  <c r="BR221" i="4"/>
  <c r="BQ221" i="4"/>
  <c r="BU221" i="4"/>
  <c r="CQ649" i="4" s="1"/>
  <c r="BT221" i="4"/>
  <c r="CP649" i="4" s="1"/>
  <c r="BN221" i="4"/>
  <c r="BV221" i="4"/>
  <c r="BM221" i="4"/>
  <c r="BL221" i="4"/>
  <c r="BO221" i="4"/>
  <c r="BW221" i="4"/>
  <c r="BJ221" i="4"/>
  <c r="BP221" i="4"/>
  <c r="BK221" i="4"/>
  <c r="BI221" i="4"/>
  <c r="BE221" i="4"/>
  <c r="AY221" i="4"/>
  <c r="BF221" i="4"/>
  <c r="BH221" i="4"/>
  <c r="AV221" i="4"/>
  <c r="AU221" i="4"/>
  <c r="CJ651" i="4" s="1"/>
  <c r="AW221" i="4"/>
  <c r="AS221" i="4"/>
  <c r="BG221" i="4"/>
  <c r="AX221" i="4"/>
  <c r="AR221" i="4"/>
  <c r="AN221" i="4"/>
  <c r="AQ221" i="4"/>
  <c r="CJ650" i="4" s="1"/>
  <c r="AO221" i="4"/>
  <c r="AT221" i="4"/>
  <c r="CI651" i="4" s="1"/>
  <c r="AM221" i="4"/>
  <c r="CJ649" i="4" s="1"/>
  <c r="AP221" i="4"/>
  <c r="CI650" i="4" s="1"/>
  <c r="AH221" i="4"/>
  <c r="AG221" i="4"/>
  <c r="AK221" i="4"/>
  <c r="AE221" i="4"/>
  <c r="AI221" i="4"/>
  <c r="AL221" i="4"/>
  <c r="CI649" i="4" s="1"/>
  <c r="AF221" i="4"/>
  <c r="AB221" i="4"/>
  <c r="AA221" i="4"/>
  <c r="AD221" i="4"/>
  <c r="AC221" i="4"/>
  <c r="AJ221" i="4"/>
  <c r="N60" i="4"/>
  <c r="M126" i="4"/>
  <c r="CF166" i="4"/>
  <c r="CG166" i="4"/>
  <c r="CE166" i="4"/>
  <c r="CC166" i="4"/>
  <c r="CQ486" i="4" s="1"/>
  <c r="CB166" i="4"/>
  <c r="CP486" i="4" s="1"/>
  <c r="CD166" i="4"/>
  <c r="BX166" i="4"/>
  <c r="CP485" i="4" s="1"/>
  <c r="BU166" i="4"/>
  <c r="CQ484" i="4" s="1"/>
  <c r="BT166" i="4"/>
  <c r="CP484" i="4" s="1"/>
  <c r="BW166" i="4"/>
  <c r="BZ166" i="4"/>
  <c r="BV166" i="4"/>
  <c r="CA166" i="4"/>
  <c r="BR166" i="4"/>
  <c r="BQ166" i="4"/>
  <c r="BO166" i="4"/>
  <c r="BN166" i="4"/>
  <c r="BK166" i="4"/>
  <c r="BY166" i="4"/>
  <c r="CQ485" i="4" s="1"/>
  <c r="BS166" i="4"/>
  <c r="BP166" i="4"/>
  <c r="BI166" i="4"/>
  <c r="BL166" i="4"/>
  <c r="BM166" i="4"/>
  <c r="BH166" i="4"/>
  <c r="BG166" i="4"/>
  <c r="AY166" i="4"/>
  <c r="AS166" i="4"/>
  <c r="AR166" i="4"/>
  <c r="AQ166" i="4"/>
  <c r="CJ485" i="4" s="1"/>
  <c r="AP166" i="4"/>
  <c r="CI485" i="4" s="1"/>
  <c r="AX166" i="4"/>
  <c r="AW166" i="4"/>
  <c r="BJ166" i="4"/>
  <c r="BE166" i="4"/>
  <c r="AV166" i="4"/>
  <c r="BF166" i="4"/>
  <c r="AU166" i="4"/>
  <c r="CJ486" i="4" s="1"/>
  <c r="AO166" i="4"/>
  <c r="AN166" i="4"/>
  <c r="AM166" i="4"/>
  <c r="CJ484" i="4" s="1"/>
  <c r="AT166" i="4"/>
  <c r="CI486" i="4" s="1"/>
  <c r="AJ166" i="4"/>
  <c r="AH166" i="4"/>
  <c r="AK166" i="4"/>
  <c r="AG166" i="4"/>
  <c r="AL166" i="4"/>
  <c r="CI484" i="4" s="1"/>
  <c r="AI166" i="4"/>
  <c r="AF166" i="4"/>
  <c r="AE166" i="4"/>
  <c r="AB166" i="4"/>
  <c r="AC166" i="4"/>
  <c r="AA166" i="4"/>
  <c r="AD166" i="4"/>
  <c r="CF56" i="4"/>
  <c r="CD56" i="4"/>
  <c r="CC56" i="4"/>
  <c r="CQ156" i="4" s="1"/>
  <c r="CB56" i="4"/>
  <c r="CP156" i="4" s="1"/>
  <c r="CE56" i="4"/>
  <c r="CG56" i="4"/>
  <c r="BZ56" i="4"/>
  <c r="BY56" i="4"/>
  <c r="CQ155" i="4" s="1"/>
  <c r="BX56" i="4"/>
  <c r="CP155" i="4" s="1"/>
  <c r="BW56" i="4"/>
  <c r="BV56" i="4"/>
  <c r="BT56" i="4"/>
  <c r="CP154" i="4" s="1"/>
  <c r="CA56" i="4"/>
  <c r="BU56" i="4"/>
  <c r="CQ154" i="4" s="1"/>
  <c r="BS56" i="4"/>
  <c r="BR56" i="4"/>
  <c r="BQ56" i="4"/>
  <c r="BP56" i="4"/>
  <c r="BO56" i="4"/>
  <c r="BL56" i="4"/>
  <c r="BK56" i="4"/>
  <c r="BJ56" i="4"/>
  <c r="BN56" i="4"/>
  <c r="BM56" i="4"/>
  <c r="AY56" i="4"/>
  <c r="AX56" i="4"/>
  <c r="BH56" i="4"/>
  <c r="BG56" i="4"/>
  <c r="BF56" i="4"/>
  <c r="BE56" i="4"/>
  <c r="BI56" i="4"/>
  <c r="AW56" i="4"/>
  <c r="AQ56" i="4"/>
  <c r="CJ155" i="4" s="1"/>
  <c r="AV56" i="4"/>
  <c r="AU56" i="4"/>
  <c r="CJ156" i="4" s="1"/>
  <c r="AT56" i="4"/>
  <c r="CI156" i="4" s="1"/>
  <c r="AP56" i="4"/>
  <c r="CI155" i="4" s="1"/>
  <c r="AS56" i="4"/>
  <c r="AR56" i="4"/>
  <c r="AO56" i="4"/>
  <c r="AL56" i="4"/>
  <c r="CI154" i="4" s="1"/>
  <c r="AN56" i="4"/>
  <c r="AM56" i="4"/>
  <c r="CJ154" i="4" s="1"/>
  <c r="AH56" i="4"/>
  <c r="AF56" i="4"/>
  <c r="AI56" i="4"/>
  <c r="AJ56" i="4"/>
  <c r="AE56" i="4"/>
  <c r="AG56" i="4"/>
  <c r="AK56" i="4"/>
  <c r="AB56" i="4"/>
  <c r="AC56" i="4"/>
  <c r="AA56" i="4"/>
  <c r="AD56" i="4"/>
  <c r="N40" i="4"/>
  <c r="K32" i="4"/>
  <c r="CG284" i="4"/>
  <c r="CF284" i="4"/>
  <c r="CE284" i="4"/>
  <c r="CC284" i="4"/>
  <c r="CQ840" i="4" s="1"/>
  <c r="CD284" i="4"/>
  <c r="CA284" i="4"/>
  <c r="BS284" i="4"/>
  <c r="BR284" i="4"/>
  <c r="BX284" i="4"/>
  <c r="CP839" i="4" s="1"/>
  <c r="BU284" i="4"/>
  <c r="CQ838" i="4" s="1"/>
  <c r="BY284" i="4"/>
  <c r="CQ839" i="4" s="1"/>
  <c r="BQ284" i="4"/>
  <c r="BM284" i="4"/>
  <c r="BL284" i="4"/>
  <c r="BV284" i="4"/>
  <c r="BT284" i="4"/>
  <c r="CP838" i="4" s="1"/>
  <c r="BW284" i="4"/>
  <c r="CB284" i="4"/>
  <c r="CP840" i="4" s="1"/>
  <c r="BZ284" i="4"/>
  <c r="BJ284" i="4"/>
  <c r="BI284" i="4"/>
  <c r="BH284" i="4"/>
  <c r="BP284" i="4"/>
  <c r="BK284" i="4"/>
  <c r="BO284" i="4"/>
  <c r="BF284" i="4"/>
  <c r="BN284" i="4"/>
  <c r="BG284" i="4"/>
  <c r="BE284" i="4"/>
  <c r="AW284" i="4"/>
  <c r="AY284" i="4"/>
  <c r="AV284" i="4"/>
  <c r="AT284" i="4"/>
  <c r="CI840" i="4" s="1"/>
  <c r="AQ284" i="4"/>
  <c r="CJ839" i="4" s="1"/>
  <c r="AU284" i="4"/>
  <c r="CJ840" i="4" s="1"/>
  <c r="AX284" i="4"/>
  <c r="AS284" i="4"/>
  <c r="AN284" i="4"/>
  <c r="AP284" i="4"/>
  <c r="CI839" i="4" s="1"/>
  <c r="AM284" i="4"/>
  <c r="CJ838" i="4" s="1"/>
  <c r="AL284" i="4"/>
  <c r="CI838" i="4" s="1"/>
  <c r="AG284" i="4"/>
  <c r="AJ284" i="4"/>
  <c r="AI284" i="4"/>
  <c r="AF284" i="4"/>
  <c r="AE284" i="4"/>
  <c r="AD284" i="4"/>
  <c r="AC284" i="4"/>
  <c r="AR284" i="4"/>
  <c r="AO284" i="4"/>
  <c r="AK284" i="4"/>
  <c r="AH284" i="4"/>
  <c r="AB284" i="4"/>
  <c r="AA284" i="4"/>
  <c r="O27" i="4"/>
  <c r="CG233" i="4"/>
  <c r="CF233" i="4"/>
  <c r="CE233" i="4"/>
  <c r="CD233" i="4"/>
  <c r="CC233" i="4"/>
  <c r="CQ687" i="4" s="1"/>
  <c r="BZ233" i="4"/>
  <c r="BY233" i="4"/>
  <c r="CQ686" i="4" s="1"/>
  <c r="BX233" i="4"/>
  <c r="CP686" i="4" s="1"/>
  <c r="BU233" i="4"/>
  <c r="CQ685" i="4" s="1"/>
  <c r="BV233" i="4"/>
  <c r="BP233" i="4"/>
  <c r="BM233" i="4"/>
  <c r="BL233" i="4"/>
  <c r="CB233" i="4"/>
  <c r="CP687" i="4" s="1"/>
  <c r="BT233" i="4"/>
  <c r="CP685" i="4" s="1"/>
  <c r="BS233" i="4"/>
  <c r="CA233" i="4"/>
  <c r="BR233" i="4"/>
  <c r="BW233" i="4"/>
  <c r="BN233" i="4"/>
  <c r="BQ233" i="4"/>
  <c r="BE233" i="4"/>
  <c r="AY233" i="4"/>
  <c r="BK233" i="4"/>
  <c r="BJ233" i="4"/>
  <c r="BH233" i="4"/>
  <c r="BF233" i="4"/>
  <c r="BO233" i="4"/>
  <c r="AW233" i="4"/>
  <c r="BG233" i="4"/>
  <c r="BI233" i="4"/>
  <c r="AU233" i="4"/>
  <c r="CJ687" i="4" s="1"/>
  <c r="AT233" i="4"/>
  <c r="CI687" i="4" s="1"/>
  <c r="AQ233" i="4"/>
  <c r="CJ686" i="4" s="1"/>
  <c r="AX233" i="4"/>
  <c r="AS233" i="4"/>
  <c r="AN233" i="4"/>
  <c r="AO233" i="4"/>
  <c r="AP233" i="4"/>
  <c r="CI686" i="4" s="1"/>
  <c r="AR233" i="4"/>
  <c r="AV233" i="4"/>
  <c r="AL233" i="4"/>
  <c r="CI685" i="4" s="1"/>
  <c r="AM233" i="4"/>
  <c r="CJ685" i="4" s="1"/>
  <c r="AG233" i="4"/>
  <c r="AK233" i="4"/>
  <c r="AI233" i="4"/>
  <c r="AJ233" i="4"/>
  <c r="AD233" i="4"/>
  <c r="AC233" i="4"/>
  <c r="AF233" i="4"/>
  <c r="AA233" i="4"/>
  <c r="AH233" i="4"/>
  <c r="AE233" i="4"/>
  <c r="AB233" i="4"/>
  <c r="CF194" i="4"/>
  <c r="CE194" i="4"/>
  <c r="BZ194" i="4"/>
  <c r="BY194" i="4"/>
  <c r="CQ569" i="4" s="1"/>
  <c r="BX194" i="4"/>
  <c r="CP569" i="4" s="1"/>
  <c r="BW194" i="4"/>
  <c r="CG194" i="4"/>
  <c r="CA194" i="4"/>
  <c r="CC194" i="4"/>
  <c r="CQ570" i="4" s="1"/>
  <c r="BU194" i="4"/>
  <c r="CQ568" i="4" s="1"/>
  <c r="BT194" i="4"/>
  <c r="CP568" i="4" s="1"/>
  <c r="CB194" i="4"/>
  <c r="CP570" i="4" s="1"/>
  <c r="CD194" i="4"/>
  <c r="BV194" i="4"/>
  <c r="BS194" i="4"/>
  <c r="BR194" i="4"/>
  <c r="BQ194" i="4"/>
  <c r="BP194" i="4"/>
  <c r="BO194" i="4"/>
  <c r="BK194" i="4"/>
  <c r="BM194" i="4"/>
  <c r="BN194" i="4"/>
  <c r="BL194" i="4"/>
  <c r="BG194" i="4"/>
  <c r="BI194" i="4"/>
  <c r="BF194" i="4"/>
  <c r="BJ194" i="4"/>
  <c r="AY194" i="4"/>
  <c r="BH194" i="4"/>
  <c r="AX194" i="4"/>
  <c r="AV194" i="4"/>
  <c r="AR194" i="4"/>
  <c r="AT194" i="4"/>
  <c r="CI570" i="4" s="1"/>
  <c r="AW194" i="4"/>
  <c r="AU194" i="4"/>
  <c r="CJ570" i="4" s="1"/>
  <c r="BE194" i="4"/>
  <c r="AS194" i="4"/>
  <c r="AQ194" i="4"/>
  <c r="CJ569" i="4" s="1"/>
  <c r="AO194" i="4"/>
  <c r="AP194" i="4"/>
  <c r="CI569" i="4" s="1"/>
  <c r="AI194" i="4"/>
  <c r="AM194" i="4"/>
  <c r="CJ568" i="4" s="1"/>
  <c r="AK194" i="4"/>
  <c r="AJ194" i="4"/>
  <c r="AG194" i="4"/>
  <c r="AN194" i="4"/>
  <c r="AL194" i="4"/>
  <c r="CI568" i="4" s="1"/>
  <c r="AF194" i="4"/>
  <c r="AD194" i="4"/>
  <c r="AB194" i="4"/>
  <c r="AC194" i="4"/>
  <c r="AA194" i="4"/>
  <c r="AH194" i="4"/>
  <c r="AE194" i="4"/>
  <c r="L123" i="4"/>
  <c r="CE475" i="4"/>
  <c r="CD475" i="4"/>
  <c r="CC475" i="4"/>
  <c r="CQ1413" i="4" s="1"/>
  <c r="CB475" i="4"/>
  <c r="CP1413" i="4" s="1"/>
  <c r="CA475" i="4"/>
  <c r="CG475" i="4"/>
  <c r="CF475" i="4"/>
  <c r="BY475" i="4"/>
  <c r="CQ1412" i="4" s="1"/>
  <c r="BT475" i="4"/>
  <c r="CP1411" i="4" s="1"/>
  <c r="BS475" i="4"/>
  <c r="BR475" i="4"/>
  <c r="BQ475" i="4"/>
  <c r="BP475" i="4"/>
  <c r="BV475" i="4"/>
  <c r="BU475" i="4"/>
  <c r="CQ1411" i="4" s="1"/>
  <c r="BX475" i="4"/>
  <c r="CP1412" i="4" s="1"/>
  <c r="BZ475" i="4"/>
  <c r="BM475" i="4"/>
  <c r="BJ475" i="4"/>
  <c r="BI475" i="4"/>
  <c r="BO475" i="4"/>
  <c r="BL475" i="4"/>
  <c r="BW475" i="4"/>
  <c r="BN475" i="4"/>
  <c r="BH475" i="4"/>
  <c r="BK475" i="4"/>
  <c r="BG475" i="4"/>
  <c r="BE475" i="4"/>
  <c r="BF475" i="4"/>
  <c r="AY475" i="4"/>
  <c r="AX475" i="4"/>
  <c r="AT475" i="4"/>
  <c r="CI1413" i="4" s="1"/>
  <c r="AV475" i="4"/>
  <c r="AU475" i="4"/>
  <c r="CJ1413" i="4" s="1"/>
  <c r="AP475" i="4"/>
  <c r="CI1412" i="4" s="1"/>
  <c r="AS475" i="4"/>
  <c r="AN475" i="4"/>
  <c r="AW475" i="4"/>
  <c r="AM475" i="4"/>
  <c r="CJ1411" i="4" s="1"/>
  <c r="AR475" i="4"/>
  <c r="AK475" i="4"/>
  <c r="AL475" i="4"/>
  <c r="CI1411" i="4" s="1"/>
  <c r="AH475" i="4"/>
  <c r="AG475" i="4"/>
  <c r="AQ475" i="4"/>
  <c r="CJ1412" i="4" s="1"/>
  <c r="AO475" i="4"/>
  <c r="AE475" i="4"/>
  <c r="AD475" i="4"/>
  <c r="AJ475" i="4"/>
  <c r="AC475" i="4"/>
  <c r="AB475" i="4"/>
  <c r="AA475" i="4"/>
  <c r="AI475" i="4"/>
  <c r="AF475" i="4"/>
  <c r="CF437" i="4"/>
  <c r="CG437" i="4"/>
  <c r="CE437" i="4"/>
  <c r="CC437" i="4"/>
  <c r="CQ1299" i="4" s="1"/>
  <c r="CB437" i="4"/>
  <c r="CP1299" i="4" s="1"/>
  <c r="BZ437" i="4"/>
  <c r="BY437" i="4"/>
  <c r="CQ1298" i="4" s="1"/>
  <c r="BX437" i="4"/>
  <c r="CP1298" i="4" s="1"/>
  <c r="BW437" i="4"/>
  <c r="BV437" i="4"/>
  <c r="BU437" i="4"/>
  <c r="CQ1297" i="4" s="1"/>
  <c r="CD437" i="4"/>
  <c r="CA437" i="4"/>
  <c r="BS437" i="4"/>
  <c r="BP437" i="4"/>
  <c r="BR437" i="4"/>
  <c r="BO437" i="4"/>
  <c r="BT437" i="4"/>
  <c r="CP1297" i="4" s="1"/>
  <c r="BM437" i="4"/>
  <c r="BL437" i="4"/>
  <c r="BQ437" i="4"/>
  <c r="BK437" i="4"/>
  <c r="BN437" i="4"/>
  <c r="BJ437" i="4"/>
  <c r="BI437" i="4"/>
  <c r="BH437" i="4"/>
  <c r="BG437" i="4"/>
  <c r="BF437" i="4"/>
  <c r="AX437" i="4"/>
  <c r="AW437" i="4"/>
  <c r="AT437" i="4"/>
  <c r="CI1299" i="4" s="1"/>
  <c r="AU437" i="4"/>
  <c r="CJ1299" i="4" s="1"/>
  <c r="BE437" i="4"/>
  <c r="AV437" i="4"/>
  <c r="AQ437" i="4"/>
  <c r="CJ1298" i="4" s="1"/>
  <c r="AY437" i="4"/>
  <c r="AS437" i="4"/>
  <c r="AP437" i="4"/>
  <c r="CI1298" i="4" s="1"/>
  <c r="AL437" i="4"/>
  <c r="CI1297" i="4" s="1"/>
  <c r="AR437" i="4"/>
  <c r="AM437" i="4"/>
  <c r="CJ1297" i="4" s="1"/>
  <c r="AJ437" i="4"/>
  <c r="AN437" i="4"/>
  <c r="AG437" i="4"/>
  <c r="AO437" i="4"/>
  <c r="AK437" i="4"/>
  <c r="AI437" i="4"/>
  <c r="AH437" i="4"/>
  <c r="AE437" i="4"/>
  <c r="AC437" i="4"/>
  <c r="AD437" i="4"/>
  <c r="AB437" i="4"/>
  <c r="AA437" i="4"/>
  <c r="AF437" i="4"/>
  <c r="N66" i="4"/>
  <c r="CE461" i="4"/>
  <c r="CD461" i="4"/>
  <c r="CC461" i="4"/>
  <c r="CQ1371" i="4" s="1"/>
  <c r="CA461" i="4"/>
  <c r="CF461" i="4"/>
  <c r="CB461" i="4"/>
  <c r="CP1371" i="4" s="1"/>
  <c r="BX461" i="4"/>
  <c r="CP1370" i="4" s="1"/>
  <c r="BT461" i="4"/>
  <c r="CP1369" i="4" s="1"/>
  <c r="BS461" i="4"/>
  <c r="BR461" i="4"/>
  <c r="BQ461" i="4"/>
  <c r="BW461" i="4"/>
  <c r="BV461" i="4"/>
  <c r="CG461" i="4"/>
  <c r="BO461" i="4"/>
  <c r="BP461" i="4"/>
  <c r="BN461" i="4"/>
  <c r="BM461" i="4"/>
  <c r="BL461" i="4"/>
  <c r="BY461" i="4"/>
  <c r="CQ1370" i="4" s="1"/>
  <c r="BU461" i="4"/>
  <c r="CQ1369" i="4" s="1"/>
  <c r="BI461" i="4"/>
  <c r="BZ461" i="4"/>
  <c r="BF461" i="4"/>
  <c r="BG461" i="4"/>
  <c r="AY461" i="4"/>
  <c r="AV461" i="4"/>
  <c r="BJ461" i="4"/>
  <c r="BH461" i="4"/>
  <c r="AW461" i="4"/>
  <c r="AT461" i="4"/>
  <c r="CI1371" i="4" s="1"/>
  <c r="AS461" i="4"/>
  <c r="BK461" i="4"/>
  <c r="AX461" i="4"/>
  <c r="AR461" i="4"/>
  <c r="BE461" i="4"/>
  <c r="AU461" i="4"/>
  <c r="CJ1371" i="4" s="1"/>
  <c r="AQ461" i="4"/>
  <c r="CJ1370" i="4" s="1"/>
  <c r="AP461" i="4"/>
  <c r="CI1370" i="4" s="1"/>
  <c r="AM461" i="4"/>
  <c r="CJ1369" i="4" s="1"/>
  <c r="AO461" i="4"/>
  <c r="AN461" i="4"/>
  <c r="AJ461" i="4"/>
  <c r="AL461" i="4"/>
  <c r="CI1369" i="4" s="1"/>
  <c r="AK461" i="4"/>
  <c r="AG461" i="4"/>
  <c r="AH461" i="4"/>
  <c r="AE461" i="4"/>
  <c r="AB461" i="4"/>
  <c r="AC461" i="4"/>
  <c r="AA461" i="4"/>
  <c r="AI461" i="4"/>
  <c r="AD461" i="4"/>
  <c r="AF461" i="4"/>
  <c r="CG195" i="4"/>
  <c r="CF195" i="4"/>
  <c r="BZ195" i="4"/>
  <c r="BY195" i="4"/>
  <c r="CQ572" i="4" s="1"/>
  <c r="CA195" i="4"/>
  <c r="CE195" i="4"/>
  <c r="CC195" i="4"/>
  <c r="CQ573" i="4" s="1"/>
  <c r="BU195" i="4"/>
  <c r="CQ571" i="4" s="1"/>
  <c r="BX195" i="4"/>
  <c r="CP572" i="4" s="1"/>
  <c r="BT195" i="4"/>
  <c r="CP571" i="4" s="1"/>
  <c r="CD195" i="4"/>
  <c r="BV195" i="4"/>
  <c r="BS195" i="4"/>
  <c r="BR195" i="4"/>
  <c r="BQ195" i="4"/>
  <c r="BP195" i="4"/>
  <c r="BO195" i="4"/>
  <c r="BW195" i="4"/>
  <c r="BN195" i="4"/>
  <c r="CB195" i="4"/>
  <c r="CP573" i="4" s="1"/>
  <c r="BK195" i="4"/>
  <c r="BM195" i="4"/>
  <c r="BJ195" i="4"/>
  <c r="BI195" i="4"/>
  <c r="BH195" i="4"/>
  <c r="BG195" i="4"/>
  <c r="BF195" i="4"/>
  <c r="BL195" i="4"/>
  <c r="AY195" i="4"/>
  <c r="AX195" i="4"/>
  <c r="AV195" i="4"/>
  <c r="AT195" i="4"/>
  <c r="CI573" i="4" s="1"/>
  <c r="AU195" i="4"/>
  <c r="CJ573" i="4" s="1"/>
  <c r="BE195" i="4"/>
  <c r="AR195" i="4"/>
  <c r="AW195" i="4"/>
  <c r="AS195" i="4"/>
  <c r="AL195" i="4"/>
  <c r="CI571" i="4" s="1"/>
  <c r="AK195" i="4"/>
  <c r="AJ195" i="4"/>
  <c r="AP195" i="4"/>
  <c r="CI572" i="4" s="1"/>
  <c r="AQ195" i="4"/>
  <c r="CJ572" i="4" s="1"/>
  <c r="AN195" i="4"/>
  <c r="AM195" i="4"/>
  <c r="CJ571" i="4" s="1"/>
  <c r="AI195" i="4"/>
  <c r="AO195" i="4"/>
  <c r="AF195" i="4"/>
  <c r="AG195" i="4"/>
  <c r="AB195" i="4"/>
  <c r="AA195" i="4"/>
  <c r="AE195" i="4"/>
  <c r="AC195" i="4"/>
  <c r="AH195" i="4"/>
  <c r="AD195" i="4"/>
  <c r="M54" i="4"/>
  <c r="R56" i="4"/>
  <c r="L50" i="4"/>
  <c r="CG264" i="4"/>
  <c r="CD264" i="4"/>
  <c r="CC264" i="4"/>
  <c r="CQ780" i="4" s="1"/>
  <c r="CF264" i="4"/>
  <c r="CB264" i="4"/>
  <c r="CP780" i="4" s="1"/>
  <c r="CE264" i="4"/>
  <c r="BZ264" i="4"/>
  <c r="BY264" i="4"/>
  <c r="CQ779" i="4" s="1"/>
  <c r="BX264" i="4"/>
  <c r="CP779" i="4" s="1"/>
  <c r="BW264" i="4"/>
  <c r="BU264" i="4"/>
  <c r="CQ778" i="4" s="1"/>
  <c r="BT264" i="4"/>
  <c r="CP778" i="4" s="1"/>
  <c r="BV264" i="4"/>
  <c r="BS264" i="4"/>
  <c r="BR264" i="4"/>
  <c r="BQ264" i="4"/>
  <c r="BP264" i="4"/>
  <c r="BO264" i="4"/>
  <c r="BM264" i="4"/>
  <c r="BL264" i="4"/>
  <c r="BK264" i="4"/>
  <c r="BN264" i="4"/>
  <c r="CA264" i="4"/>
  <c r="BE264" i="4"/>
  <c r="AY264" i="4"/>
  <c r="BJ264" i="4"/>
  <c r="BG264" i="4"/>
  <c r="BF264" i="4"/>
  <c r="BH264" i="4"/>
  <c r="BI264" i="4"/>
  <c r="AX264" i="4"/>
  <c r="AW264" i="4"/>
  <c r="AT264" i="4"/>
  <c r="CI780" i="4" s="1"/>
  <c r="AV264" i="4"/>
  <c r="AU264" i="4"/>
  <c r="CJ780" i="4" s="1"/>
  <c r="AS264" i="4"/>
  <c r="AP264" i="4"/>
  <c r="CI779" i="4" s="1"/>
  <c r="AR264" i="4"/>
  <c r="AQ264" i="4"/>
  <c r="CJ779" i="4" s="1"/>
  <c r="AL264" i="4"/>
  <c r="CI778" i="4" s="1"/>
  <c r="AM264" i="4"/>
  <c r="CJ778" i="4" s="1"/>
  <c r="AN264" i="4"/>
  <c r="AJ264" i="4"/>
  <c r="AI264" i="4"/>
  <c r="AO264" i="4"/>
  <c r="AK264" i="4"/>
  <c r="AH264" i="4"/>
  <c r="AF264" i="4"/>
  <c r="AG264" i="4"/>
  <c r="AE264" i="4"/>
  <c r="AC264" i="4"/>
  <c r="AB264" i="4"/>
  <c r="AA264" i="4"/>
  <c r="AD264" i="4"/>
  <c r="CF330" i="4"/>
  <c r="CE330" i="4"/>
  <c r="CD330" i="4"/>
  <c r="CC330" i="4"/>
  <c r="CQ978" i="4" s="1"/>
  <c r="CB330" i="4"/>
  <c r="CP978" i="4" s="1"/>
  <c r="CA330" i="4"/>
  <c r="CG330" i="4"/>
  <c r="BZ330" i="4"/>
  <c r="BY330" i="4"/>
  <c r="CQ977" i="4" s="1"/>
  <c r="BX330" i="4"/>
  <c r="CP977" i="4" s="1"/>
  <c r="BS330" i="4"/>
  <c r="BR330" i="4"/>
  <c r="BQ330" i="4"/>
  <c r="BP330" i="4"/>
  <c r="BO330" i="4"/>
  <c r="BT330" i="4"/>
  <c r="CP976" i="4" s="1"/>
  <c r="BW330" i="4"/>
  <c r="BV330" i="4"/>
  <c r="BM330" i="4"/>
  <c r="BU330" i="4"/>
  <c r="CQ976" i="4" s="1"/>
  <c r="BN330" i="4"/>
  <c r="BJ330" i="4"/>
  <c r="BI330" i="4"/>
  <c r="BH330" i="4"/>
  <c r="BG330" i="4"/>
  <c r="BF330" i="4"/>
  <c r="BL330" i="4"/>
  <c r="BK330" i="4"/>
  <c r="AX330" i="4"/>
  <c r="AY330" i="4"/>
  <c r="AV330" i="4"/>
  <c r="BE330" i="4"/>
  <c r="AU330" i="4"/>
  <c r="CJ978" i="4" s="1"/>
  <c r="AW330" i="4"/>
  <c r="AS330" i="4"/>
  <c r="AT330" i="4"/>
  <c r="CI978" i="4" s="1"/>
  <c r="AP330" i="4"/>
  <c r="CI977" i="4" s="1"/>
  <c r="AQ330" i="4"/>
  <c r="CJ977" i="4" s="1"/>
  <c r="AO330" i="4"/>
  <c r="AN330" i="4"/>
  <c r="AM330" i="4"/>
  <c r="CJ976" i="4" s="1"/>
  <c r="AR330" i="4"/>
  <c r="AJ330" i="4"/>
  <c r="AL330" i="4"/>
  <c r="CI976" i="4" s="1"/>
  <c r="AI330" i="4"/>
  <c r="AE330" i="4"/>
  <c r="AG330" i="4"/>
  <c r="AK330" i="4"/>
  <c r="AF330" i="4"/>
  <c r="AB330" i="4"/>
  <c r="AH330" i="4"/>
  <c r="AC330" i="4"/>
  <c r="AA330" i="4"/>
  <c r="AD330" i="4"/>
  <c r="CG135" i="4"/>
  <c r="CF135" i="4"/>
  <c r="CE135" i="4"/>
  <c r="CD135" i="4"/>
  <c r="CC135" i="4"/>
  <c r="CQ393" i="4" s="1"/>
  <c r="CB135" i="4"/>
  <c r="CP393" i="4" s="1"/>
  <c r="CA135" i="4"/>
  <c r="BZ135" i="4"/>
  <c r="BY135" i="4"/>
  <c r="CQ392" i="4" s="1"/>
  <c r="BX135" i="4"/>
  <c r="CP392" i="4" s="1"/>
  <c r="BW135" i="4"/>
  <c r="BV135" i="4"/>
  <c r="BU135" i="4"/>
  <c r="CQ391" i="4" s="1"/>
  <c r="BN135" i="4"/>
  <c r="BL135" i="4"/>
  <c r="BK135" i="4"/>
  <c r="BT135" i="4"/>
  <c r="CP391" i="4" s="1"/>
  <c r="BS135" i="4"/>
  <c r="BM135" i="4"/>
  <c r="BR135" i="4"/>
  <c r="BO135" i="4"/>
  <c r="BP135" i="4"/>
  <c r="BQ135" i="4"/>
  <c r="BJ135" i="4"/>
  <c r="BH135" i="4"/>
  <c r="BI135" i="4"/>
  <c r="BE135" i="4"/>
  <c r="AY135" i="4"/>
  <c r="AU135" i="4"/>
  <c r="CJ393" i="4" s="1"/>
  <c r="AT135" i="4"/>
  <c r="CI393" i="4" s="1"/>
  <c r="AS135" i="4"/>
  <c r="AW135" i="4"/>
  <c r="BF135" i="4"/>
  <c r="BG135" i="4"/>
  <c r="AX135" i="4"/>
  <c r="AR135" i="4"/>
  <c r="AQ135" i="4"/>
  <c r="CJ392" i="4" s="1"/>
  <c r="AV135" i="4"/>
  <c r="AL135" i="4"/>
  <c r="CI391" i="4" s="1"/>
  <c r="AK135" i="4"/>
  <c r="AM135" i="4"/>
  <c r="CJ391" i="4" s="1"/>
  <c r="AN135" i="4"/>
  <c r="AI135" i="4"/>
  <c r="AP135" i="4"/>
  <c r="CI392" i="4" s="1"/>
  <c r="AJ135" i="4"/>
  <c r="AG135" i="4"/>
  <c r="AO135" i="4"/>
  <c r="AB135" i="4"/>
  <c r="AE135" i="4"/>
  <c r="AH135" i="4"/>
  <c r="AF135" i="4"/>
  <c r="AD135" i="4"/>
  <c r="AC135" i="4"/>
  <c r="AA135" i="4"/>
  <c r="M10" i="4"/>
  <c r="CE326" i="4"/>
  <c r="CG326" i="4"/>
  <c r="CF326" i="4"/>
  <c r="CB326" i="4"/>
  <c r="CP966" i="4" s="1"/>
  <c r="CD326" i="4"/>
  <c r="BY326" i="4"/>
  <c r="CQ965" i="4" s="1"/>
  <c r="CC326" i="4"/>
  <c r="CQ966" i="4" s="1"/>
  <c r="BW326" i="4"/>
  <c r="CA326" i="4"/>
  <c r="BV326" i="4"/>
  <c r="BN326" i="4"/>
  <c r="BQ326" i="4"/>
  <c r="BP326" i="4"/>
  <c r="BT326" i="4"/>
  <c r="CP964" i="4" s="1"/>
  <c r="BO326" i="4"/>
  <c r="BZ326" i="4"/>
  <c r="BS326" i="4"/>
  <c r="BM326" i="4"/>
  <c r="BR326" i="4"/>
  <c r="BX326" i="4"/>
  <c r="CP965" i="4" s="1"/>
  <c r="BK326" i="4"/>
  <c r="BU326" i="4"/>
  <c r="CQ964" i="4" s="1"/>
  <c r="BF326" i="4"/>
  <c r="BL326" i="4"/>
  <c r="BJ326" i="4"/>
  <c r="BH326" i="4"/>
  <c r="BG326" i="4"/>
  <c r="AY326" i="4"/>
  <c r="AT326" i="4"/>
  <c r="CI966" i="4" s="1"/>
  <c r="AS326" i="4"/>
  <c r="AR326" i="4"/>
  <c r="AQ326" i="4"/>
  <c r="CJ965" i="4" s="1"/>
  <c r="AP326" i="4"/>
  <c r="CI965" i="4" s="1"/>
  <c r="BE326" i="4"/>
  <c r="BI326" i="4"/>
  <c r="AV326" i="4"/>
  <c r="AU326" i="4"/>
  <c r="CJ966" i="4" s="1"/>
  <c r="AW326" i="4"/>
  <c r="AO326" i="4"/>
  <c r="AN326" i="4"/>
  <c r="AM326" i="4"/>
  <c r="CJ964" i="4" s="1"/>
  <c r="AX326" i="4"/>
  <c r="AJ326" i="4"/>
  <c r="AH326" i="4"/>
  <c r="AL326" i="4"/>
  <c r="CI964" i="4" s="1"/>
  <c r="AI326" i="4"/>
  <c r="AG326" i="4"/>
  <c r="AF326" i="4"/>
  <c r="AD326" i="4"/>
  <c r="AE326" i="4"/>
  <c r="AK326" i="4"/>
  <c r="AC326" i="4"/>
  <c r="AB326" i="4"/>
  <c r="AA326" i="4"/>
  <c r="CF414" i="4"/>
  <c r="CG414" i="4"/>
  <c r="CE414" i="4"/>
  <c r="CD414" i="4"/>
  <c r="CC414" i="4"/>
  <c r="CQ1230" i="4" s="1"/>
  <c r="CB414" i="4"/>
  <c r="CP1230" i="4" s="1"/>
  <c r="CA414" i="4"/>
  <c r="BX414" i="4"/>
  <c r="CP1229" i="4" s="1"/>
  <c r="BW414" i="4"/>
  <c r="BT414" i="4"/>
  <c r="CP1228" i="4" s="1"/>
  <c r="BS414" i="4"/>
  <c r="BR414" i="4"/>
  <c r="BQ414" i="4"/>
  <c r="BP414" i="4"/>
  <c r="BO414" i="4"/>
  <c r="BN414" i="4"/>
  <c r="BY414" i="4"/>
  <c r="CQ1229" i="4" s="1"/>
  <c r="BU414" i="4"/>
  <c r="CQ1228" i="4" s="1"/>
  <c r="BV414" i="4"/>
  <c r="BZ414" i="4"/>
  <c r="BJ414" i="4"/>
  <c r="BM414" i="4"/>
  <c r="BK414" i="4"/>
  <c r="BG414" i="4"/>
  <c r="BL414" i="4"/>
  <c r="BI414" i="4"/>
  <c r="BE414" i="4"/>
  <c r="AY414" i="4"/>
  <c r="AX414" i="4"/>
  <c r="AW414" i="4"/>
  <c r="AV414" i="4"/>
  <c r="AU414" i="4"/>
  <c r="CJ1230" i="4" s="1"/>
  <c r="BH414" i="4"/>
  <c r="BF414" i="4"/>
  <c r="AS414" i="4"/>
  <c r="AT414" i="4"/>
  <c r="CI1230" i="4" s="1"/>
  <c r="AQ414" i="4"/>
  <c r="CJ1229" i="4" s="1"/>
  <c r="AR414" i="4"/>
  <c r="AO414" i="4"/>
  <c r="AN414" i="4"/>
  <c r="AP414" i="4"/>
  <c r="CI1229" i="4" s="1"/>
  <c r="AM414" i="4"/>
  <c r="CJ1228" i="4" s="1"/>
  <c r="AK414" i="4"/>
  <c r="AI414" i="4"/>
  <c r="AF414" i="4"/>
  <c r="AE414" i="4"/>
  <c r="AD414" i="4"/>
  <c r="AC414" i="4"/>
  <c r="AB414" i="4"/>
  <c r="AL414" i="4"/>
  <c r="CI1228" i="4" s="1"/>
  <c r="AH414" i="4"/>
  <c r="AA414" i="4"/>
  <c r="AG414" i="4"/>
  <c r="AJ414" i="4"/>
  <c r="L108" i="4"/>
  <c r="CF124" i="4"/>
  <c r="CE124" i="4"/>
  <c r="CD124" i="4"/>
  <c r="CA124" i="4"/>
  <c r="CG124" i="4"/>
  <c r="BT124" i="4"/>
  <c r="CP358" i="4" s="1"/>
  <c r="CB124" i="4"/>
  <c r="CP360" i="4" s="1"/>
  <c r="CC124" i="4"/>
  <c r="CQ360" i="4" s="1"/>
  <c r="BS124" i="4"/>
  <c r="BR124" i="4"/>
  <c r="BY124" i="4"/>
  <c r="CQ359" i="4" s="1"/>
  <c r="BZ124" i="4"/>
  <c r="BU124" i="4"/>
  <c r="CQ358" i="4" s="1"/>
  <c r="BV124" i="4"/>
  <c r="BO124" i="4"/>
  <c r="BP124" i="4"/>
  <c r="BX124" i="4"/>
  <c r="CP359" i="4" s="1"/>
  <c r="BL124" i="4"/>
  <c r="BK124" i="4"/>
  <c r="BQ124" i="4"/>
  <c r="BN124" i="4"/>
  <c r="BM124" i="4"/>
  <c r="BW124" i="4"/>
  <c r="BJ124" i="4"/>
  <c r="BI124" i="4"/>
  <c r="BH124" i="4"/>
  <c r="BG124" i="4"/>
  <c r="BF124" i="4"/>
  <c r="BE124" i="4"/>
  <c r="AX124" i="4"/>
  <c r="AW124" i="4"/>
  <c r="AY124" i="4"/>
  <c r="AQ124" i="4"/>
  <c r="CJ359" i="4" s="1"/>
  <c r="AU124" i="4"/>
  <c r="CJ360" i="4" s="1"/>
  <c r="AT124" i="4"/>
  <c r="CI360" i="4" s="1"/>
  <c r="AR124" i="4"/>
  <c r="AV124" i="4"/>
  <c r="AS124" i="4"/>
  <c r="AP124" i="4"/>
  <c r="CI359" i="4" s="1"/>
  <c r="AO124" i="4"/>
  <c r="AN124" i="4"/>
  <c r="AK124" i="4"/>
  <c r="AM124" i="4"/>
  <c r="CJ358" i="4" s="1"/>
  <c r="AL124" i="4"/>
  <c r="CI358" i="4" s="1"/>
  <c r="AF124" i="4"/>
  <c r="AE124" i="4"/>
  <c r="AD124" i="4"/>
  <c r="AC124" i="4"/>
  <c r="AI124" i="4"/>
  <c r="AH124" i="4"/>
  <c r="AJ124" i="4"/>
  <c r="AA124" i="4"/>
  <c r="AG124" i="4"/>
  <c r="AB124" i="4"/>
  <c r="K36" i="4"/>
  <c r="CF93" i="4"/>
  <c r="CG93" i="4"/>
  <c r="CD93" i="4"/>
  <c r="CC93" i="4"/>
  <c r="CQ267" i="4" s="1"/>
  <c r="CB93" i="4"/>
  <c r="CP267" i="4" s="1"/>
  <c r="CA93" i="4"/>
  <c r="BX93" i="4"/>
  <c r="CP266" i="4" s="1"/>
  <c r="BU93" i="4"/>
  <c r="CQ265" i="4" s="1"/>
  <c r="BZ93" i="4"/>
  <c r="BT93" i="4"/>
  <c r="CP265" i="4" s="1"/>
  <c r="BS93" i="4"/>
  <c r="BR93" i="4"/>
  <c r="BQ93" i="4"/>
  <c r="BW93" i="4"/>
  <c r="BO93" i="4"/>
  <c r="BP93" i="4"/>
  <c r="BL93" i="4"/>
  <c r="BK93" i="4"/>
  <c r="CE93" i="4"/>
  <c r="BV93" i="4"/>
  <c r="BN93" i="4"/>
  <c r="BY93" i="4"/>
  <c r="CQ266" i="4" s="1"/>
  <c r="BJ93" i="4"/>
  <c r="BM93" i="4"/>
  <c r="BG93" i="4"/>
  <c r="BF93" i="4"/>
  <c r="BH93" i="4"/>
  <c r="BE93" i="4"/>
  <c r="AY93" i="4"/>
  <c r="BI93" i="4"/>
  <c r="AX93" i="4"/>
  <c r="AW93" i="4"/>
  <c r="AV93" i="4"/>
  <c r="AU93" i="4"/>
  <c r="CJ267" i="4" s="1"/>
  <c r="AQ93" i="4"/>
  <c r="CJ266" i="4" s="1"/>
  <c r="AR93" i="4"/>
  <c r="AT93" i="4"/>
  <c r="CI267" i="4" s="1"/>
  <c r="AI93" i="4"/>
  <c r="AM93" i="4"/>
  <c r="CJ265" i="4" s="1"/>
  <c r="AH93" i="4"/>
  <c r="AP93" i="4"/>
  <c r="CI266" i="4" s="1"/>
  <c r="AO93" i="4"/>
  <c r="AN93" i="4"/>
  <c r="AJ93" i="4"/>
  <c r="AS93" i="4"/>
  <c r="AL93" i="4"/>
  <c r="CI265" i="4" s="1"/>
  <c r="AG93" i="4"/>
  <c r="AE93" i="4"/>
  <c r="AK93" i="4"/>
  <c r="AF93" i="4"/>
  <c r="AB93" i="4"/>
  <c r="AD93" i="4"/>
  <c r="AC93" i="4"/>
  <c r="AA93" i="4"/>
  <c r="N28" i="4"/>
  <c r="CF371" i="4"/>
  <c r="CG371" i="4"/>
  <c r="CB371" i="4"/>
  <c r="CP1101" i="4" s="1"/>
  <c r="CA371" i="4"/>
  <c r="BZ371" i="4"/>
  <c r="BY371" i="4"/>
  <c r="CQ1100" i="4" s="1"/>
  <c r="CC371" i="4"/>
  <c r="CQ1101" i="4" s="1"/>
  <c r="CE371" i="4"/>
  <c r="BV371" i="4"/>
  <c r="BX371" i="4"/>
  <c r="CP1100" i="4" s="1"/>
  <c r="BT371" i="4"/>
  <c r="CP1099" i="4" s="1"/>
  <c r="BS371" i="4"/>
  <c r="BR371" i="4"/>
  <c r="BQ371" i="4"/>
  <c r="BP371" i="4"/>
  <c r="CD371" i="4"/>
  <c r="BW371" i="4"/>
  <c r="BU371" i="4"/>
  <c r="CQ1099" i="4" s="1"/>
  <c r="BL371" i="4"/>
  <c r="BM371" i="4"/>
  <c r="BJ371" i="4"/>
  <c r="BI371" i="4"/>
  <c r="BN371" i="4"/>
  <c r="BO371" i="4"/>
  <c r="BK371" i="4"/>
  <c r="BH371" i="4"/>
  <c r="BG371" i="4"/>
  <c r="AY371" i="4"/>
  <c r="BE371" i="4"/>
  <c r="AX371" i="4"/>
  <c r="BF371" i="4"/>
  <c r="AW371" i="4"/>
  <c r="AV371" i="4"/>
  <c r="AR371" i="4"/>
  <c r="AT371" i="4"/>
  <c r="CI1101" i="4" s="1"/>
  <c r="AQ371" i="4"/>
  <c r="CJ1100" i="4" s="1"/>
  <c r="AU371" i="4"/>
  <c r="CJ1101" i="4" s="1"/>
  <c r="AS371" i="4"/>
  <c r="AL371" i="4"/>
  <c r="CI1099" i="4" s="1"/>
  <c r="AK371" i="4"/>
  <c r="AJ371" i="4"/>
  <c r="AP371" i="4"/>
  <c r="CI1100" i="4" s="1"/>
  <c r="AN371" i="4"/>
  <c r="AO371" i="4"/>
  <c r="AM371" i="4"/>
  <c r="CJ1099" i="4" s="1"/>
  <c r="AH371" i="4"/>
  <c r="AG371" i="4"/>
  <c r="AF371" i="4"/>
  <c r="AI371" i="4"/>
  <c r="AE371" i="4"/>
  <c r="AD371" i="4"/>
  <c r="AB371" i="4"/>
  <c r="AA371" i="4"/>
  <c r="AC371" i="4"/>
  <c r="O98" i="4"/>
  <c r="CG279" i="4"/>
  <c r="CF279" i="4"/>
  <c r="CE279" i="4"/>
  <c r="CD279" i="4"/>
  <c r="CC279" i="4"/>
  <c r="CQ825" i="4" s="1"/>
  <c r="CB279" i="4"/>
  <c r="CP825" i="4" s="1"/>
  <c r="CA279" i="4"/>
  <c r="BZ279" i="4"/>
  <c r="BY279" i="4"/>
  <c r="CQ824" i="4" s="1"/>
  <c r="BX279" i="4"/>
  <c r="CP824" i="4" s="1"/>
  <c r="BW279" i="4"/>
  <c r="BV279" i="4"/>
  <c r="BT279" i="4"/>
  <c r="CP823" i="4" s="1"/>
  <c r="BM279" i="4"/>
  <c r="BL279" i="4"/>
  <c r="BS279" i="4"/>
  <c r="BO279" i="4"/>
  <c r="BQ279" i="4"/>
  <c r="BP279" i="4"/>
  <c r="BN279" i="4"/>
  <c r="BK279" i="4"/>
  <c r="BG279" i="4"/>
  <c r="BI279" i="4"/>
  <c r="BF279" i="4"/>
  <c r="BH279" i="4"/>
  <c r="BJ279" i="4"/>
  <c r="BU279" i="4"/>
  <c r="CQ823" i="4" s="1"/>
  <c r="BE279" i="4"/>
  <c r="AY279" i="4"/>
  <c r="AX279" i="4"/>
  <c r="BR279" i="4"/>
  <c r="AV279" i="4"/>
  <c r="AU279" i="4"/>
  <c r="CJ825" i="4" s="1"/>
  <c r="AS279" i="4"/>
  <c r="AT279" i="4"/>
  <c r="CI825" i="4" s="1"/>
  <c r="AW279" i="4"/>
  <c r="AR279" i="4"/>
  <c r="AQ279" i="4"/>
  <c r="CJ824" i="4" s="1"/>
  <c r="AP279" i="4"/>
  <c r="CI824" i="4" s="1"/>
  <c r="AO279" i="4"/>
  <c r="AM279" i="4"/>
  <c r="CJ823" i="4" s="1"/>
  <c r="AN279" i="4"/>
  <c r="AK279" i="4"/>
  <c r="AG279" i="4"/>
  <c r="AF279" i="4"/>
  <c r="AL279" i="4"/>
  <c r="CI823" i="4" s="1"/>
  <c r="AE279" i="4"/>
  <c r="AI279" i="4"/>
  <c r="AH279" i="4"/>
  <c r="AB279" i="4"/>
  <c r="AA279" i="4"/>
  <c r="AJ279" i="4"/>
  <c r="AC279" i="4"/>
  <c r="AD279" i="4"/>
  <c r="CF260" i="4"/>
  <c r="CE260" i="4"/>
  <c r="CA260" i="4"/>
  <c r="CC260" i="4"/>
  <c r="CQ768" i="4" s="1"/>
  <c r="CD260" i="4"/>
  <c r="CB260" i="4"/>
  <c r="CP768" i="4" s="1"/>
  <c r="BT260" i="4"/>
  <c r="CP766" i="4" s="1"/>
  <c r="BV260" i="4"/>
  <c r="BZ260" i="4"/>
  <c r="BY260" i="4"/>
  <c r="CQ767" i="4" s="1"/>
  <c r="CG260" i="4"/>
  <c r="BX260" i="4"/>
  <c r="CP767" i="4" s="1"/>
  <c r="BU260" i="4"/>
  <c r="CQ766" i="4" s="1"/>
  <c r="BW260" i="4"/>
  <c r="BR260" i="4"/>
  <c r="BQ260" i="4"/>
  <c r="BN260" i="4"/>
  <c r="BS260" i="4"/>
  <c r="BO260" i="4"/>
  <c r="BM260" i="4"/>
  <c r="BJ260" i="4"/>
  <c r="BI260" i="4"/>
  <c r="BH260" i="4"/>
  <c r="BG260" i="4"/>
  <c r="BF260" i="4"/>
  <c r="BL260" i="4"/>
  <c r="BP260" i="4"/>
  <c r="AW260" i="4"/>
  <c r="BE260" i="4"/>
  <c r="AU260" i="4"/>
  <c r="CJ768" i="4" s="1"/>
  <c r="AV260" i="4"/>
  <c r="AX260" i="4"/>
  <c r="AT260" i="4"/>
  <c r="CI768" i="4" s="1"/>
  <c r="AQ260" i="4"/>
  <c r="CJ767" i="4" s="1"/>
  <c r="AR260" i="4"/>
  <c r="AS260" i="4"/>
  <c r="AP260" i="4"/>
  <c r="CI767" i="4" s="1"/>
  <c r="BK260" i="4"/>
  <c r="AY260" i="4"/>
  <c r="AN260" i="4"/>
  <c r="AO260" i="4"/>
  <c r="AL260" i="4"/>
  <c r="CI766" i="4" s="1"/>
  <c r="AH260" i="4"/>
  <c r="AI260" i="4"/>
  <c r="AG260" i="4"/>
  <c r="AE260" i="4"/>
  <c r="AM260" i="4"/>
  <c r="CJ766" i="4" s="1"/>
  <c r="AB260" i="4"/>
  <c r="AF260" i="4"/>
  <c r="AD260" i="4"/>
  <c r="AK260" i="4"/>
  <c r="AA260" i="4"/>
  <c r="AJ260" i="4"/>
  <c r="AC260" i="4"/>
  <c r="CF389" i="4"/>
  <c r="CG389" i="4"/>
  <c r="CE389" i="4"/>
  <c r="CA389" i="4"/>
  <c r="CC389" i="4"/>
  <c r="CQ1155" i="4" s="1"/>
  <c r="BZ389" i="4"/>
  <c r="BY389" i="4"/>
  <c r="CQ1154" i="4" s="1"/>
  <c r="BX389" i="4"/>
  <c r="CP1154" i="4" s="1"/>
  <c r="BW389" i="4"/>
  <c r="BV389" i="4"/>
  <c r="BU389" i="4"/>
  <c r="CQ1153" i="4" s="1"/>
  <c r="CD389" i="4"/>
  <c r="BS389" i="4"/>
  <c r="CB389" i="4"/>
  <c r="CP1155" i="4" s="1"/>
  <c r="BR389" i="4"/>
  <c r="BQ389" i="4"/>
  <c r="BP389" i="4"/>
  <c r="BN389" i="4"/>
  <c r="BM389" i="4"/>
  <c r="BL389" i="4"/>
  <c r="BO389" i="4"/>
  <c r="BT389" i="4"/>
  <c r="CP1153" i="4" s="1"/>
  <c r="BK389" i="4"/>
  <c r="BI389" i="4"/>
  <c r="BH389" i="4"/>
  <c r="BG389" i="4"/>
  <c r="BF389" i="4"/>
  <c r="BJ389" i="4"/>
  <c r="AX389" i="4"/>
  <c r="AY389" i="4"/>
  <c r="AV389" i="4"/>
  <c r="AT389" i="4"/>
  <c r="CI1155" i="4" s="1"/>
  <c r="BE389" i="4"/>
  <c r="AU389" i="4"/>
  <c r="CJ1155" i="4" s="1"/>
  <c r="AS389" i="4"/>
  <c r="AQ389" i="4"/>
  <c r="CJ1154" i="4" s="1"/>
  <c r="AW389" i="4"/>
  <c r="AN389" i="4"/>
  <c r="AR389" i="4"/>
  <c r="AM389" i="4"/>
  <c r="CJ1153" i="4" s="1"/>
  <c r="AL389" i="4"/>
  <c r="CI1153" i="4" s="1"/>
  <c r="AP389" i="4"/>
  <c r="CI1154" i="4" s="1"/>
  <c r="AO389" i="4"/>
  <c r="AH389" i="4"/>
  <c r="AJ389" i="4"/>
  <c r="AF389" i="4"/>
  <c r="AG389" i="4"/>
  <c r="AE389" i="4"/>
  <c r="AI389" i="4"/>
  <c r="AA389" i="4"/>
  <c r="AK389" i="4"/>
  <c r="AB389" i="4"/>
  <c r="AC389" i="4"/>
  <c r="AD389" i="4"/>
  <c r="CF354" i="4"/>
  <c r="CD354" i="4"/>
  <c r="BZ354" i="4"/>
  <c r="BY354" i="4"/>
  <c r="CQ1049" i="4" s="1"/>
  <c r="BX354" i="4"/>
  <c r="CP1049" i="4" s="1"/>
  <c r="BW354" i="4"/>
  <c r="CA354" i="4"/>
  <c r="CB354" i="4"/>
  <c r="CP1050" i="4" s="1"/>
  <c r="CE354" i="4"/>
  <c r="CG354" i="4"/>
  <c r="BV354" i="4"/>
  <c r="CC354" i="4"/>
  <c r="CQ1050" i="4" s="1"/>
  <c r="BT354" i="4"/>
  <c r="CP1048" i="4" s="1"/>
  <c r="BS354" i="4"/>
  <c r="BR354" i="4"/>
  <c r="BQ354" i="4"/>
  <c r="BP354" i="4"/>
  <c r="BU354" i="4"/>
  <c r="CQ1048" i="4" s="1"/>
  <c r="BK354" i="4"/>
  <c r="BN354" i="4"/>
  <c r="BL354" i="4"/>
  <c r="BJ354" i="4"/>
  <c r="BO354" i="4"/>
  <c r="BM354" i="4"/>
  <c r="BH354" i="4"/>
  <c r="BG354" i="4"/>
  <c r="BI354" i="4"/>
  <c r="BF354" i="4"/>
  <c r="AY354" i="4"/>
  <c r="AX354" i="4"/>
  <c r="BE354" i="4"/>
  <c r="AW354" i="4"/>
  <c r="AR354" i="4"/>
  <c r="AT354" i="4"/>
  <c r="CI1050" i="4" s="1"/>
  <c r="AS354" i="4"/>
  <c r="AV354" i="4"/>
  <c r="AU354" i="4"/>
  <c r="CJ1050" i="4" s="1"/>
  <c r="AQ354" i="4"/>
  <c r="CJ1049" i="4" s="1"/>
  <c r="AN354" i="4"/>
  <c r="AI354" i="4"/>
  <c r="AP354" i="4"/>
  <c r="CI1049" i="4" s="1"/>
  <c r="AH354" i="4"/>
  <c r="AK354" i="4"/>
  <c r="AG354" i="4"/>
  <c r="AO354" i="4"/>
  <c r="AF354" i="4"/>
  <c r="AL354" i="4"/>
  <c r="CI1048" i="4" s="1"/>
  <c r="AD354" i="4"/>
  <c r="AJ354" i="4"/>
  <c r="AE354" i="4"/>
  <c r="AA354" i="4"/>
  <c r="AB354" i="4"/>
  <c r="AC354" i="4"/>
  <c r="AM354" i="4"/>
  <c r="CJ1048" i="4" s="1"/>
  <c r="CG395" i="4"/>
  <c r="CE395" i="4"/>
  <c r="CD395" i="4"/>
  <c r="CC395" i="4"/>
  <c r="CQ1173" i="4" s="1"/>
  <c r="CB395" i="4"/>
  <c r="CP1173" i="4" s="1"/>
  <c r="CA395" i="4"/>
  <c r="CF395" i="4"/>
  <c r="BT395" i="4"/>
  <c r="CP1171" i="4" s="1"/>
  <c r="BS395" i="4"/>
  <c r="BR395" i="4"/>
  <c r="BQ395" i="4"/>
  <c r="BP395" i="4"/>
  <c r="BY395" i="4"/>
  <c r="CQ1172" i="4" s="1"/>
  <c r="BZ395" i="4"/>
  <c r="BO395" i="4"/>
  <c r="BW395" i="4"/>
  <c r="BN395" i="4"/>
  <c r="BU395" i="4"/>
  <c r="CQ1171" i="4" s="1"/>
  <c r="BJ395" i="4"/>
  <c r="BI395" i="4"/>
  <c r="BK395" i="4"/>
  <c r="BX395" i="4"/>
  <c r="CP1172" i="4" s="1"/>
  <c r="BV395" i="4"/>
  <c r="BF395" i="4"/>
  <c r="BL395" i="4"/>
  <c r="BG395" i="4"/>
  <c r="AW395" i="4"/>
  <c r="BE395" i="4"/>
  <c r="AY395" i="4"/>
  <c r="BH395" i="4"/>
  <c r="BM395" i="4"/>
  <c r="AX395" i="4"/>
  <c r="AT395" i="4"/>
  <c r="CI1173" i="4" s="1"/>
  <c r="AV395" i="4"/>
  <c r="AO395" i="4"/>
  <c r="AS395" i="4"/>
  <c r="AR395" i="4"/>
  <c r="AN395" i="4"/>
  <c r="AL395" i="4"/>
  <c r="CI1171" i="4" s="1"/>
  <c r="AP395" i="4"/>
  <c r="CI1172" i="4" s="1"/>
  <c r="AK395" i="4"/>
  <c r="AI395" i="4"/>
  <c r="AH395" i="4"/>
  <c r="AM395" i="4"/>
  <c r="CJ1171" i="4" s="1"/>
  <c r="AQ395" i="4"/>
  <c r="CJ1172" i="4" s="1"/>
  <c r="AU395" i="4"/>
  <c r="CJ1173" i="4" s="1"/>
  <c r="AF395" i="4"/>
  <c r="AJ395" i="4"/>
  <c r="AG395" i="4"/>
  <c r="AE395" i="4"/>
  <c r="AA395" i="4"/>
  <c r="AB395" i="4"/>
  <c r="AC395" i="4"/>
  <c r="AD395" i="4"/>
  <c r="K104" i="4"/>
  <c r="CG132" i="4"/>
  <c r="CF132" i="4"/>
  <c r="CB132" i="4"/>
  <c r="CP384" i="4" s="1"/>
  <c r="CA132" i="4"/>
  <c r="CC132" i="4"/>
  <c r="CQ384" i="4" s="1"/>
  <c r="BZ132" i="4"/>
  <c r="CE132" i="4"/>
  <c r="CD132" i="4"/>
  <c r="BV132" i="4"/>
  <c r="BW132" i="4"/>
  <c r="BX132" i="4"/>
  <c r="CP383" i="4" s="1"/>
  <c r="BT132" i="4"/>
  <c r="CP382" i="4" s="1"/>
  <c r="BR132" i="4"/>
  <c r="BY132" i="4"/>
  <c r="CQ383" i="4" s="1"/>
  <c r="BO132" i="4"/>
  <c r="BU132" i="4"/>
  <c r="CQ382" i="4" s="1"/>
  <c r="BQ132" i="4"/>
  <c r="BS132" i="4"/>
  <c r="BK132" i="4"/>
  <c r="BP132" i="4"/>
  <c r="BN132" i="4"/>
  <c r="BJ132" i="4"/>
  <c r="BI132" i="4"/>
  <c r="BH132" i="4"/>
  <c r="BL132" i="4"/>
  <c r="BM132" i="4"/>
  <c r="BG132" i="4"/>
  <c r="BF132" i="4"/>
  <c r="AX132" i="4"/>
  <c r="AW132" i="4"/>
  <c r="BE132" i="4"/>
  <c r="AR132" i="4"/>
  <c r="AT132" i="4"/>
  <c r="CI384" i="4" s="1"/>
  <c r="AU132" i="4"/>
  <c r="CJ384" i="4" s="1"/>
  <c r="AY132" i="4"/>
  <c r="AQ132" i="4"/>
  <c r="CJ383" i="4" s="1"/>
  <c r="AS132" i="4"/>
  <c r="AN132" i="4"/>
  <c r="AP132" i="4"/>
  <c r="CI383" i="4" s="1"/>
  <c r="AO132" i="4"/>
  <c r="AM132" i="4"/>
  <c r="CJ382" i="4" s="1"/>
  <c r="AJ132" i="4"/>
  <c r="AV132" i="4"/>
  <c r="AH132" i="4"/>
  <c r="AG132" i="4"/>
  <c r="AK132" i="4"/>
  <c r="AE132" i="4"/>
  <c r="AF132" i="4"/>
  <c r="AB132" i="4"/>
  <c r="AD132" i="4"/>
  <c r="AC132" i="4"/>
  <c r="AA132" i="4"/>
  <c r="AL132" i="4"/>
  <c r="CI382" i="4" s="1"/>
  <c r="AI132" i="4"/>
  <c r="CG24" i="4"/>
  <c r="CD24" i="4"/>
  <c r="CC24" i="4"/>
  <c r="CQ60" i="4" s="1"/>
  <c r="CB24" i="4"/>
  <c r="CP60" i="4" s="1"/>
  <c r="CF24" i="4"/>
  <c r="CE24" i="4"/>
  <c r="BY24" i="4"/>
  <c r="CQ59" i="4" s="1"/>
  <c r="BX24" i="4"/>
  <c r="CP59" i="4" s="1"/>
  <c r="BW24" i="4"/>
  <c r="BZ24" i="4"/>
  <c r="BU24" i="4"/>
  <c r="CQ58" i="4" s="1"/>
  <c r="BT24" i="4"/>
  <c r="CP58" i="4" s="1"/>
  <c r="BS24" i="4"/>
  <c r="BR24" i="4"/>
  <c r="BQ24" i="4"/>
  <c r="BP24" i="4"/>
  <c r="BO24" i="4"/>
  <c r="BL24" i="4"/>
  <c r="BK24" i="4"/>
  <c r="BJ24" i="4"/>
  <c r="BV24" i="4"/>
  <c r="BN24" i="4"/>
  <c r="CA24" i="4"/>
  <c r="BM24" i="4"/>
  <c r="AY24" i="4"/>
  <c r="AX24" i="4"/>
  <c r="BG24" i="4"/>
  <c r="BI24" i="4"/>
  <c r="BF24" i="4"/>
  <c r="BH24" i="4"/>
  <c r="BE24" i="4"/>
  <c r="AW24" i="4"/>
  <c r="AU24" i="4"/>
  <c r="CJ60" i="4" s="1"/>
  <c r="AR24" i="4"/>
  <c r="AV24" i="4"/>
  <c r="AT24" i="4"/>
  <c r="CI60" i="4" s="1"/>
  <c r="AS24" i="4"/>
  <c r="AQ24" i="4"/>
  <c r="CJ59" i="4" s="1"/>
  <c r="AN24" i="4"/>
  <c r="AP24" i="4"/>
  <c r="CI59" i="4" s="1"/>
  <c r="AO24" i="4"/>
  <c r="AK24" i="4"/>
  <c r="AL24" i="4"/>
  <c r="CI58" i="4" s="1"/>
  <c r="AM24" i="4"/>
  <c r="CJ58" i="4" s="1"/>
  <c r="AF24" i="4"/>
  <c r="AH24" i="4"/>
  <c r="AI24" i="4"/>
  <c r="AJ24" i="4"/>
  <c r="AG24" i="4"/>
  <c r="AE24" i="4"/>
  <c r="AD24" i="4"/>
  <c r="AB24" i="4"/>
  <c r="AA24" i="4"/>
  <c r="AC24" i="4"/>
  <c r="CG45" i="4"/>
  <c r="CF45" i="4"/>
  <c r="CD45" i="4"/>
  <c r="CC45" i="4"/>
  <c r="CQ123" i="4" s="1"/>
  <c r="CB45" i="4"/>
  <c r="CP123" i="4" s="1"/>
  <c r="CE45" i="4"/>
  <c r="CA45" i="4"/>
  <c r="BZ45" i="4"/>
  <c r="BS45" i="4"/>
  <c r="BR45" i="4"/>
  <c r="BQ45" i="4"/>
  <c r="BP45" i="4"/>
  <c r="BU45" i="4"/>
  <c r="CQ121" i="4" s="1"/>
  <c r="BX45" i="4"/>
  <c r="CP122" i="4" s="1"/>
  <c r="BW45" i="4"/>
  <c r="BV45" i="4"/>
  <c r="BT45" i="4"/>
  <c r="CP121" i="4" s="1"/>
  <c r="BO45" i="4"/>
  <c r="BY45" i="4"/>
  <c r="CQ122" i="4" s="1"/>
  <c r="BL45" i="4"/>
  <c r="BK45" i="4"/>
  <c r="BM45" i="4"/>
  <c r="BN45" i="4"/>
  <c r="BJ45" i="4"/>
  <c r="BI45" i="4"/>
  <c r="BH45" i="4"/>
  <c r="BF45" i="4"/>
  <c r="AY45" i="4"/>
  <c r="AW45" i="4"/>
  <c r="BE45" i="4"/>
  <c r="AT45" i="4"/>
  <c r="CI123" i="4" s="1"/>
  <c r="BG45" i="4"/>
  <c r="AQ45" i="4"/>
  <c r="CJ122" i="4" s="1"/>
  <c r="AX45" i="4"/>
  <c r="AR45" i="4"/>
  <c r="AU45" i="4"/>
  <c r="CJ123" i="4" s="1"/>
  <c r="AS45" i="4"/>
  <c r="AV45" i="4"/>
  <c r="AP45" i="4"/>
  <c r="CI122" i="4" s="1"/>
  <c r="AN45" i="4"/>
  <c r="AK45" i="4"/>
  <c r="AL45" i="4"/>
  <c r="CI121" i="4" s="1"/>
  <c r="AG45" i="4"/>
  <c r="AI45" i="4"/>
  <c r="AH45" i="4"/>
  <c r="AO45" i="4"/>
  <c r="AM45" i="4"/>
  <c r="CJ121" i="4" s="1"/>
  <c r="AE45" i="4"/>
  <c r="AJ45" i="4"/>
  <c r="AD45" i="4"/>
  <c r="AB45" i="4"/>
  <c r="AC45" i="4"/>
  <c r="AA45" i="4"/>
  <c r="AF45" i="4"/>
  <c r="CF420" i="4"/>
  <c r="CG420" i="4"/>
  <c r="CE420" i="4"/>
  <c r="CB420" i="4"/>
  <c r="CP1248" i="4" s="1"/>
  <c r="CC420" i="4"/>
  <c r="CQ1248" i="4" s="1"/>
  <c r="BV420" i="4"/>
  <c r="BU420" i="4"/>
  <c r="CQ1246" i="4" s="1"/>
  <c r="BX420" i="4"/>
  <c r="CP1247" i="4" s="1"/>
  <c r="BZ420" i="4"/>
  <c r="BW420" i="4"/>
  <c r="CA420" i="4"/>
  <c r="BY420" i="4"/>
  <c r="CQ1247" i="4" s="1"/>
  <c r="BQ420" i="4"/>
  <c r="BT420" i="4"/>
  <c r="CP1246" i="4" s="1"/>
  <c r="BP420" i="4"/>
  <c r="BO420" i="4"/>
  <c r="CD420" i="4"/>
  <c r="BN420" i="4"/>
  <c r="BM420" i="4"/>
  <c r="BJ420" i="4"/>
  <c r="BI420" i="4"/>
  <c r="BR420" i="4"/>
  <c r="BS420" i="4"/>
  <c r="BH420" i="4"/>
  <c r="BL420" i="4"/>
  <c r="BG420" i="4"/>
  <c r="BF420" i="4"/>
  <c r="BE420" i="4"/>
  <c r="AY420" i="4"/>
  <c r="AX420" i="4"/>
  <c r="AW420" i="4"/>
  <c r="AT420" i="4"/>
  <c r="CI1248" i="4" s="1"/>
  <c r="AU420" i="4"/>
  <c r="CJ1248" i="4" s="1"/>
  <c r="AQ420" i="4"/>
  <c r="CJ1247" i="4" s="1"/>
  <c r="AV420" i="4"/>
  <c r="AP420" i="4"/>
  <c r="CI1247" i="4" s="1"/>
  <c r="AR420" i="4"/>
  <c r="BK420" i="4"/>
  <c r="AO420" i="4"/>
  <c r="AM420" i="4"/>
  <c r="CJ1246" i="4" s="1"/>
  <c r="AJ420" i="4"/>
  <c r="AN420" i="4"/>
  <c r="AS420" i="4"/>
  <c r="AG420" i="4"/>
  <c r="AK420" i="4"/>
  <c r="AL420" i="4"/>
  <c r="CI1246" i="4" s="1"/>
  <c r="AC420" i="4"/>
  <c r="AI420" i="4"/>
  <c r="AH420" i="4"/>
  <c r="AE420" i="4"/>
  <c r="AF420" i="4"/>
  <c r="AD420" i="4"/>
  <c r="AB420" i="4"/>
  <c r="AA420" i="4"/>
  <c r="CG337" i="4"/>
  <c r="CF337" i="4"/>
  <c r="BZ337" i="4"/>
  <c r="BY337" i="4"/>
  <c r="CQ998" i="4" s="1"/>
  <c r="BX337" i="4"/>
  <c r="CP998" i="4" s="1"/>
  <c r="BW337" i="4"/>
  <c r="BV337" i="4"/>
  <c r="CC337" i="4"/>
  <c r="CQ999" i="4" s="1"/>
  <c r="CA337" i="4"/>
  <c r="CD337" i="4"/>
  <c r="CB337" i="4"/>
  <c r="CP999" i="4" s="1"/>
  <c r="BS337" i="4"/>
  <c r="BR337" i="4"/>
  <c r="BQ337" i="4"/>
  <c r="BP337" i="4"/>
  <c r="BO337" i="4"/>
  <c r="BT337" i="4"/>
  <c r="CP997" i="4" s="1"/>
  <c r="BU337" i="4"/>
  <c r="CQ997" i="4" s="1"/>
  <c r="CE337" i="4"/>
  <c r="BL337" i="4"/>
  <c r="BK337" i="4"/>
  <c r="BM337" i="4"/>
  <c r="BJ337" i="4"/>
  <c r="BI337" i="4"/>
  <c r="BH337" i="4"/>
  <c r="BG337" i="4"/>
  <c r="BF337" i="4"/>
  <c r="BN337" i="4"/>
  <c r="BE337" i="4"/>
  <c r="AY337" i="4"/>
  <c r="AX337" i="4"/>
  <c r="AW337" i="4"/>
  <c r="AR337" i="4"/>
  <c r="AV337" i="4"/>
  <c r="AU337" i="4"/>
  <c r="CJ999" i="4" s="1"/>
  <c r="AS337" i="4"/>
  <c r="AT337" i="4"/>
  <c r="CI999" i="4" s="1"/>
  <c r="AN337" i="4"/>
  <c r="AL337" i="4"/>
  <c r="CI997" i="4" s="1"/>
  <c r="AO337" i="4"/>
  <c r="AK337" i="4"/>
  <c r="AP337" i="4"/>
  <c r="CI998" i="4" s="1"/>
  <c r="AH337" i="4"/>
  <c r="AI337" i="4"/>
  <c r="AG337" i="4"/>
  <c r="AM337" i="4"/>
  <c r="CJ997" i="4" s="1"/>
  <c r="AQ337" i="4"/>
  <c r="CJ998" i="4" s="1"/>
  <c r="AF337" i="4"/>
  <c r="AE337" i="4"/>
  <c r="AJ337" i="4"/>
  <c r="AD337" i="4"/>
  <c r="AB337" i="4"/>
  <c r="AC337" i="4"/>
  <c r="AA337" i="4"/>
  <c r="CG67" i="4"/>
  <c r="CE67" i="4"/>
  <c r="BZ67" i="4"/>
  <c r="BY67" i="4"/>
  <c r="CQ188" i="4" s="1"/>
  <c r="CB67" i="4"/>
  <c r="CP189" i="4" s="1"/>
  <c r="CF67" i="4"/>
  <c r="CA67" i="4"/>
  <c r="CD67" i="4"/>
  <c r="CC67" i="4"/>
  <c r="CQ189" i="4" s="1"/>
  <c r="BX67" i="4"/>
  <c r="CP188" i="4" s="1"/>
  <c r="BV67" i="4"/>
  <c r="BU67" i="4"/>
  <c r="CQ187" i="4" s="1"/>
  <c r="BS67" i="4"/>
  <c r="BR67" i="4"/>
  <c r="BQ67" i="4"/>
  <c r="BP67" i="4"/>
  <c r="BO67" i="4"/>
  <c r="BW67" i="4"/>
  <c r="BN67" i="4"/>
  <c r="BM67" i="4"/>
  <c r="BT67" i="4"/>
  <c r="CP187" i="4" s="1"/>
  <c r="BL67" i="4"/>
  <c r="BI67" i="4"/>
  <c r="BH67" i="4"/>
  <c r="BJ67" i="4"/>
  <c r="BE67" i="4"/>
  <c r="AU67" i="4"/>
  <c r="CJ189" i="4" s="1"/>
  <c r="AY67" i="4"/>
  <c r="BK67" i="4"/>
  <c r="BG67" i="4"/>
  <c r="BF67" i="4"/>
  <c r="AX67" i="4"/>
  <c r="AT67" i="4"/>
  <c r="CI189" i="4" s="1"/>
  <c r="AS67" i="4"/>
  <c r="AO67" i="4"/>
  <c r="AP67" i="4"/>
  <c r="CI188" i="4" s="1"/>
  <c r="AK67" i="4"/>
  <c r="AJ67" i="4"/>
  <c r="AI67" i="4"/>
  <c r="AW67" i="4"/>
  <c r="AV67" i="4"/>
  <c r="AR67" i="4"/>
  <c r="AQ67" i="4"/>
  <c r="CJ188" i="4" s="1"/>
  <c r="AM67" i="4"/>
  <c r="CJ187" i="4" s="1"/>
  <c r="AH67" i="4"/>
  <c r="AL67" i="4"/>
  <c r="CI187" i="4" s="1"/>
  <c r="AN67" i="4"/>
  <c r="AF67" i="4"/>
  <c r="AG67" i="4"/>
  <c r="AE67" i="4"/>
  <c r="AC67" i="4"/>
  <c r="AD67" i="4"/>
  <c r="AA67" i="4"/>
  <c r="AB67" i="4"/>
  <c r="CF381" i="4"/>
  <c r="CG381" i="4"/>
  <c r="CE381" i="4"/>
  <c r="CD381" i="4"/>
  <c r="CC381" i="4"/>
  <c r="CQ1131" i="4" s="1"/>
  <c r="CB381" i="4"/>
  <c r="CP1131" i="4" s="1"/>
  <c r="BT381" i="4"/>
  <c r="CP1129" i="4" s="1"/>
  <c r="BS381" i="4"/>
  <c r="BR381" i="4"/>
  <c r="BQ381" i="4"/>
  <c r="BZ381" i="4"/>
  <c r="BY381" i="4"/>
  <c r="CQ1130" i="4" s="1"/>
  <c r="BX381" i="4"/>
  <c r="CP1130" i="4" s="1"/>
  <c r="BU381" i="4"/>
  <c r="CQ1129" i="4" s="1"/>
  <c r="BW381" i="4"/>
  <c r="BP381" i="4"/>
  <c r="BO381" i="4"/>
  <c r="BM381" i="4"/>
  <c r="BL381" i="4"/>
  <c r="BV381" i="4"/>
  <c r="BJ381" i="4"/>
  <c r="BK381" i="4"/>
  <c r="CA381" i="4"/>
  <c r="BH381" i="4"/>
  <c r="BG381" i="4"/>
  <c r="BF381" i="4"/>
  <c r="BI381" i="4"/>
  <c r="AX381" i="4"/>
  <c r="BN381" i="4"/>
  <c r="AV381" i="4"/>
  <c r="AY381" i="4"/>
  <c r="AU381" i="4"/>
  <c r="CJ1131" i="4" s="1"/>
  <c r="BE381" i="4"/>
  <c r="AW381" i="4"/>
  <c r="AS381" i="4"/>
  <c r="AQ381" i="4"/>
  <c r="CJ1130" i="4" s="1"/>
  <c r="AR381" i="4"/>
  <c r="AT381" i="4"/>
  <c r="CI1131" i="4" s="1"/>
  <c r="AP381" i="4"/>
  <c r="CI1130" i="4" s="1"/>
  <c r="AO381" i="4"/>
  <c r="AM381" i="4"/>
  <c r="CJ1129" i="4" s="1"/>
  <c r="AN381" i="4"/>
  <c r="AJ381" i="4"/>
  <c r="AK381" i="4"/>
  <c r="AI381" i="4"/>
  <c r="AL381" i="4"/>
  <c r="CI1129" i="4" s="1"/>
  <c r="AF381" i="4"/>
  <c r="AH381" i="4"/>
  <c r="AC381" i="4"/>
  <c r="AE381" i="4"/>
  <c r="AD381" i="4"/>
  <c r="AA381" i="4"/>
  <c r="AG381" i="4"/>
  <c r="AB381" i="4"/>
  <c r="CD222" i="4"/>
  <c r="CC222" i="4"/>
  <c r="CQ654" i="4" s="1"/>
  <c r="CB222" i="4"/>
  <c r="CP654" i="4" s="1"/>
  <c r="CE222" i="4"/>
  <c r="BW222" i="4"/>
  <c r="BV222" i="4"/>
  <c r="CG222" i="4"/>
  <c r="BX222" i="4"/>
  <c r="CP653" i="4" s="1"/>
  <c r="BZ222" i="4"/>
  <c r="BY222" i="4"/>
  <c r="CQ653" i="4" s="1"/>
  <c r="BS222" i="4"/>
  <c r="BR222" i="4"/>
  <c r="BQ222" i="4"/>
  <c r="BP222" i="4"/>
  <c r="BO222" i="4"/>
  <c r="BN222" i="4"/>
  <c r="BT222" i="4"/>
  <c r="CP652" i="4" s="1"/>
  <c r="BU222" i="4"/>
  <c r="CQ652" i="4" s="1"/>
  <c r="CA222" i="4"/>
  <c r="CF222" i="4"/>
  <c r="BM222" i="4"/>
  <c r="BJ222" i="4"/>
  <c r="BK222" i="4"/>
  <c r="BI222" i="4"/>
  <c r="BE222" i="4"/>
  <c r="AY222" i="4"/>
  <c r="AX222" i="4"/>
  <c r="AW222" i="4"/>
  <c r="AV222" i="4"/>
  <c r="AU222" i="4"/>
  <c r="CJ654" i="4" s="1"/>
  <c r="AT222" i="4"/>
  <c r="CI654" i="4" s="1"/>
  <c r="BL222" i="4"/>
  <c r="BF222" i="4"/>
  <c r="BH222" i="4"/>
  <c r="AS222" i="4"/>
  <c r="BG222" i="4"/>
  <c r="AQ222" i="4"/>
  <c r="CJ653" i="4" s="1"/>
  <c r="AR222" i="4"/>
  <c r="AP222" i="4"/>
  <c r="CI653" i="4" s="1"/>
  <c r="AN222" i="4"/>
  <c r="AO222" i="4"/>
  <c r="AM222" i="4"/>
  <c r="CJ652" i="4" s="1"/>
  <c r="AF222" i="4"/>
  <c r="AE222" i="4"/>
  <c r="AD222" i="4"/>
  <c r="AC222" i="4"/>
  <c r="AB222" i="4"/>
  <c r="AA222" i="4"/>
  <c r="AG222" i="4"/>
  <c r="AL222" i="4"/>
  <c r="CI652" i="4" s="1"/>
  <c r="AK222" i="4"/>
  <c r="AI222" i="4"/>
  <c r="AH222" i="4"/>
  <c r="AJ222" i="4"/>
  <c r="CF165" i="4"/>
  <c r="CE165" i="4"/>
  <c r="CD165" i="4"/>
  <c r="BZ165" i="4"/>
  <c r="BY165" i="4"/>
  <c r="CQ482" i="4" s="1"/>
  <c r="BX165" i="4"/>
  <c r="CP482" i="4" s="1"/>
  <c r="BW165" i="4"/>
  <c r="BV165" i="4"/>
  <c r="BU165" i="4"/>
  <c r="CQ481" i="4" s="1"/>
  <c r="BT165" i="4"/>
  <c r="CP481" i="4" s="1"/>
  <c r="CC165" i="4"/>
  <c r="CQ483" i="4" s="1"/>
  <c r="CB165" i="4"/>
  <c r="CP483" i="4" s="1"/>
  <c r="CA165" i="4"/>
  <c r="BR165" i="4"/>
  <c r="BO165" i="4"/>
  <c r="CG165" i="4"/>
  <c r="BM165" i="4"/>
  <c r="BL165" i="4"/>
  <c r="BK165" i="4"/>
  <c r="BN165" i="4"/>
  <c r="BS165" i="4"/>
  <c r="BP165" i="4"/>
  <c r="BI165" i="4"/>
  <c r="BH165" i="4"/>
  <c r="BF165" i="4"/>
  <c r="AW165" i="4"/>
  <c r="BG165" i="4"/>
  <c r="BJ165" i="4"/>
  <c r="BQ165" i="4"/>
  <c r="AX165" i="4"/>
  <c r="AU165" i="4"/>
  <c r="CJ483" i="4" s="1"/>
  <c r="AY165" i="4"/>
  <c r="AR165" i="4"/>
  <c r="AS165" i="4"/>
  <c r="AT165" i="4"/>
  <c r="CI483" i="4" s="1"/>
  <c r="AP165" i="4"/>
  <c r="CI482" i="4" s="1"/>
  <c r="AO165" i="4"/>
  <c r="BE165" i="4"/>
  <c r="AQ165" i="4"/>
  <c r="CJ482" i="4" s="1"/>
  <c r="AV165" i="4"/>
  <c r="AM165" i="4"/>
  <c r="CJ481" i="4" s="1"/>
  <c r="AL165" i="4"/>
  <c r="CI481" i="4" s="1"/>
  <c r="AK165" i="4"/>
  <c r="AN165" i="4"/>
  <c r="AJ165" i="4"/>
  <c r="AG165" i="4"/>
  <c r="AF165" i="4"/>
  <c r="AE165" i="4"/>
  <c r="AH165" i="4"/>
  <c r="AD165" i="4"/>
  <c r="AI165" i="4"/>
  <c r="AC165" i="4"/>
  <c r="AB165" i="4"/>
  <c r="AA165" i="4"/>
  <c r="K46" i="4"/>
  <c r="L19" i="4"/>
  <c r="CF108" i="4"/>
  <c r="CE108" i="4"/>
  <c r="CD108" i="4"/>
  <c r="CC108" i="4"/>
  <c r="CQ312" i="4" s="1"/>
  <c r="BY108" i="4"/>
  <c r="CQ311" i="4" s="1"/>
  <c r="BW108" i="4"/>
  <c r="BT108" i="4"/>
  <c r="CP310" i="4" s="1"/>
  <c r="BS108" i="4"/>
  <c r="BR108" i="4"/>
  <c r="BQ108" i="4"/>
  <c r="CG108" i="4"/>
  <c r="BX108" i="4"/>
  <c r="CP311" i="4" s="1"/>
  <c r="BZ108" i="4"/>
  <c r="BU108" i="4"/>
  <c r="CQ310" i="4" s="1"/>
  <c r="BL108" i="4"/>
  <c r="BK108" i="4"/>
  <c r="CB108" i="4"/>
  <c r="CP312" i="4" s="1"/>
  <c r="CA108" i="4"/>
  <c r="BO108" i="4"/>
  <c r="BM108" i="4"/>
  <c r="BJ108" i="4"/>
  <c r="BI108" i="4"/>
  <c r="BH108" i="4"/>
  <c r="BV108" i="4"/>
  <c r="BP108" i="4"/>
  <c r="BG108" i="4"/>
  <c r="BF108" i="4"/>
  <c r="BE108" i="4"/>
  <c r="AX108" i="4"/>
  <c r="AW108" i="4"/>
  <c r="AV108" i="4"/>
  <c r="BN108" i="4"/>
  <c r="AT108" i="4"/>
  <c r="CI312" i="4" s="1"/>
  <c r="AS108" i="4"/>
  <c r="AY108" i="4"/>
  <c r="AR108" i="4"/>
  <c r="AU108" i="4"/>
  <c r="CJ312" i="4" s="1"/>
  <c r="AQ108" i="4"/>
  <c r="CJ311" i="4" s="1"/>
  <c r="AP108" i="4"/>
  <c r="CI311" i="4" s="1"/>
  <c r="AO108" i="4"/>
  <c r="AM108" i="4"/>
  <c r="CJ310" i="4" s="1"/>
  <c r="AN108" i="4"/>
  <c r="AJ108" i="4"/>
  <c r="AF108" i="4"/>
  <c r="AE108" i="4"/>
  <c r="AD108" i="4"/>
  <c r="AC108" i="4"/>
  <c r="AK108" i="4"/>
  <c r="AI108" i="4"/>
  <c r="AG108" i="4"/>
  <c r="AL108" i="4"/>
  <c r="CI310" i="4" s="1"/>
  <c r="AH108" i="4"/>
  <c r="AA108" i="4"/>
  <c r="AB108" i="4"/>
  <c r="CG283" i="4"/>
  <c r="CD283" i="4"/>
  <c r="CC283" i="4"/>
  <c r="CQ837" i="4" s="1"/>
  <c r="CB283" i="4"/>
  <c r="CP837" i="4" s="1"/>
  <c r="CA283" i="4"/>
  <c r="CE283" i="4"/>
  <c r="CF283" i="4"/>
  <c r="BS283" i="4"/>
  <c r="BR283" i="4"/>
  <c r="BQ283" i="4"/>
  <c r="BP283" i="4"/>
  <c r="BO283" i="4"/>
  <c r="BX283" i="4"/>
  <c r="CP836" i="4" s="1"/>
  <c r="BU283" i="4"/>
  <c r="CQ835" i="4" s="1"/>
  <c r="BV283" i="4"/>
  <c r="BT283" i="4"/>
  <c r="CP835" i="4" s="1"/>
  <c r="BW283" i="4"/>
  <c r="BZ283" i="4"/>
  <c r="BY283" i="4"/>
  <c r="CQ836" i="4" s="1"/>
  <c r="BJ283" i="4"/>
  <c r="BI283" i="4"/>
  <c r="BH283" i="4"/>
  <c r="BK283" i="4"/>
  <c r="BL283" i="4"/>
  <c r="BN283" i="4"/>
  <c r="BG283" i="4"/>
  <c r="BF283" i="4"/>
  <c r="BM283" i="4"/>
  <c r="AX283" i="4"/>
  <c r="AW283" i="4"/>
  <c r="AY283" i="4"/>
  <c r="AV283" i="4"/>
  <c r="BE283" i="4"/>
  <c r="AU283" i="4"/>
  <c r="CJ837" i="4" s="1"/>
  <c r="AT283" i="4"/>
  <c r="CI837" i="4" s="1"/>
  <c r="AS283" i="4"/>
  <c r="AQ283" i="4"/>
  <c r="CJ836" i="4" s="1"/>
  <c r="AP283" i="4"/>
  <c r="CI836" i="4" s="1"/>
  <c r="AM283" i="4"/>
  <c r="CJ835" i="4" s="1"/>
  <c r="AL283" i="4"/>
  <c r="CI835" i="4" s="1"/>
  <c r="AN283" i="4"/>
  <c r="AJ283" i="4"/>
  <c r="AK283" i="4"/>
  <c r="AO283" i="4"/>
  <c r="AR283" i="4"/>
  <c r="AG283" i="4"/>
  <c r="AI283" i="4"/>
  <c r="AF283" i="4"/>
  <c r="AC283" i="4"/>
  <c r="AE283" i="4"/>
  <c r="AB283" i="4"/>
  <c r="AD283" i="4"/>
  <c r="AA283" i="4"/>
  <c r="AH283" i="4"/>
  <c r="L27" i="4"/>
  <c r="CD234" i="4"/>
  <c r="CC234" i="4"/>
  <c r="CQ690" i="4" s="1"/>
  <c r="CB234" i="4"/>
  <c r="CP690" i="4" s="1"/>
  <c r="CA234" i="4"/>
  <c r="CF234" i="4"/>
  <c r="CE234" i="4"/>
  <c r="CG234" i="4"/>
  <c r="BZ234" i="4"/>
  <c r="BY234" i="4"/>
  <c r="CQ689" i="4" s="1"/>
  <c r="BX234" i="4"/>
  <c r="CP689" i="4" s="1"/>
  <c r="BS234" i="4"/>
  <c r="BR234" i="4"/>
  <c r="BQ234" i="4"/>
  <c r="BP234" i="4"/>
  <c r="BO234" i="4"/>
  <c r="BU234" i="4"/>
  <c r="CQ688" i="4" s="1"/>
  <c r="BW234" i="4"/>
  <c r="BT234" i="4"/>
  <c r="CP688" i="4" s="1"/>
  <c r="BM234" i="4"/>
  <c r="BV234" i="4"/>
  <c r="BN234" i="4"/>
  <c r="BJ234" i="4"/>
  <c r="BI234" i="4"/>
  <c r="BL234" i="4"/>
  <c r="BK234" i="4"/>
  <c r="BH234" i="4"/>
  <c r="BG234" i="4"/>
  <c r="BE234" i="4"/>
  <c r="BF234" i="4"/>
  <c r="AX234" i="4"/>
  <c r="AY234" i="4"/>
  <c r="AW234" i="4"/>
  <c r="AU234" i="4"/>
  <c r="CJ690" i="4" s="1"/>
  <c r="AT234" i="4"/>
  <c r="CI690" i="4" s="1"/>
  <c r="AV234" i="4"/>
  <c r="AR234" i="4"/>
  <c r="AO234" i="4"/>
  <c r="AM234" i="4"/>
  <c r="CJ688" i="4" s="1"/>
  <c r="AQ234" i="4"/>
  <c r="CJ689" i="4" s="1"/>
  <c r="AS234" i="4"/>
  <c r="AP234" i="4"/>
  <c r="CI689" i="4" s="1"/>
  <c r="AN234" i="4"/>
  <c r="AJ234" i="4"/>
  <c r="AH234" i="4"/>
  <c r="AL234" i="4"/>
  <c r="CI688" i="4" s="1"/>
  <c r="AG234" i="4"/>
  <c r="AK234" i="4"/>
  <c r="AI234" i="4"/>
  <c r="AF234" i="4"/>
  <c r="AE234" i="4"/>
  <c r="AA234" i="4"/>
  <c r="AD234" i="4"/>
  <c r="AB234" i="4"/>
  <c r="AC234" i="4"/>
  <c r="L33" i="4"/>
  <c r="CF192" i="4"/>
  <c r="CE192" i="4"/>
  <c r="CG192" i="4"/>
  <c r="CD192" i="4"/>
  <c r="CC192" i="4"/>
  <c r="CQ564" i="4" s="1"/>
  <c r="BT192" i="4"/>
  <c r="CP562" i="4" s="1"/>
  <c r="CA192" i="4"/>
  <c r="BX192" i="4"/>
  <c r="CP563" i="4" s="1"/>
  <c r="CB192" i="4"/>
  <c r="CP564" i="4" s="1"/>
  <c r="BY192" i="4"/>
  <c r="CQ563" i="4" s="1"/>
  <c r="BZ192" i="4"/>
  <c r="BU192" i="4"/>
  <c r="CQ562" i="4" s="1"/>
  <c r="BW192" i="4"/>
  <c r="BQ192" i="4"/>
  <c r="BN192" i="4"/>
  <c r="BS192" i="4"/>
  <c r="BV192" i="4"/>
  <c r="BO192" i="4"/>
  <c r="BM192" i="4"/>
  <c r="BL192" i="4"/>
  <c r="BK192" i="4"/>
  <c r="BJ192" i="4"/>
  <c r="BI192" i="4"/>
  <c r="BG192" i="4"/>
  <c r="BF192" i="4"/>
  <c r="BE192" i="4"/>
  <c r="AY192" i="4"/>
  <c r="BP192" i="4"/>
  <c r="BH192" i="4"/>
  <c r="BR192" i="4"/>
  <c r="AW192" i="4"/>
  <c r="AU192" i="4"/>
  <c r="CJ564" i="4" s="1"/>
  <c r="AX192" i="4"/>
  <c r="AV192" i="4"/>
  <c r="AT192" i="4"/>
  <c r="CI564" i="4" s="1"/>
  <c r="AS192" i="4"/>
  <c r="AR192" i="4"/>
  <c r="AQ192" i="4"/>
  <c r="CJ563" i="4" s="1"/>
  <c r="AP192" i="4"/>
  <c r="CI563" i="4" s="1"/>
  <c r="AN192" i="4"/>
  <c r="AL192" i="4"/>
  <c r="CI562" i="4" s="1"/>
  <c r="AI192" i="4"/>
  <c r="AH192" i="4"/>
  <c r="AG192" i="4"/>
  <c r="AM192" i="4"/>
  <c r="CJ562" i="4" s="1"/>
  <c r="AO192" i="4"/>
  <c r="AK192" i="4"/>
  <c r="AJ192" i="4"/>
  <c r="AE192" i="4"/>
  <c r="AD192" i="4"/>
  <c r="AB192" i="4"/>
  <c r="AC192" i="4"/>
  <c r="AF192" i="4"/>
  <c r="AA192" i="4"/>
  <c r="CG118" i="4"/>
  <c r="CE118" i="4"/>
  <c r="CD118" i="4"/>
  <c r="CB118" i="4"/>
  <c r="CP342" i="4" s="1"/>
  <c r="CC118" i="4"/>
  <c r="CQ342" i="4" s="1"/>
  <c r="BV118" i="4"/>
  <c r="BW118" i="4"/>
  <c r="BU118" i="4"/>
  <c r="CQ340" i="4" s="1"/>
  <c r="BP118" i="4"/>
  <c r="BN118" i="4"/>
  <c r="BY118" i="4"/>
  <c r="CQ341" i="4" s="1"/>
  <c r="BM118" i="4"/>
  <c r="CF118" i="4"/>
  <c r="BQ118" i="4"/>
  <c r="BX118" i="4"/>
  <c r="CP341" i="4" s="1"/>
  <c r="BZ118" i="4"/>
  <c r="CA118" i="4"/>
  <c r="BO118" i="4"/>
  <c r="BS118" i="4"/>
  <c r="BR118" i="4"/>
  <c r="BT118" i="4"/>
  <c r="CP340" i="4" s="1"/>
  <c r="BK118" i="4"/>
  <c r="BH118" i="4"/>
  <c r="BJ118" i="4"/>
  <c r="BI118" i="4"/>
  <c r="BE118" i="4"/>
  <c r="BL118" i="4"/>
  <c r="BF118" i="4"/>
  <c r="AU118" i="4"/>
  <c r="CJ342" i="4" s="1"/>
  <c r="AY118" i="4"/>
  <c r="AS118" i="4"/>
  <c r="AR118" i="4"/>
  <c r="AQ118" i="4"/>
  <c r="CJ341" i="4" s="1"/>
  <c r="AP118" i="4"/>
  <c r="CI341" i="4" s="1"/>
  <c r="AW118" i="4"/>
  <c r="AT118" i="4"/>
  <c r="CI342" i="4" s="1"/>
  <c r="AX118" i="4"/>
  <c r="AV118" i="4"/>
  <c r="AO118" i="4"/>
  <c r="AN118" i="4"/>
  <c r="AM118" i="4"/>
  <c r="CJ340" i="4" s="1"/>
  <c r="AL118" i="4"/>
  <c r="CI340" i="4" s="1"/>
  <c r="BG118" i="4"/>
  <c r="AI118" i="4"/>
  <c r="AH118" i="4"/>
  <c r="AJ118" i="4"/>
  <c r="AK118" i="4"/>
  <c r="AB118" i="4"/>
  <c r="AE118" i="4"/>
  <c r="AF118" i="4"/>
  <c r="AG118" i="4"/>
  <c r="AA118" i="4"/>
  <c r="AC118" i="4"/>
  <c r="AD118" i="4"/>
  <c r="K34" i="4"/>
  <c r="CE462" i="4"/>
  <c r="CD462" i="4"/>
  <c r="CC462" i="4"/>
  <c r="CQ1374" i="4" s="1"/>
  <c r="CB462" i="4"/>
  <c r="CP1374" i="4" s="1"/>
  <c r="CA462" i="4"/>
  <c r="CF462" i="4"/>
  <c r="BX462" i="4"/>
  <c r="CP1373" i="4" s="1"/>
  <c r="BT462" i="4"/>
  <c r="CP1372" i="4" s="1"/>
  <c r="BS462" i="4"/>
  <c r="BR462" i="4"/>
  <c r="BQ462" i="4"/>
  <c r="BP462" i="4"/>
  <c r="BO462" i="4"/>
  <c r="BN462" i="4"/>
  <c r="BW462" i="4"/>
  <c r="BV462" i="4"/>
  <c r="BY462" i="4"/>
  <c r="CQ1373" i="4" s="1"/>
  <c r="CG462" i="4"/>
  <c r="BJ462" i="4"/>
  <c r="BZ462" i="4"/>
  <c r="BL462" i="4"/>
  <c r="BK462" i="4"/>
  <c r="BF462" i="4"/>
  <c r="BI462" i="4"/>
  <c r="BM462" i="4"/>
  <c r="BE462" i="4"/>
  <c r="AY462" i="4"/>
  <c r="AX462" i="4"/>
  <c r="AW462" i="4"/>
  <c r="AV462" i="4"/>
  <c r="AU462" i="4"/>
  <c r="CJ1374" i="4" s="1"/>
  <c r="BG462" i="4"/>
  <c r="BH462" i="4"/>
  <c r="BU462" i="4"/>
  <c r="CQ1372" i="4" s="1"/>
  <c r="AS462" i="4"/>
  <c r="AQ462" i="4"/>
  <c r="CJ1373" i="4" s="1"/>
  <c r="AT462" i="4"/>
  <c r="CI1374" i="4" s="1"/>
  <c r="AR462" i="4"/>
  <c r="AP462" i="4"/>
  <c r="CI1373" i="4" s="1"/>
  <c r="AM462" i="4"/>
  <c r="CJ1372" i="4" s="1"/>
  <c r="AO462" i="4"/>
  <c r="AN462" i="4"/>
  <c r="AI462" i="4"/>
  <c r="AJ462" i="4"/>
  <c r="AH462" i="4"/>
  <c r="AF462" i="4"/>
  <c r="AE462" i="4"/>
  <c r="AD462" i="4"/>
  <c r="AC462" i="4"/>
  <c r="AB462" i="4"/>
  <c r="AA462" i="4"/>
  <c r="AG462" i="4"/>
  <c r="AL462" i="4"/>
  <c r="CI1372" i="4" s="1"/>
  <c r="AK462" i="4"/>
  <c r="N39" i="4"/>
  <c r="CF196" i="4"/>
  <c r="CG196" i="4"/>
  <c r="CE196" i="4"/>
  <c r="BZ196" i="4"/>
  <c r="CA196" i="4"/>
  <c r="CD196" i="4"/>
  <c r="CB196" i="4"/>
  <c r="CP576" i="4" s="1"/>
  <c r="CC196" i="4"/>
  <c r="CQ576" i="4" s="1"/>
  <c r="BU196" i="4"/>
  <c r="CQ574" i="4" s="1"/>
  <c r="BX196" i="4"/>
  <c r="CP575" i="4" s="1"/>
  <c r="BT196" i="4"/>
  <c r="CP574" i="4" s="1"/>
  <c r="BY196" i="4"/>
  <c r="CQ575" i="4" s="1"/>
  <c r="BV196" i="4"/>
  <c r="BW196" i="4"/>
  <c r="BQ196" i="4"/>
  <c r="BS196" i="4"/>
  <c r="BO196" i="4"/>
  <c r="BN196" i="4"/>
  <c r="BK196" i="4"/>
  <c r="BM196" i="4"/>
  <c r="BJ196" i="4"/>
  <c r="BI196" i="4"/>
  <c r="BH196" i="4"/>
  <c r="BP196" i="4"/>
  <c r="BG196" i="4"/>
  <c r="BF196" i="4"/>
  <c r="BR196" i="4"/>
  <c r="BL196" i="4"/>
  <c r="AY196" i="4"/>
  <c r="AX196" i="4"/>
  <c r="AW196" i="4"/>
  <c r="AV196" i="4"/>
  <c r="BE196" i="4"/>
  <c r="AS196" i="4"/>
  <c r="AT196" i="4"/>
  <c r="CI576" i="4" s="1"/>
  <c r="AP196" i="4"/>
  <c r="CI575" i="4" s="1"/>
  <c r="AR196" i="4"/>
  <c r="AQ196" i="4"/>
  <c r="CJ575" i="4" s="1"/>
  <c r="AO196" i="4"/>
  <c r="AU196" i="4"/>
  <c r="CJ576" i="4" s="1"/>
  <c r="AL196" i="4"/>
  <c r="CI574" i="4" s="1"/>
  <c r="AN196" i="4"/>
  <c r="AI196" i="4"/>
  <c r="AK196" i="4"/>
  <c r="AM196" i="4"/>
  <c r="CJ574" i="4" s="1"/>
  <c r="AH196" i="4"/>
  <c r="AJ196" i="4"/>
  <c r="AF196" i="4"/>
  <c r="AA196" i="4"/>
  <c r="AG196" i="4"/>
  <c r="AD196" i="4"/>
  <c r="AB196" i="4"/>
  <c r="AC196" i="4"/>
  <c r="AE196" i="4"/>
  <c r="CG266" i="4"/>
  <c r="CD266" i="4"/>
  <c r="CC266" i="4"/>
  <c r="CQ786" i="4" s="1"/>
  <c r="CB266" i="4"/>
  <c r="CP786" i="4" s="1"/>
  <c r="CA266" i="4"/>
  <c r="CE266" i="4"/>
  <c r="BZ266" i="4"/>
  <c r="BY266" i="4"/>
  <c r="CQ785" i="4" s="1"/>
  <c r="BX266" i="4"/>
  <c r="CP785" i="4" s="1"/>
  <c r="CF266" i="4"/>
  <c r="BS266" i="4"/>
  <c r="BR266" i="4"/>
  <c r="BQ266" i="4"/>
  <c r="BP266" i="4"/>
  <c r="BO266" i="4"/>
  <c r="BU266" i="4"/>
  <c r="CQ784" i="4" s="1"/>
  <c r="BT266" i="4"/>
  <c r="CP784" i="4" s="1"/>
  <c r="BV266" i="4"/>
  <c r="BM266" i="4"/>
  <c r="BW266" i="4"/>
  <c r="BN266" i="4"/>
  <c r="BK266" i="4"/>
  <c r="BJ266" i="4"/>
  <c r="BI266" i="4"/>
  <c r="BG266" i="4"/>
  <c r="BF266" i="4"/>
  <c r="BL266" i="4"/>
  <c r="BH266" i="4"/>
  <c r="BE266" i="4"/>
  <c r="AX266" i="4"/>
  <c r="AW266" i="4"/>
  <c r="AT266" i="4"/>
  <c r="CI786" i="4" s="1"/>
  <c r="AV266" i="4"/>
  <c r="AY266" i="4"/>
  <c r="AU266" i="4"/>
  <c r="CJ786" i="4" s="1"/>
  <c r="AP266" i="4"/>
  <c r="CI785" i="4" s="1"/>
  <c r="AR266" i="4"/>
  <c r="AO266" i="4"/>
  <c r="AL266" i="4"/>
  <c r="CI784" i="4" s="1"/>
  <c r="AM266" i="4"/>
  <c r="CJ784" i="4" s="1"/>
  <c r="AJ266" i="4"/>
  <c r="AN266" i="4"/>
  <c r="AG266" i="4"/>
  <c r="AQ266" i="4"/>
  <c r="CJ785" i="4" s="1"/>
  <c r="AI266" i="4"/>
  <c r="AS266" i="4"/>
  <c r="AH266" i="4"/>
  <c r="AF266" i="4"/>
  <c r="AB266" i="4"/>
  <c r="AK266" i="4"/>
  <c r="AE266" i="4"/>
  <c r="AA266" i="4"/>
  <c r="AD266" i="4"/>
  <c r="AC266" i="4"/>
  <c r="CG256" i="4"/>
  <c r="CD256" i="4"/>
  <c r="CE256" i="4"/>
  <c r="CC256" i="4"/>
  <c r="CQ756" i="4" s="1"/>
  <c r="BZ256" i="4"/>
  <c r="CF256" i="4"/>
  <c r="BY256" i="4"/>
  <c r="CQ755" i="4" s="1"/>
  <c r="CB256" i="4"/>
  <c r="CP756" i="4" s="1"/>
  <c r="BX256" i="4"/>
  <c r="CP755" i="4" s="1"/>
  <c r="CA256" i="4"/>
  <c r="BW256" i="4"/>
  <c r="BV256" i="4"/>
  <c r="BN256" i="4"/>
  <c r="BR256" i="4"/>
  <c r="BQ256" i="4"/>
  <c r="BU256" i="4"/>
  <c r="CQ754" i="4" s="1"/>
  <c r="BM256" i="4"/>
  <c r="BL256" i="4"/>
  <c r="BK256" i="4"/>
  <c r="BS256" i="4"/>
  <c r="BP256" i="4"/>
  <c r="BO256" i="4"/>
  <c r="BT256" i="4"/>
  <c r="CP754" i="4" s="1"/>
  <c r="BJ256" i="4"/>
  <c r="BI256" i="4"/>
  <c r="BH256" i="4"/>
  <c r="BE256" i="4"/>
  <c r="AY256" i="4"/>
  <c r="BF256" i="4"/>
  <c r="BG256" i="4"/>
  <c r="AU256" i="4"/>
  <c r="CJ756" i="4" s="1"/>
  <c r="AX256" i="4"/>
  <c r="AS256" i="4"/>
  <c r="AV256" i="4"/>
  <c r="AP256" i="4"/>
  <c r="CI755" i="4" s="1"/>
  <c r="AT256" i="4"/>
  <c r="CI756" i="4" s="1"/>
  <c r="AQ256" i="4"/>
  <c r="CJ755" i="4" s="1"/>
  <c r="AW256" i="4"/>
  <c r="AR256" i="4"/>
  <c r="AO256" i="4"/>
  <c r="AI256" i="4"/>
  <c r="AH256" i="4"/>
  <c r="AG256" i="4"/>
  <c r="AL256" i="4"/>
  <c r="CI754" i="4" s="1"/>
  <c r="AK256" i="4"/>
  <c r="AN256" i="4"/>
  <c r="AJ256" i="4"/>
  <c r="AM256" i="4"/>
  <c r="CJ754" i="4" s="1"/>
  <c r="AF256" i="4"/>
  <c r="AD256" i="4"/>
  <c r="AA256" i="4"/>
  <c r="AB256" i="4"/>
  <c r="AE256" i="4"/>
  <c r="AC256" i="4"/>
  <c r="CE361" i="4"/>
  <c r="CG361" i="4"/>
  <c r="CF361" i="4"/>
  <c r="CC361" i="4"/>
  <c r="CQ1071" i="4" s="1"/>
  <c r="CD361" i="4"/>
  <c r="BZ361" i="4"/>
  <c r="BY361" i="4"/>
  <c r="CQ1070" i="4" s="1"/>
  <c r="BX361" i="4"/>
  <c r="CP1070" i="4" s="1"/>
  <c r="CB361" i="4"/>
  <c r="CP1071" i="4" s="1"/>
  <c r="CA361" i="4"/>
  <c r="BW361" i="4"/>
  <c r="BM361" i="4"/>
  <c r="BL361" i="4"/>
  <c r="BT361" i="4"/>
  <c r="CP1069" i="4" s="1"/>
  <c r="BO361" i="4"/>
  <c r="BN361" i="4"/>
  <c r="BS361" i="4"/>
  <c r="BU361" i="4"/>
  <c r="CQ1069" i="4" s="1"/>
  <c r="BP361" i="4"/>
  <c r="BV361" i="4"/>
  <c r="BQ361" i="4"/>
  <c r="BR361" i="4"/>
  <c r="BK361" i="4"/>
  <c r="BF361" i="4"/>
  <c r="BE361" i="4"/>
  <c r="AY361" i="4"/>
  <c r="BI361" i="4"/>
  <c r="BJ361" i="4"/>
  <c r="BG361" i="4"/>
  <c r="AW361" i="4"/>
  <c r="AX361" i="4"/>
  <c r="BH361" i="4"/>
  <c r="AU361" i="4"/>
  <c r="CJ1071" i="4" s="1"/>
  <c r="AT361" i="4"/>
  <c r="CI1071" i="4" s="1"/>
  <c r="AV361" i="4"/>
  <c r="AS361" i="4"/>
  <c r="AO361" i="4"/>
  <c r="AP361" i="4"/>
  <c r="CI1070" i="4" s="1"/>
  <c r="AR361" i="4"/>
  <c r="AM361" i="4"/>
  <c r="CJ1069" i="4" s="1"/>
  <c r="AQ361" i="4"/>
  <c r="CJ1070" i="4" s="1"/>
  <c r="AL361" i="4"/>
  <c r="CI1069" i="4" s="1"/>
  <c r="AN361" i="4"/>
  <c r="AJ361" i="4"/>
  <c r="AK361" i="4"/>
  <c r="AI361" i="4"/>
  <c r="AH361" i="4"/>
  <c r="AG361" i="4"/>
  <c r="AC361" i="4"/>
  <c r="AF361" i="4"/>
  <c r="AA361" i="4"/>
  <c r="AD361" i="4"/>
  <c r="AE361" i="4"/>
  <c r="AB361" i="4"/>
  <c r="CG295" i="4"/>
  <c r="CF295" i="4"/>
  <c r="CE295" i="4"/>
  <c r="CD295" i="4"/>
  <c r="CC295" i="4"/>
  <c r="CQ873" i="4" s="1"/>
  <c r="CB295" i="4"/>
  <c r="CP873" i="4" s="1"/>
  <c r="CA295" i="4"/>
  <c r="BZ295" i="4"/>
  <c r="BY295" i="4"/>
  <c r="CQ872" i="4" s="1"/>
  <c r="BX295" i="4"/>
  <c r="CP872" i="4" s="1"/>
  <c r="BW295" i="4"/>
  <c r="BT295" i="4"/>
  <c r="CP871" i="4" s="1"/>
  <c r="BU295" i="4"/>
  <c r="CQ871" i="4" s="1"/>
  <c r="BM295" i="4"/>
  <c r="BL295" i="4"/>
  <c r="BR295" i="4"/>
  <c r="BO295" i="4"/>
  <c r="BP295" i="4"/>
  <c r="BQ295" i="4"/>
  <c r="BN295" i="4"/>
  <c r="BS295" i="4"/>
  <c r="BV295" i="4"/>
  <c r="BH295" i="4"/>
  <c r="BG295" i="4"/>
  <c r="BF295" i="4"/>
  <c r="BK295" i="4"/>
  <c r="BE295" i="4"/>
  <c r="AY295" i="4"/>
  <c r="AX295" i="4"/>
  <c r="BI295" i="4"/>
  <c r="AW295" i="4"/>
  <c r="AU295" i="4"/>
  <c r="CJ873" i="4" s="1"/>
  <c r="BJ295" i="4"/>
  <c r="AR295" i="4"/>
  <c r="AQ295" i="4"/>
  <c r="CJ872" i="4" s="1"/>
  <c r="AT295" i="4"/>
  <c r="CI873" i="4" s="1"/>
  <c r="AS295" i="4"/>
  <c r="AP295" i="4"/>
  <c r="CI872" i="4" s="1"/>
  <c r="AV295" i="4"/>
  <c r="AK295" i="4"/>
  <c r="AO295" i="4"/>
  <c r="AN295" i="4"/>
  <c r="AM295" i="4"/>
  <c r="CJ871" i="4" s="1"/>
  <c r="AL295" i="4"/>
  <c r="CI871" i="4" s="1"/>
  <c r="AH295" i="4"/>
  <c r="AG295" i="4"/>
  <c r="AE295" i="4"/>
  <c r="AJ295" i="4"/>
  <c r="AB295" i="4"/>
  <c r="AD295" i="4"/>
  <c r="AI295" i="4"/>
  <c r="AA295" i="4"/>
  <c r="AF295" i="4"/>
  <c r="AC295" i="4"/>
  <c r="CF201" i="4"/>
  <c r="CG201" i="4"/>
  <c r="CD201" i="4"/>
  <c r="CB201" i="4"/>
  <c r="CP591" i="4" s="1"/>
  <c r="BZ201" i="4"/>
  <c r="BY201" i="4"/>
  <c r="CQ590" i="4" s="1"/>
  <c r="BX201" i="4"/>
  <c r="CP590" i="4" s="1"/>
  <c r="CC201" i="4"/>
  <c r="CQ591" i="4" s="1"/>
  <c r="CA201" i="4"/>
  <c r="BW201" i="4"/>
  <c r="BT201" i="4"/>
  <c r="CP589" i="4" s="1"/>
  <c r="BU201" i="4"/>
  <c r="CQ589" i="4" s="1"/>
  <c r="BM201" i="4"/>
  <c r="BL201" i="4"/>
  <c r="BQ201" i="4"/>
  <c r="CE201" i="4"/>
  <c r="BN201" i="4"/>
  <c r="BR201" i="4"/>
  <c r="BP201" i="4"/>
  <c r="BO201" i="4"/>
  <c r="BK201" i="4"/>
  <c r="BS201" i="4"/>
  <c r="BH201" i="4"/>
  <c r="BE201" i="4"/>
  <c r="AY201" i="4"/>
  <c r="BI201" i="4"/>
  <c r="BG201" i="4"/>
  <c r="BJ201" i="4"/>
  <c r="BV201" i="4"/>
  <c r="AX201" i="4"/>
  <c r="AU201" i="4"/>
  <c r="CJ591" i="4" s="1"/>
  <c r="AV201" i="4"/>
  <c r="BF201" i="4"/>
  <c r="AR201" i="4"/>
  <c r="AW201" i="4"/>
  <c r="AQ201" i="4"/>
  <c r="CJ590" i="4" s="1"/>
  <c r="AT201" i="4"/>
  <c r="CI591" i="4" s="1"/>
  <c r="AS201" i="4"/>
  <c r="AN201" i="4"/>
  <c r="AO201" i="4"/>
  <c r="AP201" i="4"/>
  <c r="CI590" i="4" s="1"/>
  <c r="AH201" i="4"/>
  <c r="AK201" i="4"/>
  <c r="AE201" i="4"/>
  <c r="AI201" i="4"/>
  <c r="AD201" i="4"/>
  <c r="AA201" i="4"/>
  <c r="AF201" i="4"/>
  <c r="AG201" i="4"/>
  <c r="AL201" i="4"/>
  <c r="CI589" i="4" s="1"/>
  <c r="AM201" i="4"/>
  <c r="CJ589" i="4" s="1"/>
  <c r="AJ201" i="4"/>
  <c r="AC201" i="4"/>
  <c r="AB201" i="4"/>
  <c r="CG483" i="4"/>
  <c r="CF483" i="4"/>
  <c r="CD483" i="4"/>
  <c r="BZ483" i="4"/>
  <c r="BY483" i="4"/>
  <c r="CQ1436" i="4" s="1"/>
  <c r="CA483" i="4"/>
  <c r="CC483" i="4"/>
  <c r="CQ1437" i="4" s="1"/>
  <c r="CE483" i="4"/>
  <c r="BW483" i="4"/>
  <c r="BT483" i="4"/>
  <c r="CP1435" i="4" s="1"/>
  <c r="BS483" i="4"/>
  <c r="BR483" i="4"/>
  <c r="BQ483" i="4"/>
  <c r="BP483" i="4"/>
  <c r="BX483" i="4"/>
  <c r="CP1436" i="4" s="1"/>
  <c r="BO483" i="4"/>
  <c r="BU483" i="4"/>
  <c r="CQ1435" i="4" s="1"/>
  <c r="BN483" i="4"/>
  <c r="BK483" i="4"/>
  <c r="BV483" i="4"/>
  <c r="BM483" i="4"/>
  <c r="BJ483" i="4"/>
  <c r="BI483" i="4"/>
  <c r="CB483" i="4"/>
  <c r="CP1437" i="4" s="1"/>
  <c r="BL483" i="4"/>
  <c r="BG483" i="4"/>
  <c r="BH483" i="4"/>
  <c r="AX483" i="4"/>
  <c r="BF483" i="4"/>
  <c r="BE483" i="4"/>
  <c r="AY483" i="4"/>
  <c r="AW483" i="4"/>
  <c r="AS483" i="4"/>
  <c r="AU483" i="4"/>
  <c r="CJ1437" i="4" s="1"/>
  <c r="AR483" i="4"/>
  <c r="AV483" i="4"/>
  <c r="AQ483" i="4"/>
  <c r="CJ1436" i="4" s="1"/>
  <c r="AL483" i="4"/>
  <c r="CI1435" i="4" s="1"/>
  <c r="AK483" i="4"/>
  <c r="AJ483" i="4"/>
  <c r="AM483" i="4"/>
  <c r="CJ1435" i="4" s="1"/>
  <c r="AO483" i="4"/>
  <c r="AI483" i="4"/>
  <c r="AT483" i="4"/>
  <c r="CI1437" i="4" s="1"/>
  <c r="AP483" i="4"/>
  <c r="CI1436" i="4" s="1"/>
  <c r="AH483" i="4"/>
  <c r="AN483" i="4"/>
  <c r="AF483" i="4"/>
  <c r="AG483" i="4"/>
  <c r="AE483" i="4"/>
  <c r="AC483" i="4"/>
  <c r="AB483" i="4"/>
  <c r="AA483" i="4"/>
  <c r="AD483" i="4"/>
  <c r="CG251" i="4"/>
  <c r="CD251" i="4"/>
  <c r="CC251" i="4"/>
  <c r="CQ741" i="4" s="1"/>
  <c r="CB251" i="4"/>
  <c r="CP741" i="4" s="1"/>
  <c r="CA251" i="4"/>
  <c r="CF251" i="4"/>
  <c r="CE251" i="4"/>
  <c r="BX251" i="4"/>
  <c r="CP740" i="4" s="1"/>
  <c r="BS251" i="4"/>
  <c r="BR251" i="4"/>
  <c r="BQ251" i="4"/>
  <c r="BP251" i="4"/>
  <c r="BO251" i="4"/>
  <c r="BW251" i="4"/>
  <c r="BU251" i="4"/>
  <c r="CQ739" i="4" s="1"/>
  <c r="BT251" i="4"/>
  <c r="CP739" i="4" s="1"/>
  <c r="BV251" i="4"/>
  <c r="BY251" i="4"/>
  <c r="CQ740" i="4" s="1"/>
  <c r="BJ251" i="4"/>
  <c r="BI251" i="4"/>
  <c r="BH251" i="4"/>
  <c r="BZ251" i="4"/>
  <c r="BL251" i="4"/>
  <c r="BK251" i="4"/>
  <c r="BN251" i="4"/>
  <c r="BM251" i="4"/>
  <c r="BG251" i="4"/>
  <c r="AY251" i="4"/>
  <c r="AX251" i="4"/>
  <c r="AW251" i="4"/>
  <c r="AU251" i="4"/>
  <c r="CJ741" i="4" s="1"/>
  <c r="AT251" i="4"/>
  <c r="CI741" i="4" s="1"/>
  <c r="BF251" i="4"/>
  <c r="AR251" i="4"/>
  <c r="AS251" i="4"/>
  <c r="AV251" i="4"/>
  <c r="AO251" i="4"/>
  <c r="BE251" i="4"/>
  <c r="AM251" i="4"/>
  <c r="CJ739" i="4" s="1"/>
  <c r="AL251" i="4"/>
  <c r="CI739" i="4" s="1"/>
  <c r="AJ251" i="4"/>
  <c r="AP251" i="4"/>
  <c r="CI740" i="4" s="1"/>
  <c r="AQ251" i="4"/>
  <c r="CJ740" i="4" s="1"/>
  <c r="AN251" i="4"/>
  <c r="AH251" i="4"/>
  <c r="AK251" i="4"/>
  <c r="AG251" i="4"/>
  <c r="AI251" i="4"/>
  <c r="AD251" i="4"/>
  <c r="AC251" i="4"/>
  <c r="AF251" i="4"/>
  <c r="AA251" i="4"/>
  <c r="AE251" i="4"/>
  <c r="AB251" i="4"/>
  <c r="CD187" i="4"/>
  <c r="CC187" i="4"/>
  <c r="CQ549" i="4" s="1"/>
  <c r="CB187" i="4"/>
  <c r="CP549" i="4" s="1"/>
  <c r="CA187" i="4"/>
  <c r="CG187" i="4"/>
  <c r="CF187" i="4"/>
  <c r="BV187" i="4"/>
  <c r="BS187" i="4"/>
  <c r="BR187" i="4"/>
  <c r="BQ187" i="4"/>
  <c r="BP187" i="4"/>
  <c r="BO187" i="4"/>
  <c r="BY187" i="4"/>
  <c r="CQ548" i="4" s="1"/>
  <c r="BZ187" i="4"/>
  <c r="BW187" i="4"/>
  <c r="CE187" i="4"/>
  <c r="BU187" i="4"/>
  <c r="CQ547" i="4" s="1"/>
  <c r="BX187" i="4"/>
  <c r="CP548" i="4" s="1"/>
  <c r="BN187" i="4"/>
  <c r="BT187" i="4"/>
  <c r="CP547" i="4" s="1"/>
  <c r="BK187" i="4"/>
  <c r="BJ187" i="4"/>
  <c r="BI187" i="4"/>
  <c r="BH187" i="4"/>
  <c r="BM187" i="4"/>
  <c r="BL187" i="4"/>
  <c r="BF187" i="4"/>
  <c r="BE187" i="4"/>
  <c r="AW187" i="4"/>
  <c r="BG187" i="4"/>
  <c r="AU187" i="4"/>
  <c r="CJ549" i="4" s="1"/>
  <c r="AX187" i="4"/>
  <c r="AV187" i="4"/>
  <c r="AT187" i="4"/>
  <c r="CI549" i="4" s="1"/>
  <c r="AR187" i="4"/>
  <c r="AY187" i="4"/>
  <c r="AP187" i="4"/>
  <c r="CI548" i="4" s="1"/>
  <c r="AN187" i="4"/>
  <c r="AO187" i="4"/>
  <c r="AM187" i="4"/>
  <c r="CJ547" i="4" s="1"/>
  <c r="AS187" i="4"/>
  <c r="AK187" i="4"/>
  <c r="AJ187" i="4"/>
  <c r="AH187" i="4"/>
  <c r="AG187" i="4"/>
  <c r="AL187" i="4"/>
  <c r="CI547" i="4" s="1"/>
  <c r="AQ187" i="4"/>
  <c r="CJ548" i="4" s="1"/>
  <c r="AF187" i="4"/>
  <c r="AE187" i="4"/>
  <c r="AI187" i="4"/>
  <c r="AB187" i="4"/>
  <c r="AC187" i="4"/>
  <c r="AA187" i="4"/>
  <c r="AD187" i="4"/>
  <c r="CB83" i="4"/>
  <c r="CP237" i="4" s="1"/>
  <c r="BZ83" i="4"/>
  <c r="BY83" i="4"/>
  <c r="CQ236" i="4" s="1"/>
  <c r="CG83" i="4"/>
  <c r="CC83" i="4"/>
  <c r="CQ237" i="4" s="1"/>
  <c r="CA83" i="4"/>
  <c r="CE83" i="4"/>
  <c r="BW83" i="4"/>
  <c r="CD83" i="4"/>
  <c r="BU83" i="4"/>
  <c r="CQ235" i="4" s="1"/>
  <c r="BS83" i="4"/>
  <c r="BR83" i="4"/>
  <c r="BQ83" i="4"/>
  <c r="BP83" i="4"/>
  <c r="BO83" i="4"/>
  <c r="CF83" i="4"/>
  <c r="BM83" i="4"/>
  <c r="BV83" i="4"/>
  <c r="BT83" i="4"/>
  <c r="CP235" i="4" s="1"/>
  <c r="BN83" i="4"/>
  <c r="BK83" i="4"/>
  <c r="BX83" i="4"/>
  <c r="CP236" i="4" s="1"/>
  <c r="BJ83" i="4"/>
  <c r="BI83" i="4"/>
  <c r="BH83" i="4"/>
  <c r="BL83" i="4"/>
  <c r="BF83" i="4"/>
  <c r="BG83" i="4"/>
  <c r="AV83" i="4"/>
  <c r="AY83" i="4"/>
  <c r="AW83" i="4"/>
  <c r="AT83" i="4"/>
  <c r="CI237" i="4" s="1"/>
  <c r="AS83" i="4"/>
  <c r="AX83" i="4"/>
  <c r="AU83" i="4"/>
  <c r="CJ237" i="4" s="1"/>
  <c r="AP83" i="4"/>
  <c r="CI236" i="4" s="1"/>
  <c r="AR83" i="4"/>
  <c r="BE83" i="4"/>
  <c r="AK83" i="4"/>
  <c r="AJ83" i="4"/>
  <c r="AI83" i="4"/>
  <c r="AN83" i="4"/>
  <c r="AL83" i="4"/>
  <c r="CI235" i="4" s="1"/>
  <c r="AM83" i="4"/>
  <c r="CJ235" i="4" s="1"/>
  <c r="AO83" i="4"/>
  <c r="AG83" i="4"/>
  <c r="AQ83" i="4"/>
  <c r="CJ236" i="4" s="1"/>
  <c r="AH83" i="4"/>
  <c r="AF83" i="4"/>
  <c r="AB83" i="4"/>
  <c r="AE83" i="4"/>
  <c r="AC83" i="4"/>
  <c r="AD83" i="4"/>
  <c r="AA83" i="4"/>
  <c r="CF294" i="4"/>
  <c r="CE294" i="4"/>
  <c r="CG294" i="4"/>
  <c r="CB294" i="4"/>
  <c r="CP870" i="4" s="1"/>
  <c r="CC294" i="4"/>
  <c r="CQ870" i="4" s="1"/>
  <c r="BZ294" i="4"/>
  <c r="BW294" i="4"/>
  <c r="BY294" i="4"/>
  <c r="CQ869" i="4" s="1"/>
  <c r="CA294" i="4"/>
  <c r="BV294" i="4"/>
  <c r="BR294" i="4"/>
  <c r="BO294" i="4"/>
  <c r="CD294" i="4"/>
  <c r="BU294" i="4"/>
  <c r="CQ868" i="4" s="1"/>
  <c r="BP294" i="4"/>
  <c r="BX294" i="4"/>
  <c r="CP869" i="4" s="1"/>
  <c r="BQ294" i="4"/>
  <c r="BN294" i="4"/>
  <c r="BM294" i="4"/>
  <c r="BS294" i="4"/>
  <c r="BT294" i="4"/>
  <c r="CP868" i="4" s="1"/>
  <c r="BH294" i="4"/>
  <c r="BG294" i="4"/>
  <c r="BF294" i="4"/>
  <c r="BK294" i="4"/>
  <c r="BL294" i="4"/>
  <c r="AY294" i="4"/>
  <c r="AW294" i="4"/>
  <c r="AU294" i="4"/>
  <c r="CJ870" i="4" s="1"/>
  <c r="AS294" i="4"/>
  <c r="AR294" i="4"/>
  <c r="AQ294" i="4"/>
  <c r="CJ869" i="4" s="1"/>
  <c r="AP294" i="4"/>
  <c r="CI869" i="4" s="1"/>
  <c r="BI294" i="4"/>
  <c r="BE294" i="4"/>
  <c r="AX294" i="4"/>
  <c r="AO294" i="4"/>
  <c r="AN294" i="4"/>
  <c r="AM294" i="4"/>
  <c r="CJ868" i="4" s="1"/>
  <c r="AV294" i="4"/>
  <c r="AT294" i="4"/>
  <c r="CI870" i="4" s="1"/>
  <c r="BJ294" i="4"/>
  <c r="AK294" i="4"/>
  <c r="AL294" i="4"/>
  <c r="CI868" i="4" s="1"/>
  <c r="AH294" i="4"/>
  <c r="AI294" i="4"/>
  <c r="AG294" i="4"/>
  <c r="AE294" i="4"/>
  <c r="AF294" i="4"/>
  <c r="AB294" i="4"/>
  <c r="AJ294" i="4"/>
  <c r="AD294" i="4"/>
  <c r="AA294" i="4"/>
  <c r="AC294" i="4"/>
  <c r="L105" i="4"/>
  <c r="CF432" i="4"/>
  <c r="CG432" i="4"/>
  <c r="CE432" i="4"/>
  <c r="CD432" i="4"/>
  <c r="CA432" i="4"/>
  <c r="CB432" i="4"/>
  <c r="CP1284" i="4" s="1"/>
  <c r="BY432" i="4"/>
  <c r="CQ1283" i="4" s="1"/>
  <c r="BW432" i="4"/>
  <c r="BZ432" i="4"/>
  <c r="BS432" i="4"/>
  <c r="BP432" i="4"/>
  <c r="BU432" i="4"/>
  <c r="CQ1282" i="4" s="1"/>
  <c r="BR432" i="4"/>
  <c r="BO432" i="4"/>
  <c r="BN432" i="4"/>
  <c r="CC432" i="4"/>
  <c r="CQ1284" i="4" s="1"/>
  <c r="BX432" i="4"/>
  <c r="CP1283" i="4" s="1"/>
  <c r="BM432" i="4"/>
  <c r="BL432" i="4"/>
  <c r="BK432" i="4"/>
  <c r="BT432" i="4"/>
  <c r="CP1282" i="4" s="1"/>
  <c r="BJ432" i="4"/>
  <c r="BI432" i="4"/>
  <c r="BH432" i="4"/>
  <c r="BV432" i="4"/>
  <c r="BG432" i="4"/>
  <c r="BF432" i="4"/>
  <c r="BE432" i="4"/>
  <c r="AY432" i="4"/>
  <c r="AX432" i="4"/>
  <c r="BQ432" i="4"/>
  <c r="AW432" i="4"/>
  <c r="AV432" i="4"/>
  <c r="AS432" i="4"/>
  <c r="AU432" i="4"/>
  <c r="CJ1284" i="4" s="1"/>
  <c r="AT432" i="4"/>
  <c r="CI1284" i="4" s="1"/>
  <c r="AQ432" i="4"/>
  <c r="CJ1283" i="4" s="1"/>
  <c r="AN432" i="4"/>
  <c r="AR432" i="4"/>
  <c r="AI432" i="4"/>
  <c r="AH432" i="4"/>
  <c r="AG432" i="4"/>
  <c r="AP432" i="4"/>
  <c r="CI1283" i="4" s="1"/>
  <c r="AK432" i="4"/>
  <c r="AO432" i="4"/>
  <c r="AL432" i="4"/>
  <c r="CI1282" i="4" s="1"/>
  <c r="AM432" i="4"/>
  <c r="CJ1282" i="4" s="1"/>
  <c r="AJ432" i="4"/>
  <c r="AD432" i="4"/>
  <c r="AA432" i="4"/>
  <c r="AB432" i="4"/>
  <c r="AE432" i="4"/>
  <c r="AC432" i="4"/>
  <c r="AF432" i="4"/>
  <c r="CD120" i="4"/>
  <c r="CC120" i="4"/>
  <c r="CQ348" i="4" s="1"/>
  <c r="CB120" i="4"/>
  <c r="CP348" i="4" s="1"/>
  <c r="CG120" i="4"/>
  <c r="CE120" i="4"/>
  <c r="CA120" i="4"/>
  <c r="BZ120" i="4"/>
  <c r="BY120" i="4"/>
  <c r="CQ347" i="4" s="1"/>
  <c r="BX120" i="4"/>
  <c r="CP347" i="4" s="1"/>
  <c r="BW120" i="4"/>
  <c r="CF120" i="4"/>
  <c r="BS120" i="4"/>
  <c r="BR120" i="4"/>
  <c r="BQ120" i="4"/>
  <c r="BP120" i="4"/>
  <c r="BO120" i="4"/>
  <c r="BV120" i="4"/>
  <c r="BL120" i="4"/>
  <c r="BK120" i="4"/>
  <c r="BN120" i="4"/>
  <c r="BU120" i="4"/>
  <c r="CQ346" i="4" s="1"/>
  <c r="BM120" i="4"/>
  <c r="BT120" i="4"/>
  <c r="CP346" i="4" s="1"/>
  <c r="AY120" i="4"/>
  <c r="BE120" i="4"/>
  <c r="BH120" i="4"/>
  <c r="BF120" i="4"/>
  <c r="AV120" i="4"/>
  <c r="BI120" i="4"/>
  <c r="BG120" i="4"/>
  <c r="AW120" i="4"/>
  <c r="BJ120" i="4"/>
  <c r="AU120" i="4"/>
  <c r="CJ348" i="4" s="1"/>
  <c r="AT120" i="4"/>
  <c r="CI348" i="4" s="1"/>
  <c r="AX120" i="4"/>
  <c r="AS120" i="4"/>
  <c r="AQ120" i="4"/>
  <c r="CJ347" i="4" s="1"/>
  <c r="AR120" i="4"/>
  <c r="AP120" i="4"/>
  <c r="CI347" i="4" s="1"/>
  <c r="AO120" i="4"/>
  <c r="AF120" i="4"/>
  <c r="AM120" i="4"/>
  <c r="CJ346" i="4" s="1"/>
  <c r="AL120" i="4"/>
  <c r="CI346" i="4" s="1"/>
  <c r="AI120" i="4"/>
  <c r="AG120" i="4"/>
  <c r="AH120" i="4"/>
  <c r="AJ120" i="4"/>
  <c r="AN120" i="4"/>
  <c r="AK120" i="4"/>
  <c r="AE120" i="4"/>
  <c r="AB120" i="4"/>
  <c r="AA120" i="4"/>
  <c r="AC120" i="4"/>
  <c r="AD120" i="4"/>
  <c r="CF65" i="4"/>
  <c r="CE65" i="4"/>
  <c r="BZ65" i="4"/>
  <c r="BY65" i="4"/>
  <c r="CQ182" i="4" s="1"/>
  <c r="BX65" i="4"/>
  <c r="CP182" i="4" s="1"/>
  <c r="BW65" i="4"/>
  <c r="BV65" i="4"/>
  <c r="CB65" i="4"/>
  <c r="CP183" i="4" s="1"/>
  <c r="CA65" i="4"/>
  <c r="CC65" i="4"/>
  <c r="CQ183" i="4" s="1"/>
  <c r="CG65" i="4"/>
  <c r="BU65" i="4"/>
  <c r="CQ181" i="4" s="1"/>
  <c r="BS65" i="4"/>
  <c r="BR65" i="4"/>
  <c r="BQ65" i="4"/>
  <c r="BP65" i="4"/>
  <c r="BO65" i="4"/>
  <c r="BT65" i="4"/>
  <c r="CP181" i="4" s="1"/>
  <c r="CD65" i="4"/>
  <c r="BM65" i="4"/>
  <c r="BN65" i="4"/>
  <c r="BI65" i="4"/>
  <c r="BH65" i="4"/>
  <c r="BG65" i="4"/>
  <c r="BF65" i="4"/>
  <c r="BE65" i="4"/>
  <c r="BK65" i="4"/>
  <c r="BJ65" i="4"/>
  <c r="BL65" i="4"/>
  <c r="AY65" i="4"/>
  <c r="AX65" i="4"/>
  <c r="AT65" i="4"/>
  <c r="CI183" i="4" s="1"/>
  <c r="AV65" i="4"/>
  <c r="AS65" i="4"/>
  <c r="AP65" i="4"/>
  <c r="CI182" i="4" s="1"/>
  <c r="AQ65" i="4"/>
  <c r="CJ182" i="4" s="1"/>
  <c r="AW65" i="4"/>
  <c r="AU65" i="4"/>
  <c r="CJ183" i="4" s="1"/>
  <c r="AN65" i="4"/>
  <c r="AM65" i="4"/>
  <c r="CJ181" i="4" s="1"/>
  <c r="AR65" i="4"/>
  <c r="AO65" i="4"/>
  <c r="AL65" i="4"/>
  <c r="CI181" i="4" s="1"/>
  <c r="AG65" i="4"/>
  <c r="AK65" i="4"/>
  <c r="AI65" i="4"/>
  <c r="AH65" i="4"/>
  <c r="AJ65" i="4"/>
  <c r="AF65" i="4"/>
  <c r="AB65" i="4"/>
  <c r="AA65" i="4"/>
  <c r="AE65" i="4"/>
  <c r="AD65" i="4"/>
  <c r="AC65" i="4"/>
  <c r="CG338" i="4"/>
  <c r="CF338" i="4"/>
  <c r="CE338" i="4"/>
  <c r="BZ338" i="4"/>
  <c r="BY338" i="4"/>
  <c r="CQ1001" i="4" s="1"/>
  <c r="BX338" i="4"/>
  <c r="CP1001" i="4" s="1"/>
  <c r="BW338" i="4"/>
  <c r="CC338" i="4"/>
  <c r="CQ1002" i="4" s="1"/>
  <c r="CD338" i="4"/>
  <c r="CB338" i="4"/>
  <c r="CP1002" i="4" s="1"/>
  <c r="CA338" i="4"/>
  <c r="BV338" i="4"/>
  <c r="BU338" i="4"/>
  <c r="CQ1000" i="4" s="1"/>
  <c r="BS338" i="4"/>
  <c r="BR338" i="4"/>
  <c r="BQ338" i="4"/>
  <c r="BP338" i="4"/>
  <c r="BT338" i="4"/>
  <c r="CP1000" i="4" s="1"/>
  <c r="BO338" i="4"/>
  <c r="BN338" i="4"/>
  <c r="BL338" i="4"/>
  <c r="BK338" i="4"/>
  <c r="BM338" i="4"/>
  <c r="BI338" i="4"/>
  <c r="BH338" i="4"/>
  <c r="BG338" i="4"/>
  <c r="BJ338" i="4"/>
  <c r="AX338" i="4"/>
  <c r="BE338" i="4"/>
  <c r="AT338" i="4"/>
  <c r="CI1002" i="4" s="1"/>
  <c r="AS338" i="4"/>
  <c r="BF338" i="4"/>
  <c r="AV338" i="4"/>
  <c r="AU338" i="4"/>
  <c r="CJ1002" i="4" s="1"/>
  <c r="AY338" i="4"/>
  <c r="AW338" i="4"/>
  <c r="AP338" i="4"/>
  <c r="CI1001" i="4" s="1"/>
  <c r="AR338" i="4"/>
  <c r="AN338" i="4"/>
  <c r="AM338" i="4"/>
  <c r="CJ1000" i="4" s="1"/>
  <c r="AQ338" i="4"/>
  <c r="CJ1001" i="4" s="1"/>
  <c r="AL338" i="4"/>
  <c r="CI1000" i="4" s="1"/>
  <c r="AI338" i="4"/>
  <c r="AO338" i="4"/>
  <c r="AH338" i="4"/>
  <c r="AK338" i="4"/>
  <c r="AF338" i="4"/>
  <c r="AG338" i="4"/>
  <c r="AE338" i="4"/>
  <c r="AJ338" i="4"/>
  <c r="AA338" i="4"/>
  <c r="AB338" i="4"/>
  <c r="AC338" i="4"/>
  <c r="AD338" i="4"/>
  <c r="CE334" i="4"/>
  <c r="CD334" i="4"/>
  <c r="CC334" i="4"/>
  <c r="CQ990" i="4" s="1"/>
  <c r="CB334" i="4"/>
  <c r="CP990" i="4" s="1"/>
  <c r="CA334" i="4"/>
  <c r="CG334" i="4"/>
  <c r="CF334" i="4"/>
  <c r="BX334" i="4"/>
  <c r="CP989" i="4" s="1"/>
  <c r="BV334" i="4"/>
  <c r="BZ334" i="4"/>
  <c r="BU334" i="4"/>
  <c r="CQ988" i="4" s="1"/>
  <c r="BS334" i="4"/>
  <c r="BR334" i="4"/>
  <c r="BQ334" i="4"/>
  <c r="BP334" i="4"/>
  <c r="BO334" i="4"/>
  <c r="BN334" i="4"/>
  <c r="BY334" i="4"/>
  <c r="CQ989" i="4" s="1"/>
  <c r="BT334" i="4"/>
  <c r="CP988" i="4" s="1"/>
  <c r="BW334" i="4"/>
  <c r="BM334" i="4"/>
  <c r="BJ334" i="4"/>
  <c r="BL334" i="4"/>
  <c r="BK334" i="4"/>
  <c r="BI334" i="4"/>
  <c r="BH334" i="4"/>
  <c r="BG334" i="4"/>
  <c r="BE334" i="4"/>
  <c r="AY334" i="4"/>
  <c r="AX334" i="4"/>
  <c r="AW334" i="4"/>
  <c r="AV334" i="4"/>
  <c r="AU334" i="4"/>
  <c r="CJ990" i="4" s="1"/>
  <c r="BF334" i="4"/>
  <c r="AR334" i="4"/>
  <c r="AS334" i="4"/>
  <c r="AQ334" i="4"/>
  <c r="CJ989" i="4" s="1"/>
  <c r="AT334" i="4"/>
  <c r="CI990" i="4" s="1"/>
  <c r="AO334" i="4"/>
  <c r="AJ334" i="4"/>
  <c r="AN334" i="4"/>
  <c r="AL334" i="4"/>
  <c r="CI988" i="4" s="1"/>
  <c r="AI334" i="4"/>
  <c r="AG334" i="4"/>
  <c r="AP334" i="4"/>
  <c r="CI989" i="4" s="1"/>
  <c r="AK334" i="4"/>
  <c r="AM334" i="4"/>
  <c r="CJ988" i="4" s="1"/>
  <c r="AF334" i="4"/>
  <c r="AE334" i="4"/>
  <c r="AD334" i="4"/>
  <c r="AC334" i="4"/>
  <c r="AB334" i="4"/>
  <c r="AA334" i="4"/>
  <c r="AH334" i="4"/>
  <c r="CF160" i="4"/>
  <c r="CE160" i="4"/>
  <c r="CG160" i="4"/>
  <c r="CD160" i="4"/>
  <c r="CC160" i="4"/>
  <c r="CQ468" i="4" s="1"/>
  <c r="CB160" i="4"/>
  <c r="CP468" i="4" s="1"/>
  <c r="CA160" i="4"/>
  <c r="BU160" i="4"/>
  <c r="CQ466" i="4" s="1"/>
  <c r="BX160" i="4"/>
  <c r="CP467" i="4" s="1"/>
  <c r="BT160" i="4"/>
  <c r="CP466" i="4" s="1"/>
  <c r="BY160" i="4"/>
  <c r="CQ467" i="4" s="1"/>
  <c r="BQ160" i="4"/>
  <c r="BO160" i="4"/>
  <c r="BW160" i="4"/>
  <c r="BP160" i="4"/>
  <c r="BM160" i="4"/>
  <c r="BL160" i="4"/>
  <c r="BK160" i="4"/>
  <c r="BZ160" i="4"/>
  <c r="BR160" i="4"/>
  <c r="BS160" i="4"/>
  <c r="BJ160" i="4"/>
  <c r="BI160" i="4"/>
  <c r="BV160" i="4"/>
  <c r="BN160" i="4"/>
  <c r="BG160" i="4"/>
  <c r="BH160" i="4"/>
  <c r="BF160" i="4"/>
  <c r="BE160" i="4"/>
  <c r="AY160" i="4"/>
  <c r="AX160" i="4"/>
  <c r="AV160" i="4"/>
  <c r="AR160" i="4"/>
  <c r="AU160" i="4"/>
  <c r="CJ468" i="4" s="1"/>
  <c r="AW160" i="4"/>
  <c r="AT160" i="4"/>
  <c r="CI468" i="4" s="1"/>
  <c r="AS160" i="4"/>
  <c r="AO160" i="4"/>
  <c r="AQ160" i="4"/>
  <c r="CJ467" i="4" s="1"/>
  <c r="AI160" i="4"/>
  <c r="AH160" i="4"/>
  <c r="AG160" i="4"/>
  <c r="AP160" i="4"/>
  <c r="CI467" i="4" s="1"/>
  <c r="AN160" i="4"/>
  <c r="AM160" i="4"/>
  <c r="CJ466" i="4" s="1"/>
  <c r="AL160" i="4"/>
  <c r="CI466" i="4" s="1"/>
  <c r="AK160" i="4"/>
  <c r="AA160" i="4"/>
  <c r="AJ160" i="4"/>
  <c r="AF160" i="4"/>
  <c r="AC160" i="4"/>
  <c r="AD160" i="4"/>
  <c r="AE160" i="4"/>
  <c r="AB160" i="4"/>
  <c r="CG273" i="4"/>
  <c r="CE273" i="4"/>
  <c r="BZ273" i="4"/>
  <c r="BY273" i="4"/>
  <c r="CQ806" i="4" s="1"/>
  <c r="BX273" i="4"/>
  <c r="CP806" i="4" s="1"/>
  <c r="BW273" i="4"/>
  <c r="BV273" i="4"/>
  <c r="CF273" i="4"/>
  <c r="CD273" i="4"/>
  <c r="CB273" i="4"/>
  <c r="CP807" i="4" s="1"/>
  <c r="CC273" i="4"/>
  <c r="CQ807" i="4" s="1"/>
  <c r="BS273" i="4"/>
  <c r="BR273" i="4"/>
  <c r="BQ273" i="4"/>
  <c r="BP273" i="4"/>
  <c r="BO273" i="4"/>
  <c r="BN273" i="4"/>
  <c r="BT273" i="4"/>
  <c r="CP805" i="4" s="1"/>
  <c r="BU273" i="4"/>
  <c r="CQ805" i="4" s="1"/>
  <c r="CA273" i="4"/>
  <c r="BL273" i="4"/>
  <c r="BJ273" i="4"/>
  <c r="BI273" i="4"/>
  <c r="BH273" i="4"/>
  <c r="BG273" i="4"/>
  <c r="BF273" i="4"/>
  <c r="BK273" i="4"/>
  <c r="BM273" i="4"/>
  <c r="BE273" i="4"/>
  <c r="AY273" i="4"/>
  <c r="AU273" i="4"/>
  <c r="CJ807" i="4" s="1"/>
  <c r="AW273" i="4"/>
  <c r="AS273" i="4"/>
  <c r="AQ273" i="4"/>
  <c r="CJ806" i="4" s="1"/>
  <c r="AR273" i="4"/>
  <c r="AT273" i="4"/>
  <c r="CI807" i="4" s="1"/>
  <c r="AO273" i="4"/>
  <c r="AP273" i="4"/>
  <c r="CI806" i="4" s="1"/>
  <c r="AV273" i="4"/>
  <c r="AX273" i="4"/>
  <c r="AM273" i="4"/>
  <c r="CJ805" i="4" s="1"/>
  <c r="AN273" i="4"/>
  <c r="AK273" i="4"/>
  <c r="AH273" i="4"/>
  <c r="AG273" i="4"/>
  <c r="AJ273" i="4"/>
  <c r="AI273" i="4"/>
  <c r="AD273" i="4"/>
  <c r="AE273" i="4"/>
  <c r="AA273" i="4"/>
  <c r="AC273" i="4"/>
  <c r="AB273" i="4"/>
  <c r="AL273" i="4"/>
  <c r="CI805" i="4" s="1"/>
  <c r="AF273" i="4"/>
  <c r="K24" i="4"/>
  <c r="CG440" i="4"/>
  <c r="CE440" i="4"/>
  <c r="CD440" i="4"/>
  <c r="CC440" i="4"/>
  <c r="CQ1308" i="4" s="1"/>
  <c r="CF440" i="4"/>
  <c r="BZ440" i="4"/>
  <c r="BY440" i="4"/>
  <c r="CQ1307" i="4" s="1"/>
  <c r="BX440" i="4"/>
  <c r="CP1307" i="4" s="1"/>
  <c r="BW440" i="4"/>
  <c r="BV440" i="4"/>
  <c r="CA440" i="4"/>
  <c r="BT440" i="4"/>
  <c r="CP1306" i="4" s="1"/>
  <c r="BS440" i="4"/>
  <c r="BR440" i="4"/>
  <c r="BQ440" i="4"/>
  <c r="BP440" i="4"/>
  <c r="BM440" i="4"/>
  <c r="BL440" i="4"/>
  <c r="BK440" i="4"/>
  <c r="BU440" i="4"/>
  <c r="CQ1306" i="4" s="1"/>
  <c r="CB440" i="4"/>
  <c r="CP1308" i="4" s="1"/>
  <c r="BN440" i="4"/>
  <c r="BO440" i="4"/>
  <c r="BE440" i="4"/>
  <c r="AY440" i="4"/>
  <c r="BJ440" i="4"/>
  <c r="BI440" i="4"/>
  <c r="BH440" i="4"/>
  <c r="BG440" i="4"/>
  <c r="AX440" i="4"/>
  <c r="AU440" i="4"/>
  <c r="CJ1308" i="4" s="1"/>
  <c r="AR440" i="4"/>
  <c r="BF440" i="4"/>
  <c r="AW440" i="4"/>
  <c r="AS440" i="4"/>
  <c r="AP440" i="4"/>
  <c r="CI1307" i="4" s="1"/>
  <c r="AV440" i="4"/>
  <c r="AM440" i="4"/>
  <c r="CJ1306" i="4" s="1"/>
  <c r="AT440" i="4"/>
  <c r="CI1308" i="4" s="1"/>
  <c r="AN440" i="4"/>
  <c r="AO440" i="4"/>
  <c r="AJ440" i="4"/>
  <c r="AH440" i="4"/>
  <c r="AQ440" i="4"/>
  <c r="CJ1307" i="4" s="1"/>
  <c r="AK440" i="4"/>
  <c r="AL440" i="4"/>
  <c r="CI1306" i="4" s="1"/>
  <c r="AI440" i="4"/>
  <c r="AE440" i="4"/>
  <c r="AG440" i="4"/>
  <c r="AF440" i="4"/>
  <c r="AA440" i="4"/>
  <c r="AB440" i="4"/>
  <c r="AC440" i="4"/>
  <c r="AD440" i="4"/>
  <c r="L115" i="4"/>
  <c r="CF332" i="4"/>
  <c r="CG332" i="4"/>
  <c r="CD332" i="4"/>
  <c r="CB332" i="4"/>
  <c r="CP984" i="4" s="1"/>
  <c r="CE332" i="4"/>
  <c r="BV332" i="4"/>
  <c r="CA332" i="4"/>
  <c r="BZ332" i="4"/>
  <c r="BU332" i="4"/>
  <c r="CQ982" i="4" s="1"/>
  <c r="BS332" i="4"/>
  <c r="BR332" i="4"/>
  <c r="CC332" i="4"/>
  <c r="CQ984" i="4" s="1"/>
  <c r="BY332" i="4"/>
  <c r="CQ983" i="4" s="1"/>
  <c r="BT332" i="4"/>
  <c r="CP982" i="4" s="1"/>
  <c r="BW332" i="4"/>
  <c r="BM332" i="4"/>
  <c r="BL332" i="4"/>
  <c r="BQ332" i="4"/>
  <c r="BP332" i="4"/>
  <c r="BN332" i="4"/>
  <c r="BX332" i="4"/>
  <c r="CP983" i="4" s="1"/>
  <c r="BJ332" i="4"/>
  <c r="BI332" i="4"/>
  <c r="BO332" i="4"/>
  <c r="BK332" i="4"/>
  <c r="BH332" i="4"/>
  <c r="BG332" i="4"/>
  <c r="BF332" i="4"/>
  <c r="AX332" i="4"/>
  <c r="AW332" i="4"/>
  <c r="AY332" i="4"/>
  <c r="AT332" i="4"/>
  <c r="CI984" i="4" s="1"/>
  <c r="BE332" i="4"/>
  <c r="AR332" i="4"/>
  <c r="AV332" i="4"/>
  <c r="AS332" i="4"/>
  <c r="AU332" i="4"/>
  <c r="CJ984" i="4" s="1"/>
  <c r="AO332" i="4"/>
  <c r="AP332" i="4"/>
  <c r="CI983" i="4" s="1"/>
  <c r="AN332" i="4"/>
  <c r="AM332" i="4"/>
  <c r="CJ982" i="4" s="1"/>
  <c r="AQ332" i="4"/>
  <c r="CJ983" i="4" s="1"/>
  <c r="AK332" i="4"/>
  <c r="AF332" i="4"/>
  <c r="AE332" i="4"/>
  <c r="AD332" i="4"/>
  <c r="AC332" i="4"/>
  <c r="AH332" i="4"/>
  <c r="AJ332" i="4"/>
  <c r="AI332" i="4"/>
  <c r="AL332" i="4"/>
  <c r="CI982" i="4" s="1"/>
  <c r="AB332" i="4"/>
  <c r="AG332" i="4"/>
  <c r="AA332" i="4"/>
  <c r="M64" i="4"/>
  <c r="K64" i="4"/>
  <c r="CG84" i="4"/>
  <c r="CB84" i="4"/>
  <c r="CP240" i="4" s="1"/>
  <c r="BZ84" i="4"/>
  <c r="CD84" i="4"/>
  <c r="CA84" i="4"/>
  <c r="CE84" i="4"/>
  <c r="CF84" i="4"/>
  <c r="BW84" i="4"/>
  <c r="BY84" i="4"/>
  <c r="CQ239" i="4" s="1"/>
  <c r="BV84" i="4"/>
  <c r="CC84" i="4"/>
  <c r="CQ240" i="4" s="1"/>
  <c r="BU84" i="4"/>
  <c r="CQ238" i="4" s="1"/>
  <c r="BT84" i="4"/>
  <c r="CP238" i="4" s="1"/>
  <c r="BN84" i="4"/>
  <c r="BR84" i="4"/>
  <c r="BM84" i="4"/>
  <c r="BQ84" i="4"/>
  <c r="BK84" i="4"/>
  <c r="BX84" i="4"/>
  <c r="CP239" i="4" s="1"/>
  <c r="BP84" i="4"/>
  <c r="BL84" i="4"/>
  <c r="BJ84" i="4"/>
  <c r="BI84" i="4"/>
  <c r="BH84" i="4"/>
  <c r="BS84" i="4"/>
  <c r="BO84" i="4"/>
  <c r="BE84" i="4"/>
  <c r="AU84" i="4"/>
  <c r="CJ240" i="4" s="1"/>
  <c r="BF84" i="4"/>
  <c r="AV84" i="4"/>
  <c r="AY84" i="4"/>
  <c r="AW84" i="4"/>
  <c r="AT84" i="4"/>
  <c r="CI240" i="4" s="1"/>
  <c r="BG84" i="4"/>
  <c r="AQ84" i="4"/>
  <c r="CJ239" i="4" s="1"/>
  <c r="AR84" i="4"/>
  <c r="AS84" i="4"/>
  <c r="AX84" i="4"/>
  <c r="AP84" i="4"/>
  <c r="CI239" i="4" s="1"/>
  <c r="AN84" i="4"/>
  <c r="AL84" i="4"/>
  <c r="CI238" i="4" s="1"/>
  <c r="AO84" i="4"/>
  <c r="AK84" i="4"/>
  <c r="AM84" i="4"/>
  <c r="CJ238" i="4" s="1"/>
  <c r="AI84" i="4"/>
  <c r="AH84" i="4"/>
  <c r="AF84" i="4"/>
  <c r="AJ84" i="4"/>
  <c r="AE84" i="4"/>
  <c r="AG84" i="4"/>
  <c r="AD84" i="4"/>
  <c r="AB84" i="4"/>
  <c r="AC84" i="4"/>
  <c r="AA84" i="4"/>
  <c r="L26" i="4"/>
  <c r="CF145" i="4"/>
  <c r="CE145" i="4"/>
  <c r="BZ145" i="4"/>
  <c r="BY145" i="4"/>
  <c r="CQ422" i="4" s="1"/>
  <c r="BX145" i="4"/>
  <c r="CP422" i="4" s="1"/>
  <c r="BW145" i="4"/>
  <c r="BV145" i="4"/>
  <c r="CD145" i="4"/>
  <c r="CG145" i="4"/>
  <c r="CB145" i="4"/>
  <c r="CP423" i="4" s="1"/>
  <c r="BU145" i="4"/>
  <c r="CQ421" i="4" s="1"/>
  <c r="CA145" i="4"/>
  <c r="BT145" i="4"/>
  <c r="CP421" i="4" s="1"/>
  <c r="CC145" i="4"/>
  <c r="CQ423" i="4" s="1"/>
  <c r="BS145" i="4"/>
  <c r="BR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AY145" i="4"/>
  <c r="AX145" i="4"/>
  <c r="AW145" i="4"/>
  <c r="AV145" i="4"/>
  <c r="AS145" i="4"/>
  <c r="AU145" i="4"/>
  <c r="CJ423" i="4" s="1"/>
  <c r="AP145" i="4"/>
  <c r="CI422" i="4" s="1"/>
  <c r="AT145" i="4"/>
  <c r="CI423" i="4" s="1"/>
  <c r="AR145" i="4"/>
  <c r="AQ145" i="4"/>
  <c r="CJ422" i="4" s="1"/>
  <c r="AO145" i="4"/>
  <c r="AM145" i="4"/>
  <c r="CJ421" i="4" s="1"/>
  <c r="AN145" i="4"/>
  <c r="AJ145" i="4"/>
  <c r="AK145" i="4"/>
  <c r="AF145" i="4"/>
  <c r="AI145" i="4"/>
  <c r="AL145" i="4"/>
  <c r="CI421" i="4" s="1"/>
  <c r="AC145" i="4"/>
  <c r="AA145" i="4"/>
  <c r="AE145" i="4"/>
  <c r="AH145" i="4"/>
  <c r="AD145" i="4"/>
  <c r="AG145" i="4"/>
  <c r="AB145" i="4"/>
  <c r="N14" i="4"/>
  <c r="CG325" i="4"/>
  <c r="CD325" i="4"/>
  <c r="CF325" i="4"/>
  <c r="BZ325" i="4"/>
  <c r="BY325" i="4"/>
  <c r="CQ962" i="4" s="1"/>
  <c r="BX325" i="4"/>
  <c r="CP962" i="4" s="1"/>
  <c r="BW325" i="4"/>
  <c r="BV325" i="4"/>
  <c r="BU325" i="4"/>
  <c r="CQ961" i="4" s="1"/>
  <c r="BT325" i="4"/>
  <c r="CP961" i="4" s="1"/>
  <c r="CC325" i="4"/>
  <c r="CQ963" i="4" s="1"/>
  <c r="BN325" i="4"/>
  <c r="CA325" i="4"/>
  <c r="BQ325" i="4"/>
  <c r="BP325" i="4"/>
  <c r="CE325" i="4"/>
  <c r="BO325" i="4"/>
  <c r="BS325" i="4"/>
  <c r="BM325" i="4"/>
  <c r="BL325" i="4"/>
  <c r="BR325" i="4"/>
  <c r="BJ325" i="4"/>
  <c r="BF325" i="4"/>
  <c r="BG325" i="4"/>
  <c r="AV325" i="4"/>
  <c r="CB325" i="4"/>
  <c r="CP963" i="4" s="1"/>
  <c r="AY325" i="4"/>
  <c r="BK325" i="4"/>
  <c r="BE325" i="4"/>
  <c r="AU325" i="4"/>
  <c r="CJ963" i="4" s="1"/>
  <c r="AW325" i="4"/>
  <c r="AX325" i="4"/>
  <c r="BH325" i="4"/>
  <c r="BI325" i="4"/>
  <c r="AS325" i="4"/>
  <c r="AO325" i="4"/>
  <c r="AL325" i="4"/>
  <c r="CI961" i="4" s="1"/>
  <c r="AK325" i="4"/>
  <c r="AT325" i="4"/>
  <c r="CI963" i="4" s="1"/>
  <c r="AP325" i="4"/>
  <c r="CI962" i="4" s="1"/>
  <c r="AQ325" i="4"/>
  <c r="CJ962" i="4" s="1"/>
  <c r="AR325" i="4"/>
  <c r="AM325" i="4"/>
  <c r="CJ961" i="4" s="1"/>
  <c r="AN325" i="4"/>
  <c r="AJ325" i="4"/>
  <c r="AI325" i="4"/>
  <c r="AG325" i="4"/>
  <c r="AC325" i="4"/>
  <c r="AF325" i="4"/>
  <c r="AH325" i="4"/>
  <c r="AA325" i="4"/>
  <c r="AE325" i="4"/>
  <c r="AB325" i="4"/>
  <c r="AD325" i="4"/>
  <c r="M118" i="4"/>
  <c r="CF81" i="4"/>
  <c r="BZ81" i="4"/>
  <c r="BY81" i="4"/>
  <c r="CQ230" i="4" s="1"/>
  <c r="BX81" i="4"/>
  <c r="CP230" i="4" s="1"/>
  <c r="BW81" i="4"/>
  <c r="BV81" i="4"/>
  <c r="CG81" i="4"/>
  <c r="CC81" i="4"/>
  <c r="CQ231" i="4" s="1"/>
  <c r="CD81" i="4"/>
  <c r="CA81" i="4"/>
  <c r="CB81" i="4"/>
  <c r="CP231" i="4" s="1"/>
  <c r="BS81" i="4"/>
  <c r="BR81" i="4"/>
  <c r="BQ81" i="4"/>
  <c r="BP81" i="4"/>
  <c r="BO81" i="4"/>
  <c r="BT81" i="4"/>
  <c r="CP229" i="4" s="1"/>
  <c r="BU81" i="4"/>
  <c r="CQ229" i="4" s="1"/>
  <c r="CE81" i="4"/>
  <c r="BK81" i="4"/>
  <c r="BN81" i="4"/>
  <c r="BL81" i="4"/>
  <c r="BJ81" i="4"/>
  <c r="BI81" i="4"/>
  <c r="BH81" i="4"/>
  <c r="BG81" i="4"/>
  <c r="BF81" i="4"/>
  <c r="BE81" i="4"/>
  <c r="AY81" i="4"/>
  <c r="BM81" i="4"/>
  <c r="AX81" i="4"/>
  <c r="AW81" i="4"/>
  <c r="AT81" i="4"/>
  <c r="CI231" i="4" s="1"/>
  <c r="AS81" i="4"/>
  <c r="AU81" i="4"/>
  <c r="CJ231" i="4" s="1"/>
  <c r="AR81" i="4"/>
  <c r="AV81" i="4"/>
  <c r="AN81" i="4"/>
  <c r="AQ81" i="4"/>
  <c r="CJ230" i="4" s="1"/>
  <c r="AK81" i="4"/>
  <c r="AO81" i="4"/>
  <c r="AP81" i="4"/>
  <c r="CI230" i="4" s="1"/>
  <c r="AL81" i="4"/>
  <c r="CI229" i="4" s="1"/>
  <c r="AG81" i="4"/>
  <c r="AI81" i="4"/>
  <c r="AM81" i="4"/>
  <c r="CJ229" i="4" s="1"/>
  <c r="AH81" i="4"/>
  <c r="AF81" i="4"/>
  <c r="AJ81" i="4"/>
  <c r="AE81" i="4"/>
  <c r="AB81" i="4"/>
  <c r="AD81" i="4"/>
  <c r="AC81" i="4"/>
  <c r="AA81" i="4"/>
  <c r="CG411" i="4"/>
  <c r="CE411" i="4"/>
  <c r="CD411" i="4"/>
  <c r="CC411" i="4"/>
  <c r="CQ1221" i="4" s="1"/>
  <c r="CB411" i="4"/>
  <c r="CP1221" i="4" s="1"/>
  <c r="CA411" i="4"/>
  <c r="CF411" i="4"/>
  <c r="BX411" i="4"/>
  <c r="CP1220" i="4" s="1"/>
  <c r="BW411" i="4"/>
  <c r="BT411" i="4"/>
  <c r="CP1219" i="4" s="1"/>
  <c r="BS411" i="4"/>
  <c r="BR411" i="4"/>
  <c r="BQ411" i="4"/>
  <c r="BP411" i="4"/>
  <c r="BZ411" i="4"/>
  <c r="BY411" i="4"/>
  <c r="CQ1220" i="4" s="1"/>
  <c r="BV411" i="4"/>
  <c r="BO411" i="4"/>
  <c r="BN411" i="4"/>
  <c r="BJ411" i="4"/>
  <c r="BI411" i="4"/>
  <c r="BK411" i="4"/>
  <c r="BU411" i="4"/>
  <c r="CQ1219" i="4" s="1"/>
  <c r="BM411" i="4"/>
  <c r="BL411" i="4"/>
  <c r="BF411" i="4"/>
  <c r="BH411" i="4"/>
  <c r="AY411" i="4"/>
  <c r="AV411" i="4"/>
  <c r="BG411" i="4"/>
  <c r="AW411" i="4"/>
  <c r="AX411" i="4"/>
  <c r="AU411" i="4"/>
  <c r="CJ1221" i="4" s="1"/>
  <c r="BE411" i="4"/>
  <c r="AT411" i="4"/>
  <c r="CI1221" i="4" s="1"/>
  <c r="AR411" i="4"/>
  <c r="AQ411" i="4"/>
  <c r="CJ1220" i="4" s="1"/>
  <c r="AS411" i="4"/>
  <c r="AP411" i="4"/>
  <c r="CI1220" i="4" s="1"/>
  <c r="AM411" i="4"/>
  <c r="CJ1219" i="4" s="1"/>
  <c r="AO411" i="4"/>
  <c r="AK411" i="4"/>
  <c r="AI411" i="4"/>
  <c r="AL411" i="4"/>
  <c r="CI1219" i="4" s="1"/>
  <c r="AH411" i="4"/>
  <c r="AN411" i="4"/>
  <c r="AG411" i="4"/>
  <c r="AF411" i="4"/>
  <c r="AD411" i="4"/>
  <c r="AB411" i="4"/>
  <c r="AJ411" i="4"/>
  <c r="AC411" i="4"/>
  <c r="AE411" i="4"/>
  <c r="AA411" i="4"/>
  <c r="N108" i="4"/>
  <c r="K113" i="4"/>
  <c r="CG213" i="4"/>
  <c r="CF213" i="4"/>
  <c r="CE213" i="4"/>
  <c r="CD213" i="4"/>
  <c r="BZ213" i="4"/>
  <c r="BY213" i="4"/>
  <c r="CQ626" i="4" s="1"/>
  <c r="BX213" i="4"/>
  <c r="CP626" i="4" s="1"/>
  <c r="BW213" i="4"/>
  <c r="BV213" i="4"/>
  <c r="BU213" i="4"/>
  <c r="CQ625" i="4" s="1"/>
  <c r="BT213" i="4"/>
  <c r="CP625" i="4" s="1"/>
  <c r="CC213" i="4"/>
  <c r="CQ627" i="4" s="1"/>
  <c r="CA213" i="4"/>
  <c r="BR213" i="4"/>
  <c r="BO213" i="4"/>
  <c r="BP213" i="4"/>
  <c r="BN213" i="4"/>
  <c r="BS213" i="4"/>
  <c r="BM213" i="4"/>
  <c r="BL213" i="4"/>
  <c r="BK213" i="4"/>
  <c r="CB213" i="4"/>
  <c r="CP627" i="4" s="1"/>
  <c r="BQ213" i="4"/>
  <c r="BG213" i="4"/>
  <c r="BF213" i="4"/>
  <c r="BH213" i="4"/>
  <c r="BJ213" i="4"/>
  <c r="AX213" i="4"/>
  <c r="AW213" i="4"/>
  <c r="BE213" i="4"/>
  <c r="AS213" i="4"/>
  <c r="AY213" i="4"/>
  <c r="AT213" i="4"/>
  <c r="CI627" i="4" s="1"/>
  <c r="AP213" i="4"/>
  <c r="CI626" i="4" s="1"/>
  <c r="AV213" i="4"/>
  <c r="BI213" i="4"/>
  <c r="AU213" i="4"/>
  <c r="CJ627" i="4" s="1"/>
  <c r="AR213" i="4"/>
  <c r="AL213" i="4"/>
  <c r="CI625" i="4" s="1"/>
  <c r="AK213" i="4"/>
  <c r="AQ213" i="4"/>
  <c r="CJ626" i="4" s="1"/>
  <c r="AN213" i="4"/>
  <c r="AO213" i="4"/>
  <c r="AM213" i="4"/>
  <c r="CJ625" i="4" s="1"/>
  <c r="AI213" i="4"/>
  <c r="AJ213" i="4"/>
  <c r="AH213" i="4"/>
  <c r="AG213" i="4"/>
  <c r="AF213" i="4"/>
  <c r="AD213" i="4"/>
  <c r="AE213" i="4"/>
  <c r="AC213" i="4"/>
  <c r="AB213" i="4"/>
  <c r="AA213" i="4"/>
  <c r="L58" i="4"/>
  <c r="O95" i="4"/>
  <c r="CE123" i="4"/>
  <c r="CD123" i="4"/>
  <c r="CC123" i="4"/>
  <c r="CQ357" i="4" s="1"/>
  <c r="CB123" i="4"/>
  <c r="CP357" i="4" s="1"/>
  <c r="CA123" i="4"/>
  <c r="BS123" i="4"/>
  <c r="BR123" i="4"/>
  <c r="BQ123" i="4"/>
  <c r="BP123" i="4"/>
  <c r="BO123" i="4"/>
  <c r="CF123" i="4"/>
  <c r="BY123" i="4"/>
  <c r="CQ356" i="4" s="1"/>
  <c r="BV123" i="4"/>
  <c r="BX123" i="4"/>
  <c r="CP356" i="4" s="1"/>
  <c r="BN123" i="4"/>
  <c r="BU123" i="4"/>
  <c r="CQ355" i="4" s="1"/>
  <c r="BZ123" i="4"/>
  <c r="BW123" i="4"/>
  <c r="BT123" i="4"/>
  <c r="CP355" i="4" s="1"/>
  <c r="BJ123" i="4"/>
  <c r="BI123" i="4"/>
  <c r="BH123" i="4"/>
  <c r="BL123" i="4"/>
  <c r="BM123" i="4"/>
  <c r="CG123" i="4"/>
  <c r="BG123" i="4"/>
  <c r="BF123" i="4"/>
  <c r="BE123" i="4"/>
  <c r="BK123" i="4"/>
  <c r="AW123" i="4"/>
  <c r="AY123" i="4"/>
  <c r="AU123" i="4"/>
  <c r="CJ357" i="4" s="1"/>
  <c r="AT123" i="4"/>
  <c r="CI357" i="4" s="1"/>
  <c r="AX123" i="4"/>
  <c r="AV123" i="4"/>
  <c r="AR123" i="4"/>
  <c r="AS123" i="4"/>
  <c r="AQ123" i="4"/>
  <c r="CJ356" i="4" s="1"/>
  <c r="AN123" i="4"/>
  <c r="AL123" i="4"/>
  <c r="CI355" i="4" s="1"/>
  <c r="AK123" i="4"/>
  <c r="AM123" i="4"/>
  <c r="CJ355" i="4" s="1"/>
  <c r="AP123" i="4"/>
  <c r="CI356" i="4" s="1"/>
  <c r="AO123" i="4"/>
  <c r="AI123" i="4"/>
  <c r="AF123" i="4"/>
  <c r="AD123" i="4"/>
  <c r="AJ123" i="4"/>
  <c r="AH123" i="4"/>
  <c r="AC123" i="4"/>
  <c r="AA123" i="4"/>
  <c r="AG123" i="4"/>
  <c r="AB123" i="4"/>
  <c r="AE123" i="4"/>
  <c r="M36" i="4"/>
  <c r="CF94" i="4"/>
  <c r="CE94" i="4"/>
  <c r="CD94" i="4"/>
  <c r="CC94" i="4"/>
  <c r="CQ270" i="4" s="1"/>
  <c r="CB94" i="4"/>
  <c r="CP270" i="4" s="1"/>
  <c r="CG94" i="4"/>
  <c r="BV94" i="4"/>
  <c r="BX94" i="4"/>
  <c r="CP269" i="4" s="1"/>
  <c r="BU94" i="4"/>
  <c r="CQ268" i="4" s="1"/>
  <c r="CA94" i="4"/>
  <c r="BZ94" i="4"/>
  <c r="BT94" i="4"/>
  <c r="CP268" i="4" s="1"/>
  <c r="BS94" i="4"/>
  <c r="BR94" i="4"/>
  <c r="BQ94" i="4"/>
  <c r="BP94" i="4"/>
  <c r="BO94" i="4"/>
  <c r="BN94" i="4"/>
  <c r="BM94" i="4"/>
  <c r="BW94" i="4"/>
  <c r="BY94" i="4"/>
  <c r="CQ269" i="4" s="1"/>
  <c r="BJ94" i="4"/>
  <c r="BK94" i="4"/>
  <c r="BG94" i="4"/>
  <c r="AY94" i="4"/>
  <c r="AX94" i="4"/>
  <c r="AW94" i="4"/>
  <c r="AV94" i="4"/>
  <c r="AU94" i="4"/>
  <c r="CJ270" i="4" s="1"/>
  <c r="AT94" i="4"/>
  <c r="CI270" i="4" s="1"/>
  <c r="BH94" i="4"/>
  <c r="BL94" i="4"/>
  <c r="BE94" i="4"/>
  <c r="BI94" i="4"/>
  <c r="AS94" i="4"/>
  <c r="AP94" i="4"/>
  <c r="CI269" i="4" s="1"/>
  <c r="BF94" i="4"/>
  <c r="AQ94" i="4"/>
  <c r="CJ269" i="4" s="1"/>
  <c r="AR94" i="4"/>
  <c r="AL94" i="4"/>
  <c r="CI268" i="4" s="1"/>
  <c r="AM94" i="4"/>
  <c r="CJ268" i="4" s="1"/>
  <c r="AI94" i="4"/>
  <c r="AH94" i="4"/>
  <c r="AO94" i="4"/>
  <c r="AN94" i="4"/>
  <c r="AF94" i="4"/>
  <c r="AE94" i="4"/>
  <c r="AD94" i="4"/>
  <c r="AC94" i="4"/>
  <c r="AB94" i="4"/>
  <c r="AA94" i="4"/>
  <c r="AJ94" i="4"/>
  <c r="AG94" i="4"/>
  <c r="AK94" i="4"/>
  <c r="K109" i="4"/>
  <c r="CG374" i="4"/>
  <c r="CF374" i="4"/>
  <c r="CB374" i="4"/>
  <c r="CP1110" i="4" s="1"/>
  <c r="CE374" i="4"/>
  <c r="BZ374" i="4"/>
  <c r="BW374" i="4"/>
  <c r="BU374" i="4"/>
  <c r="CQ1108" i="4" s="1"/>
  <c r="CA374" i="4"/>
  <c r="BP374" i="4"/>
  <c r="BN374" i="4"/>
  <c r="CC374" i="4"/>
  <c r="CQ1110" i="4" s="1"/>
  <c r="BV374" i="4"/>
  <c r="BX374" i="4"/>
  <c r="CP1109" i="4" s="1"/>
  <c r="BT374" i="4"/>
  <c r="CP1108" i="4" s="1"/>
  <c r="BO374" i="4"/>
  <c r="BK374" i="4"/>
  <c r="CD374" i="4"/>
  <c r="BL374" i="4"/>
  <c r="BQ374" i="4"/>
  <c r="BM374" i="4"/>
  <c r="BR374" i="4"/>
  <c r="BS374" i="4"/>
  <c r="BY374" i="4"/>
  <c r="CQ1109" i="4" s="1"/>
  <c r="BJ374" i="4"/>
  <c r="BH374" i="4"/>
  <c r="BG374" i="4"/>
  <c r="AY374" i="4"/>
  <c r="BI374" i="4"/>
  <c r="AT374" i="4"/>
  <c r="CI1110" i="4" s="1"/>
  <c r="AS374" i="4"/>
  <c r="AR374" i="4"/>
  <c r="AQ374" i="4"/>
  <c r="CJ1109" i="4" s="1"/>
  <c r="AP374" i="4"/>
  <c r="CI1109" i="4" s="1"/>
  <c r="AW374" i="4"/>
  <c r="BE374" i="4"/>
  <c r="AO374" i="4"/>
  <c r="AN374" i="4"/>
  <c r="AM374" i="4"/>
  <c r="CJ1108" i="4" s="1"/>
  <c r="BF374" i="4"/>
  <c r="AX374" i="4"/>
  <c r="AV374" i="4"/>
  <c r="AU374" i="4"/>
  <c r="CJ1110" i="4" s="1"/>
  <c r="AK374" i="4"/>
  <c r="AI374" i="4"/>
  <c r="AH374" i="4"/>
  <c r="AL374" i="4"/>
  <c r="CI1108" i="4" s="1"/>
  <c r="AJ374" i="4"/>
  <c r="AF374" i="4"/>
  <c r="AB374" i="4"/>
  <c r="AE374" i="4"/>
  <c r="AA374" i="4"/>
  <c r="AD374" i="4"/>
  <c r="AG374" i="4"/>
  <c r="AC374" i="4"/>
  <c r="CD282" i="4"/>
  <c r="CC282" i="4"/>
  <c r="CQ834" i="4" s="1"/>
  <c r="CB282" i="4"/>
  <c r="CP834" i="4" s="1"/>
  <c r="CA282" i="4"/>
  <c r="CF282" i="4"/>
  <c r="CE282" i="4"/>
  <c r="CG282" i="4"/>
  <c r="BZ282" i="4"/>
  <c r="BY282" i="4"/>
  <c r="CQ833" i="4" s="1"/>
  <c r="BX282" i="4"/>
  <c r="CP833" i="4" s="1"/>
  <c r="BS282" i="4"/>
  <c r="BR282" i="4"/>
  <c r="BQ282" i="4"/>
  <c r="BP282" i="4"/>
  <c r="BO282" i="4"/>
  <c r="BU282" i="4"/>
  <c r="CQ832" i="4" s="1"/>
  <c r="BV282" i="4"/>
  <c r="BT282" i="4"/>
  <c r="CP832" i="4" s="1"/>
  <c r="BW282" i="4"/>
  <c r="BM282" i="4"/>
  <c r="BK282" i="4"/>
  <c r="BL282" i="4"/>
  <c r="BN282" i="4"/>
  <c r="BJ282" i="4"/>
  <c r="BI282" i="4"/>
  <c r="BG282" i="4"/>
  <c r="BH282" i="4"/>
  <c r="AX282" i="4"/>
  <c r="AY282" i="4"/>
  <c r="BF282" i="4"/>
  <c r="AV282" i="4"/>
  <c r="BE282" i="4"/>
  <c r="AS282" i="4"/>
  <c r="AT282" i="4"/>
  <c r="CI834" i="4" s="1"/>
  <c r="AP282" i="4"/>
  <c r="CI833" i="4" s="1"/>
  <c r="AW282" i="4"/>
  <c r="AR282" i="4"/>
  <c r="AU282" i="4"/>
  <c r="CJ834" i="4" s="1"/>
  <c r="AM282" i="4"/>
  <c r="CJ832" i="4" s="1"/>
  <c r="AL282" i="4"/>
  <c r="CI832" i="4" s="1"/>
  <c r="AQ282" i="4"/>
  <c r="CJ833" i="4" s="1"/>
  <c r="AN282" i="4"/>
  <c r="AO282" i="4"/>
  <c r="AJ282" i="4"/>
  <c r="AI282" i="4"/>
  <c r="AF282" i="4"/>
  <c r="AE282" i="4"/>
  <c r="AG282" i="4"/>
  <c r="AC282" i="4"/>
  <c r="AH282" i="4"/>
  <c r="AB282" i="4"/>
  <c r="AD282" i="4"/>
  <c r="AA282" i="4"/>
  <c r="AK282" i="4"/>
  <c r="R51" i="4"/>
  <c r="CG97" i="4"/>
  <c r="CF97" i="4"/>
  <c r="CE97" i="4"/>
  <c r="BZ97" i="4"/>
  <c r="BY97" i="4"/>
  <c r="CQ278" i="4" s="1"/>
  <c r="BX97" i="4"/>
  <c r="CP278" i="4" s="1"/>
  <c r="BW97" i="4"/>
  <c r="BV97" i="4"/>
  <c r="CA97" i="4"/>
  <c r="CB97" i="4"/>
  <c r="CP279" i="4" s="1"/>
  <c r="CD97" i="4"/>
  <c r="BU97" i="4"/>
  <c r="CQ277" i="4" s="1"/>
  <c r="BT97" i="4"/>
  <c r="CP277" i="4" s="1"/>
  <c r="BS97" i="4"/>
  <c r="BR97" i="4"/>
  <c r="BQ97" i="4"/>
  <c r="BP97" i="4"/>
  <c r="BO97" i="4"/>
  <c r="BM97" i="4"/>
  <c r="BJ97" i="4"/>
  <c r="BI97" i="4"/>
  <c r="BH97" i="4"/>
  <c r="BG97" i="4"/>
  <c r="BF97" i="4"/>
  <c r="BE97" i="4"/>
  <c r="CC97" i="4"/>
  <c r="CQ279" i="4" s="1"/>
  <c r="BN97" i="4"/>
  <c r="BK97" i="4"/>
  <c r="AY97" i="4"/>
  <c r="AW97" i="4"/>
  <c r="AU97" i="4"/>
  <c r="CJ279" i="4" s="1"/>
  <c r="AS97" i="4"/>
  <c r="AX97" i="4"/>
  <c r="AT97" i="4"/>
  <c r="CI279" i="4" s="1"/>
  <c r="AV97" i="4"/>
  <c r="BL97" i="4"/>
  <c r="AO97" i="4"/>
  <c r="AM97" i="4"/>
  <c r="CJ277" i="4" s="1"/>
  <c r="AL97" i="4"/>
  <c r="CI277" i="4" s="1"/>
  <c r="AR97" i="4"/>
  <c r="AP97" i="4"/>
  <c r="CI278" i="4" s="1"/>
  <c r="AQ97" i="4"/>
  <c r="CJ278" i="4" s="1"/>
  <c r="AN97" i="4"/>
  <c r="AK97" i="4"/>
  <c r="AJ97" i="4"/>
  <c r="AG97" i="4"/>
  <c r="AI97" i="4"/>
  <c r="AH97" i="4"/>
  <c r="AE97" i="4"/>
  <c r="AB97" i="4"/>
  <c r="AF97" i="4"/>
  <c r="AD97" i="4"/>
  <c r="AC97" i="4"/>
  <c r="AA97" i="4"/>
  <c r="CB390" i="4"/>
  <c r="CP1158" i="4" s="1"/>
  <c r="CA390" i="4"/>
  <c r="CF390" i="4"/>
  <c r="CD390" i="4"/>
  <c r="CC390" i="4"/>
  <c r="CQ1158" i="4" s="1"/>
  <c r="BW390" i="4"/>
  <c r="CE390" i="4"/>
  <c r="BX390" i="4"/>
  <c r="CP1157" i="4" s="1"/>
  <c r="BV390" i="4"/>
  <c r="BU390" i="4"/>
  <c r="CQ1156" i="4" s="1"/>
  <c r="BZ390" i="4"/>
  <c r="BY390" i="4"/>
  <c r="CQ1157" i="4" s="1"/>
  <c r="BS390" i="4"/>
  <c r="BR390" i="4"/>
  <c r="BQ390" i="4"/>
  <c r="CG390" i="4"/>
  <c r="BP390" i="4"/>
  <c r="BN390" i="4"/>
  <c r="BK390" i="4"/>
  <c r="BO390" i="4"/>
  <c r="BT390" i="4"/>
  <c r="CP1156" i="4" s="1"/>
  <c r="BL390" i="4"/>
  <c r="BI390" i="4"/>
  <c r="BH390" i="4"/>
  <c r="BJ390" i="4"/>
  <c r="BE390" i="4"/>
  <c r="BF390" i="4"/>
  <c r="BG390" i="4"/>
  <c r="AT390" i="4"/>
  <c r="CI1158" i="4" s="1"/>
  <c r="AS390" i="4"/>
  <c r="AR390" i="4"/>
  <c r="AQ390" i="4"/>
  <c r="CJ1157" i="4" s="1"/>
  <c r="AP390" i="4"/>
  <c r="CI1157" i="4" s="1"/>
  <c r="BM390" i="4"/>
  <c r="AX390" i="4"/>
  <c r="AV390" i="4"/>
  <c r="AO390" i="4"/>
  <c r="AN390" i="4"/>
  <c r="AM390" i="4"/>
  <c r="CJ1156" i="4" s="1"/>
  <c r="AU390" i="4"/>
  <c r="CJ1158" i="4" s="1"/>
  <c r="AY390" i="4"/>
  <c r="AK390" i="4"/>
  <c r="AW390" i="4"/>
  <c r="AI390" i="4"/>
  <c r="AH390" i="4"/>
  <c r="AG390" i="4"/>
  <c r="AL390" i="4"/>
  <c r="CI1156" i="4" s="1"/>
  <c r="AJ390" i="4"/>
  <c r="AF390" i="4"/>
  <c r="AD390" i="4"/>
  <c r="AA390" i="4"/>
  <c r="AE390" i="4"/>
  <c r="AC390" i="4"/>
  <c r="AB390" i="4"/>
  <c r="CE351" i="4"/>
  <c r="CA351" i="4"/>
  <c r="CB351" i="4"/>
  <c r="CP1041" i="4" s="1"/>
  <c r="CG351" i="4"/>
  <c r="CD351" i="4"/>
  <c r="BZ351" i="4"/>
  <c r="BY351" i="4"/>
  <c r="CQ1040" i="4" s="1"/>
  <c r="BV351" i="4"/>
  <c r="BU351" i="4"/>
  <c r="CQ1039" i="4" s="1"/>
  <c r="CC351" i="4"/>
  <c r="CQ1041" i="4" s="1"/>
  <c r="BT351" i="4"/>
  <c r="CP1039" i="4" s="1"/>
  <c r="BS351" i="4"/>
  <c r="BR351" i="4"/>
  <c r="BW351" i="4"/>
  <c r="BQ351" i="4"/>
  <c r="BX351" i="4"/>
  <c r="CP1040" i="4" s="1"/>
  <c r="BP351" i="4"/>
  <c r="BM351" i="4"/>
  <c r="BL351" i="4"/>
  <c r="BO351" i="4"/>
  <c r="CF351" i="4"/>
  <c r="BN351" i="4"/>
  <c r="BJ351" i="4"/>
  <c r="BH351" i="4"/>
  <c r="BG351" i="4"/>
  <c r="BK351" i="4"/>
  <c r="BF351" i="4"/>
  <c r="BI351" i="4"/>
  <c r="AY351" i="4"/>
  <c r="AX351" i="4"/>
  <c r="BE351" i="4"/>
  <c r="AV351" i="4"/>
  <c r="AW351" i="4"/>
  <c r="AU351" i="4"/>
  <c r="CJ1041" i="4" s="1"/>
  <c r="AQ351" i="4"/>
  <c r="CJ1040" i="4" s="1"/>
  <c r="AT351" i="4"/>
  <c r="CI1041" i="4" s="1"/>
  <c r="AP351" i="4"/>
  <c r="CI1040" i="4" s="1"/>
  <c r="AN351" i="4"/>
  <c r="AJ351" i="4"/>
  <c r="AS351" i="4"/>
  <c r="AR351" i="4"/>
  <c r="AM351" i="4"/>
  <c r="CJ1039" i="4" s="1"/>
  <c r="AO351" i="4"/>
  <c r="AK351" i="4"/>
  <c r="AG351" i="4"/>
  <c r="AE351" i="4"/>
  <c r="AH351" i="4"/>
  <c r="AL351" i="4"/>
  <c r="CI1039" i="4" s="1"/>
  <c r="AF351" i="4"/>
  <c r="AB351" i="4"/>
  <c r="AC351" i="4"/>
  <c r="AI351" i="4"/>
  <c r="AD351" i="4"/>
  <c r="AA351" i="4"/>
  <c r="CG396" i="4"/>
  <c r="CB396" i="4"/>
  <c r="CP1176" i="4" s="1"/>
  <c r="CE396" i="4"/>
  <c r="CC396" i="4"/>
  <c r="CQ1176" i="4" s="1"/>
  <c r="CA396" i="4"/>
  <c r="CD396" i="4"/>
  <c r="BT396" i="4"/>
  <c r="CP1174" i="4" s="1"/>
  <c r="BS396" i="4"/>
  <c r="BR396" i="4"/>
  <c r="BX396" i="4"/>
  <c r="CP1175" i="4" s="1"/>
  <c r="BW396" i="4"/>
  <c r="CF396" i="4"/>
  <c r="BY396" i="4"/>
  <c r="CQ1175" i="4" s="1"/>
  <c r="BZ396" i="4"/>
  <c r="BO396" i="4"/>
  <c r="BN396" i="4"/>
  <c r="BM396" i="4"/>
  <c r="BL396" i="4"/>
  <c r="BU396" i="4"/>
  <c r="CQ1174" i="4" s="1"/>
  <c r="BQ396" i="4"/>
  <c r="BJ396" i="4"/>
  <c r="BI396" i="4"/>
  <c r="BK396" i="4"/>
  <c r="BV396" i="4"/>
  <c r="BG396" i="4"/>
  <c r="BF396" i="4"/>
  <c r="BP396" i="4"/>
  <c r="AW396" i="4"/>
  <c r="BE396" i="4"/>
  <c r="AY396" i="4"/>
  <c r="AU396" i="4"/>
  <c r="CJ1176" i="4" s="1"/>
  <c r="BH396" i="4"/>
  <c r="AX396" i="4"/>
  <c r="AV396" i="4"/>
  <c r="AR396" i="4"/>
  <c r="AT396" i="4"/>
  <c r="CI1176" i="4" s="1"/>
  <c r="AP396" i="4"/>
  <c r="CI1175" i="4" s="1"/>
  <c r="AS396" i="4"/>
  <c r="AO396" i="4"/>
  <c r="AN396" i="4"/>
  <c r="AK396" i="4"/>
  <c r="AF396" i="4"/>
  <c r="AE396" i="4"/>
  <c r="AD396" i="4"/>
  <c r="AC396" i="4"/>
  <c r="AI396" i="4"/>
  <c r="AH396" i="4"/>
  <c r="AM396" i="4"/>
  <c r="CJ1174" i="4" s="1"/>
  <c r="AQ396" i="4"/>
  <c r="CJ1175" i="4" s="1"/>
  <c r="AL396" i="4"/>
  <c r="CI1174" i="4" s="1"/>
  <c r="AJ396" i="4"/>
  <c r="AG396" i="4"/>
  <c r="AA396" i="4"/>
  <c r="AB396" i="4"/>
  <c r="CG26" i="4"/>
  <c r="CD26" i="4"/>
  <c r="CC26" i="4"/>
  <c r="CQ66" i="4" s="1"/>
  <c r="CB26" i="4"/>
  <c r="CP66" i="4" s="1"/>
  <c r="CA26" i="4"/>
  <c r="CF26" i="4"/>
  <c r="CE26" i="4"/>
  <c r="BY26" i="4"/>
  <c r="CQ65" i="4" s="1"/>
  <c r="BX26" i="4"/>
  <c r="CP65" i="4" s="1"/>
  <c r="BW26" i="4"/>
  <c r="BS26" i="4"/>
  <c r="BR26" i="4"/>
  <c r="BQ26" i="4"/>
  <c r="BP26" i="4"/>
  <c r="BO26" i="4"/>
  <c r="BU26" i="4"/>
  <c r="CQ64" i="4" s="1"/>
  <c r="BT26" i="4"/>
  <c r="CP64" i="4" s="1"/>
  <c r="BV26" i="4"/>
  <c r="BZ26" i="4"/>
  <c r="BL26" i="4"/>
  <c r="BK26" i="4"/>
  <c r="BJ26" i="4"/>
  <c r="BM26" i="4"/>
  <c r="BI26" i="4"/>
  <c r="BH26" i="4"/>
  <c r="BN26" i="4"/>
  <c r="BG26" i="4"/>
  <c r="BE26" i="4"/>
  <c r="AY26" i="4"/>
  <c r="AV26" i="4"/>
  <c r="BF26" i="4"/>
  <c r="AX26" i="4"/>
  <c r="AT26" i="4"/>
  <c r="CI66" i="4" s="1"/>
  <c r="AS26" i="4"/>
  <c r="AP26" i="4"/>
  <c r="CI65" i="4" s="1"/>
  <c r="AW26" i="4"/>
  <c r="AU26" i="4"/>
  <c r="CJ66" i="4" s="1"/>
  <c r="AN26" i="4"/>
  <c r="AR26" i="4"/>
  <c r="AQ26" i="4"/>
  <c r="CJ65" i="4" s="1"/>
  <c r="AO26" i="4"/>
  <c r="AM26" i="4"/>
  <c r="CJ64" i="4" s="1"/>
  <c r="AH26" i="4"/>
  <c r="AL26" i="4"/>
  <c r="CI64" i="4" s="1"/>
  <c r="AK26" i="4"/>
  <c r="AI26" i="4"/>
  <c r="AF26" i="4"/>
  <c r="AE26" i="4"/>
  <c r="AC26" i="4"/>
  <c r="AD26" i="4"/>
  <c r="AG26" i="4"/>
  <c r="AB26" i="4"/>
  <c r="AJ26" i="4"/>
  <c r="AA26" i="4"/>
  <c r="K94" i="4"/>
  <c r="CF43" i="4"/>
  <c r="CD43" i="4"/>
  <c r="CC43" i="4"/>
  <c r="CQ117" i="4" s="1"/>
  <c r="CB43" i="4"/>
  <c r="CP117" i="4" s="1"/>
  <c r="CA43" i="4"/>
  <c r="CE43" i="4"/>
  <c r="CG43" i="4"/>
  <c r="BS43" i="4"/>
  <c r="BR43" i="4"/>
  <c r="BQ43" i="4"/>
  <c r="BP43" i="4"/>
  <c r="BO43" i="4"/>
  <c r="BU43" i="4"/>
  <c r="CQ115" i="4" s="1"/>
  <c r="BY43" i="4"/>
  <c r="CQ116" i="4" s="1"/>
  <c r="BT43" i="4"/>
  <c r="CP115" i="4" s="1"/>
  <c r="BX43" i="4"/>
  <c r="CP116" i="4" s="1"/>
  <c r="BV43" i="4"/>
  <c r="BI43" i="4"/>
  <c r="BH43" i="4"/>
  <c r="BN43" i="4"/>
  <c r="BJ43" i="4"/>
  <c r="BL43" i="4"/>
  <c r="BZ43" i="4"/>
  <c r="BW43" i="4"/>
  <c r="BG43" i="4"/>
  <c r="BE43" i="4"/>
  <c r="BK43" i="4"/>
  <c r="AY43" i="4"/>
  <c r="BF43" i="4"/>
  <c r="AV43" i="4"/>
  <c r="AS43" i="4"/>
  <c r="BM43" i="4"/>
  <c r="AW43" i="4"/>
  <c r="AP43" i="4"/>
  <c r="CI116" i="4" s="1"/>
  <c r="AU43" i="4"/>
  <c r="CJ117" i="4" s="1"/>
  <c r="AQ43" i="4"/>
  <c r="CJ116" i="4" s="1"/>
  <c r="AR43" i="4"/>
  <c r="AX43" i="4"/>
  <c r="AT43" i="4"/>
  <c r="CI117" i="4" s="1"/>
  <c r="AO43" i="4"/>
  <c r="AK43" i="4"/>
  <c r="AL43" i="4"/>
  <c r="CI115" i="4" s="1"/>
  <c r="AM43" i="4"/>
  <c r="CJ115" i="4" s="1"/>
  <c r="AH43" i="4"/>
  <c r="AI43" i="4"/>
  <c r="AN43" i="4"/>
  <c r="AG43" i="4"/>
  <c r="AF43" i="4"/>
  <c r="AE43" i="4"/>
  <c r="AJ43" i="4"/>
  <c r="AD43" i="4"/>
  <c r="AB43" i="4"/>
  <c r="AC43" i="4"/>
  <c r="AA43" i="4"/>
  <c r="L110" i="4"/>
  <c r="CG457" i="4"/>
  <c r="CF457" i="4"/>
  <c r="CE457" i="4"/>
  <c r="CD457" i="4"/>
  <c r="CB457" i="4"/>
  <c r="CP1359" i="4" s="1"/>
  <c r="BZ457" i="4"/>
  <c r="BY457" i="4"/>
  <c r="CQ1358" i="4" s="1"/>
  <c r="CC457" i="4"/>
  <c r="CQ1359" i="4" s="1"/>
  <c r="CA457" i="4"/>
  <c r="BW457" i="4"/>
  <c r="BV457" i="4"/>
  <c r="BM457" i="4"/>
  <c r="BL457" i="4"/>
  <c r="BT457" i="4"/>
  <c r="CP1357" i="4" s="1"/>
  <c r="BN457" i="4"/>
  <c r="BS457" i="4"/>
  <c r="BQ457" i="4"/>
  <c r="BR457" i="4"/>
  <c r="BU457" i="4"/>
  <c r="CQ1357" i="4" s="1"/>
  <c r="BP457" i="4"/>
  <c r="BX457" i="4"/>
  <c r="CP1358" i="4" s="1"/>
  <c r="BO457" i="4"/>
  <c r="BI457" i="4"/>
  <c r="BE457" i="4"/>
  <c r="AY457" i="4"/>
  <c r="BH457" i="4"/>
  <c r="BK457" i="4"/>
  <c r="BG457" i="4"/>
  <c r="BJ457" i="4"/>
  <c r="AX457" i="4"/>
  <c r="AW457" i="4"/>
  <c r="AU457" i="4"/>
  <c r="CJ1359" i="4" s="1"/>
  <c r="AV457" i="4"/>
  <c r="AR457" i="4"/>
  <c r="AS457" i="4"/>
  <c r="AP457" i="4"/>
  <c r="CI1358" i="4" s="1"/>
  <c r="AT457" i="4"/>
  <c r="CI1359" i="4" s="1"/>
  <c r="AO457" i="4"/>
  <c r="AN457" i="4"/>
  <c r="BF457" i="4"/>
  <c r="AH457" i="4"/>
  <c r="AQ457" i="4"/>
  <c r="CJ1358" i="4" s="1"/>
  <c r="AM457" i="4"/>
  <c r="CJ1357" i="4" s="1"/>
  <c r="AL457" i="4"/>
  <c r="CI1357" i="4" s="1"/>
  <c r="AK457" i="4"/>
  <c r="AE457" i="4"/>
  <c r="AG457" i="4"/>
  <c r="AD457" i="4"/>
  <c r="AI457" i="4"/>
  <c r="AJ457" i="4"/>
  <c r="AB457" i="4"/>
  <c r="AA457" i="4"/>
  <c r="AC457" i="4"/>
  <c r="AF457" i="4"/>
  <c r="O44" i="4"/>
  <c r="CF336" i="4"/>
  <c r="CE336" i="4"/>
  <c r="CC336" i="4"/>
  <c r="CQ996" i="4" s="1"/>
  <c r="CG336" i="4"/>
  <c r="CA336" i="4"/>
  <c r="CB336" i="4"/>
  <c r="CP996" i="4" s="1"/>
  <c r="CD336" i="4"/>
  <c r="BX336" i="4"/>
  <c r="CP995" i="4" s="1"/>
  <c r="BZ336" i="4"/>
  <c r="BV336" i="4"/>
  <c r="BU336" i="4"/>
  <c r="CQ994" i="4" s="1"/>
  <c r="BT336" i="4"/>
  <c r="CP994" i="4" s="1"/>
  <c r="BR336" i="4"/>
  <c r="BY336" i="4"/>
  <c r="CQ995" i="4" s="1"/>
  <c r="BW336" i="4"/>
  <c r="BM336" i="4"/>
  <c r="BL336" i="4"/>
  <c r="BK336" i="4"/>
  <c r="BO336" i="4"/>
  <c r="BJ336" i="4"/>
  <c r="BI336" i="4"/>
  <c r="BS336" i="4"/>
  <c r="BP336" i="4"/>
  <c r="BQ336" i="4"/>
  <c r="BN336" i="4"/>
  <c r="BH336" i="4"/>
  <c r="BG336" i="4"/>
  <c r="BE336" i="4"/>
  <c r="AY336" i="4"/>
  <c r="AW336" i="4"/>
  <c r="AX336" i="4"/>
  <c r="AT336" i="4"/>
  <c r="CI996" i="4" s="1"/>
  <c r="AU336" i="4"/>
  <c r="CJ996" i="4" s="1"/>
  <c r="AR336" i="4"/>
  <c r="AS336" i="4"/>
  <c r="AQ336" i="4"/>
  <c r="CJ995" i="4" s="1"/>
  <c r="AO336" i="4"/>
  <c r="BF336" i="4"/>
  <c r="AV336" i="4"/>
  <c r="AM336" i="4"/>
  <c r="CJ994" i="4" s="1"/>
  <c r="AI336" i="4"/>
  <c r="AH336" i="4"/>
  <c r="AG336" i="4"/>
  <c r="AJ336" i="4"/>
  <c r="AP336" i="4"/>
  <c r="CI995" i="4" s="1"/>
  <c r="AN336" i="4"/>
  <c r="AL336" i="4"/>
  <c r="CI994" i="4" s="1"/>
  <c r="AK336" i="4"/>
  <c r="AF336" i="4"/>
  <c r="AE336" i="4"/>
  <c r="AD336" i="4"/>
  <c r="AA336" i="4"/>
  <c r="AB336" i="4"/>
  <c r="AC336" i="4"/>
  <c r="CG69" i="4"/>
  <c r="CD69" i="4"/>
  <c r="CE69" i="4"/>
  <c r="BZ69" i="4"/>
  <c r="BY69" i="4"/>
  <c r="CQ194" i="4" s="1"/>
  <c r="BX69" i="4"/>
  <c r="CP194" i="4" s="1"/>
  <c r="BW69" i="4"/>
  <c r="BV69" i="4"/>
  <c r="BU69" i="4"/>
  <c r="CQ193" i="4" s="1"/>
  <c r="BT69" i="4"/>
  <c r="CP193" i="4" s="1"/>
  <c r="CB69" i="4"/>
  <c r="CP195" i="4" s="1"/>
  <c r="CC69" i="4"/>
  <c r="CQ195" i="4" s="1"/>
  <c r="CF69" i="4"/>
  <c r="CA69" i="4"/>
  <c r="BQ69" i="4"/>
  <c r="BO69" i="4"/>
  <c r="BN69" i="4"/>
  <c r="BP69" i="4"/>
  <c r="BM69" i="4"/>
  <c r="BS69" i="4"/>
  <c r="BL69" i="4"/>
  <c r="BK69" i="4"/>
  <c r="BE69" i="4"/>
  <c r="BR69" i="4"/>
  <c r="BJ69" i="4"/>
  <c r="BH69" i="4"/>
  <c r="BF69" i="4"/>
  <c r="BI69" i="4"/>
  <c r="AV69" i="4"/>
  <c r="AY69" i="4"/>
  <c r="AX69" i="4"/>
  <c r="AW69" i="4"/>
  <c r="BG69" i="4"/>
  <c r="AT69" i="4"/>
  <c r="CI195" i="4" s="1"/>
  <c r="AQ69" i="4"/>
  <c r="CJ194" i="4" s="1"/>
  <c r="AS69" i="4"/>
  <c r="AR69" i="4"/>
  <c r="AO69" i="4"/>
  <c r="AP69" i="4"/>
  <c r="CI194" i="4" s="1"/>
  <c r="AK69" i="4"/>
  <c r="AU69" i="4"/>
  <c r="CJ195" i="4" s="1"/>
  <c r="AM69" i="4"/>
  <c r="CJ193" i="4" s="1"/>
  <c r="AN69" i="4"/>
  <c r="AJ69" i="4"/>
  <c r="AG69" i="4"/>
  <c r="AL69" i="4"/>
  <c r="CI193" i="4" s="1"/>
  <c r="AD69" i="4"/>
  <c r="AH69" i="4"/>
  <c r="AC69" i="4"/>
  <c r="AF69" i="4"/>
  <c r="AI69" i="4"/>
  <c r="AA69" i="4"/>
  <c r="AE69" i="4"/>
  <c r="AB69" i="4"/>
  <c r="O80" i="4"/>
  <c r="CF382" i="4"/>
  <c r="CG382" i="4"/>
  <c r="CE382" i="4"/>
  <c r="CD382" i="4"/>
  <c r="CC382" i="4"/>
  <c r="CQ1134" i="4" s="1"/>
  <c r="CB382" i="4"/>
  <c r="CP1134" i="4" s="1"/>
  <c r="CA382" i="4"/>
  <c r="BU382" i="4"/>
  <c r="CQ1132" i="4" s="1"/>
  <c r="BT382" i="4"/>
  <c r="CP1132" i="4" s="1"/>
  <c r="BS382" i="4"/>
  <c r="BR382" i="4"/>
  <c r="BQ382" i="4"/>
  <c r="BP382" i="4"/>
  <c r="BO382" i="4"/>
  <c r="BN382" i="4"/>
  <c r="BZ382" i="4"/>
  <c r="BW382" i="4"/>
  <c r="BV382" i="4"/>
  <c r="BJ382" i="4"/>
  <c r="BX382" i="4"/>
  <c r="CP1133" i="4" s="1"/>
  <c r="BK382" i="4"/>
  <c r="BY382" i="4"/>
  <c r="CQ1133" i="4" s="1"/>
  <c r="BI382" i="4"/>
  <c r="BH382" i="4"/>
  <c r="BG382" i="4"/>
  <c r="BF382" i="4"/>
  <c r="BE382" i="4"/>
  <c r="AY382" i="4"/>
  <c r="AX382" i="4"/>
  <c r="AW382" i="4"/>
  <c r="AV382" i="4"/>
  <c r="AU382" i="4"/>
  <c r="CJ1134" i="4" s="1"/>
  <c r="BM382" i="4"/>
  <c r="BL382" i="4"/>
  <c r="AR382" i="4"/>
  <c r="AS382" i="4"/>
  <c r="AQ382" i="4"/>
  <c r="CJ1133" i="4" s="1"/>
  <c r="AP382" i="4"/>
  <c r="CI1133" i="4" s="1"/>
  <c r="AO382" i="4"/>
  <c r="AM382" i="4"/>
  <c r="CJ1132" i="4" s="1"/>
  <c r="AL382" i="4"/>
  <c r="CI1132" i="4" s="1"/>
  <c r="AJ382" i="4"/>
  <c r="AT382" i="4"/>
  <c r="CI1134" i="4" s="1"/>
  <c r="AF382" i="4"/>
  <c r="AE382" i="4"/>
  <c r="AD382" i="4"/>
  <c r="AC382" i="4"/>
  <c r="AB382" i="4"/>
  <c r="AK382" i="4"/>
  <c r="AG382" i="4"/>
  <c r="AI382" i="4"/>
  <c r="AN382" i="4"/>
  <c r="AA382" i="4"/>
  <c r="AH382" i="4"/>
  <c r="N37" i="4"/>
  <c r="CD219" i="4"/>
  <c r="CC219" i="4"/>
  <c r="CQ645" i="4" s="1"/>
  <c r="CB219" i="4"/>
  <c r="CP645" i="4" s="1"/>
  <c r="CA219" i="4"/>
  <c r="CG219" i="4"/>
  <c r="CF219" i="4"/>
  <c r="CE219" i="4"/>
  <c r="BZ219" i="4"/>
  <c r="BY219" i="4"/>
  <c r="CQ644" i="4" s="1"/>
  <c r="BS219" i="4"/>
  <c r="BR219" i="4"/>
  <c r="BQ219" i="4"/>
  <c r="BP219" i="4"/>
  <c r="BO219" i="4"/>
  <c r="BU219" i="4"/>
  <c r="CQ643" i="4" s="1"/>
  <c r="BT219" i="4"/>
  <c r="CP643" i="4" s="1"/>
  <c r="BX219" i="4"/>
  <c r="CP644" i="4" s="1"/>
  <c r="BV219" i="4"/>
  <c r="BW219" i="4"/>
  <c r="BM219" i="4"/>
  <c r="BJ219" i="4"/>
  <c r="BI219" i="4"/>
  <c r="BH219" i="4"/>
  <c r="BN219" i="4"/>
  <c r="BK219" i="4"/>
  <c r="BL219" i="4"/>
  <c r="AY219" i="4"/>
  <c r="BF219" i="4"/>
  <c r="BG219" i="4"/>
  <c r="AX219" i="4"/>
  <c r="AV219" i="4"/>
  <c r="BE219" i="4"/>
  <c r="AU219" i="4"/>
  <c r="CJ645" i="4" s="1"/>
  <c r="AS219" i="4"/>
  <c r="AW219" i="4"/>
  <c r="AQ219" i="4"/>
  <c r="CJ644" i="4" s="1"/>
  <c r="AR219" i="4"/>
  <c r="AT219" i="4"/>
  <c r="CI645" i="4" s="1"/>
  <c r="AN219" i="4"/>
  <c r="AO219" i="4"/>
  <c r="AM219" i="4"/>
  <c r="CJ643" i="4" s="1"/>
  <c r="AP219" i="4"/>
  <c r="CI644" i="4" s="1"/>
  <c r="AH219" i="4"/>
  <c r="AG219" i="4"/>
  <c r="AL219" i="4"/>
  <c r="CI643" i="4" s="1"/>
  <c r="AJ219" i="4"/>
  <c r="AK219" i="4"/>
  <c r="AE219" i="4"/>
  <c r="AD219" i="4"/>
  <c r="AI219" i="4"/>
  <c r="AA219" i="4"/>
  <c r="AF219" i="4"/>
  <c r="AC219" i="4"/>
  <c r="AB219" i="4"/>
  <c r="R46" i="4"/>
  <c r="CF404" i="4"/>
  <c r="CD404" i="4"/>
  <c r="CG404" i="4"/>
  <c r="BZ404" i="4"/>
  <c r="BY404" i="4"/>
  <c r="CQ1199" i="4" s="1"/>
  <c r="BV404" i="4"/>
  <c r="CC404" i="4"/>
  <c r="CQ1200" i="4" s="1"/>
  <c r="BU404" i="4"/>
  <c r="CQ1198" i="4" s="1"/>
  <c r="CA404" i="4"/>
  <c r="BX404" i="4"/>
  <c r="CP1199" i="4" s="1"/>
  <c r="BP404" i="4"/>
  <c r="BT404" i="4"/>
  <c r="CP1198" i="4" s="1"/>
  <c r="CB404" i="4"/>
  <c r="CP1200" i="4" s="1"/>
  <c r="BS404" i="4"/>
  <c r="CE404" i="4"/>
  <c r="BW404" i="4"/>
  <c r="BR404" i="4"/>
  <c r="BM404" i="4"/>
  <c r="BL404" i="4"/>
  <c r="BN404" i="4"/>
  <c r="BQ404" i="4"/>
  <c r="BJ404" i="4"/>
  <c r="BI404" i="4"/>
  <c r="BH404" i="4"/>
  <c r="BO404" i="4"/>
  <c r="BK404" i="4"/>
  <c r="BF404" i="4"/>
  <c r="BE404" i="4"/>
  <c r="AY404" i="4"/>
  <c r="AW404" i="4"/>
  <c r="BG404" i="4"/>
  <c r="AT404" i="4"/>
  <c r="CI1200" i="4" s="1"/>
  <c r="AU404" i="4"/>
  <c r="CJ1200" i="4" s="1"/>
  <c r="AV404" i="4"/>
  <c r="AQ404" i="4"/>
  <c r="CJ1199" i="4" s="1"/>
  <c r="AR404" i="4"/>
  <c r="AO404" i="4"/>
  <c r="AM404" i="4"/>
  <c r="CJ1198" i="4" s="1"/>
  <c r="AP404" i="4"/>
  <c r="CI1199" i="4" s="1"/>
  <c r="AS404" i="4"/>
  <c r="AL404" i="4"/>
  <c r="CI1198" i="4" s="1"/>
  <c r="AG404" i="4"/>
  <c r="AJ404" i="4"/>
  <c r="AN404" i="4"/>
  <c r="AX404" i="4"/>
  <c r="AI404" i="4"/>
  <c r="AE404" i="4"/>
  <c r="AH404" i="4"/>
  <c r="AF404" i="4"/>
  <c r="AK404" i="4"/>
  <c r="AB404" i="4"/>
  <c r="AA404" i="4"/>
  <c r="AD404" i="4"/>
  <c r="AC404" i="4"/>
  <c r="L106" i="4"/>
  <c r="CG109" i="4"/>
  <c r="CF109" i="4"/>
  <c r="CE109" i="4"/>
  <c r="CD109" i="4"/>
  <c r="CC109" i="4"/>
  <c r="CQ315" i="4" s="1"/>
  <c r="CB109" i="4"/>
  <c r="CP315" i="4" s="1"/>
  <c r="BU109" i="4"/>
  <c r="CQ313" i="4" s="1"/>
  <c r="BY109" i="4"/>
  <c r="CQ314" i="4" s="1"/>
  <c r="BW109" i="4"/>
  <c r="BT109" i="4"/>
  <c r="CP313" i="4" s="1"/>
  <c r="BS109" i="4"/>
  <c r="BR109" i="4"/>
  <c r="BQ109" i="4"/>
  <c r="CA109" i="4"/>
  <c r="BX109" i="4"/>
  <c r="CP314" i="4" s="1"/>
  <c r="BZ109" i="4"/>
  <c r="BL109" i="4"/>
  <c r="BK109" i="4"/>
  <c r="BN109" i="4"/>
  <c r="BO109" i="4"/>
  <c r="BV109" i="4"/>
  <c r="BJ109" i="4"/>
  <c r="BM109" i="4"/>
  <c r="BH109" i="4"/>
  <c r="BP109" i="4"/>
  <c r="BG109" i="4"/>
  <c r="BI109" i="4"/>
  <c r="BF109" i="4"/>
  <c r="AX109" i="4"/>
  <c r="BE109" i="4"/>
  <c r="AU109" i="4"/>
  <c r="CJ315" i="4" s="1"/>
  <c r="AV109" i="4"/>
  <c r="AR109" i="4"/>
  <c r="AY109" i="4"/>
  <c r="AS109" i="4"/>
  <c r="AW109" i="4"/>
  <c r="AQ109" i="4"/>
  <c r="CJ314" i="4" s="1"/>
  <c r="AP109" i="4"/>
  <c r="CI314" i="4" s="1"/>
  <c r="AO109" i="4"/>
  <c r="AM109" i="4"/>
  <c r="CJ313" i="4" s="1"/>
  <c r="AT109" i="4"/>
  <c r="CI315" i="4" s="1"/>
  <c r="AN109" i="4"/>
  <c r="AJ109" i="4"/>
  <c r="AK109" i="4"/>
  <c r="AH109" i="4"/>
  <c r="AG109" i="4"/>
  <c r="AI109" i="4"/>
  <c r="AD109" i="4"/>
  <c r="AC109" i="4"/>
  <c r="AL109" i="4"/>
  <c r="CI313" i="4" s="1"/>
  <c r="AA109" i="4"/>
  <c r="AB109" i="4"/>
  <c r="AF109" i="4"/>
  <c r="AE109" i="4"/>
  <c r="CG286" i="4"/>
  <c r="CD286" i="4"/>
  <c r="CC286" i="4"/>
  <c r="CQ846" i="4" s="1"/>
  <c r="CB286" i="4"/>
  <c r="CP846" i="4" s="1"/>
  <c r="CF286" i="4"/>
  <c r="CA286" i="4"/>
  <c r="BY286" i="4"/>
  <c r="CQ845" i="4" s="1"/>
  <c r="BS286" i="4"/>
  <c r="BR286" i="4"/>
  <c r="BQ286" i="4"/>
  <c r="BP286" i="4"/>
  <c r="BO286" i="4"/>
  <c r="BN286" i="4"/>
  <c r="BX286" i="4"/>
  <c r="CP845" i="4" s="1"/>
  <c r="BV286" i="4"/>
  <c r="BT286" i="4"/>
  <c r="CP844" i="4" s="1"/>
  <c r="BZ286" i="4"/>
  <c r="CE286" i="4"/>
  <c r="BW286" i="4"/>
  <c r="BU286" i="4"/>
  <c r="CQ844" i="4" s="1"/>
  <c r="BJ286" i="4"/>
  <c r="BK286" i="4"/>
  <c r="BE286" i="4"/>
  <c r="AY286" i="4"/>
  <c r="AX286" i="4"/>
  <c r="AW286" i="4"/>
  <c r="AV286" i="4"/>
  <c r="AU286" i="4"/>
  <c r="CJ846" i="4" s="1"/>
  <c r="AT286" i="4"/>
  <c r="CI846" i="4" s="1"/>
  <c r="BI286" i="4"/>
  <c r="BG286" i="4"/>
  <c r="BM286" i="4"/>
  <c r="BH286" i="4"/>
  <c r="BF286" i="4"/>
  <c r="AR286" i="4"/>
  <c r="BL286" i="4"/>
  <c r="AS286" i="4"/>
  <c r="AO286" i="4"/>
  <c r="AQ286" i="4"/>
  <c r="CJ845" i="4" s="1"/>
  <c r="AN286" i="4"/>
  <c r="AP286" i="4"/>
  <c r="CI845" i="4" s="1"/>
  <c r="AM286" i="4"/>
  <c r="CJ844" i="4" s="1"/>
  <c r="AL286" i="4"/>
  <c r="CI844" i="4" s="1"/>
  <c r="AH286" i="4"/>
  <c r="AJ286" i="4"/>
  <c r="AI286" i="4"/>
  <c r="AF286" i="4"/>
  <c r="AE286" i="4"/>
  <c r="AD286" i="4"/>
  <c r="AC286" i="4"/>
  <c r="AB286" i="4"/>
  <c r="AK286" i="4"/>
  <c r="AA286" i="4"/>
  <c r="AG286" i="4"/>
  <c r="CG232" i="4"/>
  <c r="CD232" i="4"/>
  <c r="CC232" i="4"/>
  <c r="CQ684" i="4" s="1"/>
  <c r="CE232" i="4"/>
  <c r="CF232" i="4"/>
  <c r="BZ232" i="4"/>
  <c r="BY232" i="4"/>
  <c r="CQ683" i="4" s="1"/>
  <c r="BX232" i="4"/>
  <c r="CP683" i="4" s="1"/>
  <c r="BW232" i="4"/>
  <c r="CB232" i="4"/>
  <c r="CP684" i="4" s="1"/>
  <c r="CA232" i="4"/>
  <c r="BU232" i="4"/>
  <c r="CQ682" i="4" s="1"/>
  <c r="BT232" i="4"/>
  <c r="CP682" i="4" s="1"/>
  <c r="BV232" i="4"/>
  <c r="BS232" i="4"/>
  <c r="BR232" i="4"/>
  <c r="BQ232" i="4"/>
  <c r="BP232" i="4"/>
  <c r="BO232" i="4"/>
  <c r="BM232" i="4"/>
  <c r="BL232" i="4"/>
  <c r="BK232" i="4"/>
  <c r="BN232" i="4"/>
  <c r="BE232" i="4"/>
  <c r="AY232" i="4"/>
  <c r="BJ232" i="4"/>
  <c r="BH232" i="4"/>
  <c r="BG232" i="4"/>
  <c r="BF232" i="4"/>
  <c r="AX232" i="4"/>
  <c r="AW232" i="4"/>
  <c r="BI232" i="4"/>
  <c r="AT232" i="4"/>
  <c r="CI684" i="4" s="1"/>
  <c r="AV232" i="4"/>
  <c r="AR232" i="4"/>
  <c r="AS232" i="4"/>
  <c r="AU232" i="4"/>
  <c r="CJ684" i="4" s="1"/>
  <c r="AQ232" i="4"/>
  <c r="CJ683" i="4" s="1"/>
  <c r="AP232" i="4"/>
  <c r="CI683" i="4" s="1"/>
  <c r="AO232" i="4"/>
  <c r="AJ232" i="4"/>
  <c r="AM232" i="4"/>
  <c r="CJ682" i="4" s="1"/>
  <c r="AL232" i="4"/>
  <c r="CI682" i="4" s="1"/>
  <c r="AG232" i="4"/>
  <c r="AK232" i="4"/>
  <c r="AI232" i="4"/>
  <c r="AN232" i="4"/>
  <c r="AF232" i="4"/>
  <c r="AH232" i="4"/>
  <c r="AA232" i="4"/>
  <c r="AD232" i="4"/>
  <c r="AC232" i="4"/>
  <c r="AE232" i="4"/>
  <c r="AB232" i="4"/>
  <c r="CG344" i="4"/>
  <c r="CE344" i="4"/>
  <c r="CD344" i="4"/>
  <c r="CC344" i="4"/>
  <c r="CQ1020" i="4" s="1"/>
  <c r="CF344" i="4"/>
  <c r="BZ344" i="4"/>
  <c r="BY344" i="4"/>
  <c r="CQ1019" i="4" s="1"/>
  <c r="BX344" i="4"/>
  <c r="CP1019" i="4" s="1"/>
  <c r="BW344" i="4"/>
  <c r="CB344" i="4"/>
  <c r="CP1020" i="4" s="1"/>
  <c r="CA344" i="4"/>
  <c r="BT344" i="4"/>
  <c r="CP1018" i="4" s="1"/>
  <c r="BS344" i="4"/>
  <c r="BR344" i="4"/>
  <c r="BQ344" i="4"/>
  <c r="BP344" i="4"/>
  <c r="BM344" i="4"/>
  <c r="BL344" i="4"/>
  <c r="BK344" i="4"/>
  <c r="BU344" i="4"/>
  <c r="CQ1018" i="4" s="1"/>
  <c r="BO344" i="4"/>
  <c r="BN344" i="4"/>
  <c r="BV344" i="4"/>
  <c r="BE344" i="4"/>
  <c r="AY344" i="4"/>
  <c r="BF344" i="4"/>
  <c r="BI344" i="4"/>
  <c r="BJ344" i="4"/>
  <c r="BG344" i="4"/>
  <c r="AW344" i="4"/>
  <c r="AX344" i="4"/>
  <c r="AV344" i="4"/>
  <c r="AU344" i="4"/>
  <c r="CJ1020" i="4" s="1"/>
  <c r="AT344" i="4"/>
  <c r="CI1020" i="4" s="1"/>
  <c r="BH344" i="4"/>
  <c r="AR344" i="4"/>
  <c r="AQ344" i="4"/>
  <c r="CJ1019" i="4" s="1"/>
  <c r="AO344" i="4"/>
  <c r="AS344" i="4"/>
  <c r="AP344" i="4"/>
  <c r="CI1019" i="4" s="1"/>
  <c r="AM344" i="4"/>
  <c r="CJ1018" i="4" s="1"/>
  <c r="AN344" i="4"/>
  <c r="AJ344" i="4"/>
  <c r="AL344" i="4"/>
  <c r="CI1018" i="4" s="1"/>
  <c r="AH344" i="4"/>
  <c r="AI344" i="4"/>
  <c r="AK344" i="4"/>
  <c r="AG344" i="4"/>
  <c r="AF344" i="4"/>
  <c r="AC344" i="4"/>
  <c r="AE344" i="4"/>
  <c r="AA344" i="4"/>
  <c r="AD344" i="4"/>
  <c r="AB344" i="4"/>
  <c r="CG436" i="4"/>
  <c r="CC436" i="4"/>
  <c r="CQ1296" i="4" s="1"/>
  <c r="CB436" i="4"/>
  <c r="CP1296" i="4" s="1"/>
  <c r="CE436" i="4"/>
  <c r="BY436" i="4"/>
  <c r="CQ1295" i="4" s="1"/>
  <c r="BX436" i="4"/>
  <c r="CP1295" i="4" s="1"/>
  <c r="BV436" i="4"/>
  <c r="CA436" i="4"/>
  <c r="BW436" i="4"/>
  <c r="BU436" i="4"/>
  <c r="CQ1294" i="4" s="1"/>
  <c r="CF436" i="4"/>
  <c r="BS436" i="4"/>
  <c r="BP436" i="4"/>
  <c r="BR436" i="4"/>
  <c r="BO436" i="4"/>
  <c r="BZ436" i="4"/>
  <c r="BM436" i="4"/>
  <c r="BT436" i="4"/>
  <c r="CP1294" i="4" s="1"/>
  <c r="BL436" i="4"/>
  <c r="CD436" i="4"/>
  <c r="BK436" i="4"/>
  <c r="BJ436" i="4"/>
  <c r="BI436" i="4"/>
  <c r="BQ436" i="4"/>
  <c r="BN436" i="4"/>
  <c r="BH436" i="4"/>
  <c r="BG436" i="4"/>
  <c r="BF436" i="4"/>
  <c r="AX436" i="4"/>
  <c r="AV436" i="4"/>
  <c r="AY436" i="4"/>
  <c r="AU436" i="4"/>
  <c r="CJ1296" i="4" s="1"/>
  <c r="BE436" i="4"/>
  <c r="AW436" i="4"/>
  <c r="AQ436" i="4"/>
  <c r="CJ1295" i="4" s="1"/>
  <c r="AT436" i="4"/>
  <c r="CI1296" i="4" s="1"/>
  <c r="AS436" i="4"/>
  <c r="AO436" i="4"/>
  <c r="AR436" i="4"/>
  <c r="AN436" i="4"/>
  <c r="AP436" i="4"/>
  <c r="CI1295" i="4" s="1"/>
  <c r="AK436" i="4"/>
  <c r="AL436" i="4"/>
  <c r="CI1294" i="4" s="1"/>
  <c r="AI436" i="4"/>
  <c r="AH436" i="4"/>
  <c r="AJ436" i="4"/>
  <c r="AG436" i="4"/>
  <c r="AM436" i="4"/>
  <c r="CJ1294" i="4" s="1"/>
  <c r="AF436" i="4"/>
  <c r="AD436" i="4"/>
  <c r="AE436" i="4"/>
  <c r="AC436" i="4"/>
  <c r="AB436" i="4"/>
  <c r="AA436" i="4"/>
  <c r="CG117" i="4"/>
  <c r="CD117" i="4"/>
  <c r="CE117" i="4"/>
  <c r="CA117" i="4"/>
  <c r="BZ117" i="4"/>
  <c r="BY117" i="4"/>
  <c r="CQ338" i="4" s="1"/>
  <c r="BX117" i="4"/>
  <c r="CP338" i="4" s="1"/>
  <c r="BW117" i="4"/>
  <c r="BV117" i="4"/>
  <c r="BU117" i="4"/>
  <c r="CQ337" i="4" s="1"/>
  <c r="BT117" i="4"/>
  <c r="CP337" i="4" s="1"/>
  <c r="CB117" i="4"/>
  <c r="CP339" i="4" s="1"/>
  <c r="CF117" i="4"/>
  <c r="BM117" i="4"/>
  <c r="BQ117" i="4"/>
  <c r="BR117" i="4"/>
  <c r="BL117" i="4"/>
  <c r="BK117" i="4"/>
  <c r="BS117" i="4"/>
  <c r="BP117" i="4"/>
  <c r="BN117" i="4"/>
  <c r="BO117" i="4"/>
  <c r="BH117" i="4"/>
  <c r="BJ117" i="4"/>
  <c r="BI117" i="4"/>
  <c r="CC117" i="4"/>
  <c r="CQ339" i="4" s="1"/>
  <c r="AY117" i="4"/>
  <c r="BG117" i="4"/>
  <c r="BE117" i="4"/>
  <c r="AX117" i="4"/>
  <c r="AT117" i="4"/>
  <c r="CI339" i="4" s="1"/>
  <c r="AU117" i="4"/>
  <c r="CJ339" i="4" s="1"/>
  <c r="AV117" i="4"/>
  <c r="AS117" i="4"/>
  <c r="AW117" i="4"/>
  <c r="AR117" i="4"/>
  <c r="AK117" i="4"/>
  <c r="AQ117" i="4"/>
  <c r="CJ338" i="4" s="1"/>
  <c r="AP117" i="4"/>
  <c r="CI338" i="4" s="1"/>
  <c r="AL117" i="4"/>
  <c r="CI337" i="4" s="1"/>
  <c r="BF117" i="4"/>
  <c r="AO117" i="4"/>
  <c r="AM117" i="4"/>
  <c r="CJ337" i="4" s="1"/>
  <c r="AI117" i="4"/>
  <c r="AG117" i="4"/>
  <c r="AJ117" i="4"/>
  <c r="AN117" i="4"/>
  <c r="AH117" i="4"/>
  <c r="AE117" i="4"/>
  <c r="AD117" i="4"/>
  <c r="AF117" i="4"/>
  <c r="AB117" i="4"/>
  <c r="AA117" i="4"/>
  <c r="AC117" i="4"/>
  <c r="M34" i="4"/>
  <c r="CF460" i="4"/>
  <c r="CE460" i="4"/>
  <c r="CD460" i="4"/>
  <c r="CB460" i="4"/>
  <c r="CP1368" i="4" s="1"/>
  <c r="CC460" i="4"/>
  <c r="CQ1368" i="4" s="1"/>
  <c r="BT460" i="4"/>
  <c r="CP1366" i="4" s="1"/>
  <c r="BS460" i="4"/>
  <c r="BR460" i="4"/>
  <c r="BW460" i="4"/>
  <c r="BV460" i="4"/>
  <c r="BZ460" i="4"/>
  <c r="BU460" i="4"/>
  <c r="CQ1366" i="4" s="1"/>
  <c r="BP460" i="4"/>
  <c r="BN460" i="4"/>
  <c r="CA460" i="4"/>
  <c r="BM460" i="4"/>
  <c r="BL460" i="4"/>
  <c r="BQ460" i="4"/>
  <c r="BY460" i="4"/>
  <c r="CQ1367" i="4" s="1"/>
  <c r="BO460" i="4"/>
  <c r="BJ460" i="4"/>
  <c r="BI460" i="4"/>
  <c r="CG460" i="4"/>
  <c r="BX460" i="4"/>
  <c r="CP1367" i="4" s="1"/>
  <c r="BF460" i="4"/>
  <c r="BK460" i="4"/>
  <c r="AW460" i="4"/>
  <c r="AT460" i="4"/>
  <c r="CI1368" i="4" s="1"/>
  <c r="AU460" i="4"/>
  <c r="CJ1368" i="4" s="1"/>
  <c r="AX460" i="4"/>
  <c r="AY460" i="4"/>
  <c r="AR460" i="4"/>
  <c r="BH460" i="4"/>
  <c r="AV460" i="4"/>
  <c r="AQ460" i="4"/>
  <c r="CJ1367" i="4" s="1"/>
  <c r="AP460" i="4"/>
  <c r="CI1367" i="4" s="1"/>
  <c r="BG460" i="4"/>
  <c r="AN460" i="4"/>
  <c r="BE460" i="4"/>
  <c r="AO460" i="4"/>
  <c r="AS460" i="4"/>
  <c r="AM460" i="4"/>
  <c r="CJ1366" i="4" s="1"/>
  <c r="AJ460" i="4"/>
  <c r="AH460" i="4"/>
  <c r="AF460" i="4"/>
  <c r="AE460" i="4"/>
  <c r="AD460" i="4"/>
  <c r="AC460" i="4"/>
  <c r="AG460" i="4"/>
  <c r="AL460" i="4"/>
  <c r="CI1366" i="4" s="1"/>
  <c r="AK460" i="4"/>
  <c r="AI460" i="4"/>
  <c r="AB460" i="4"/>
  <c r="AA460" i="4"/>
  <c r="R120" i="4"/>
  <c r="R39" i="4"/>
  <c r="CF198" i="4"/>
  <c r="CG198" i="4"/>
  <c r="CE198" i="4"/>
  <c r="CB198" i="4"/>
  <c r="CP582" i="4" s="1"/>
  <c r="BU198" i="4"/>
  <c r="CQ580" i="4" s="1"/>
  <c r="CC198" i="4"/>
  <c r="CQ582" i="4" s="1"/>
  <c r="CA198" i="4"/>
  <c r="BX198" i="4"/>
  <c r="CP581" i="4" s="1"/>
  <c r="BT198" i="4"/>
  <c r="CP580" i="4" s="1"/>
  <c r="CD198" i="4"/>
  <c r="BY198" i="4"/>
  <c r="CQ581" i="4" s="1"/>
  <c r="BZ198" i="4"/>
  <c r="BW198" i="4"/>
  <c r="BQ198" i="4"/>
  <c r="BV198" i="4"/>
  <c r="BS198" i="4"/>
  <c r="BP198" i="4"/>
  <c r="BO198" i="4"/>
  <c r="BM198" i="4"/>
  <c r="BR198" i="4"/>
  <c r="BN198" i="4"/>
  <c r="BI198" i="4"/>
  <c r="BG198" i="4"/>
  <c r="BJ198" i="4"/>
  <c r="BF198" i="4"/>
  <c r="BK198" i="4"/>
  <c r="BE198" i="4"/>
  <c r="BL198" i="4"/>
  <c r="BH198" i="4"/>
  <c r="AY198" i="4"/>
  <c r="AX198" i="4"/>
  <c r="AS198" i="4"/>
  <c r="AR198" i="4"/>
  <c r="AQ198" i="4"/>
  <c r="CJ581" i="4" s="1"/>
  <c r="AP198" i="4"/>
  <c r="CI581" i="4" s="1"/>
  <c r="AW198" i="4"/>
  <c r="AV198" i="4"/>
  <c r="AU198" i="4"/>
  <c r="CJ582" i="4" s="1"/>
  <c r="AO198" i="4"/>
  <c r="AN198" i="4"/>
  <c r="AM198" i="4"/>
  <c r="CJ580" i="4" s="1"/>
  <c r="AT198" i="4"/>
  <c r="CI582" i="4" s="1"/>
  <c r="AJ198" i="4"/>
  <c r="AG198" i="4"/>
  <c r="AI198" i="4"/>
  <c r="AK198" i="4"/>
  <c r="AL198" i="4"/>
  <c r="CI580" i="4" s="1"/>
  <c r="AH198" i="4"/>
  <c r="AF198" i="4"/>
  <c r="AA198" i="4"/>
  <c r="AD198" i="4"/>
  <c r="AE198" i="4"/>
  <c r="AB198" i="4"/>
  <c r="AC198" i="4"/>
  <c r="O54" i="4"/>
  <c r="CG305" i="4"/>
  <c r="BZ305" i="4"/>
  <c r="BY305" i="4"/>
  <c r="CQ902" i="4" s="1"/>
  <c r="BX305" i="4"/>
  <c r="CP902" i="4" s="1"/>
  <c r="BW305" i="4"/>
  <c r="BV305" i="4"/>
  <c r="CD305" i="4"/>
  <c r="CA305" i="4"/>
  <c r="CC305" i="4"/>
  <c r="CQ903" i="4" s="1"/>
  <c r="CB305" i="4"/>
  <c r="CP903" i="4" s="1"/>
  <c r="BS305" i="4"/>
  <c r="BR305" i="4"/>
  <c r="BQ305" i="4"/>
  <c r="BP305" i="4"/>
  <c r="BO305" i="4"/>
  <c r="CF305" i="4"/>
  <c r="CE305" i="4"/>
  <c r="BU305" i="4"/>
  <c r="CQ901" i="4" s="1"/>
  <c r="BL305" i="4"/>
  <c r="BN305" i="4"/>
  <c r="BM305" i="4"/>
  <c r="BK305" i="4"/>
  <c r="BJ305" i="4"/>
  <c r="BI305" i="4"/>
  <c r="BH305" i="4"/>
  <c r="BG305" i="4"/>
  <c r="BF305" i="4"/>
  <c r="BT305" i="4"/>
  <c r="CP901" i="4" s="1"/>
  <c r="BE305" i="4"/>
  <c r="AY305" i="4"/>
  <c r="AX305" i="4"/>
  <c r="AV305" i="4"/>
  <c r="AT305" i="4"/>
  <c r="CI903" i="4" s="1"/>
  <c r="AS305" i="4"/>
  <c r="AW305" i="4"/>
  <c r="AU305" i="4"/>
  <c r="CJ903" i="4" s="1"/>
  <c r="AR305" i="4"/>
  <c r="AP305" i="4"/>
  <c r="CI902" i="4" s="1"/>
  <c r="AN305" i="4"/>
  <c r="AM305" i="4"/>
  <c r="CJ901" i="4" s="1"/>
  <c r="AL305" i="4"/>
  <c r="CI901" i="4" s="1"/>
  <c r="AQ305" i="4"/>
  <c r="CJ902" i="4" s="1"/>
  <c r="AH305" i="4"/>
  <c r="AJ305" i="4"/>
  <c r="AG305" i="4"/>
  <c r="AI305" i="4"/>
  <c r="AK305" i="4"/>
  <c r="AF305" i="4"/>
  <c r="AE305" i="4"/>
  <c r="AA305" i="4"/>
  <c r="AC305" i="4"/>
  <c r="AO305" i="4"/>
  <c r="AB305" i="4"/>
  <c r="AD305" i="4"/>
  <c r="CD235" i="4"/>
  <c r="CC235" i="4"/>
  <c r="CQ693" i="4" s="1"/>
  <c r="CB235" i="4"/>
  <c r="CP693" i="4" s="1"/>
  <c r="CA235" i="4"/>
  <c r="CG235" i="4"/>
  <c r="CF235" i="4"/>
  <c r="BS235" i="4"/>
  <c r="BR235" i="4"/>
  <c r="BQ235" i="4"/>
  <c r="BP235" i="4"/>
  <c r="BO235" i="4"/>
  <c r="BZ235" i="4"/>
  <c r="BX235" i="4"/>
  <c r="CP692" i="4" s="1"/>
  <c r="BY235" i="4"/>
  <c r="CQ692" i="4" s="1"/>
  <c r="BW235" i="4"/>
  <c r="BT235" i="4"/>
  <c r="CP691" i="4" s="1"/>
  <c r="CE235" i="4"/>
  <c r="BV235" i="4"/>
  <c r="BN235" i="4"/>
  <c r="BJ235" i="4"/>
  <c r="BI235" i="4"/>
  <c r="BH235" i="4"/>
  <c r="BU235" i="4"/>
  <c r="CQ691" i="4" s="1"/>
  <c r="BM235" i="4"/>
  <c r="BL235" i="4"/>
  <c r="BK235" i="4"/>
  <c r="BG235" i="4"/>
  <c r="BE235" i="4"/>
  <c r="BF235" i="4"/>
  <c r="AX235" i="4"/>
  <c r="AU235" i="4"/>
  <c r="CJ693" i="4" s="1"/>
  <c r="AY235" i="4"/>
  <c r="AR235" i="4"/>
  <c r="AT235" i="4"/>
  <c r="CI693" i="4" s="1"/>
  <c r="AV235" i="4"/>
  <c r="AW235" i="4"/>
  <c r="AS235" i="4"/>
  <c r="AN235" i="4"/>
  <c r="AO235" i="4"/>
  <c r="AP235" i="4"/>
  <c r="CI692" i="4" s="1"/>
  <c r="AQ235" i="4"/>
  <c r="CJ692" i="4" s="1"/>
  <c r="AM235" i="4"/>
  <c r="CJ691" i="4" s="1"/>
  <c r="AH235" i="4"/>
  <c r="AL235" i="4"/>
  <c r="CI691" i="4" s="1"/>
  <c r="AK235" i="4"/>
  <c r="AJ235" i="4"/>
  <c r="AI235" i="4"/>
  <c r="AA235" i="4"/>
  <c r="AE235" i="4"/>
  <c r="AD235" i="4"/>
  <c r="AG235" i="4"/>
  <c r="AB235" i="4"/>
  <c r="AC235" i="4"/>
  <c r="AF235" i="4"/>
  <c r="CG272" i="4"/>
  <c r="CD272" i="4"/>
  <c r="CF272" i="4"/>
  <c r="CB272" i="4"/>
  <c r="CP804" i="4" s="1"/>
  <c r="CC272" i="4"/>
  <c r="CQ804" i="4" s="1"/>
  <c r="CE272" i="4"/>
  <c r="BW272" i="4"/>
  <c r="BZ272" i="4"/>
  <c r="BU272" i="4"/>
  <c r="CQ802" i="4" s="1"/>
  <c r="BX272" i="4"/>
  <c r="CP803" i="4" s="1"/>
  <c r="BN272" i="4"/>
  <c r="BT272" i="4"/>
  <c r="CP802" i="4" s="1"/>
  <c r="BV272" i="4"/>
  <c r="BS272" i="4"/>
  <c r="BO272" i="4"/>
  <c r="BR272" i="4"/>
  <c r="BM272" i="4"/>
  <c r="BL272" i="4"/>
  <c r="BK272" i="4"/>
  <c r="BQ272" i="4"/>
  <c r="BJ272" i="4"/>
  <c r="BI272" i="4"/>
  <c r="CA272" i="4"/>
  <c r="BY272" i="4"/>
  <c r="CQ803" i="4" s="1"/>
  <c r="BP272" i="4"/>
  <c r="BH272" i="4"/>
  <c r="BE272" i="4"/>
  <c r="AY272" i="4"/>
  <c r="BF272" i="4"/>
  <c r="BG272" i="4"/>
  <c r="AU272" i="4"/>
  <c r="CJ804" i="4" s="1"/>
  <c r="AW272" i="4"/>
  <c r="AT272" i="4"/>
  <c r="CI804" i="4" s="1"/>
  <c r="AS272" i="4"/>
  <c r="AQ272" i="4"/>
  <c r="CJ803" i="4" s="1"/>
  <c r="AR272" i="4"/>
  <c r="AX272" i="4"/>
  <c r="AO272" i="4"/>
  <c r="AN272" i="4"/>
  <c r="AP272" i="4"/>
  <c r="CI803" i="4" s="1"/>
  <c r="AV272" i="4"/>
  <c r="AI272" i="4"/>
  <c r="AH272" i="4"/>
  <c r="AG272" i="4"/>
  <c r="AM272" i="4"/>
  <c r="CJ802" i="4" s="1"/>
  <c r="AK272" i="4"/>
  <c r="AJ272" i="4"/>
  <c r="AL272" i="4"/>
  <c r="CI802" i="4" s="1"/>
  <c r="AB272" i="4"/>
  <c r="AF272" i="4"/>
  <c r="AE272" i="4"/>
  <c r="AA272" i="4"/>
  <c r="AC272" i="4"/>
  <c r="AD272" i="4"/>
  <c r="M61" i="4"/>
  <c r="CE442" i="4"/>
  <c r="CD442" i="4"/>
  <c r="CC442" i="4"/>
  <c r="CQ1314" i="4" s="1"/>
  <c r="CB442" i="4"/>
  <c r="CP1314" i="4" s="1"/>
  <c r="CA442" i="4"/>
  <c r="CG442" i="4"/>
  <c r="BZ442" i="4"/>
  <c r="BY442" i="4"/>
  <c r="CQ1313" i="4" s="1"/>
  <c r="BX442" i="4"/>
  <c r="CP1313" i="4" s="1"/>
  <c r="BT442" i="4"/>
  <c r="CP1312" i="4" s="1"/>
  <c r="BS442" i="4"/>
  <c r="BR442" i="4"/>
  <c r="BQ442" i="4"/>
  <c r="BP442" i="4"/>
  <c r="BU442" i="4"/>
  <c r="CQ1312" i="4" s="1"/>
  <c r="BW442" i="4"/>
  <c r="BN442" i="4"/>
  <c r="CF442" i="4"/>
  <c r="BM442" i="4"/>
  <c r="BO442" i="4"/>
  <c r="BL442" i="4"/>
  <c r="BV442" i="4"/>
  <c r="BJ442" i="4"/>
  <c r="BI442" i="4"/>
  <c r="BK442" i="4"/>
  <c r="BH442" i="4"/>
  <c r="AY442" i="4"/>
  <c r="BG442" i="4"/>
  <c r="BF442" i="4"/>
  <c r="AT442" i="4"/>
  <c r="CI1314" i="4" s="1"/>
  <c r="BE442" i="4"/>
  <c r="AX442" i="4"/>
  <c r="AS442" i="4"/>
  <c r="AU442" i="4"/>
  <c r="CJ1314" i="4" s="1"/>
  <c r="AV442" i="4"/>
  <c r="AP442" i="4"/>
  <c r="CI1313" i="4" s="1"/>
  <c r="AO442" i="4"/>
  <c r="AM442" i="4"/>
  <c r="CJ1312" i="4" s="1"/>
  <c r="AQ442" i="4"/>
  <c r="CJ1313" i="4" s="1"/>
  <c r="AW442" i="4"/>
  <c r="AN442" i="4"/>
  <c r="AJ442" i="4"/>
  <c r="AH442" i="4"/>
  <c r="AK442" i="4"/>
  <c r="AR442" i="4"/>
  <c r="AI442" i="4"/>
  <c r="AB442" i="4"/>
  <c r="AG442" i="4"/>
  <c r="AA442" i="4"/>
  <c r="AE442" i="4"/>
  <c r="AF442" i="4"/>
  <c r="AD442" i="4"/>
  <c r="AC442" i="4"/>
  <c r="AL442" i="4"/>
  <c r="CI1312" i="4" s="1"/>
  <c r="O83" i="4"/>
  <c r="K45" i="4"/>
  <c r="CF370" i="4"/>
  <c r="CB370" i="4"/>
  <c r="CP1098" i="4" s="1"/>
  <c r="CA370" i="4"/>
  <c r="BZ370" i="4"/>
  <c r="BY370" i="4"/>
  <c r="CQ1097" i="4" s="1"/>
  <c r="BX370" i="4"/>
  <c r="CP1097" i="4" s="1"/>
  <c r="BW370" i="4"/>
  <c r="CC370" i="4"/>
  <c r="CQ1098" i="4" s="1"/>
  <c r="CG370" i="4"/>
  <c r="CE370" i="4"/>
  <c r="BV370" i="4"/>
  <c r="BU370" i="4"/>
  <c r="CQ1096" i="4" s="1"/>
  <c r="BT370" i="4"/>
  <c r="CP1096" i="4" s="1"/>
  <c r="BS370" i="4"/>
  <c r="BR370" i="4"/>
  <c r="BQ370" i="4"/>
  <c r="BP370" i="4"/>
  <c r="CD370" i="4"/>
  <c r="BL370" i="4"/>
  <c r="BM370" i="4"/>
  <c r="BN370" i="4"/>
  <c r="BH370" i="4"/>
  <c r="BO370" i="4"/>
  <c r="BJ370" i="4"/>
  <c r="BI370" i="4"/>
  <c r="BF370" i="4"/>
  <c r="BK370" i="4"/>
  <c r="AY370" i="4"/>
  <c r="BE370" i="4"/>
  <c r="AW370" i="4"/>
  <c r="BG370" i="4"/>
  <c r="AT370" i="4"/>
  <c r="CI1098" i="4" s="1"/>
  <c r="AV370" i="4"/>
  <c r="AU370" i="4"/>
  <c r="CJ1098" i="4" s="1"/>
  <c r="AX370" i="4"/>
  <c r="AQ370" i="4"/>
  <c r="CJ1097" i="4" s="1"/>
  <c r="AO370" i="4"/>
  <c r="AM370" i="4"/>
  <c r="CJ1096" i="4" s="1"/>
  <c r="AP370" i="4"/>
  <c r="CI1097" i="4" s="1"/>
  <c r="AR370" i="4"/>
  <c r="AN370" i="4"/>
  <c r="AK370" i="4"/>
  <c r="AJ370" i="4"/>
  <c r="AI370" i="4"/>
  <c r="AS370" i="4"/>
  <c r="AG370" i="4"/>
  <c r="AL370" i="4"/>
  <c r="CI1096" i="4" s="1"/>
  <c r="AE370" i="4"/>
  <c r="AB370" i="4"/>
  <c r="AF370" i="4"/>
  <c r="AC370" i="4"/>
  <c r="AH370" i="4"/>
  <c r="AA370" i="4"/>
  <c r="AD370" i="4"/>
  <c r="L97" i="4"/>
  <c r="CG86" i="4"/>
  <c r="CF86" i="4"/>
  <c r="CB86" i="4"/>
  <c r="CP246" i="4" s="1"/>
  <c r="CD86" i="4"/>
  <c r="CC86" i="4"/>
  <c r="CQ246" i="4" s="1"/>
  <c r="CE86" i="4"/>
  <c r="CA86" i="4"/>
  <c r="BZ86" i="4"/>
  <c r="BW86" i="4"/>
  <c r="BY86" i="4"/>
  <c r="CQ245" i="4" s="1"/>
  <c r="BV86" i="4"/>
  <c r="BT86" i="4"/>
  <c r="CP244" i="4" s="1"/>
  <c r="BN86" i="4"/>
  <c r="BR86" i="4"/>
  <c r="BM86" i="4"/>
  <c r="BU86" i="4"/>
  <c r="CQ244" i="4" s="1"/>
  <c r="BX86" i="4"/>
  <c r="CP245" i="4" s="1"/>
  <c r="BP86" i="4"/>
  <c r="BS86" i="4"/>
  <c r="BQ86" i="4"/>
  <c r="BK86" i="4"/>
  <c r="BL86" i="4"/>
  <c r="BE86" i="4"/>
  <c r="BO86" i="4"/>
  <c r="BH86" i="4"/>
  <c r="BI86" i="4"/>
  <c r="BF86" i="4"/>
  <c r="AV86" i="4"/>
  <c r="AS86" i="4"/>
  <c r="AR86" i="4"/>
  <c r="AQ86" i="4"/>
  <c r="CJ245" i="4" s="1"/>
  <c r="AP86" i="4"/>
  <c r="CI245" i="4" s="1"/>
  <c r="BJ86" i="4"/>
  <c r="AY86" i="4"/>
  <c r="AW86" i="4"/>
  <c r="AT86" i="4"/>
  <c r="CI246" i="4" s="1"/>
  <c r="AO86" i="4"/>
  <c r="AN86" i="4"/>
  <c r="AM86" i="4"/>
  <c r="CJ244" i="4" s="1"/>
  <c r="AL86" i="4"/>
  <c r="CI244" i="4" s="1"/>
  <c r="BG86" i="4"/>
  <c r="AU86" i="4"/>
  <c r="CJ246" i="4" s="1"/>
  <c r="AX86" i="4"/>
  <c r="AK86" i="4"/>
  <c r="AG86" i="4"/>
  <c r="AI86" i="4"/>
  <c r="AH86" i="4"/>
  <c r="AJ86" i="4"/>
  <c r="AC86" i="4"/>
  <c r="AD86" i="4"/>
  <c r="AF86" i="4"/>
  <c r="AE86" i="4"/>
  <c r="AA86" i="4"/>
  <c r="AB86" i="4"/>
  <c r="CE146" i="4"/>
  <c r="CG146" i="4"/>
  <c r="BZ146" i="4"/>
  <c r="BY146" i="4"/>
  <c r="CQ425" i="4" s="1"/>
  <c r="BX146" i="4"/>
  <c r="CP425" i="4" s="1"/>
  <c r="BW146" i="4"/>
  <c r="CF146" i="4"/>
  <c r="CD146" i="4"/>
  <c r="BU146" i="4"/>
  <c r="CQ424" i="4" s="1"/>
  <c r="CA146" i="4"/>
  <c r="BT146" i="4"/>
  <c r="CP424" i="4" s="1"/>
  <c r="CB146" i="4"/>
  <c r="CP426" i="4" s="1"/>
  <c r="BS146" i="4"/>
  <c r="BR146" i="4"/>
  <c r="BQ146" i="4"/>
  <c r="BP146" i="4"/>
  <c r="BO146" i="4"/>
  <c r="CC146" i="4"/>
  <c r="CQ426" i="4" s="1"/>
  <c r="BM146" i="4"/>
  <c r="BL146" i="4"/>
  <c r="BV146" i="4"/>
  <c r="BN146" i="4"/>
  <c r="BJ146" i="4"/>
  <c r="BG146" i="4"/>
  <c r="BI146" i="4"/>
  <c r="BE146" i="4"/>
  <c r="AY146" i="4"/>
  <c r="AX146" i="4"/>
  <c r="BK146" i="4"/>
  <c r="BF146" i="4"/>
  <c r="AV146" i="4"/>
  <c r="AU146" i="4"/>
  <c r="CJ426" i="4" s="1"/>
  <c r="AW146" i="4"/>
  <c r="BH146" i="4"/>
  <c r="AR146" i="4"/>
  <c r="AS146" i="4"/>
  <c r="AT146" i="4"/>
  <c r="CI426" i="4" s="1"/>
  <c r="AP146" i="4"/>
  <c r="CI425" i="4" s="1"/>
  <c r="AL146" i="4"/>
  <c r="CI424" i="4" s="1"/>
  <c r="AQ146" i="4"/>
  <c r="CJ425" i="4" s="1"/>
  <c r="AO146" i="4"/>
  <c r="AM146" i="4"/>
  <c r="CJ424" i="4" s="1"/>
  <c r="AN146" i="4"/>
  <c r="AJ146" i="4"/>
  <c r="AI146" i="4"/>
  <c r="AH146" i="4"/>
  <c r="AK146" i="4"/>
  <c r="AF146" i="4"/>
  <c r="AG146" i="4"/>
  <c r="AC146" i="4"/>
  <c r="AA146" i="4"/>
  <c r="AB146" i="4"/>
  <c r="AD146" i="4"/>
  <c r="AE146" i="4"/>
  <c r="CE324" i="4"/>
  <c r="CF324" i="4"/>
  <c r="CA324" i="4"/>
  <c r="CG324" i="4"/>
  <c r="CB324" i="4"/>
  <c r="CP960" i="4" s="1"/>
  <c r="CC324" i="4"/>
  <c r="CQ960" i="4" s="1"/>
  <c r="BY324" i="4"/>
  <c r="CQ959" i="4" s="1"/>
  <c r="CD324" i="4"/>
  <c r="BV324" i="4"/>
  <c r="BZ324" i="4"/>
  <c r="BN324" i="4"/>
  <c r="BW324" i="4"/>
  <c r="BQ324" i="4"/>
  <c r="BP324" i="4"/>
  <c r="BO324" i="4"/>
  <c r="BT324" i="4"/>
  <c r="CP958" i="4" s="1"/>
  <c r="BS324" i="4"/>
  <c r="BX324" i="4"/>
  <c r="CP959" i="4" s="1"/>
  <c r="BK324" i="4"/>
  <c r="BJ324" i="4"/>
  <c r="BI324" i="4"/>
  <c r="BH324" i="4"/>
  <c r="BR324" i="4"/>
  <c r="BM324" i="4"/>
  <c r="BL324" i="4"/>
  <c r="AY324" i="4"/>
  <c r="BF324" i="4"/>
  <c r="BU324" i="4"/>
  <c r="CQ958" i="4" s="1"/>
  <c r="AU324" i="4"/>
  <c r="CJ960" i="4" s="1"/>
  <c r="AV324" i="4"/>
  <c r="AW324" i="4"/>
  <c r="AT324" i="4"/>
  <c r="CI960" i="4" s="1"/>
  <c r="BG324" i="4"/>
  <c r="AS324" i="4"/>
  <c r="AX324" i="4"/>
  <c r="BE324" i="4"/>
  <c r="AO324" i="4"/>
  <c r="AP324" i="4"/>
  <c r="CI959" i="4" s="1"/>
  <c r="AR324" i="4"/>
  <c r="AM324" i="4"/>
  <c r="CJ958" i="4" s="1"/>
  <c r="AL324" i="4"/>
  <c r="CI958" i="4" s="1"/>
  <c r="AN324" i="4"/>
  <c r="AJ324" i="4"/>
  <c r="AH324" i="4"/>
  <c r="AI324" i="4"/>
  <c r="AG324" i="4"/>
  <c r="AQ324" i="4"/>
  <c r="CJ959" i="4" s="1"/>
  <c r="AF324" i="4"/>
  <c r="AK324" i="4"/>
  <c r="AA324" i="4"/>
  <c r="AC324" i="4"/>
  <c r="AE324" i="4"/>
  <c r="AB324" i="4"/>
  <c r="AD324" i="4"/>
  <c r="CG80" i="4"/>
  <c r="CF80" i="4"/>
  <c r="CE80" i="4"/>
  <c r="CD80" i="4"/>
  <c r="CC80" i="4"/>
  <c r="CQ228" i="4" s="1"/>
  <c r="CA80" i="4"/>
  <c r="BV80" i="4"/>
  <c r="BU80" i="4"/>
  <c r="CQ226" i="4" s="1"/>
  <c r="BT80" i="4"/>
  <c r="CP226" i="4" s="1"/>
  <c r="CB80" i="4"/>
  <c r="CP228" i="4" s="1"/>
  <c r="BR80" i="4"/>
  <c r="BZ80" i="4"/>
  <c r="BQ80" i="4"/>
  <c r="BW80" i="4"/>
  <c r="BO80" i="4"/>
  <c r="BL80" i="4"/>
  <c r="BK80" i="4"/>
  <c r="BM80" i="4"/>
  <c r="BY80" i="4"/>
  <c r="CQ227" i="4" s="1"/>
  <c r="BN80" i="4"/>
  <c r="BX80" i="4"/>
  <c r="CP227" i="4" s="1"/>
  <c r="BJ80" i="4"/>
  <c r="BI80" i="4"/>
  <c r="BP80" i="4"/>
  <c r="BS80" i="4"/>
  <c r="BH80" i="4"/>
  <c r="BG80" i="4"/>
  <c r="AY80" i="4"/>
  <c r="BF80" i="4"/>
  <c r="AX80" i="4"/>
  <c r="BE80" i="4"/>
  <c r="AW80" i="4"/>
  <c r="AS80" i="4"/>
  <c r="AU80" i="4"/>
  <c r="CJ228" i="4" s="1"/>
  <c r="AV80" i="4"/>
  <c r="AO80" i="4"/>
  <c r="AT80" i="4"/>
  <c r="CI228" i="4" s="1"/>
  <c r="AM80" i="4"/>
  <c r="CJ226" i="4" s="1"/>
  <c r="AQ80" i="4"/>
  <c r="CJ227" i="4" s="1"/>
  <c r="AL80" i="4"/>
  <c r="CI226" i="4" s="1"/>
  <c r="AR80" i="4"/>
  <c r="AH80" i="4"/>
  <c r="AG80" i="4"/>
  <c r="AJ80" i="4"/>
  <c r="AN80" i="4"/>
  <c r="AK80" i="4"/>
  <c r="AI80" i="4"/>
  <c r="AP80" i="4"/>
  <c r="CI227" i="4" s="1"/>
  <c r="AE80" i="4"/>
  <c r="AD80" i="4"/>
  <c r="AB80" i="4"/>
  <c r="AA80" i="4"/>
  <c r="AC80" i="4"/>
  <c r="AF80" i="4"/>
  <c r="CG412" i="4"/>
  <c r="CF412" i="4"/>
  <c r="CC412" i="4"/>
  <c r="CQ1224" i="4" s="1"/>
  <c r="CE412" i="4"/>
  <c r="BX412" i="4"/>
  <c r="CP1223" i="4" s="1"/>
  <c r="BW412" i="4"/>
  <c r="BT412" i="4"/>
  <c r="CP1222" i="4" s="1"/>
  <c r="BS412" i="4"/>
  <c r="BR412" i="4"/>
  <c r="CB412" i="4"/>
  <c r="CP1224" i="4" s="1"/>
  <c r="CD412" i="4"/>
  <c r="BZ412" i="4"/>
  <c r="BQ412" i="4"/>
  <c r="BV412" i="4"/>
  <c r="BY412" i="4"/>
  <c r="CQ1223" i="4" s="1"/>
  <c r="BO412" i="4"/>
  <c r="BN412" i="4"/>
  <c r="BP412" i="4"/>
  <c r="BM412" i="4"/>
  <c r="BL412" i="4"/>
  <c r="BJ412" i="4"/>
  <c r="BI412" i="4"/>
  <c r="BK412" i="4"/>
  <c r="BU412" i="4"/>
  <c r="CQ1222" i="4" s="1"/>
  <c r="CA412" i="4"/>
  <c r="BF412" i="4"/>
  <c r="BG412" i="4"/>
  <c r="AW412" i="4"/>
  <c r="AY412" i="4"/>
  <c r="AX412" i="4"/>
  <c r="BH412" i="4"/>
  <c r="AV412" i="4"/>
  <c r="AT412" i="4"/>
  <c r="CI1224" i="4" s="1"/>
  <c r="AU412" i="4"/>
  <c r="CJ1224" i="4" s="1"/>
  <c r="AS412" i="4"/>
  <c r="AR412" i="4"/>
  <c r="AN412" i="4"/>
  <c r="AP412" i="4"/>
  <c r="CI1223" i="4" s="1"/>
  <c r="AL412" i="4"/>
  <c r="CI1222" i="4" s="1"/>
  <c r="AO412" i="4"/>
  <c r="AK412" i="4"/>
  <c r="BE412" i="4"/>
  <c r="AI412" i="4"/>
  <c r="AF412" i="4"/>
  <c r="AE412" i="4"/>
  <c r="AD412" i="4"/>
  <c r="AC412" i="4"/>
  <c r="AH412" i="4"/>
  <c r="AQ412" i="4"/>
  <c r="CJ1223" i="4" s="1"/>
  <c r="AG412" i="4"/>
  <c r="AA412" i="4"/>
  <c r="AB412" i="4"/>
  <c r="AM412" i="4"/>
  <c r="CJ1222" i="4" s="1"/>
  <c r="AJ412" i="4"/>
  <c r="CG212" i="4"/>
  <c r="CF212" i="4"/>
  <c r="BZ212" i="4"/>
  <c r="CE212" i="4"/>
  <c r="CD212" i="4"/>
  <c r="CA212" i="4"/>
  <c r="BU212" i="4"/>
  <c r="CQ622" i="4" s="1"/>
  <c r="BT212" i="4"/>
  <c r="CP622" i="4" s="1"/>
  <c r="BV212" i="4"/>
  <c r="CB212" i="4"/>
  <c r="CP624" i="4" s="1"/>
  <c r="BW212" i="4"/>
  <c r="BR212" i="4"/>
  <c r="BO212" i="4"/>
  <c r="BY212" i="4"/>
  <c r="CQ623" i="4" s="1"/>
  <c r="CC212" i="4"/>
  <c r="CQ624" i="4" s="1"/>
  <c r="BP212" i="4"/>
  <c r="BX212" i="4"/>
  <c r="CP623" i="4" s="1"/>
  <c r="BN212" i="4"/>
  <c r="BK212" i="4"/>
  <c r="BL212" i="4"/>
  <c r="BQ212" i="4"/>
  <c r="BJ212" i="4"/>
  <c r="BI212" i="4"/>
  <c r="BH212" i="4"/>
  <c r="BM212" i="4"/>
  <c r="BG212" i="4"/>
  <c r="BF212" i="4"/>
  <c r="BS212" i="4"/>
  <c r="AX212" i="4"/>
  <c r="BE212" i="4"/>
  <c r="AY212" i="4"/>
  <c r="AW212" i="4"/>
  <c r="AT212" i="4"/>
  <c r="CI624" i="4" s="1"/>
  <c r="AU212" i="4"/>
  <c r="CJ624" i="4" s="1"/>
  <c r="AO212" i="4"/>
  <c r="AR212" i="4"/>
  <c r="AS212" i="4"/>
  <c r="AP212" i="4"/>
  <c r="CI623" i="4" s="1"/>
  <c r="AQ212" i="4"/>
  <c r="CJ623" i="4" s="1"/>
  <c r="AV212" i="4"/>
  <c r="AN212" i="4"/>
  <c r="AL212" i="4"/>
  <c r="CI622" i="4" s="1"/>
  <c r="AM212" i="4"/>
  <c r="CJ622" i="4" s="1"/>
  <c r="AK212" i="4"/>
  <c r="AI212" i="4"/>
  <c r="AJ212" i="4"/>
  <c r="AG212" i="4"/>
  <c r="AH212" i="4"/>
  <c r="AF212" i="4"/>
  <c r="AD212" i="4"/>
  <c r="AE212" i="4"/>
  <c r="AC212" i="4"/>
  <c r="AB212" i="4"/>
  <c r="AA212" i="4"/>
  <c r="CF126" i="4"/>
  <c r="CE126" i="4"/>
  <c r="CD126" i="4"/>
  <c r="CC126" i="4"/>
  <c r="CQ366" i="4" s="1"/>
  <c r="CB126" i="4"/>
  <c r="CP366" i="4" s="1"/>
  <c r="CG126" i="4"/>
  <c r="BZ126" i="4"/>
  <c r="BU126" i="4"/>
  <c r="CQ364" i="4" s="1"/>
  <c r="BX126" i="4"/>
  <c r="CP365" i="4" s="1"/>
  <c r="BT126" i="4"/>
  <c r="CP364" i="4" s="1"/>
  <c r="BS126" i="4"/>
  <c r="BR126" i="4"/>
  <c r="BQ126" i="4"/>
  <c r="BP126" i="4"/>
  <c r="BO126" i="4"/>
  <c r="BN126" i="4"/>
  <c r="BM126" i="4"/>
  <c r="BW126" i="4"/>
  <c r="BY126" i="4"/>
  <c r="CQ365" i="4" s="1"/>
  <c r="BV126" i="4"/>
  <c r="CA126" i="4"/>
  <c r="BJ126" i="4"/>
  <c r="BL126" i="4"/>
  <c r="BG126" i="4"/>
  <c r="BF126" i="4"/>
  <c r="AY126" i="4"/>
  <c r="AX126" i="4"/>
  <c r="AW126" i="4"/>
  <c r="AV126" i="4"/>
  <c r="AU126" i="4"/>
  <c r="CJ366" i="4" s="1"/>
  <c r="AT126" i="4"/>
  <c r="CI366" i="4" s="1"/>
  <c r="BH126" i="4"/>
  <c r="BK126" i="4"/>
  <c r="BE126" i="4"/>
  <c r="AR126" i="4"/>
  <c r="AS126" i="4"/>
  <c r="AQ126" i="4"/>
  <c r="CJ365" i="4" s="1"/>
  <c r="AP126" i="4"/>
  <c r="CI365" i="4" s="1"/>
  <c r="AO126" i="4"/>
  <c r="BI126" i="4"/>
  <c r="AM126" i="4"/>
  <c r="CJ364" i="4" s="1"/>
  <c r="AJ126" i="4"/>
  <c r="AK126" i="4"/>
  <c r="AL126" i="4"/>
  <c r="CI364" i="4" s="1"/>
  <c r="AF126" i="4"/>
  <c r="AE126" i="4"/>
  <c r="AD126" i="4"/>
  <c r="AC126" i="4"/>
  <c r="AB126" i="4"/>
  <c r="AA126" i="4"/>
  <c r="AN126" i="4"/>
  <c r="AI126" i="4"/>
  <c r="AG126" i="4"/>
  <c r="AH126" i="4"/>
  <c r="O36" i="4"/>
  <c r="CF92" i="4"/>
  <c r="CG92" i="4"/>
  <c r="CE92" i="4"/>
  <c r="CD92" i="4"/>
  <c r="CC92" i="4"/>
  <c r="CQ264" i="4" s="1"/>
  <c r="BU92" i="4"/>
  <c r="CQ262" i="4" s="1"/>
  <c r="CA92" i="4"/>
  <c r="BZ92" i="4"/>
  <c r="BT92" i="4"/>
  <c r="CP262" i="4" s="1"/>
  <c r="BS92" i="4"/>
  <c r="BR92" i="4"/>
  <c r="BQ92" i="4"/>
  <c r="BV92" i="4"/>
  <c r="BP92" i="4"/>
  <c r="CB92" i="4"/>
  <c r="CP264" i="4" s="1"/>
  <c r="BL92" i="4"/>
  <c r="BK92" i="4"/>
  <c r="BW92" i="4"/>
  <c r="BN92" i="4"/>
  <c r="BX92" i="4"/>
  <c r="CP263" i="4" s="1"/>
  <c r="BO92" i="4"/>
  <c r="BJ92" i="4"/>
  <c r="BI92" i="4"/>
  <c r="BH92" i="4"/>
  <c r="BY92" i="4"/>
  <c r="CQ263" i="4" s="1"/>
  <c r="BM92" i="4"/>
  <c r="BG92" i="4"/>
  <c r="BF92" i="4"/>
  <c r="AY92" i="4"/>
  <c r="AX92" i="4"/>
  <c r="AU92" i="4"/>
  <c r="CJ264" i="4" s="1"/>
  <c r="AR92" i="4"/>
  <c r="AW92" i="4"/>
  <c r="AV92" i="4"/>
  <c r="AS92" i="4"/>
  <c r="AP92" i="4"/>
  <c r="CI263" i="4" s="1"/>
  <c r="AO92" i="4"/>
  <c r="AQ92" i="4"/>
  <c r="CJ263" i="4" s="1"/>
  <c r="BE92" i="4"/>
  <c r="AN92" i="4"/>
  <c r="AH92" i="4"/>
  <c r="AF92" i="4"/>
  <c r="AE92" i="4"/>
  <c r="AD92" i="4"/>
  <c r="AC92" i="4"/>
  <c r="AB92" i="4"/>
  <c r="AJ92" i="4"/>
  <c r="AL92" i="4"/>
  <c r="CI262" i="4" s="1"/>
  <c r="AK92" i="4"/>
  <c r="AT92" i="4"/>
  <c r="CI264" i="4" s="1"/>
  <c r="AG92" i="4"/>
  <c r="AI92" i="4"/>
  <c r="AM92" i="4"/>
  <c r="CJ262" i="4" s="1"/>
  <c r="AA92" i="4"/>
  <c r="R28" i="4"/>
  <c r="N75" i="4"/>
  <c r="L75" i="4"/>
  <c r="L82" i="4"/>
  <c r="CF185" i="4"/>
  <c r="CA185" i="4"/>
  <c r="CG185" i="4"/>
  <c r="CC185" i="4"/>
  <c r="CQ543" i="4" s="1"/>
  <c r="CB185" i="4"/>
  <c r="CP543" i="4" s="1"/>
  <c r="CD185" i="4"/>
  <c r="BZ185" i="4"/>
  <c r="BY185" i="4"/>
  <c r="CQ542" i="4" s="1"/>
  <c r="BX185" i="4"/>
  <c r="CP542" i="4" s="1"/>
  <c r="BW185" i="4"/>
  <c r="CE185" i="4"/>
  <c r="BU185" i="4"/>
  <c r="CQ541" i="4" s="1"/>
  <c r="BT185" i="4"/>
  <c r="CP541" i="4" s="1"/>
  <c r="BQ185" i="4"/>
  <c r="BM185" i="4"/>
  <c r="BL185" i="4"/>
  <c r="BO185" i="4"/>
  <c r="BS185" i="4"/>
  <c r="BP185" i="4"/>
  <c r="BV185" i="4"/>
  <c r="BR185" i="4"/>
  <c r="BN185" i="4"/>
  <c r="BI185" i="4"/>
  <c r="BE185" i="4"/>
  <c r="AY185" i="4"/>
  <c r="BJ185" i="4"/>
  <c r="BH185" i="4"/>
  <c r="BK185" i="4"/>
  <c r="BF185" i="4"/>
  <c r="AX185" i="4"/>
  <c r="AW185" i="4"/>
  <c r="BG185" i="4"/>
  <c r="AS185" i="4"/>
  <c r="AU185" i="4"/>
  <c r="CJ543" i="4" s="1"/>
  <c r="AV185" i="4"/>
  <c r="AT185" i="4"/>
  <c r="CI543" i="4" s="1"/>
  <c r="AN185" i="4"/>
  <c r="AM185" i="4"/>
  <c r="CJ541" i="4" s="1"/>
  <c r="AQ185" i="4"/>
  <c r="CJ542" i="4" s="1"/>
  <c r="AP185" i="4"/>
  <c r="CI542" i="4" s="1"/>
  <c r="AO185" i="4"/>
  <c r="AK185" i="4"/>
  <c r="AJ185" i="4"/>
  <c r="AR185" i="4"/>
  <c r="AH185" i="4"/>
  <c r="AG185" i="4"/>
  <c r="AL185" i="4"/>
  <c r="CI541" i="4" s="1"/>
  <c r="AF185" i="4"/>
  <c r="AE185" i="4"/>
  <c r="AI185" i="4"/>
  <c r="AB185" i="4"/>
  <c r="AC185" i="4"/>
  <c r="AA185" i="4"/>
  <c r="AD185" i="4"/>
  <c r="R21" i="4"/>
  <c r="CG98" i="4"/>
  <c r="CF98" i="4"/>
  <c r="BZ98" i="4"/>
  <c r="BY98" i="4"/>
  <c r="CQ281" i="4" s="1"/>
  <c r="BX98" i="4"/>
  <c r="CP281" i="4" s="1"/>
  <c r="BW98" i="4"/>
  <c r="CA98" i="4"/>
  <c r="CB98" i="4"/>
  <c r="CP282" i="4" s="1"/>
  <c r="BV98" i="4"/>
  <c r="CD98" i="4"/>
  <c r="BT98" i="4"/>
  <c r="CP280" i="4" s="1"/>
  <c r="BS98" i="4"/>
  <c r="BR98" i="4"/>
  <c r="BQ98" i="4"/>
  <c r="BP98" i="4"/>
  <c r="BO98" i="4"/>
  <c r="CE98" i="4"/>
  <c r="BM98" i="4"/>
  <c r="CC98" i="4"/>
  <c r="CQ282" i="4" s="1"/>
  <c r="BN98" i="4"/>
  <c r="BJ98" i="4"/>
  <c r="BU98" i="4"/>
  <c r="CQ280" i="4" s="1"/>
  <c r="BK98" i="4"/>
  <c r="BG98" i="4"/>
  <c r="AY98" i="4"/>
  <c r="BF98" i="4"/>
  <c r="AX98" i="4"/>
  <c r="AW98" i="4"/>
  <c r="BL98" i="4"/>
  <c r="AU98" i="4"/>
  <c r="CJ282" i="4" s="1"/>
  <c r="AS98" i="4"/>
  <c r="AR98" i="4"/>
  <c r="AV98" i="4"/>
  <c r="BE98" i="4"/>
  <c r="AT98" i="4"/>
  <c r="CI282" i="4" s="1"/>
  <c r="BI98" i="4"/>
  <c r="BH98" i="4"/>
  <c r="AN98" i="4"/>
  <c r="AP98" i="4"/>
  <c r="CI281" i="4" s="1"/>
  <c r="AO98" i="4"/>
  <c r="AL98" i="4"/>
  <c r="CI280" i="4" s="1"/>
  <c r="AH98" i="4"/>
  <c r="AM98" i="4"/>
  <c r="CJ280" i="4" s="1"/>
  <c r="AQ98" i="4"/>
  <c r="CJ281" i="4" s="1"/>
  <c r="AG98" i="4"/>
  <c r="AI98" i="4"/>
  <c r="AJ98" i="4"/>
  <c r="AF98" i="4"/>
  <c r="AB98" i="4"/>
  <c r="AE98" i="4"/>
  <c r="AK98" i="4"/>
  <c r="AD98" i="4"/>
  <c r="AA98" i="4"/>
  <c r="AC98" i="4"/>
  <c r="M9" i="4"/>
  <c r="R102" i="4"/>
  <c r="CF352" i="4"/>
  <c r="CE352" i="4"/>
  <c r="CA352" i="4"/>
  <c r="CB352" i="4"/>
  <c r="CP1044" i="4" s="1"/>
  <c r="CG352" i="4"/>
  <c r="BV352" i="4"/>
  <c r="BU352" i="4"/>
  <c r="CQ1042" i="4" s="1"/>
  <c r="CD352" i="4"/>
  <c r="CC352" i="4"/>
  <c r="CQ1044" i="4" s="1"/>
  <c r="BS352" i="4"/>
  <c r="BQ352" i="4"/>
  <c r="BX352" i="4"/>
  <c r="CP1043" i="4" s="1"/>
  <c r="BP352" i="4"/>
  <c r="BR352" i="4"/>
  <c r="BW352" i="4"/>
  <c r="BM352" i="4"/>
  <c r="BL352" i="4"/>
  <c r="BK352" i="4"/>
  <c r="BT352" i="4"/>
  <c r="CP1042" i="4" s="1"/>
  <c r="BN352" i="4"/>
  <c r="BJ352" i="4"/>
  <c r="BZ352" i="4"/>
  <c r="BO352" i="4"/>
  <c r="BH352" i="4"/>
  <c r="BE352" i="4"/>
  <c r="AY352" i="4"/>
  <c r="BF352" i="4"/>
  <c r="BY352" i="4"/>
  <c r="CQ1043" i="4" s="1"/>
  <c r="BI352" i="4"/>
  <c r="AX352" i="4"/>
  <c r="AW352" i="4"/>
  <c r="BG352" i="4"/>
  <c r="AT352" i="4"/>
  <c r="CI1044" i="4" s="1"/>
  <c r="AV352" i="4"/>
  <c r="AQ352" i="4"/>
  <c r="CJ1043" i="4" s="1"/>
  <c r="AU352" i="4"/>
  <c r="CJ1044" i="4" s="1"/>
  <c r="AN352" i="4"/>
  <c r="AS352" i="4"/>
  <c r="AP352" i="4"/>
  <c r="CI1043" i="4" s="1"/>
  <c r="AI352" i="4"/>
  <c r="AH352" i="4"/>
  <c r="AG352" i="4"/>
  <c r="AR352" i="4"/>
  <c r="AK352" i="4"/>
  <c r="AO352" i="4"/>
  <c r="AM352" i="4"/>
  <c r="CJ1042" i="4" s="1"/>
  <c r="AL352" i="4"/>
  <c r="CI1042" i="4" s="1"/>
  <c r="AE352" i="4"/>
  <c r="AD352" i="4"/>
  <c r="AF352" i="4"/>
  <c r="AB352" i="4"/>
  <c r="AC352" i="4"/>
  <c r="AJ352" i="4"/>
  <c r="AA352" i="4"/>
  <c r="CF397" i="4"/>
  <c r="CG397" i="4"/>
  <c r="CE397" i="4"/>
  <c r="CD397" i="4"/>
  <c r="CC397" i="4"/>
  <c r="CQ1179" i="4" s="1"/>
  <c r="CB397" i="4"/>
  <c r="CP1179" i="4" s="1"/>
  <c r="CA397" i="4"/>
  <c r="BY397" i="4"/>
  <c r="CQ1178" i="4" s="1"/>
  <c r="BT397" i="4"/>
  <c r="CP1177" i="4" s="1"/>
  <c r="BS397" i="4"/>
  <c r="BR397" i="4"/>
  <c r="BQ397" i="4"/>
  <c r="BX397" i="4"/>
  <c r="CP1178" i="4" s="1"/>
  <c r="BW397" i="4"/>
  <c r="BZ397" i="4"/>
  <c r="BU397" i="4"/>
  <c r="CQ1177" i="4" s="1"/>
  <c r="BO397" i="4"/>
  <c r="BN397" i="4"/>
  <c r="BM397" i="4"/>
  <c r="BL397" i="4"/>
  <c r="BJ397" i="4"/>
  <c r="BK397" i="4"/>
  <c r="BV397" i="4"/>
  <c r="BG397" i="4"/>
  <c r="BP397" i="4"/>
  <c r="BI397" i="4"/>
  <c r="BH397" i="4"/>
  <c r="AX397" i="4"/>
  <c r="BE397" i="4"/>
  <c r="AY397" i="4"/>
  <c r="BF397" i="4"/>
  <c r="AU397" i="4"/>
  <c r="CJ1179" i="4" s="1"/>
  <c r="AR397" i="4"/>
  <c r="AV397" i="4"/>
  <c r="AT397" i="4"/>
  <c r="CI1179" i="4" s="1"/>
  <c r="AS397" i="4"/>
  <c r="AQ397" i="4"/>
  <c r="CJ1178" i="4" s="1"/>
  <c r="AO397" i="4"/>
  <c r="AW397" i="4"/>
  <c r="AN397" i="4"/>
  <c r="AL397" i="4"/>
  <c r="CI1177" i="4" s="1"/>
  <c r="AK397" i="4"/>
  <c r="AI397" i="4"/>
  <c r="AH397" i="4"/>
  <c r="AM397" i="4"/>
  <c r="CJ1177" i="4" s="1"/>
  <c r="AF397" i="4"/>
  <c r="AJ397" i="4"/>
  <c r="AC397" i="4"/>
  <c r="AE397" i="4"/>
  <c r="AD397" i="4"/>
  <c r="AA397" i="4"/>
  <c r="AP397" i="4"/>
  <c r="CI1178" i="4" s="1"/>
  <c r="AG397" i="4"/>
  <c r="AB397" i="4"/>
  <c r="CG131" i="4"/>
  <c r="CF131" i="4"/>
  <c r="CE131" i="4"/>
  <c r="CB131" i="4"/>
  <c r="CP381" i="4" s="1"/>
  <c r="CA131" i="4"/>
  <c r="CC131" i="4"/>
  <c r="CQ381" i="4" s="1"/>
  <c r="BZ131" i="4"/>
  <c r="BY131" i="4"/>
  <c r="CQ380" i="4" s="1"/>
  <c r="BV131" i="4"/>
  <c r="BW131" i="4"/>
  <c r="BX131" i="4"/>
  <c r="CP380" i="4" s="1"/>
  <c r="BU131" i="4"/>
  <c r="CQ379" i="4" s="1"/>
  <c r="BT131" i="4"/>
  <c r="CP379" i="4" s="1"/>
  <c r="BS131" i="4"/>
  <c r="BR131" i="4"/>
  <c r="BQ131" i="4"/>
  <c r="BP131" i="4"/>
  <c r="BO131" i="4"/>
  <c r="CD131" i="4"/>
  <c r="BM131" i="4"/>
  <c r="BN131" i="4"/>
  <c r="BJ131" i="4"/>
  <c r="BI131" i="4"/>
  <c r="BH131" i="4"/>
  <c r="BK131" i="4"/>
  <c r="BL131" i="4"/>
  <c r="BF131" i="4"/>
  <c r="AW131" i="4"/>
  <c r="AY131" i="4"/>
  <c r="BE131" i="4"/>
  <c r="AS131" i="4"/>
  <c r="BG131" i="4"/>
  <c r="AX131" i="4"/>
  <c r="AR131" i="4"/>
  <c r="AO131" i="4"/>
  <c r="AV131" i="4"/>
  <c r="AU131" i="4"/>
  <c r="CJ381" i="4" s="1"/>
  <c r="AM131" i="4"/>
  <c r="CJ379" i="4" s="1"/>
  <c r="AK131" i="4"/>
  <c r="AJ131" i="4"/>
  <c r="AI131" i="4"/>
  <c r="AP131" i="4"/>
  <c r="CI380" i="4" s="1"/>
  <c r="AL131" i="4"/>
  <c r="CI379" i="4" s="1"/>
  <c r="AT131" i="4"/>
  <c r="CI381" i="4" s="1"/>
  <c r="AQ131" i="4"/>
  <c r="CJ380" i="4" s="1"/>
  <c r="AN131" i="4"/>
  <c r="AH131" i="4"/>
  <c r="AG131" i="4"/>
  <c r="AE131" i="4"/>
  <c r="AF131" i="4"/>
  <c r="AB131" i="4"/>
  <c r="AD131" i="4"/>
  <c r="AA131" i="4"/>
  <c r="AC131" i="4"/>
  <c r="CG230" i="4"/>
  <c r="CF230" i="4"/>
  <c r="CE230" i="4"/>
  <c r="CC230" i="4"/>
  <c r="CQ678" i="4" s="1"/>
  <c r="CA230" i="4"/>
  <c r="CB230" i="4"/>
  <c r="CP678" i="4" s="1"/>
  <c r="BU230" i="4"/>
  <c r="CQ676" i="4" s="1"/>
  <c r="BT230" i="4"/>
  <c r="CP676" i="4" s="1"/>
  <c r="BW230" i="4"/>
  <c r="BY230" i="4"/>
  <c r="CQ677" i="4" s="1"/>
  <c r="BV230" i="4"/>
  <c r="BS230" i="4"/>
  <c r="BQ230" i="4"/>
  <c r="BZ230" i="4"/>
  <c r="BX230" i="4"/>
  <c r="CP677" i="4" s="1"/>
  <c r="BR230" i="4"/>
  <c r="BN230" i="4"/>
  <c r="CD230" i="4"/>
  <c r="BM230" i="4"/>
  <c r="BP230" i="4"/>
  <c r="BK230" i="4"/>
  <c r="BL230" i="4"/>
  <c r="BJ230" i="4"/>
  <c r="BH230" i="4"/>
  <c r="BG230" i="4"/>
  <c r="BF230" i="4"/>
  <c r="BI230" i="4"/>
  <c r="BE230" i="4"/>
  <c r="AX230" i="4"/>
  <c r="AW230" i="4"/>
  <c r="AS230" i="4"/>
  <c r="AR230" i="4"/>
  <c r="AQ230" i="4"/>
  <c r="CJ677" i="4" s="1"/>
  <c r="AP230" i="4"/>
  <c r="CI677" i="4" s="1"/>
  <c r="AY230" i="4"/>
  <c r="AT230" i="4"/>
  <c r="CI678" i="4" s="1"/>
  <c r="AO230" i="4"/>
  <c r="AN230" i="4"/>
  <c r="AM230" i="4"/>
  <c r="CJ676" i="4" s="1"/>
  <c r="AU230" i="4"/>
  <c r="CJ678" i="4" s="1"/>
  <c r="AV230" i="4"/>
  <c r="BO230" i="4"/>
  <c r="AL230" i="4"/>
  <c r="CI676" i="4" s="1"/>
  <c r="AK230" i="4"/>
  <c r="AI230" i="4"/>
  <c r="AJ230" i="4"/>
  <c r="AH230" i="4"/>
  <c r="AG230" i="4"/>
  <c r="AD230" i="4"/>
  <c r="AC230" i="4"/>
  <c r="AB230" i="4"/>
  <c r="AF230" i="4"/>
  <c r="AA230" i="4"/>
  <c r="AE230" i="4"/>
  <c r="CG456" i="4"/>
  <c r="CE456" i="4"/>
  <c r="CD456" i="4"/>
  <c r="CC456" i="4"/>
  <c r="CQ1356" i="4" s="1"/>
  <c r="CF456" i="4"/>
  <c r="CB456" i="4"/>
  <c r="CP1356" i="4" s="1"/>
  <c r="BZ456" i="4"/>
  <c r="BY456" i="4"/>
  <c r="CQ1355" i="4" s="1"/>
  <c r="BX456" i="4"/>
  <c r="CP1355" i="4" s="1"/>
  <c r="BW456" i="4"/>
  <c r="BV456" i="4"/>
  <c r="BU456" i="4"/>
  <c r="CQ1354" i="4" s="1"/>
  <c r="BT456" i="4"/>
  <c r="CP1354" i="4" s="1"/>
  <c r="BS456" i="4"/>
  <c r="BR456" i="4"/>
  <c r="BQ456" i="4"/>
  <c r="BP456" i="4"/>
  <c r="BM456" i="4"/>
  <c r="BL456" i="4"/>
  <c r="BK456" i="4"/>
  <c r="CA456" i="4"/>
  <c r="BN456" i="4"/>
  <c r="BE456" i="4"/>
  <c r="AY456" i="4"/>
  <c r="BH456" i="4"/>
  <c r="BG456" i="4"/>
  <c r="BO456" i="4"/>
  <c r="BI456" i="4"/>
  <c r="BJ456" i="4"/>
  <c r="AX456" i="4"/>
  <c r="AW456" i="4"/>
  <c r="AT456" i="4"/>
  <c r="CI1356" i="4" s="1"/>
  <c r="AU456" i="4"/>
  <c r="CJ1356" i="4" s="1"/>
  <c r="AV456" i="4"/>
  <c r="AS456" i="4"/>
  <c r="BF456" i="4"/>
  <c r="AO456" i="4"/>
  <c r="AQ456" i="4"/>
  <c r="CJ1355" i="4" s="1"/>
  <c r="AR456" i="4"/>
  <c r="AM456" i="4"/>
  <c r="CJ1354" i="4" s="1"/>
  <c r="AP456" i="4"/>
  <c r="CI1355" i="4" s="1"/>
  <c r="AK456" i="4"/>
  <c r="AN456" i="4"/>
  <c r="AJ456" i="4"/>
  <c r="AH456" i="4"/>
  <c r="AL456" i="4"/>
  <c r="CI1354" i="4" s="1"/>
  <c r="AG456" i="4"/>
  <c r="AI456" i="4"/>
  <c r="AC456" i="4"/>
  <c r="AF456" i="4"/>
  <c r="AD456" i="4"/>
  <c r="AE456" i="4"/>
  <c r="AB456" i="4"/>
  <c r="AA456" i="4"/>
  <c r="CF335" i="4"/>
  <c r="CE335" i="4"/>
  <c r="CG335" i="4"/>
  <c r="CC335" i="4"/>
  <c r="CQ993" i="4" s="1"/>
  <c r="CA335" i="4"/>
  <c r="CD335" i="4"/>
  <c r="BZ335" i="4"/>
  <c r="BY335" i="4"/>
  <c r="CQ992" i="4" s="1"/>
  <c r="BX335" i="4"/>
  <c r="CP992" i="4" s="1"/>
  <c r="BV335" i="4"/>
  <c r="BU335" i="4"/>
  <c r="CQ991" i="4" s="1"/>
  <c r="BS335" i="4"/>
  <c r="BR335" i="4"/>
  <c r="BW335" i="4"/>
  <c r="BT335" i="4"/>
  <c r="CP991" i="4" s="1"/>
  <c r="BM335" i="4"/>
  <c r="BL335" i="4"/>
  <c r="BQ335" i="4"/>
  <c r="BK335" i="4"/>
  <c r="BO335" i="4"/>
  <c r="BJ335" i="4"/>
  <c r="BP335" i="4"/>
  <c r="BI335" i="4"/>
  <c r="BN335" i="4"/>
  <c r="BH335" i="4"/>
  <c r="BF335" i="4"/>
  <c r="CB335" i="4"/>
  <c r="CP993" i="4" s="1"/>
  <c r="BG335" i="4"/>
  <c r="AX335" i="4"/>
  <c r="AW335" i="4"/>
  <c r="AY335" i="4"/>
  <c r="AT335" i="4"/>
  <c r="CI993" i="4" s="1"/>
  <c r="AQ335" i="4"/>
  <c r="CJ992" i="4" s="1"/>
  <c r="AV335" i="4"/>
  <c r="BE335" i="4"/>
  <c r="AR335" i="4"/>
  <c r="AU335" i="4"/>
  <c r="CJ993" i="4" s="1"/>
  <c r="AN335" i="4"/>
  <c r="AS335" i="4"/>
  <c r="AK335" i="4"/>
  <c r="AP335" i="4"/>
  <c r="CI992" i="4" s="1"/>
  <c r="AM335" i="4"/>
  <c r="CJ991" i="4" s="1"/>
  <c r="AO335" i="4"/>
  <c r="AL335" i="4"/>
  <c r="CI991" i="4" s="1"/>
  <c r="AI335" i="4"/>
  <c r="AG335" i="4"/>
  <c r="AJ335" i="4"/>
  <c r="AF335" i="4"/>
  <c r="AE335" i="4"/>
  <c r="AH335" i="4"/>
  <c r="AD335" i="4"/>
  <c r="AB335" i="4"/>
  <c r="AA335" i="4"/>
  <c r="AC335" i="4"/>
  <c r="CE70" i="4"/>
  <c r="CG70" i="4"/>
  <c r="CF70" i="4"/>
  <c r="CB70" i="4"/>
  <c r="CP198" i="4" s="1"/>
  <c r="CD70" i="4"/>
  <c r="BY70" i="4"/>
  <c r="CQ197" i="4" s="1"/>
  <c r="BX70" i="4"/>
  <c r="CP197" i="4" s="1"/>
  <c r="BW70" i="4"/>
  <c r="BV70" i="4"/>
  <c r="BQ70" i="4"/>
  <c r="BU70" i="4"/>
  <c r="CQ196" i="4" s="1"/>
  <c r="CA70" i="4"/>
  <c r="BO70" i="4"/>
  <c r="BN70" i="4"/>
  <c r="BP70" i="4"/>
  <c r="BM70" i="4"/>
  <c r="CC70" i="4"/>
  <c r="CQ198" i="4" s="1"/>
  <c r="BS70" i="4"/>
  <c r="BZ70" i="4"/>
  <c r="BT70" i="4"/>
  <c r="CP196" i="4" s="1"/>
  <c r="BL70" i="4"/>
  <c r="BF70" i="4"/>
  <c r="BE70" i="4"/>
  <c r="BR70" i="4"/>
  <c r="BJ70" i="4"/>
  <c r="BH70" i="4"/>
  <c r="BK70" i="4"/>
  <c r="BI70" i="4"/>
  <c r="AV70" i="4"/>
  <c r="AY70" i="4"/>
  <c r="AT70" i="4"/>
  <c r="CI198" i="4" s="1"/>
  <c r="AS70" i="4"/>
  <c r="AR70" i="4"/>
  <c r="AQ70" i="4"/>
  <c r="CJ197" i="4" s="1"/>
  <c r="AP70" i="4"/>
  <c r="CI197" i="4" s="1"/>
  <c r="BG70" i="4"/>
  <c r="AX70" i="4"/>
  <c r="AO70" i="4"/>
  <c r="AN70" i="4"/>
  <c r="AM70" i="4"/>
  <c r="CJ196" i="4" s="1"/>
  <c r="AL70" i="4"/>
  <c r="CI196" i="4" s="1"/>
  <c r="AU70" i="4"/>
  <c r="CJ198" i="4" s="1"/>
  <c r="AW70" i="4"/>
  <c r="AJ70" i="4"/>
  <c r="AK70" i="4"/>
  <c r="AG70" i="4"/>
  <c r="AI70" i="4"/>
  <c r="AH70" i="4"/>
  <c r="AF70" i="4"/>
  <c r="AA70" i="4"/>
  <c r="AE70" i="4"/>
  <c r="AC70" i="4"/>
  <c r="AD70" i="4"/>
  <c r="AB70" i="4"/>
  <c r="CF450" i="4"/>
  <c r="CG450" i="4"/>
  <c r="BZ450" i="4"/>
  <c r="BY450" i="4"/>
  <c r="CQ1337" i="4" s="1"/>
  <c r="BX450" i="4"/>
  <c r="CP1337" i="4" s="1"/>
  <c r="BW450" i="4"/>
  <c r="CA450" i="4"/>
  <c r="CC450" i="4"/>
  <c r="CQ1338" i="4" s="1"/>
  <c r="CE450" i="4"/>
  <c r="BU450" i="4"/>
  <c r="CQ1336" i="4" s="1"/>
  <c r="BT450" i="4"/>
  <c r="CP1336" i="4" s="1"/>
  <c r="BS450" i="4"/>
  <c r="BR450" i="4"/>
  <c r="BQ450" i="4"/>
  <c r="BP450" i="4"/>
  <c r="CD450" i="4"/>
  <c r="BV450" i="4"/>
  <c r="BO450" i="4"/>
  <c r="BN450" i="4"/>
  <c r="BK450" i="4"/>
  <c r="BM450" i="4"/>
  <c r="BL450" i="4"/>
  <c r="BH450" i="4"/>
  <c r="BG450" i="4"/>
  <c r="BF450" i="4"/>
  <c r="BJ450" i="4"/>
  <c r="CB450" i="4"/>
  <c r="CP1338" i="4" s="1"/>
  <c r="AX450" i="4"/>
  <c r="BI450" i="4"/>
  <c r="BE450" i="4"/>
  <c r="AV450" i="4"/>
  <c r="AY450" i="4"/>
  <c r="AR450" i="4"/>
  <c r="AW450" i="4"/>
  <c r="AU450" i="4"/>
  <c r="CJ1338" i="4" s="1"/>
  <c r="AS450" i="4"/>
  <c r="AT450" i="4"/>
  <c r="CI1338" i="4" s="1"/>
  <c r="AN450" i="4"/>
  <c r="AI450" i="4"/>
  <c r="AQ450" i="4"/>
  <c r="CJ1337" i="4" s="1"/>
  <c r="AL450" i="4"/>
  <c r="CI1336" i="4" s="1"/>
  <c r="AK450" i="4"/>
  <c r="AP450" i="4"/>
  <c r="CI1337" i="4" s="1"/>
  <c r="AO450" i="4"/>
  <c r="AH450" i="4"/>
  <c r="AM450" i="4"/>
  <c r="CJ1336" i="4" s="1"/>
  <c r="AF450" i="4"/>
  <c r="AD450" i="4"/>
  <c r="AE450" i="4"/>
  <c r="AB450" i="4"/>
  <c r="AA450" i="4"/>
  <c r="AJ450" i="4"/>
  <c r="AG450" i="4"/>
  <c r="AC450" i="4"/>
  <c r="R19" i="4"/>
  <c r="CF406" i="4"/>
  <c r="CA406" i="4"/>
  <c r="CD406" i="4"/>
  <c r="CB406" i="4"/>
  <c r="CP1206" i="4" s="1"/>
  <c r="BZ406" i="4"/>
  <c r="BY406" i="4"/>
  <c r="CQ1205" i="4" s="1"/>
  <c r="BV406" i="4"/>
  <c r="CC406" i="4"/>
  <c r="CQ1206" i="4" s="1"/>
  <c r="CG406" i="4"/>
  <c r="CE406" i="4"/>
  <c r="BX406" i="4"/>
  <c r="CP1205" i="4" s="1"/>
  <c r="BW406" i="4"/>
  <c r="BP406" i="4"/>
  <c r="BT406" i="4"/>
  <c r="CP1204" i="4" s="1"/>
  <c r="BS406" i="4"/>
  <c r="BU406" i="4"/>
  <c r="CQ1204" i="4" s="1"/>
  <c r="BN406" i="4"/>
  <c r="BM406" i="4"/>
  <c r="BL406" i="4"/>
  <c r="BR406" i="4"/>
  <c r="BJ406" i="4"/>
  <c r="BQ406" i="4"/>
  <c r="BH406" i="4"/>
  <c r="BO406" i="4"/>
  <c r="BG406" i="4"/>
  <c r="BI406" i="4"/>
  <c r="AT406" i="4"/>
  <c r="CI1206" i="4" s="1"/>
  <c r="AS406" i="4"/>
  <c r="AR406" i="4"/>
  <c r="AQ406" i="4"/>
  <c r="CJ1205" i="4" s="1"/>
  <c r="AP406" i="4"/>
  <c r="CI1205" i="4" s="1"/>
  <c r="BF406" i="4"/>
  <c r="AX406" i="4"/>
  <c r="BK406" i="4"/>
  <c r="AW406" i="4"/>
  <c r="AO406" i="4"/>
  <c r="AN406" i="4"/>
  <c r="AM406" i="4"/>
  <c r="CJ1204" i="4" s="1"/>
  <c r="AU406" i="4"/>
  <c r="CJ1206" i="4" s="1"/>
  <c r="AY406" i="4"/>
  <c r="BE406" i="4"/>
  <c r="AV406" i="4"/>
  <c r="AL406" i="4"/>
  <c r="CI1204" i="4" s="1"/>
  <c r="AH406" i="4"/>
  <c r="AJ406" i="4"/>
  <c r="AK406" i="4"/>
  <c r="AG406" i="4"/>
  <c r="AA406" i="4"/>
  <c r="AI406" i="4"/>
  <c r="AF406" i="4"/>
  <c r="AB406" i="4"/>
  <c r="AC406" i="4"/>
  <c r="AE406" i="4"/>
  <c r="AD406" i="4"/>
  <c r="CF107" i="4"/>
  <c r="CE107" i="4"/>
  <c r="CD107" i="4"/>
  <c r="CC107" i="4"/>
  <c r="CQ309" i="4" s="1"/>
  <c r="CB107" i="4"/>
  <c r="CP309" i="4" s="1"/>
  <c r="CA107" i="4"/>
  <c r="CG107" i="4"/>
  <c r="BY107" i="4"/>
  <c r="CQ308" i="4" s="1"/>
  <c r="BW107" i="4"/>
  <c r="BT107" i="4"/>
  <c r="CP307" i="4" s="1"/>
  <c r="BS107" i="4"/>
  <c r="BR107" i="4"/>
  <c r="BQ107" i="4"/>
  <c r="BP107" i="4"/>
  <c r="BO107" i="4"/>
  <c r="BZ107" i="4"/>
  <c r="BU107" i="4"/>
  <c r="CQ307" i="4" s="1"/>
  <c r="BX107" i="4"/>
  <c r="CP308" i="4" s="1"/>
  <c r="BN107" i="4"/>
  <c r="BM107" i="4"/>
  <c r="BJ107" i="4"/>
  <c r="BI107" i="4"/>
  <c r="BH107" i="4"/>
  <c r="BL107" i="4"/>
  <c r="BV107" i="4"/>
  <c r="BK107" i="4"/>
  <c r="BG107" i="4"/>
  <c r="BF107" i="4"/>
  <c r="BE107" i="4"/>
  <c r="AX107" i="4"/>
  <c r="AW107" i="4"/>
  <c r="AQ107" i="4"/>
  <c r="CJ308" i="4" s="1"/>
  <c r="AY107" i="4"/>
  <c r="AT107" i="4"/>
  <c r="CI309" i="4" s="1"/>
  <c r="AV107" i="4"/>
  <c r="AU107" i="4"/>
  <c r="CJ309" i="4" s="1"/>
  <c r="AS107" i="4"/>
  <c r="AP107" i="4"/>
  <c r="CI308" i="4" s="1"/>
  <c r="AO107" i="4"/>
  <c r="AR107" i="4"/>
  <c r="AM107" i="4"/>
  <c r="CJ307" i="4" s="1"/>
  <c r="AN107" i="4"/>
  <c r="AJ107" i="4"/>
  <c r="AK107" i="4"/>
  <c r="AL107" i="4"/>
  <c r="CI307" i="4" s="1"/>
  <c r="AF107" i="4"/>
  <c r="AI107" i="4"/>
  <c r="AH107" i="4"/>
  <c r="AD107" i="4"/>
  <c r="AC107" i="4"/>
  <c r="AA107" i="4"/>
  <c r="AE107" i="4"/>
  <c r="AG107" i="4"/>
  <c r="AB107" i="4"/>
  <c r="CG473" i="4"/>
  <c r="CF473" i="4"/>
  <c r="CC473" i="4"/>
  <c r="CQ1407" i="4" s="1"/>
  <c r="BZ473" i="4"/>
  <c r="BY473" i="4"/>
  <c r="CQ1406" i="4" s="1"/>
  <c r="CE473" i="4"/>
  <c r="CB473" i="4"/>
  <c r="CP1407" i="4" s="1"/>
  <c r="CD473" i="4"/>
  <c r="BV473" i="4"/>
  <c r="BU473" i="4"/>
  <c r="CQ1405" i="4" s="1"/>
  <c r="BX473" i="4"/>
  <c r="CP1406" i="4" s="1"/>
  <c r="BS473" i="4"/>
  <c r="BM473" i="4"/>
  <c r="BL473" i="4"/>
  <c r="BR473" i="4"/>
  <c r="CA473" i="4"/>
  <c r="BP473" i="4"/>
  <c r="BO473" i="4"/>
  <c r="BT473" i="4"/>
  <c r="CP1405" i="4" s="1"/>
  <c r="BW473" i="4"/>
  <c r="BQ473" i="4"/>
  <c r="BK473" i="4"/>
  <c r="BE473" i="4"/>
  <c r="AY473" i="4"/>
  <c r="BJ473" i="4"/>
  <c r="BN473" i="4"/>
  <c r="BH473" i="4"/>
  <c r="BG473" i="4"/>
  <c r="BF473" i="4"/>
  <c r="AX473" i="4"/>
  <c r="BI473" i="4"/>
  <c r="AW473" i="4"/>
  <c r="AT473" i="4"/>
  <c r="CI1407" i="4" s="1"/>
  <c r="AV473" i="4"/>
  <c r="AU473" i="4"/>
  <c r="CJ1407" i="4" s="1"/>
  <c r="AQ473" i="4"/>
  <c r="CJ1406" i="4" s="1"/>
  <c r="AO473" i="4"/>
  <c r="AM473" i="4"/>
  <c r="CJ1405" i="4" s="1"/>
  <c r="AR473" i="4"/>
  <c r="AS473" i="4"/>
  <c r="AN473" i="4"/>
  <c r="AK473" i="4"/>
  <c r="AJ473" i="4"/>
  <c r="AP473" i="4"/>
  <c r="CI1406" i="4" s="1"/>
  <c r="AL473" i="4"/>
  <c r="CI1405" i="4" s="1"/>
  <c r="AH473" i="4"/>
  <c r="AI473" i="4"/>
  <c r="AG473" i="4"/>
  <c r="AF473" i="4"/>
  <c r="AC473" i="4"/>
  <c r="AB473" i="4"/>
  <c r="AA473" i="4"/>
  <c r="AD473" i="4"/>
  <c r="AE473" i="4"/>
  <c r="R123" i="4"/>
  <c r="CF346" i="4"/>
  <c r="CE346" i="4"/>
  <c r="CD346" i="4"/>
  <c r="CC346" i="4"/>
  <c r="CQ1026" i="4" s="1"/>
  <c r="CB346" i="4"/>
  <c r="CP1026" i="4" s="1"/>
  <c r="CA346" i="4"/>
  <c r="CG346" i="4"/>
  <c r="BZ346" i="4"/>
  <c r="BY346" i="4"/>
  <c r="CQ1025" i="4" s="1"/>
  <c r="BX346" i="4"/>
  <c r="CP1025" i="4" s="1"/>
  <c r="BT346" i="4"/>
  <c r="CP1024" i="4" s="1"/>
  <c r="BS346" i="4"/>
  <c r="BR346" i="4"/>
  <c r="BQ346" i="4"/>
  <c r="BP346" i="4"/>
  <c r="BO346" i="4"/>
  <c r="BW346" i="4"/>
  <c r="BU346" i="4"/>
  <c r="CQ1024" i="4" s="1"/>
  <c r="BM346" i="4"/>
  <c r="BN346" i="4"/>
  <c r="BV346" i="4"/>
  <c r="BL346" i="4"/>
  <c r="BK346" i="4"/>
  <c r="BJ346" i="4"/>
  <c r="BI346" i="4"/>
  <c r="BG346" i="4"/>
  <c r="BH346" i="4"/>
  <c r="BF346" i="4"/>
  <c r="AY346" i="4"/>
  <c r="AX346" i="4"/>
  <c r="BE346" i="4"/>
  <c r="AW346" i="4"/>
  <c r="AV346" i="4"/>
  <c r="AU346" i="4"/>
  <c r="CJ1026" i="4" s="1"/>
  <c r="AQ346" i="4"/>
  <c r="CJ1025" i="4" s="1"/>
  <c r="AR346" i="4"/>
  <c r="AO346" i="4"/>
  <c r="AS346" i="4"/>
  <c r="AT346" i="4"/>
  <c r="CI1026" i="4" s="1"/>
  <c r="AP346" i="4"/>
  <c r="CI1025" i="4" s="1"/>
  <c r="AJ346" i="4"/>
  <c r="AN346" i="4"/>
  <c r="AL346" i="4"/>
  <c r="CI1024" i="4" s="1"/>
  <c r="AM346" i="4"/>
  <c r="CJ1024" i="4" s="1"/>
  <c r="AH346" i="4"/>
  <c r="AI346" i="4"/>
  <c r="AC346" i="4"/>
  <c r="AE346" i="4"/>
  <c r="AA346" i="4"/>
  <c r="AF346" i="4"/>
  <c r="AB346" i="4"/>
  <c r="AK346" i="4"/>
  <c r="AG346" i="4"/>
  <c r="AD346" i="4"/>
  <c r="CG116" i="4"/>
  <c r="CF116" i="4"/>
  <c r="CE116" i="4"/>
  <c r="CA116" i="4"/>
  <c r="BZ116" i="4"/>
  <c r="CD116" i="4"/>
  <c r="CB116" i="4"/>
  <c r="CP336" i="4" s="1"/>
  <c r="CC116" i="4"/>
  <c r="CQ336" i="4" s="1"/>
  <c r="BV116" i="4"/>
  <c r="BY116" i="4"/>
  <c r="CQ335" i="4" s="1"/>
  <c r="BW116" i="4"/>
  <c r="BU116" i="4"/>
  <c r="CQ334" i="4" s="1"/>
  <c r="BT116" i="4"/>
  <c r="CP334" i="4" s="1"/>
  <c r="BM116" i="4"/>
  <c r="BQ116" i="4"/>
  <c r="BX116" i="4"/>
  <c r="CP335" i="4" s="1"/>
  <c r="BS116" i="4"/>
  <c r="BP116" i="4"/>
  <c r="BN116" i="4"/>
  <c r="BR116" i="4"/>
  <c r="BO116" i="4"/>
  <c r="BL116" i="4"/>
  <c r="BJ116" i="4"/>
  <c r="BI116" i="4"/>
  <c r="BH116" i="4"/>
  <c r="BK116" i="4"/>
  <c r="BG116" i="4"/>
  <c r="AY116" i="4"/>
  <c r="BE116" i="4"/>
  <c r="AX116" i="4"/>
  <c r="BF116" i="4"/>
  <c r="AU116" i="4"/>
  <c r="CJ336" i="4" s="1"/>
  <c r="AV116" i="4"/>
  <c r="AS116" i="4"/>
  <c r="AW116" i="4"/>
  <c r="AT116" i="4"/>
  <c r="CI336" i="4" s="1"/>
  <c r="AN116" i="4"/>
  <c r="AQ116" i="4"/>
  <c r="CJ335" i="4" s="1"/>
  <c r="AM116" i="4"/>
  <c r="CJ334" i="4" s="1"/>
  <c r="AP116" i="4"/>
  <c r="CI335" i="4" s="1"/>
  <c r="AL116" i="4"/>
  <c r="CI334" i="4" s="1"/>
  <c r="AK116" i="4"/>
  <c r="AR116" i="4"/>
  <c r="AO116" i="4"/>
  <c r="AI116" i="4"/>
  <c r="AH116" i="4"/>
  <c r="AJ116" i="4"/>
  <c r="AA116" i="4"/>
  <c r="AG116" i="4"/>
  <c r="AB116" i="4"/>
  <c r="AE116" i="4"/>
  <c r="AD116" i="4"/>
  <c r="AC116" i="4"/>
  <c r="AF116" i="4"/>
  <c r="CE459" i="4"/>
  <c r="CD459" i="4"/>
  <c r="CC459" i="4"/>
  <c r="CQ1365" i="4" s="1"/>
  <c r="CB459" i="4"/>
  <c r="CP1365" i="4" s="1"/>
  <c r="CA459" i="4"/>
  <c r="CF459" i="4"/>
  <c r="CG459" i="4"/>
  <c r="BT459" i="4"/>
  <c r="CP1363" i="4" s="1"/>
  <c r="BS459" i="4"/>
  <c r="BR459" i="4"/>
  <c r="BQ459" i="4"/>
  <c r="BP459" i="4"/>
  <c r="BW459" i="4"/>
  <c r="BZ459" i="4"/>
  <c r="BU459" i="4"/>
  <c r="CQ1363" i="4" s="1"/>
  <c r="BX459" i="4"/>
  <c r="CP1364" i="4" s="1"/>
  <c r="BN459" i="4"/>
  <c r="BV459" i="4"/>
  <c r="BY459" i="4"/>
  <c r="CQ1364" i="4" s="1"/>
  <c r="BO459" i="4"/>
  <c r="BJ459" i="4"/>
  <c r="BI459" i="4"/>
  <c r="BM459" i="4"/>
  <c r="BH459" i="4"/>
  <c r="BL459" i="4"/>
  <c r="BG459" i="4"/>
  <c r="AY459" i="4"/>
  <c r="AW459" i="4"/>
  <c r="AT459" i="4"/>
  <c r="CI1365" i="4" s="1"/>
  <c r="AS459" i="4"/>
  <c r="BE459" i="4"/>
  <c r="AV459" i="4"/>
  <c r="BK459" i="4"/>
  <c r="BF459" i="4"/>
  <c r="AQ459" i="4"/>
  <c r="CJ1364" i="4" s="1"/>
  <c r="AU459" i="4"/>
  <c r="CJ1365" i="4" s="1"/>
  <c r="AP459" i="4"/>
  <c r="CI1364" i="4" s="1"/>
  <c r="AR459" i="4"/>
  <c r="AM459" i="4"/>
  <c r="CJ1363" i="4" s="1"/>
  <c r="AO459" i="4"/>
  <c r="AN459" i="4"/>
  <c r="AJ459" i="4"/>
  <c r="AH459" i="4"/>
  <c r="AL459" i="4"/>
  <c r="CI1363" i="4" s="1"/>
  <c r="AK459" i="4"/>
  <c r="AX459" i="4"/>
  <c r="AB459" i="4"/>
  <c r="AI459" i="4"/>
  <c r="AE459" i="4"/>
  <c r="AA459" i="4"/>
  <c r="AC459" i="4"/>
  <c r="AF459" i="4"/>
  <c r="AD459" i="4"/>
  <c r="AG459" i="4"/>
  <c r="CD205" i="4"/>
  <c r="CC205" i="4"/>
  <c r="CQ603" i="4" s="1"/>
  <c r="CE205" i="4"/>
  <c r="CA205" i="4"/>
  <c r="CB205" i="4"/>
  <c r="CP603" i="4" s="1"/>
  <c r="CG205" i="4"/>
  <c r="CF205" i="4"/>
  <c r="BV205" i="4"/>
  <c r="BS205" i="4"/>
  <c r="BR205" i="4"/>
  <c r="BQ205" i="4"/>
  <c r="BW205" i="4"/>
  <c r="BX205" i="4"/>
  <c r="CP602" i="4" s="1"/>
  <c r="BY205" i="4"/>
  <c r="CQ602" i="4" s="1"/>
  <c r="BU205" i="4"/>
  <c r="CQ601" i="4" s="1"/>
  <c r="BP205" i="4"/>
  <c r="BN205" i="4"/>
  <c r="BZ205" i="4"/>
  <c r="BM205" i="4"/>
  <c r="BL205" i="4"/>
  <c r="BJ205" i="4"/>
  <c r="BO205" i="4"/>
  <c r="BH205" i="4"/>
  <c r="BT205" i="4"/>
  <c r="CP601" i="4" s="1"/>
  <c r="BE205" i="4"/>
  <c r="BF205" i="4"/>
  <c r="AV205" i="4"/>
  <c r="AY205" i="4"/>
  <c r="BK205" i="4"/>
  <c r="AX205" i="4"/>
  <c r="AU205" i="4"/>
  <c r="CJ603" i="4" s="1"/>
  <c r="AS205" i="4"/>
  <c r="BI205" i="4"/>
  <c r="AT205" i="4"/>
  <c r="CI603" i="4" s="1"/>
  <c r="BG205" i="4"/>
  <c r="AR205" i="4"/>
  <c r="AP205" i="4"/>
  <c r="CI602" i="4" s="1"/>
  <c r="AQ205" i="4"/>
  <c r="CJ602" i="4" s="1"/>
  <c r="AO205" i="4"/>
  <c r="AW205" i="4"/>
  <c r="AM205" i="4"/>
  <c r="CJ601" i="4" s="1"/>
  <c r="AK205" i="4"/>
  <c r="AJ205" i="4"/>
  <c r="AL205" i="4"/>
  <c r="CI601" i="4" s="1"/>
  <c r="AG205" i="4"/>
  <c r="AF205" i="4"/>
  <c r="AE205" i="4"/>
  <c r="AI205" i="4"/>
  <c r="AN205" i="4"/>
  <c r="AC205" i="4"/>
  <c r="AB205" i="4"/>
  <c r="AA205" i="4"/>
  <c r="AD205" i="4"/>
  <c r="AH205" i="4"/>
  <c r="CF441" i="4"/>
  <c r="CA441" i="4"/>
  <c r="CG441" i="4"/>
  <c r="CC441" i="4"/>
  <c r="CQ1311" i="4" s="1"/>
  <c r="CB441" i="4"/>
  <c r="CP1311" i="4" s="1"/>
  <c r="CD441" i="4"/>
  <c r="BZ441" i="4"/>
  <c r="BY441" i="4"/>
  <c r="CQ1310" i="4" s="1"/>
  <c r="BX441" i="4"/>
  <c r="CP1310" i="4" s="1"/>
  <c r="BW441" i="4"/>
  <c r="BV441" i="4"/>
  <c r="BU441" i="4"/>
  <c r="CQ1309" i="4" s="1"/>
  <c r="BT441" i="4"/>
  <c r="CP1309" i="4" s="1"/>
  <c r="BM441" i="4"/>
  <c r="BL441" i="4"/>
  <c r="BS441" i="4"/>
  <c r="BP441" i="4"/>
  <c r="BR441" i="4"/>
  <c r="BQ441" i="4"/>
  <c r="BN441" i="4"/>
  <c r="BO441" i="4"/>
  <c r="BE441" i="4"/>
  <c r="AY441" i="4"/>
  <c r="BK441" i="4"/>
  <c r="BJ441" i="4"/>
  <c r="BI441" i="4"/>
  <c r="CE441" i="4"/>
  <c r="BH441" i="4"/>
  <c r="BG441" i="4"/>
  <c r="BF441" i="4"/>
  <c r="AX441" i="4"/>
  <c r="AT441" i="4"/>
  <c r="CI1311" i="4" s="1"/>
  <c r="AW441" i="4"/>
  <c r="AR441" i="4"/>
  <c r="AU441" i="4"/>
  <c r="CJ1311" i="4" s="1"/>
  <c r="AQ441" i="4"/>
  <c r="CJ1310" i="4" s="1"/>
  <c r="AS441" i="4"/>
  <c r="AN441" i="4"/>
  <c r="AP441" i="4"/>
  <c r="CI1310" i="4" s="1"/>
  <c r="AM441" i="4"/>
  <c r="CJ1309" i="4" s="1"/>
  <c r="AK441" i="4"/>
  <c r="AJ441" i="4"/>
  <c r="AH441" i="4"/>
  <c r="AV441" i="4"/>
  <c r="AG441" i="4"/>
  <c r="AO441" i="4"/>
  <c r="AI441" i="4"/>
  <c r="AA441" i="4"/>
  <c r="AE441" i="4"/>
  <c r="AB441" i="4"/>
  <c r="AL441" i="4"/>
  <c r="CI1309" i="4" s="1"/>
  <c r="AC441" i="4"/>
  <c r="AF441" i="4"/>
  <c r="AD441" i="4"/>
  <c r="CG271" i="4"/>
  <c r="CD271" i="4"/>
  <c r="CC271" i="4"/>
  <c r="CQ801" i="4" s="1"/>
  <c r="CE271" i="4"/>
  <c r="BZ271" i="4"/>
  <c r="BY271" i="4"/>
  <c r="CQ800" i="4" s="1"/>
  <c r="BW271" i="4"/>
  <c r="CF271" i="4"/>
  <c r="BS271" i="4"/>
  <c r="BR271" i="4"/>
  <c r="BU271" i="4"/>
  <c r="CQ799" i="4" s="1"/>
  <c r="BT271" i="4"/>
  <c r="CP799" i="4" s="1"/>
  <c r="BX271" i="4"/>
  <c r="CP800" i="4" s="1"/>
  <c r="BV271" i="4"/>
  <c r="BO271" i="4"/>
  <c r="CB271" i="4"/>
  <c r="CP801" i="4" s="1"/>
  <c r="BP271" i="4"/>
  <c r="BM271" i="4"/>
  <c r="BL271" i="4"/>
  <c r="BQ271" i="4"/>
  <c r="BJ271" i="4"/>
  <c r="CA271" i="4"/>
  <c r="BN271" i="4"/>
  <c r="BK271" i="4"/>
  <c r="BI271" i="4"/>
  <c r="BH271" i="4"/>
  <c r="AY271" i="4"/>
  <c r="BE271" i="4"/>
  <c r="AX271" i="4"/>
  <c r="BF271" i="4"/>
  <c r="BG271" i="4"/>
  <c r="AU271" i="4"/>
  <c r="CJ801" i="4" s="1"/>
  <c r="AW271" i="4"/>
  <c r="AS271" i="4"/>
  <c r="AV271" i="4"/>
  <c r="AR271" i="4"/>
  <c r="AO271" i="4"/>
  <c r="AP271" i="4"/>
  <c r="CI800" i="4" s="1"/>
  <c r="AQ271" i="4"/>
  <c r="CJ800" i="4" s="1"/>
  <c r="AM271" i="4"/>
  <c r="CJ799" i="4" s="1"/>
  <c r="AN271" i="4"/>
  <c r="AT271" i="4"/>
  <c r="CI801" i="4" s="1"/>
  <c r="AK271" i="4"/>
  <c r="AH271" i="4"/>
  <c r="AJ271" i="4"/>
  <c r="AL271" i="4"/>
  <c r="CI799" i="4" s="1"/>
  <c r="AI271" i="4"/>
  <c r="AD271" i="4"/>
  <c r="AC271" i="4"/>
  <c r="AF271" i="4"/>
  <c r="AG271" i="4"/>
  <c r="AE271" i="4"/>
  <c r="AA271" i="4"/>
  <c r="AB271" i="4"/>
  <c r="CG439" i="4"/>
  <c r="CF439" i="4"/>
  <c r="CE439" i="4"/>
  <c r="CD439" i="4"/>
  <c r="CC439" i="4"/>
  <c r="CQ1305" i="4" s="1"/>
  <c r="CB439" i="4"/>
  <c r="CP1305" i="4" s="1"/>
  <c r="BZ439" i="4"/>
  <c r="BY439" i="4"/>
  <c r="CQ1304" i="4" s="1"/>
  <c r="BX439" i="4"/>
  <c r="CP1304" i="4" s="1"/>
  <c r="BW439" i="4"/>
  <c r="CA439" i="4"/>
  <c r="BV439" i="4"/>
  <c r="BU439" i="4"/>
  <c r="CQ1303" i="4" s="1"/>
  <c r="BT439" i="4"/>
  <c r="CP1303" i="4" s="1"/>
  <c r="BM439" i="4"/>
  <c r="BL439" i="4"/>
  <c r="BS439" i="4"/>
  <c r="BP439" i="4"/>
  <c r="BR439" i="4"/>
  <c r="BQ439" i="4"/>
  <c r="BN439" i="4"/>
  <c r="BO439" i="4"/>
  <c r="BK439" i="4"/>
  <c r="BJ439" i="4"/>
  <c r="BI439" i="4"/>
  <c r="BH439" i="4"/>
  <c r="BG439" i="4"/>
  <c r="BE439" i="4"/>
  <c r="AY439" i="4"/>
  <c r="BF439" i="4"/>
  <c r="AX439" i="4"/>
  <c r="AW439" i="4"/>
  <c r="AT439" i="4"/>
  <c r="CI1305" i="4" s="1"/>
  <c r="AU439" i="4"/>
  <c r="CJ1305" i="4" s="1"/>
  <c r="AV439" i="4"/>
  <c r="AR439" i="4"/>
  <c r="AP439" i="4"/>
  <c r="CI1304" i="4" s="1"/>
  <c r="AO439" i="4"/>
  <c r="AS439" i="4"/>
  <c r="AM439" i="4"/>
  <c r="CJ1303" i="4" s="1"/>
  <c r="AQ439" i="4"/>
  <c r="CJ1304" i="4" s="1"/>
  <c r="AK439" i="4"/>
  <c r="AJ439" i="4"/>
  <c r="AN439" i="4"/>
  <c r="AH439" i="4"/>
  <c r="AL439" i="4"/>
  <c r="CI1303" i="4" s="1"/>
  <c r="AE439" i="4"/>
  <c r="AI439" i="4"/>
  <c r="AD439" i="4"/>
  <c r="AG439" i="4"/>
  <c r="AB439" i="4"/>
  <c r="AC439" i="4"/>
  <c r="AA439" i="4"/>
  <c r="AF439" i="4"/>
  <c r="CF333" i="4"/>
  <c r="CE333" i="4"/>
  <c r="CD333" i="4"/>
  <c r="CC333" i="4"/>
  <c r="CQ987" i="4" s="1"/>
  <c r="CA333" i="4"/>
  <c r="CG333" i="4"/>
  <c r="CB333" i="4"/>
  <c r="CP987" i="4" s="1"/>
  <c r="BX333" i="4"/>
  <c r="CP986" i="4" s="1"/>
  <c r="BV333" i="4"/>
  <c r="BZ333" i="4"/>
  <c r="BU333" i="4"/>
  <c r="CQ985" i="4" s="1"/>
  <c r="BS333" i="4"/>
  <c r="BR333" i="4"/>
  <c r="BQ333" i="4"/>
  <c r="BY333" i="4"/>
  <c r="CQ986" i="4" s="1"/>
  <c r="BT333" i="4"/>
  <c r="CP985" i="4" s="1"/>
  <c r="BW333" i="4"/>
  <c r="BM333" i="4"/>
  <c r="BL333" i="4"/>
  <c r="BP333" i="4"/>
  <c r="BJ333" i="4"/>
  <c r="BO333" i="4"/>
  <c r="BK333" i="4"/>
  <c r="BI333" i="4"/>
  <c r="BH333" i="4"/>
  <c r="BN333" i="4"/>
  <c r="BG333" i="4"/>
  <c r="AX333" i="4"/>
  <c r="AY333" i="4"/>
  <c r="AV333" i="4"/>
  <c r="AS333" i="4"/>
  <c r="BF333" i="4"/>
  <c r="AP333" i="4"/>
  <c r="CI986" i="4" s="1"/>
  <c r="AU333" i="4"/>
  <c r="CJ987" i="4" s="1"/>
  <c r="AT333" i="4"/>
  <c r="CI987" i="4" s="1"/>
  <c r="AQ333" i="4"/>
  <c r="CJ986" i="4" s="1"/>
  <c r="BE333" i="4"/>
  <c r="AW333" i="4"/>
  <c r="AO333" i="4"/>
  <c r="AR333" i="4"/>
  <c r="AN333" i="4"/>
  <c r="AK333" i="4"/>
  <c r="AM333" i="4"/>
  <c r="CJ985" i="4" s="1"/>
  <c r="AE333" i="4"/>
  <c r="AG333" i="4"/>
  <c r="AJ333" i="4"/>
  <c r="AI333" i="4"/>
  <c r="AD333" i="4"/>
  <c r="AB333" i="4"/>
  <c r="AL333" i="4"/>
  <c r="CI985" i="4" s="1"/>
  <c r="AA333" i="4"/>
  <c r="AF333" i="4"/>
  <c r="AC333" i="4"/>
  <c r="AH333" i="4"/>
  <c r="CD270" i="4"/>
  <c r="CC270" i="4"/>
  <c r="CQ798" i="4" s="1"/>
  <c r="CB270" i="4"/>
  <c r="CP798" i="4" s="1"/>
  <c r="CF270" i="4"/>
  <c r="CE270" i="4"/>
  <c r="CA270" i="4"/>
  <c r="BW270" i="4"/>
  <c r="BS270" i="4"/>
  <c r="BR270" i="4"/>
  <c r="BQ270" i="4"/>
  <c r="BP270" i="4"/>
  <c r="BO270" i="4"/>
  <c r="BN270" i="4"/>
  <c r="CG270" i="4"/>
  <c r="BZ270" i="4"/>
  <c r="BU270" i="4"/>
  <c r="CQ796" i="4" s="1"/>
  <c r="BY270" i="4"/>
  <c r="CQ797" i="4" s="1"/>
  <c r="BT270" i="4"/>
  <c r="CP796" i="4" s="1"/>
  <c r="BX270" i="4"/>
  <c r="CP797" i="4" s="1"/>
  <c r="BV270" i="4"/>
  <c r="BJ270" i="4"/>
  <c r="BM270" i="4"/>
  <c r="BL270" i="4"/>
  <c r="BE270" i="4"/>
  <c r="AY270" i="4"/>
  <c r="AX270" i="4"/>
  <c r="AW270" i="4"/>
  <c r="AV270" i="4"/>
  <c r="AU270" i="4"/>
  <c r="CJ798" i="4" s="1"/>
  <c r="AT270" i="4"/>
  <c r="CI798" i="4" s="1"/>
  <c r="BI270" i="4"/>
  <c r="BH270" i="4"/>
  <c r="BF270" i="4"/>
  <c r="BK270" i="4"/>
  <c r="BG270" i="4"/>
  <c r="AS270" i="4"/>
  <c r="AO270" i="4"/>
  <c r="AN270" i="4"/>
  <c r="AM270" i="4"/>
  <c r="CJ796" i="4" s="1"/>
  <c r="AR270" i="4"/>
  <c r="AQ270" i="4"/>
  <c r="CJ797" i="4" s="1"/>
  <c r="AK270" i="4"/>
  <c r="AH270" i="4"/>
  <c r="AG270" i="4"/>
  <c r="AJ270" i="4"/>
  <c r="AF270" i="4"/>
  <c r="AE270" i="4"/>
  <c r="AD270" i="4"/>
  <c r="AC270" i="4"/>
  <c r="AB270" i="4"/>
  <c r="AA270" i="4"/>
  <c r="AL270" i="4"/>
  <c r="CI796" i="4" s="1"/>
  <c r="AI270" i="4"/>
  <c r="AP270" i="4"/>
  <c r="CI797" i="4" s="1"/>
  <c r="CF369" i="4"/>
  <c r="CA369" i="4"/>
  <c r="BZ369" i="4"/>
  <c r="BY369" i="4"/>
  <c r="CQ1094" i="4" s="1"/>
  <c r="BX369" i="4"/>
  <c r="CP1094" i="4" s="1"/>
  <c r="BW369" i="4"/>
  <c r="CC369" i="4"/>
  <c r="CQ1095" i="4" s="1"/>
  <c r="CE369" i="4"/>
  <c r="BV369" i="4"/>
  <c r="CG369" i="4"/>
  <c r="BU369" i="4"/>
  <c r="CQ1093" i="4" s="1"/>
  <c r="CB369" i="4"/>
  <c r="CP1095" i="4" s="1"/>
  <c r="BT369" i="4"/>
  <c r="CP1093" i="4" s="1"/>
  <c r="BS369" i="4"/>
  <c r="BR369" i="4"/>
  <c r="BQ369" i="4"/>
  <c r="BP369" i="4"/>
  <c r="CD369" i="4"/>
  <c r="BO369" i="4"/>
  <c r="BL369" i="4"/>
  <c r="BM369" i="4"/>
  <c r="BJ369" i="4"/>
  <c r="BI369" i="4"/>
  <c r="BH369" i="4"/>
  <c r="BG369" i="4"/>
  <c r="BF369" i="4"/>
  <c r="BN369" i="4"/>
  <c r="BE369" i="4"/>
  <c r="AY369" i="4"/>
  <c r="AX369" i="4"/>
  <c r="AW369" i="4"/>
  <c r="BK369" i="4"/>
  <c r="AT369" i="4"/>
  <c r="CI1095" i="4" s="1"/>
  <c r="AV369" i="4"/>
  <c r="AQ369" i="4"/>
  <c r="CJ1094" i="4" s="1"/>
  <c r="AR369" i="4"/>
  <c r="AN369" i="4"/>
  <c r="AP369" i="4"/>
  <c r="CI1094" i="4" s="1"/>
  <c r="AS369" i="4"/>
  <c r="AO369" i="4"/>
  <c r="AM369" i="4"/>
  <c r="CJ1093" i="4" s="1"/>
  <c r="AG369" i="4"/>
  <c r="AL369" i="4"/>
  <c r="CI1093" i="4" s="1"/>
  <c r="AJ369" i="4"/>
  <c r="AU369" i="4"/>
  <c r="CJ1095" i="4" s="1"/>
  <c r="AI369" i="4"/>
  <c r="AE369" i="4"/>
  <c r="AK369" i="4"/>
  <c r="AH369" i="4"/>
  <c r="AB369" i="4"/>
  <c r="AF369" i="4"/>
  <c r="AC369" i="4"/>
  <c r="AD369" i="4"/>
  <c r="AA369" i="4"/>
  <c r="CG85" i="4"/>
  <c r="CE85" i="4"/>
  <c r="CD85" i="4"/>
  <c r="CB85" i="4"/>
  <c r="CP243" i="4" s="1"/>
  <c r="BZ85" i="4"/>
  <c r="BY85" i="4"/>
  <c r="CQ242" i="4" s="1"/>
  <c r="BX85" i="4"/>
  <c r="CP242" i="4" s="1"/>
  <c r="BW85" i="4"/>
  <c r="BV85" i="4"/>
  <c r="BU85" i="4"/>
  <c r="CQ241" i="4" s="1"/>
  <c r="BT85" i="4"/>
  <c r="CP241" i="4" s="1"/>
  <c r="CC85" i="4"/>
  <c r="CQ243" i="4" s="1"/>
  <c r="CA85" i="4"/>
  <c r="BN85" i="4"/>
  <c r="CF85" i="4"/>
  <c r="BR85" i="4"/>
  <c r="BM85" i="4"/>
  <c r="BQ85" i="4"/>
  <c r="BS85" i="4"/>
  <c r="BL85" i="4"/>
  <c r="BK85" i="4"/>
  <c r="BP85" i="4"/>
  <c r="BE85" i="4"/>
  <c r="BO85" i="4"/>
  <c r="BH85" i="4"/>
  <c r="BI85" i="4"/>
  <c r="BF85" i="4"/>
  <c r="BJ85" i="4"/>
  <c r="AV85" i="4"/>
  <c r="AY85" i="4"/>
  <c r="AW85" i="4"/>
  <c r="AT85" i="4"/>
  <c r="CI243" i="4" s="1"/>
  <c r="AU85" i="4"/>
  <c r="CJ243" i="4" s="1"/>
  <c r="AS85" i="4"/>
  <c r="AQ85" i="4"/>
  <c r="CJ242" i="4" s="1"/>
  <c r="AO85" i="4"/>
  <c r="AR85" i="4"/>
  <c r="AK85" i="4"/>
  <c r="BG85" i="4"/>
  <c r="AX85" i="4"/>
  <c r="AN85" i="4"/>
  <c r="AP85" i="4"/>
  <c r="CI242" i="4" s="1"/>
  <c r="AL85" i="4"/>
  <c r="CI241" i="4" s="1"/>
  <c r="AG85" i="4"/>
  <c r="AM85" i="4"/>
  <c r="CJ241" i="4" s="1"/>
  <c r="AI85" i="4"/>
  <c r="AH85" i="4"/>
  <c r="AF85" i="4"/>
  <c r="AJ85" i="4"/>
  <c r="AC85" i="4"/>
  <c r="AD85" i="4"/>
  <c r="AE85" i="4"/>
  <c r="AB85" i="4"/>
  <c r="AA85" i="4"/>
  <c r="CG339" i="4"/>
  <c r="CE339" i="4"/>
  <c r="BZ339" i="4"/>
  <c r="BY339" i="4"/>
  <c r="CQ1004" i="4" s="1"/>
  <c r="CC339" i="4"/>
  <c r="CQ1005" i="4" s="1"/>
  <c r="CA339" i="4"/>
  <c r="CF339" i="4"/>
  <c r="CD339" i="4"/>
  <c r="CB339" i="4"/>
  <c r="CP1005" i="4" s="1"/>
  <c r="BW339" i="4"/>
  <c r="BX339" i="4"/>
  <c r="CP1004" i="4" s="1"/>
  <c r="BU339" i="4"/>
  <c r="CQ1003" i="4" s="1"/>
  <c r="BS339" i="4"/>
  <c r="BR339" i="4"/>
  <c r="BQ339" i="4"/>
  <c r="BP339" i="4"/>
  <c r="BV339" i="4"/>
  <c r="BT339" i="4"/>
  <c r="CP1003" i="4" s="1"/>
  <c r="BL339" i="4"/>
  <c r="BK339" i="4"/>
  <c r="BM339" i="4"/>
  <c r="BO339" i="4"/>
  <c r="BJ339" i="4"/>
  <c r="BI339" i="4"/>
  <c r="BN339" i="4"/>
  <c r="BH339" i="4"/>
  <c r="BG339" i="4"/>
  <c r="AX339" i="4"/>
  <c r="AT339" i="4"/>
  <c r="CI1005" i="4" s="1"/>
  <c r="AS339" i="4"/>
  <c r="AY339" i="4"/>
  <c r="AU339" i="4"/>
  <c r="CJ1005" i="4" s="1"/>
  <c r="BE339" i="4"/>
  <c r="AW339" i="4"/>
  <c r="AV339" i="4"/>
  <c r="AR339" i="4"/>
  <c r="AL339" i="4"/>
  <c r="CI1003" i="4" s="1"/>
  <c r="AK339" i="4"/>
  <c r="AJ339" i="4"/>
  <c r="BF339" i="4"/>
  <c r="AO339" i="4"/>
  <c r="AP339" i="4"/>
  <c r="CI1004" i="4" s="1"/>
  <c r="AN339" i="4"/>
  <c r="AH339" i="4"/>
  <c r="AI339" i="4"/>
  <c r="AG339" i="4"/>
  <c r="AM339" i="4"/>
  <c r="CJ1003" i="4" s="1"/>
  <c r="AQ339" i="4"/>
  <c r="CJ1004" i="4" s="1"/>
  <c r="AF339" i="4"/>
  <c r="AC339" i="4"/>
  <c r="AE339" i="4"/>
  <c r="AA339" i="4"/>
  <c r="AD339" i="4"/>
  <c r="AB339" i="4"/>
  <c r="CF144" i="4"/>
  <c r="CD144" i="4"/>
  <c r="CB144" i="4"/>
  <c r="CP420" i="4" s="1"/>
  <c r="CC144" i="4"/>
  <c r="CQ420" i="4" s="1"/>
  <c r="BU144" i="4"/>
  <c r="CQ418" i="4" s="1"/>
  <c r="CA144" i="4"/>
  <c r="BY144" i="4"/>
  <c r="CQ419" i="4" s="1"/>
  <c r="CE144" i="4"/>
  <c r="BT144" i="4"/>
  <c r="CP418" i="4" s="1"/>
  <c r="BZ144" i="4"/>
  <c r="CG144" i="4"/>
  <c r="BW144" i="4"/>
  <c r="BS144" i="4"/>
  <c r="BX144" i="4"/>
  <c r="CP419" i="4" s="1"/>
  <c r="BR144" i="4"/>
  <c r="BN144" i="4"/>
  <c r="BV144" i="4"/>
  <c r="BL144" i="4"/>
  <c r="BK144" i="4"/>
  <c r="BQ144" i="4"/>
  <c r="BM144" i="4"/>
  <c r="BJ144" i="4"/>
  <c r="BI144" i="4"/>
  <c r="BP144" i="4"/>
  <c r="BO144" i="4"/>
  <c r="BG144" i="4"/>
  <c r="BF144" i="4"/>
  <c r="BE144" i="4"/>
  <c r="AY144" i="4"/>
  <c r="BH144" i="4"/>
  <c r="AX144" i="4"/>
  <c r="AU144" i="4"/>
  <c r="CJ420" i="4" s="1"/>
  <c r="AV144" i="4"/>
  <c r="AQ144" i="4"/>
  <c r="CJ419" i="4" s="1"/>
  <c r="AW144" i="4"/>
  <c r="AO144" i="4"/>
  <c r="AR144" i="4"/>
  <c r="AN144" i="4"/>
  <c r="AS144" i="4"/>
  <c r="AP144" i="4"/>
  <c r="CI419" i="4" s="1"/>
  <c r="AI144" i="4"/>
  <c r="AH144" i="4"/>
  <c r="AG144" i="4"/>
  <c r="AT144" i="4"/>
  <c r="CI420" i="4" s="1"/>
  <c r="AJ144" i="4"/>
  <c r="AK144" i="4"/>
  <c r="AM144" i="4"/>
  <c r="CJ418" i="4" s="1"/>
  <c r="AL144" i="4"/>
  <c r="CI418" i="4" s="1"/>
  <c r="AA144" i="4"/>
  <c r="AE144" i="4"/>
  <c r="AF144" i="4"/>
  <c r="AC144" i="4"/>
  <c r="AD144" i="4"/>
  <c r="AB144" i="4"/>
  <c r="CG323" i="4"/>
  <c r="CF323" i="4"/>
  <c r="BZ323" i="4"/>
  <c r="BY323" i="4"/>
  <c r="CQ956" i="4" s="1"/>
  <c r="CA323" i="4"/>
  <c r="CD323" i="4"/>
  <c r="BW323" i="4"/>
  <c r="BV323" i="4"/>
  <c r="BU323" i="4"/>
  <c r="CQ955" i="4" s="1"/>
  <c r="BS323" i="4"/>
  <c r="BR323" i="4"/>
  <c r="BQ323" i="4"/>
  <c r="BP323" i="4"/>
  <c r="BN323" i="4"/>
  <c r="BO323" i="4"/>
  <c r="CE323" i="4"/>
  <c r="BT323" i="4"/>
  <c r="CP955" i="4" s="1"/>
  <c r="CC323" i="4"/>
  <c r="CQ957" i="4" s="1"/>
  <c r="BX323" i="4"/>
  <c r="CP956" i="4" s="1"/>
  <c r="BK323" i="4"/>
  <c r="BJ323" i="4"/>
  <c r="BI323" i="4"/>
  <c r="CB323" i="4"/>
  <c r="CP957" i="4" s="1"/>
  <c r="BM323" i="4"/>
  <c r="BL323" i="4"/>
  <c r="AY323" i="4"/>
  <c r="BE323" i="4"/>
  <c r="BF323" i="4"/>
  <c r="BH323" i="4"/>
  <c r="BG323" i="4"/>
  <c r="AV323" i="4"/>
  <c r="AW323" i="4"/>
  <c r="AT323" i="4"/>
  <c r="CI957" i="4" s="1"/>
  <c r="AR323" i="4"/>
  <c r="AL323" i="4"/>
  <c r="CI955" i="4" s="1"/>
  <c r="AK323" i="4"/>
  <c r="AJ323" i="4"/>
  <c r="AP323" i="4"/>
  <c r="CI956" i="4" s="1"/>
  <c r="AN323" i="4"/>
  <c r="AX323" i="4"/>
  <c r="AM323" i="4"/>
  <c r="CJ955" i="4" s="1"/>
  <c r="AS323" i="4"/>
  <c r="AU323" i="4"/>
  <c r="CJ957" i="4" s="1"/>
  <c r="AH323" i="4"/>
  <c r="AI323" i="4"/>
  <c r="AQ323" i="4"/>
  <c r="CJ956" i="4" s="1"/>
  <c r="AO323" i="4"/>
  <c r="AG323" i="4"/>
  <c r="AB323" i="4"/>
  <c r="AF323" i="4"/>
  <c r="AA323" i="4"/>
  <c r="AC323" i="4"/>
  <c r="AD323" i="4"/>
  <c r="AE323" i="4"/>
  <c r="CF79" i="4"/>
  <c r="CE79" i="4"/>
  <c r="CC79" i="4"/>
  <c r="CQ225" i="4" s="1"/>
  <c r="CG79" i="4"/>
  <c r="CD79" i="4"/>
  <c r="CA79" i="4"/>
  <c r="BZ79" i="4"/>
  <c r="BY79" i="4"/>
  <c r="CQ224" i="4" s="1"/>
  <c r="BX79" i="4"/>
  <c r="CP224" i="4" s="1"/>
  <c r="BV79" i="4"/>
  <c r="BU79" i="4"/>
  <c r="CQ223" i="4" s="1"/>
  <c r="BS79" i="4"/>
  <c r="BR79" i="4"/>
  <c r="BQ79" i="4"/>
  <c r="CB79" i="4"/>
  <c r="CP225" i="4" s="1"/>
  <c r="BW79" i="4"/>
  <c r="BO79" i="4"/>
  <c r="BL79" i="4"/>
  <c r="BK79" i="4"/>
  <c r="BT79" i="4"/>
  <c r="CP223" i="4" s="1"/>
  <c r="BN79" i="4"/>
  <c r="BJ79" i="4"/>
  <c r="BP79" i="4"/>
  <c r="BI79" i="4"/>
  <c r="BF79" i="4"/>
  <c r="BM79" i="4"/>
  <c r="BH79" i="4"/>
  <c r="BE79" i="4"/>
  <c r="AW79" i="4"/>
  <c r="BG79" i="4"/>
  <c r="AY79" i="4"/>
  <c r="AV79" i="4"/>
  <c r="AU79" i="4"/>
  <c r="CJ225" i="4" s="1"/>
  <c r="AQ79" i="4"/>
  <c r="CJ224" i="4" s="1"/>
  <c r="AT79" i="4"/>
  <c r="CI225" i="4" s="1"/>
  <c r="AS79" i="4"/>
  <c r="AR79" i="4"/>
  <c r="AN79" i="4"/>
  <c r="AO79" i="4"/>
  <c r="AL79" i="4"/>
  <c r="CI223" i="4" s="1"/>
  <c r="AK79" i="4"/>
  <c r="AP79" i="4"/>
  <c r="CI224" i="4" s="1"/>
  <c r="AG79" i="4"/>
  <c r="AI79" i="4"/>
  <c r="AM79" i="4"/>
  <c r="CJ223" i="4" s="1"/>
  <c r="AX79" i="4"/>
  <c r="AE79" i="4"/>
  <c r="AF79" i="4"/>
  <c r="AB79" i="4"/>
  <c r="AA79" i="4"/>
  <c r="AJ79" i="4"/>
  <c r="AH79" i="4"/>
  <c r="AD79" i="4"/>
  <c r="AC79" i="4"/>
  <c r="CG413" i="4"/>
  <c r="CE413" i="4"/>
  <c r="CD413" i="4"/>
  <c r="CC413" i="4"/>
  <c r="CQ1227" i="4" s="1"/>
  <c r="CB413" i="4"/>
  <c r="CP1227" i="4" s="1"/>
  <c r="CF413" i="4"/>
  <c r="CA413" i="4"/>
  <c r="BX413" i="4"/>
  <c r="CP1226" i="4" s="1"/>
  <c r="BW413" i="4"/>
  <c r="BT413" i="4"/>
  <c r="CP1225" i="4" s="1"/>
  <c r="BS413" i="4"/>
  <c r="BR413" i="4"/>
  <c r="BQ413" i="4"/>
  <c r="BZ413" i="4"/>
  <c r="BY413" i="4"/>
  <c r="CQ1226" i="4" s="1"/>
  <c r="BV413" i="4"/>
  <c r="BO413" i="4"/>
  <c r="BN413" i="4"/>
  <c r="BP413" i="4"/>
  <c r="BM413" i="4"/>
  <c r="BL413" i="4"/>
  <c r="BJ413" i="4"/>
  <c r="BK413" i="4"/>
  <c r="BU413" i="4"/>
  <c r="CQ1225" i="4" s="1"/>
  <c r="BG413" i="4"/>
  <c r="BF413" i="4"/>
  <c r="BI413" i="4"/>
  <c r="AW413" i="4"/>
  <c r="AU413" i="4"/>
  <c r="CJ1227" i="4" s="1"/>
  <c r="BE413" i="4"/>
  <c r="AY413" i="4"/>
  <c r="BH413" i="4"/>
  <c r="AV413" i="4"/>
  <c r="AR413" i="4"/>
  <c r="AX413" i="4"/>
  <c r="AT413" i="4"/>
  <c r="CI1227" i="4" s="1"/>
  <c r="AO413" i="4"/>
  <c r="AS413" i="4"/>
  <c r="AN413" i="4"/>
  <c r="AP413" i="4"/>
  <c r="CI1226" i="4" s="1"/>
  <c r="AL413" i="4"/>
  <c r="CI1225" i="4" s="1"/>
  <c r="AQ413" i="4"/>
  <c r="CJ1226" i="4" s="1"/>
  <c r="AK413" i="4"/>
  <c r="AI413" i="4"/>
  <c r="AH413" i="4"/>
  <c r="AJ413" i="4"/>
  <c r="AM413" i="4"/>
  <c r="CJ1225" i="4" s="1"/>
  <c r="AG413" i="4"/>
  <c r="AD413" i="4"/>
  <c r="AF413" i="4"/>
  <c r="AA413" i="4"/>
  <c r="AB413" i="4"/>
  <c r="AE413" i="4"/>
  <c r="AC413" i="4"/>
  <c r="CE214" i="4"/>
  <c r="CD214" i="4"/>
  <c r="CC214" i="4"/>
  <c r="CQ630" i="4" s="1"/>
  <c r="CA214" i="4"/>
  <c r="BZ214" i="4"/>
  <c r="BY214" i="4"/>
  <c r="CQ629" i="4" s="1"/>
  <c r="BU214" i="4"/>
  <c r="CQ628" i="4" s="1"/>
  <c r="BT214" i="4"/>
  <c r="CP628" i="4" s="1"/>
  <c r="BV214" i="4"/>
  <c r="CB214" i="4"/>
  <c r="CP630" i="4" s="1"/>
  <c r="CG214" i="4"/>
  <c r="BR214" i="4"/>
  <c r="BO214" i="4"/>
  <c r="BW214" i="4"/>
  <c r="BX214" i="4"/>
  <c r="CP629" i="4" s="1"/>
  <c r="BP214" i="4"/>
  <c r="CF214" i="4"/>
  <c r="BS214" i="4"/>
  <c r="BN214" i="4"/>
  <c r="BK214" i="4"/>
  <c r="BL214" i="4"/>
  <c r="BQ214" i="4"/>
  <c r="BM214" i="4"/>
  <c r="BG214" i="4"/>
  <c r="BH214" i="4"/>
  <c r="BI214" i="4"/>
  <c r="BF214" i="4"/>
  <c r="BJ214" i="4"/>
  <c r="AX214" i="4"/>
  <c r="AS214" i="4"/>
  <c r="AR214" i="4"/>
  <c r="AQ214" i="4"/>
  <c r="CJ629" i="4" s="1"/>
  <c r="AP214" i="4"/>
  <c r="CI629" i="4" s="1"/>
  <c r="AV214" i="4"/>
  <c r="BE214" i="4"/>
  <c r="AY214" i="4"/>
  <c r="AW214" i="4"/>
  <c r="AT214" i="4"/>
  <c r="CI630" i="4" s="1"/>
  <c r="AO214" i="4"/>
  <c r="AN214" i="4"/>
  <c r="AM214" i="4"/>
  <c r="CJ628" i="4" s="1"/>
  <c r="AU214" i="4"/>
  <c r="CJ630" i="4" s="1"/>
  <c r="AL214" i="4"/>
  <c r="CI628" i="4" s="1"/>
  <c r="AK214" i="4"/>
  <c r="AI214" i="4"/>
  <c r="AJ214" i="4"/>
  <c r="AH214" i="4"/>
  <c r="AG214" i="4"/>
  <c r="AF214" i="4"/>
  <c r="AA214" i="4"/>
  <c r="AD214" i="4"/>
  <c r="AE214" i="4"/>
  <c r="AC214" i="4"/>
  <c r="AB214" i="4"/>
  <c r="CG392" i="4"/>
  <c r="CE392" i="4"/>
  <c r="CD392" i="4"/>
  <c r="CC392" i="4"/>
  <c r="CQ1164" i="4" s="1"/>
  <c r="CB392" i="4"/>
  <c r="CP1164" i="4" s="1"/>
  <c r="BZ392" i="4"/>
  <c r="BY392" i="4"/>
  <c r="CQ1163" i="4" s="1"/>
  <c r="BX392" i="4"/>
  <c r="CP1163" i="4" s="1"/>
  <c r="BW392" i="4"/>
  <c r="CF392" i="4"/>
  <c r="CA392" i="4"/>
  <c r="BV392" i="4"/>
  <c r="BU392" i="4"/>
  <c r="CQ1162" i="4" s="1"/>
  <c r="BT392" i="4"/>
  <c r="CP1162" i="4" s="1"/>
  <c r="BS392" i="4"/>
  <c r="BR392" i="4"/>
  <c r="BQ392" i="4"/>
  <c r="BP392" i="4"/>
  <c r="BN392" i="4"/>
  <c r="BM392" i="4"/>
  <c r="BL392" i="4"/>
  <c r="BK392" i="4"/>
  <c r="BO392" i="4"/>
  <c r="BE392" i="4"/>
  <c r="AY392" i="4"/>
  <c r="BJ392" i="4"/>
  <c r="BI392" i="4"/>
  <c r="BH392" i="4"/>
  <c r="BF392" i="4"/>
  <c r="BG392" i="4"/>
  <c r="AX392" i="4"/>
  <c r="AV392" i="4"/>
  <c r="AT392" i="4"/>
  <c r="CI1164" i="4" s="1"/>
  <c r="AU392" i="4"/>
  <c r="CJ1164" i="4" s="1"/>
  <c r="AS392" i="4"/>
  <c r="AN392" i="4"/>
  <c r="AR392" i="4"/>
  <c r="AQ392" i="4"/>
  <c r="CJ1163" i="4" s="1"/>
  <c r="AO392" i="4"/>
  <c r="AW392" i="4"/>
  <c r="AP392" i="4"/>
  <c r="CI1163" i="4" s="1"/>
  <c r="AM392" i="4"/>
  <c r="CJ1162" i="4" s="1"/>
  <c r="AK392" i="4"/>
  <c r="AI392" i="4"/>
  <c r="AH392" i="4"/>
  <c r="AG392" i="4"/>
  <c r="AL392" i="4"/>
  <c r="CI1162" i="4" s="1"/>
  <c r="AF392" i="4"/>
  <c r="AE392" i="4"/>
  <c r="AD392" i="4"/>
  <c r="AA392" i="4"/>
  <c r="AB392" i="4"/>
  <c r="AJ392" i="4"/>
  <c r="AC392" i="4"/>
  <c r="CG429" i="4"/>
  <c r="CE429" i="4"/>
  <c r="CD429" i="4"/>
  <c r="CC429" i="4"/>
  <c r="CQ1275" i="4" s="1"/>
  <c r="CF429" i="4"/>
  <c r="CA429" i="4"/>
  <c r="BT429" i="4"/>
  <c r="CP1273" i="4" s="1"/>
  <c r="BS429" i="4"/>
  <c r="BR429" i="4"/>
  <c r="BQ429" i="4"/>
  <c r="CB429" i="4"/>
  <c r="CP1275" i="4" s="1"/>
  <c r="BY429" i="4"/>
  <c r="CQ1274" i="4" s="1"/>
  <c r="BW429" i="4"/>
  <c r="BU429" i="4"/>
  <c r="CQ1273" i="4" s="1"/>
  <c r="BO429" i="4"/>
  <c r="BN429" i="4"/>
  <c r="BX429" i="4"/>
  <c r="CP1274" i="4" s="1"/>
  <c r="BM429" i="4"/>
  <c r="BL429" i="4"/>
  <c r="BZ429" i="4"/>
  <c r="BV429" i="4"/>
  <c r="BP429" i="4"/>
  <c r="BK429" i="4"/>
  <c r="BF429" i="4"/>
  <c r="BJ429" i="4"/>
  <c r="BG429" i="4"/>
  <c r="AW429" i="4"/>
  <c r="BI429" i="4"/>
  <c r="BE429" i="4"/>
  <c r="AX429" i="4"/>
  <c r="AV429" i="4"/>
  <c r="AY429" i="4"/>
  <c r="BH429" i="4"/>
  <c r="AT429" i="4"/>
  <c r="CI1275" i="4" s="1"/>
  <c r="AU429" i="4"/>
  <c r="CJ1275" i="4" s="1"/>
  <c r="AQ429" i="4"/>
  <c r="CJ1274" i="4" s="1"/>
  <c r="AR429" i="4"/>
  <c r="AP429" i="4"/>
  <c r="CI1274" i="4" s="1"/>
  <c r="AO429" i="4"/>
  <c r="AL429" i="4"/>
  <c r="CI1273" i="4" s="1"/>
  <c r="AI429" i="4"/>
  <c r="AS429" i="4"/>
  <c r="AM429" i="4"/>
  <c r="CJ1273" i="4" s="1"/>
  <c r="AH429" i="4"/>
  <c r="AJ429" i="4"/>
  <c r="AN429" i="4"/>
  <c r="AG429" i="4"/>
  <c r="AF429" i="4"/>
  <c r="AK429" i="4"/>
  <c r="AD429" i="4"/>
  <c r="AA429" i="4"/>
  <c r="AB429" i="4"/>
  <c r="AE429" i="4"/>
  <c r="AC429" i="4"/>
  <c r="CG183" i="4"/>
  <c r="CF183" i="4"/>
  <c r="CE183" i="4"/>
  <c r="CD183" i="4"/>
  <c r="CC183" i="4"/>
  <c r="CQ537" i="4" s="1"/>
  <c r="CB183" i="4"/>
  <c r="CP537" i="4" s="1"/>
  <c r="BZ183" i="4"/>
  <c r="BY183" i="4"/>
  <c r="CQ536" i="4" s="1"/>
  <c r="BX183" i="4"/>
  <c r="CP536" i="4" s="1"/>
  <c r="BW183" i="4"/>
  <c r="CA183" i="4"/>
  <c r="BU183" i="4"/>
  <c r="CQ535" i="4" s="1"/>
  <c r="BT183" i="4"/>
  <c r="CP535" i="4" s="1"/>
  <c r="BQ183" i="4"/>
  <c r="BM183" i="4"/>
  <c r="BL183" i="4"/>
  <c r="BK183" i="4"/>
  <c r="BO183" i="4"/>
  <c r="BS183" i="4"/>
  <c r="BP183" i="4"/>
  <c r="BV183" i="4"/>
  <c r="BR183" i="4"/>
  <c r="BN183" i="4"/>
  <c r="BJ183" i="4"/>
  <c r="BH183" i="4"/>
  <c r="BG183" i="4"/>
  <c r="BE183" i="4"/>
  <c r="AY183" i="4"/>
  <c r="BI183" i="4"/>
  <c r="BF183" i="4"/>
  <c r="AX183" i="4"/>
  <c r="AW183" i="4"/>
  <c r="AU183" i="4"/>
  <c r="CJ537" i="4" s="1"/>
  <c r="AQ183" i="4"/>
  <c r="CJ536" i="4" s="1"/>
  <c r="AV183" i="4"/>
  <c r="AO183" i="4"/>
  <c r="AP183" i="4"/>
  <c r="CI536" i="4" s="1"/>
  <c r="AT183" i="4"/>
  <c r="CI537" i="4" s="1"/>
  <c r="AM183" i="4"/>
  <c r="CJ535" i="4" s="1"/>
  <c r="AJ183" i="4"/>
  <c r="AS183" i="4"/>
  <c r="AN183" i="4"/>
  <c r="AR183" i="4"/>
  <c r="AH183" i="4"/>
  <c r="AG183" i="4"/>
  <c r="AL183" i="4"/>
  <c r="CI535" i="4" s="1"/>
  <c r="AE183" i="4"/>
  <c r="AD183" i="4"/>
  <c r="AK183" i="4"/>
  <c r="AC183" i="4"/>
  <c r="AF183" i="4"/>
  <c r="AI183" i="4"/>
  <c r="AB183" i="4"/>
  <c r="AA183" i="4"/>
  <c r="CG95" i="4"/>
  <c r="CE95" i="4"/>
  <c r="CA95" i="4"/>
  <c r="CF95" i="4"/>
  <c r="CB95" i="4"/>
  <c r="CP273" i="4" s="1"/>
  <c r="BZ95" i="4"/>
  <c r="BY95" i="4"/>
  <c r="CQ272" i="4" s="1"/>
  <c r="BX95" i="4"/>
  <c r="CP272" i="4" s="1"/>
  <c r="BV95" i="4"/>
  <c r="CD95" i="4"/>
  <c r="BU95" i="4"/>
  <c r="CQ271" i="4" s="1"/>
  <c r="BT95" i="4"/>
  <c r="CP271" i="4" s="1"/>
  <c r="BS95" i="4"/>
  <c r="BR95" i="4"/>
  <c r="BQ95" i="4"/>
  <c r="CC95" i="4"/>
  <c r="CQ273" i="4" s="1"/>
  <c r="BW95" i="4"/>
  <c r="BO95" i="4"/>
  <c r="BP95" i="4"/>
  <c r="BL95" i="4"/>
  <c r="BK95" i="4"/>
  <c r="BM95" i="4"/>
  <c r="BJ95" i="4"/>
  <c r="BN95" i="4"/>
  <c r="BG95" i="4"/>
  <c r="BF95" i="4"/>
  <c r="BH95" i="4"/>
  <c r="AY95" i="4"/>
  <c r="AX95" i="4"/>
  <c r="BI95" i="4"/>
  <c r="AV95" i="4"/>
  <c r="AW95" i="4"/>
  <c r="BE95" i="4"/>
  <c r="AT95" i="4"/>
  <c r="CI273" i="4" s="1"/>
  <c r="AQ95" i="4"/>
  <c r="CJ272" i="4" s="1"/>
  <c r="AL95" i="4"/>
  <c r="CI271" i="4" s="1"/>
  <c r="AR95" i="4"/>
  <c r="AO95" i="4"/>
  <c r="AS95" i="4"/>
  <c r="AJ95" i="4"/>
  <c r="AI95" i="4"/>
  <c r="AM95" i="4"/>
  <c r="CJ271" i="4" s="1"/>
  <c r="AG95" i="4"/>
  <c r="AP95" i="4"/>
  <c r="CI272" i="4" s="1"/>
  <c r="AH95" i="4"/>
  <c r="AN95" i="4"/>
  <c r="AU95" i="4"/>
  <c r="CJ273" i="4" s="1"/>
  <c r="AK95" i="4"/>
  <c r="AE95" i="4"/>
  <c r="AB95" i="4"/>
  <c r="AF95" i="4"/>
  <c r="AD95" i="4"/>
  <c r="AC95" i="4"/>
  <c r="AA95" i="4"/>
  <c r="M102" i="4"/>
  <c r="CF353" i="4"/>
  <c r="CG353" i="4"/>
  <c r="CD353" i="4"/>
  <c r="BZ353" i="4"/>
  <c r="BY353" i="4"/>
  <c r="CQ1046" i="4" s="1"/>
  <c r="BX353" i="4"/>
  <c r="CP1046" i="4" s="1"/>
  <c r="BW353" i="4"/>
  <c r="CA353" i="4"/>
  <c r="CB353" i="4"/>
  <c r="CP1047" i="4" s="1"/>
  <c r="BV353" i="4"/>
  <c r="BU353" i="4"/>
  <c r="CQ1045" i="4" s="1"/>
  <c r="CC353" i="4"/>
  <c r="CQ1047" i="4" s="1"/>
  <c r="BT353" i="4"/>
  <c r="CP1045" i="4" s="1"/>
  <c r="BS353" i="4"/>
  <c r="BR353" i="4"/>
  <c r="BQ353" i="4"/>
  <c r="BP353" i="4"/>
  <c r="CE353" i="4"/>
  <c r="BN353" i="4"/>
  <c r="BJ353" i="4"/>
  <c r="BI353" i="4"/>
  <c r="BH353" i="4"/>
  <c r="BG353" i="4"/>
  <c r="BF353" i="4"/>
  <c r="BL353" i="4"/>
  <c r="BO353" i="4"/>
  <c r="BK353" i="4"/>
  <c r="BM353" i="4"/>
  <c r="BE353" i="4"/>
  <c r="AY353" i="4"/>
  <c r="AW353" i="4"/>
  <c r="AT353" i="4"/>
  <c r="CI1047" i="4" s="1"/>
  <c r="AV353" i="4"/>
  <c r="AS353" i="4"/>
  <c r="AQ353" i="4"/>
  <c r="CJ1046" i="4" s="1"/>
  <c r="AO353" i="4"/>
  <c r="AM353" i="4"/>
  <c r="CJ1045" i="4" s="1"/>
  <c r="AR353" i="4"/>
  <c r="AX353" i="4"/>
  <c r="AU353" i="4"/>
  <c r="CJ1047" i="4" s="1"/>
  <c r="AK353" i="4"/>
  <c r="AJ353" i="4"/>
  <c r="AI353" i="4"/>
  <c r="AG353" i="4"/>
  <c r="AP353" i="4"/>
  <c r="CI1046" i="4" s="1"/>
  <c r="AN353" i="4"/>
  <c r="AL353" i="4"/>
  <c r="CI1045" i="4" s="1"/>
  <c r="AF353" i="4"/>
  <c r="AH353" i="4"/>
  <c r="AE353" i="4"/>
  <c r="AD353" i="4"/>
  <c r="AB353" i="4"/>
  <c r="AA353" i="4"/>
  <c r="AC353" i="4"/>
  <c r="CG289" i="4"/>
  <c r="CE289" i="4"/>
  <c r="BZ289" i="4"/>
  <c r="BY289" i="4"/>
  <c r="CQ854" i="4" s="1"/>
  <c r="BX289" i="4"/>
  <c r="CP854" i="4" s="1"/>
  <c r="BW289" i="4"/>
  <c r="BV289" i="4"/>
  <c r="CB289" i="4"/>
  <c r="CP855" i="4" s="1"/>
  <c r="CC289" i="4"/>
  <c r="CQ855" i="4" s="1"/>
  <c r="CF289" i="4"/>
  <c r="CA289" i="4"/>
  <c r="BS289" i="4"/>
  <c r="BR289" i="4"/>
  <c r="BQ289" i="4"/>
  <c r="BP289" i="4"/>
  <c r="BO289" i="4"/>
  <c r="CD289" i="4"/>
  <c r="BU289" i="4"/>
  <c r="CQ853" i="4" s="1"/>
  <c r="BN289" i="4"/>
  <c r="BT289" i="4"/>
  <c r="CP853" i="4" s="1"/>
  <c r="BJ289" i="4"/>
  <c r="BI289" i="4"/>
  <c r="BH289" i="4"/>
  <c r="BG289" i="4"/>
  <c r="BF289" i="4"/>
  <c r="BL289" i="4"/>
  <c r="BK289" i="4"/>
  <c r="BE289" i="4"/>
  <c r="AY289" i="4"/>
  <c r="BM289" i="4"/>
  <c r="AX289" i="4"/>
  <c r="AU289" i="4"/>
  <c r="CJ855" i="4" s="1"/>
  <c r="AV289" i="4"/>
  <c r="AR289" i="4"/>
  <c r="AO289" i="4"/>
  <c r="AW289" i="4"/>
  <c r="AQ289" i="4"/>
  <c r="CJ854" i="4" s="1"/>
  <c r="AN289" i="4"/>
  <c r="AP289" i="4"/>
  <c r="CI854" i="4" s="1"/>
  <c r="AM289" i="4"/>
  <c r="CJ853" i="4" s="1"/>
  <c r="AK289" i="4"/>
  <c r="AT289" i="4"/>
  <c r="CI855" i="4" s="1"/>
  <c r="AL289" i="4"/>
  <c r="CI853" i="4" s="1"/>
  <c r="AH289" i="4"/>
  <c r="AJ289" i="4"/>
  <c r="AI289" i="4"/>
  <c r="AS289" i="4"/>
  <c r="AG289" i="4"/>
  <c r="AC289" i="4"/>
  <c r="AB289" i="4"/>
  <c r="AF289" i="4"/>
  <c r="AA289" i="4"/>
  <c r="AD289" i="4"/>
  <c r="AE289" i="4"/>
  <c r="CG28" i="4"/>
  <c r="CF28" i="4"/>
  <c r="CE28" i="4"/>
  <c r="CC28" i="4"/>
  <c r="CQ72" i="4" s="1"/>
  <c r="CA28" i="4"/>
  <c r="CD28" i="4"/>
  <c r="BX28" i="4"/>
  <c r="CP71" i="4" s="1"/>
  <c r="BS28" i="4"/>
  <c r="BR28" i="4"/>
  <c r="BQ28" i="4"/>
  <c r="BU28" i="4"/>
  <c r="CQ70" i="4" s="1"/>
  <c r="BY28" i="4"/>
  <c r="CQ71" i="4" s="1"/>
  <c r="BP28" i="4"/>
  <c r="BV28" i="4"/>
  <c r="BL28" i="4"/>
  <c r="BK28" i="4"/>
  <c r="BW28" i="4"/>
  <c r="BZ28" i="4"/>
  <c r="BM28" i="4"/>
  <c r="CB28" i="4"/>
  <c r="CP72" i="4" s="1"/>
  <c r="BN28" i="4"/>
  <c r="BO28" i="4"/>
  <c r="BI28" i="4"/>
  <c r="BH28" i="4"/>
  <c r="BT28" i="4"/>
  <c r="CP70" i="4" s="1"/>
  <c r="BJ28" i="4"/>
  <c r="BF28" i="4"/>
  <c r="AX28" i="4"/>
  <c r="BE28" i="4"/>
  <c r="AW28" i="4"/>
  <c r="AY28" i="4"/>
  <c r="BG28" i="4"/>
  <c r="AT28" i="4"/>
  <c r="CI72" i="4" s="1"/>
  <c r="AQ28" i="4"/>
  <c r="CJ71" i="4" s="1"/>
  <c r="AU28" i="4"/>
  <c r="CJ72" i="4" s="1"/>
  <c r="AR28" i="4"/>
  <c r="AS28" i="4"/>
  <c r="AN28" i="4"/>
  <c r="AP28" i="4"/>
  <c r="CI71" i="4" s="1"/>
  <c r="AM28" i="4"/>
  <c r="CJ70" i="4" s="1"/>
  <c r="AO28" i="4"/>
  <c r="AJ28" i="4"/>
  <c r="AG28" i="4"/>
  <c r="AF28" i="4"/>
  <c r="AE28" i="4"/>
  <c r="AD28" i="4"/>
  <c r="AC28" i="4"/>
  <c r="AB28" i="4"/>
  <c r="AL28" i="4"/>
  <c r="CI70" i="4" s="1"/>
  <c r="AH28" i="4"/>
  <c r="AK28" i="4"/>
  <c r="AI28" i="4"/>
  <c r="AV28" i="4"/>
  <c r="AA28" i="4"/>
  <c r="CG228" i="4"/>
  <c r="CF228" i="4"/>
  <c r="CE228" i="4"/>
  <c r="BZ228" i="4"/>
  <c r="CB228" i="4"/>
  <c r="CP672" i="4" s="1"/>
  <c r="CD228" i="4"/>
  <c r="BU228" i="4"/>
  <c r="CQ670" i="4" s="1"/>
  <c r="BT228" i="4"/>
  <c r="CP670" i="4" s="1"/>
  <c r="BW228" i="4"/>
  <c r="BX228" i="4"/>
  <c r="CP671" i="4" s="1"/>
  <c r="BV228" i="4"/>
  <c r="CA228" i="4"/>
  <c r="BS228" i="4"/>
  <c r="BQ228" i="4"/>
  <c r="BY228" i="4"/>
  <c r="CQ671" i="4" s="1"/>
  <c r="CC228" i="4"/>
  <c r="CQ672" i="4" s="1"/>
  <c r="BR228" i="4"/>
  <c r="BN228" i="4"/>
  <c r="BM228" i="4"/>
  <c r="BP228" i="4"/>
  <c r="BJ228" i="4"/>
  <c r="BI228" i="4"/>
  <c r="BH228" i="4"/>
  <c r="BK228" i="4"/>
  <c r="BL228" i="4"/>
  <c r="BG228" i="4"/>
  <c r="BF228" i="4"/>
  <c r="BO228" i="4"/>
  <c r="BE228" i="4"/>
  <c r="AX228" i="4"/>
  <c r="AV228" i="4"/>
  <c r="AR228" i="4"/>
  <c r="AT228" i="4"/>
  <c r="CI672" i="4" s="1"/>
  <c r="AY228" i="4"/>
  <c r="AS228" i="4"/>
  <c r="AW228" i="4"/>
  <c r="AQ228" i="4"/>
  <c r="CJ671" i="4" s="1"/>
  <c r="AP228" i="4"/>
  <c r="CI671" i="4" s="1"/>
  <c r="AL228" i="4"/>
  <c r="CI670" i="4" s="1"/>
  <c r="AK228" i="4"/>
  <c r="AN228" i="4"/>
  <c r="AI228" i="4"/>
  <c r="AM228" i="4"/>
  <c r="CJ670" i="4" s="1"/>
  <c r="AJ228" i="4"/>
  <c r="AU228" i="4"/>
  <c r="CJ672" i="4" s="1"/>
  <c r="AO228" i="4"/>
  <c r="AG228" i="4"/>
  <c r="AF228" i="4"/>
  <c r="AH228" i="4"/>
  <c r="AE228" i="4"/>
  <c r="AB228" i="4"/>
  <c r="AD228" i="4"/>
  <c r="AC228" i="4"/>
  <c r="AA228" i="4"/>
  <c r="CG34" i="4"/>
  <c r="CE34" i="4"/>
  <c r="CB34" i="4"/>
  <c r="CP90" i="4" s="1"/>
  <c r="BZ34" i="4"/>
  <c r="BY34" i="4"/>
  <c r="CQ89" i="4" s="1"/>
  <c r="BX34" i="4"/>
  <c r="CP89" i="4" s="1"/>
  <c r="BW34" i="4"/>
  <c r="BV34" i="4"/>
  <c r="BS34" i="4"/>
  <c r="BR34" i="4"/>
  <c r="BQ34" i="4"/>
  <c r="BP34" i="4"/>
  <c r="BO34" i="4"/>
  <c r="CD34" i="4"/>
  <c r="CA34" i="4"/>
  <c r="BN34" i="4"/>
  <c r="BM34" i="4"/>
  <c r="CC34" i="4"/>
  <c r="CQ90" i="4" s="1"/>
  <c r="BU34" i="4"/>
  <c r="CQ88" i="4" s="1"/>
  <c r="CF34" i="4"/>
  <c r="BT34" i="4"/>
  <c r="CP88" i="4" s="1"/>
  <c r="BL34" i="4"/>
  <c r="BK34" i="4"/>
  <c r="BE34" i="4"/>
  <c r="BH34" i="4"/>
  <c r="BJ34" i="4"/>
  <c r="BF34" i="4"/>
  <c r="AX34" i="4"/>
  <c r="BI34" i="4"/>
  <c r="BG34" i="4"/>
  <c r="AW34" i="4"/>
  <c r="AU34" i="4"/>
  <c r="CJ90" i="4" s="1"/>
  <c r="AV34" i="4"/>
  <c r="AY34" i="4"/>
  <c r="AS34" i="4"/>
  <c r="AO34" i="4"/>
  <c r="AP34" i="4"/>
  <c r="CI89" i="4" s="1"/>
  <c r="AT34" i="4"/>
  <c r="CI90" i="4" s="1"/>
  <c r="AR34" i="4"/>
  <c r="AQ34" i="4"/>
  <c r="CJ89" i="4" s="1"/>
  <c r="AH34" i="4"/>
  <c r="AN34" i="4"/>
  <c r="AJ34" i="4"/>
  <c r="AG34" i="4"/>
  <c r="AM34" i="4"/>
  <c r="CJ88" i="4" s="1"/>
  <c r="AL34" i="4"/>
  <c r="CI88" i="4" s="1"/>
  <c r="AI34" i="4"/>
  <c r="AF34" i="4"/>
  <c r="AE34" i="4"/>
  <c r="AA34" i="4"/>
  <c r="AK34" i="4"/>
  <c r="AD34" i="4"/>
  <c r="AB34" i="4"/>
  <c r="AC34" i="4"/>
  <c r="CE458" i="4"/>
  <c r="CD458" i="4"/>
  <c r="CC458" i="4"/>
  <c r="CQ1362" i="4" s="1"/>
  <c r="CB458" i="4"/>
  <c r="CP1362" i="4" s="1"/>
  <c r="CA458" i="4"/>
  <c r="CG458" i="4"/>
  <c r="CF458" i="4"/>
  <c r="BZ458" i="4"/>
  <c r="BY458" i="4"/>
  <c r="CQ1361" i="4" s="1"/>
  <c r="BX458" i="4"/>
  <c r="CP1361" i="4" s="1"/>
  <c r="BT458" i="4"/>
  <c r="CP1360" i="4" s="1"/>
  <c r="BS458" i="4"/>
  <c r="BR458" i="4"/>
  <c r="BQ458" i="4"/>
  <c r="BP458" i="4"/>
  <c r="BW458" i="4"/>
  <c r="BV458" i="4"/>
  <c r="BU458" i="4"/>
  <c r="CQ1360" i="4" s="1"/>
  <c r="BM458" i="4"/>
  <c r="BN458" i="4"/>
  <c r="BO458" i="4"/>
  <c r="BJ458" i="4"/>
  <c r="BI458" i="4"/>
  <c r="BH458" i="4"/>
  <c r="BK458" i="4"/>
  <c r="BL458" i="4"/>
  <c r="BE458" i="4"/>
  <c r="AX458" i="4"/>
  <c r="BF458" i="4"/>
  <c r="AW458" i="4"/>
  <c r="AT458" i="4"/>
  <c r="CI1362" i="4" s="1"/>
  <c r="AU458" i="4"/>
  <c r="CJ1362" i="4" s="1"/>
  <c r="AY458" i="4"/>
  <c r="AV458" i="4"/>
  <c r="AS458" i="4"/>
  <c r="AQ458" i="4"/>
  <c r="CJ1361" i="4" s="1"/>
  <c r="AP458" i="4"/>
  <c r="CI1361" i="4" s="1"/>
  <c r="AN458" i="4"/>
  <c r="BG458" i="4"/>
  <c r="AR458" i="4"/>
  <c r="AM458" i="4"/>
  <c r="CJ1360" i="4" s="1"/>
  <c r="AK458" i="4"/>
  <c r="AO458" i="4"/>
  <c r="AJ458" i="4"/>
  <c r="AH458" i="4"/>
  <c r="AG458" i="4"/>
  <c r="AL458" i="4"/>
  <c r="CI1360" i="4" s="1"/>
  <c r="AI458" i="4"/>
  <c r="AF458" i="4"/>
  <c r="AB458" i="4"/>
  <c r="AA458" i="4"/>
  <c r="AC458" i="4"/>
  <c r="AD458" i="4"/>
  <c r="AE458" i="4"/>
  <c r="CG129" i="4"/>
  <c r="CE129" i="4"/>
  <c r="CC129" i="4"/>
  <c r="CQ375" i="4" s="1"/>
  <c r="BZ129" i="4"/>
  <c r="BY129" i="4"/>
  <c r="CQ374" i="4" s="1"/>
  <c r="BX129" i="4"/>
  <c r="CP374" i="4" s="1"/>
  <c r="BW129" i="4"/>
  <c r="BV129" i="4"/>
  <c r="CF129" i="4"/>
  <c r="CB129" i="4"/>
  <c r="CP375" i="4" s="1"/>
  <c r="CA129" i="4"/>
  <c r="BU129" i="4"/>
  <c r="CQ373" i="4" s="1"/>
  <c r="BT129" i="4"/>
  <c r="CP373" i="4" s="1"/>
  <c r="BS129" i="4"/>
  <c r="BR129" i="4"/>
  <c r="BQ129" i="4"/>
  <c r="BP129" i="4"/>
  <c r="BO129" i="4"/>
  <c r="CD129" i="4"/>
  <c r="BN129" i="4"/>
  <c r="BJ129" i="4"/>
  <c r="BI129" i="4"/>
  <c r="BH129" i="4"/>
  <c r="BG129" i="4"/>
  <c r="BF129" i="4"/>
  <c r="BE129" i="4"/>
  <c r="BM129" i="4"/>
  <c r="AY129" i="4"/>
  <c r="BL129" i="4"/>
  <c r="AX129" i="4"/>
  <c r="AV129" i="4"/>
  <c r="BK129" i="4"/>
  <c r="AW129" i="4"/>
  <c r="AR129" i="4"/>
  <c r="AQ129" i="4"/>
  <c r="CJ374" i="4" s="1"/>
  <c r="AP129" i="4"/>
  <c r="CI374" i="4" s="1"/>
  <c r="AU129" i="4"/>
  <c r="CJ375" i="4" s="1"/>
  <c r="AL129" i="4"/>
  <c r="CI373" i="4" s="1"/>
  <c r="AS129" i="4"/>
  <c r="AT129" i="4"/>
  <c r="CI375" i="4" s="1"/>
  <c r="AM129" i="4"/>
  <c r="CJ373" i="4" s="1"/>
  <c r="AJ129" i="4"/>
  <c r="AI129" i="4"/>
  <c r="AN129" i="4"/>
  <c r="AO129" i="4"/>
  <c r="AH129" i="4"/>
  <c r="AK129" i="4"/>
  <c r="AE129" i="4"/>
  <c r="AF129" i="4"/>
  <c r="AD129" i="4"/>
  <c r="AC129" i="4"/>
  <c r="AB129" i="4"/>
  <c r="AG129" i="4"/>
  <c r="AA129" i="4"/>
  <c r="CG486" i="4"/>
  <c r="CF486" i="4"/>
  <c r="CC486" i="4"/>
  <c r="CQ1446" i="4" s="1"/>
  <c r="CA486" i="4"/>
  <c r="CB486" i="4"/>
  <c r="CP1446" i="4" s="1"/>
  <c r="BX486" i="4"/>
  <c r="CP1445" i="4" s="1"/>
  <c r="BU486" i="4"/>
  <c r="CQ1444" i="4" s="1"/>
  <c r="CE486" i="4"/>
  <c r="BZ486" i="4"/>
  <c r="BY486" i="4"/>
  <c r="CQ1445" i="4" s="1"/>
  <c r="BW486" i="4"/>
  <c r="BT486" i="4"/>
  <c r="CP1444" i="4" s="1"/>
  <c r="CD486" i="4"/>
  <c r="BS486" i="4"/>
  <c r="BQ486" i="4"/>
  <c r="BR486" i="4"/>
  <c r="BN486" i="4"/>
  <c r="BV486" i="4"/>
  <c r="BK486" i="4"/>
  <c r="BM486" i="4"/>
  <c r="BO486" i="4"/>
  <c r="BI486" i="4"/>
  <c r="BL486" i="4"/>
  <c r="BH486" i="4"/>
  <c r="BG486" i="4"/>
  <c r="BF486" i="4"/>
  <c r="AY486" i="4"/>
  <c r="BJ486" i="4"/>
  <c r="AX486" i="4"/>
  <c r="BP486" i="4"/>
  <c r="AW486" i="4"/>
  <c r="AT486" i="4"/>
  <c r="CI1446" i="4" s="1"/>
  <c r="AS486" i="4"/>
  <c r="AR486" i="4"/>
  <c r="AQ486" i="4"/>
  <c r="CJ1445" i="4" s="1"/>
  <c r="BE486" i="4"/>
  <c r="AP486" i="4"/>
  <c r="CI1445" i="4" s="1"/>
  <c r="AO486" i="4"/>
  <c r="AN486" i="4"/>
  <c r="AM486" i="4"/>
  <c r="CJ1444" i="4" s="1"/>
  <c r="AU486" i="4"/>
  <c r="CJ1446" i="4" s="1"/>
  <c r="AV486" i="4"/>
  <c r="AL486" i="4"/>
  <c r="CI1444" i="4" s="1"/>
  <c r="AI486" i="4"/>
  <c r="AJ486" i="4"/>
  <c r="AH486" i="4"/>
  <c r="AK486" i="4"/>
  <c r="AG486" i="4"/>
  <c r="AE486" i="4"/>
  <c r="AC486" i="4"/>
  <c r="AB486" i="4"/>
  <c r="AD486" i="4"/>
  <c r="AF486" i="4"/>
  <c r="AA486" i="4"/>
  <c r="CG447" i="4"/>
  <c r="CE447" i="4"/>
  <c r="CA447" i="4"/>
  <c r="CC447" i="4"/>
  <c r="CQ1329" i="4" s="1"/>
  <c r="CB447" i="4"/>
  <c r="CP1329" i="4" s="1"/>
  <c r="BZ447" i="4"/>
  <c r="BY447" i="4"/>
  <c r="CQ1328" i="4" s="1"/>
  <c r="BT447" i="4"/>
  <c r="CP1327" i="4" s="1"/>
  <c r="BS447" i="4"/>
  <c r="BR447" i="4"/>
  <c r="BX447" i="4"/>
  <c r="CP1328" i="4" s="1"/>
  <c r="BQ447" i="4"/>
  <c r="BW447" i="4"/>
  <c r="BO447" i="4"/>
  <c r="CF447" i="4"/>
  <c r="BN447" i="4"/>
  <c r="BU447" i="4"/>
  <c r="CQ1327" i="4" s="1"/>
  <c r="BM447" i="4"/>
  <c r="BL447" i="4"/>
  <c r="BP447" i="4"/>
  <c r="CD447" i="4"/>
  <c r="BV447" i="4"/>
  <c r="BK447" i="4"/>
  <c r="BG447" i="4"/>
  <c r="BF447" i="4"/>
  <c r="BJ447" i="4"/>
  <c r="BI447" i="4"/>
  <c r="AW447" i="4"/>
  <c r="BE447" i="4"/>
  <c r="BH447" i="4"/>
  <c r="AX447" i="4"/>
  <c r="AR447" i="4"/>
  <c r="AV447" i="4"/>
  <c r="AU447" i="4"/>
  <c r="CJ1329" i="4" s="1"/>
  <c r="AS447" i="4"/>
  <c r="AY447" i="4"/>
  <c r="AT447" i="4"/>
  <c r="CI1329" i="4" s="1"/>
  <c r="AQ447" i="4"/>
  <c r="CJ1328" i="4" s="1"/>
  <c r="AP447" i="4"/>
  <c r="CI1328" i="4" s="1"/>
  <c r="AO447" i="4"/>
  <c r="AM447" i="4"/>
  <c r="CJ1327" i="4" s="1"/>
  <c r="AL447" i="4"/>
  <c r="CI1327" i="4" s="1"/>
  <c r="AN447" i="4"/>
  <c r="AI447" i="4"/>
  <c r="AJ447" i="4"/>
  <c r="AH447" i="4"/>
  <c r="AF447" i="4"/>
  <c r="AG447" i="4"/>
  <c r="AK447" i="4"/>
  <c r="AB447" i="4"/>
  <c r="AA447" i="4"/>
  <c r="AC447" i="4"/>
  <c r="AD447" i="4"/>
  <c r="AE447" i="4"/>
  <c r="CF403" i="4"/>
  <c r="CD403" i="4"/>
  <c r="BZ403" i="4"/>
  <c r="BY403" i="4"/>
  <c r="CQ1196" i="4" s="1"/>
  <c r="CG403" i="4"/>
  <c r="CB403" i="4"/>
  <c r="CP1197" i="4" s="1"/>
  <c r="CA403" i="4"/>
  <c r="BV403" i="4"/>
  <c r="CC403" i="4"/>
  <c r="CQ1197" i="4" s="1"/>
  <c r="BU403" i="4"/>
  <c r="CQ1195" i="4" s="1"/>
  <c r="CE403" i="4"/>
  <c r="BT403" i="4"/>
  <c r="CP1195" i="4" s="1"/>
  <c r="BS403" i="4"/>
  <c r="BR403" i="4"/>
  <c r="BQ403" i="4"/>
  <c r="BP403" i="4"/>
  <c r="BW403" i="4"/>
  <c r="BO403" i="4"/>
  <c r="BX403" i="4"/>
  <c r="CP1196" i="4" s="1"/>
  <c r="BM403" i="4"/>
  <c r="BL403" i="4"/>
  <c r="BN403" i="4"/>
  <c r="BJ403" i="4"/>
  <c r="BI403" i="4"/>
  <c r="BH403" i="4"/>
  <c r="BG403" i="4"/>
  <c r="BK403" i="4"/>
  <c r="BF403" i="4"/>
  <c r="AX403" i="4"/>
  <c r="BE403" i="4"/>
  <c r="AY403" i="4"/>
  <c r="AW403" i="4"/>
  <c r="AT403" i="4"/>
  <c r="CI1197" i="4" s="1"/>
  <c r="AU403" i="4"/>
  <c r="CJ1197" i="4" s="1"/>
  <c r="AQ403" i="4"/>
  <c r="CJ1196" i="4" s="1"/>
  <c r="AV403" i="4"/>
  <c r="AN403" i="4"/>
  <c r="AL403" i="4"/>
  <c r="CI1195" i="4" s="1"/>
  <c r="AK403" i="4"/>
  <c r="AJ403" i="4"/>
  <c r="AP403" i="4"/>
  <c r="CI1196" i="4" s="1"/>
  <c r="AR403" i="4"/>
  <c r="AO403" i="4"/>
  <c r="AG403" i="4"/>
  <c r="AS403" i="4"/>
  <c r="AM403" i="4"/>
  <c r="CJ1195" i="4" s="1"/>
  <c r="AE403" i="4"/>
  <c r="AD403" i="4"/>
  <c r="AI403" i="4"/>
  <c r="AB403" i="4"/>
  <c r="AF403" i="4"/>
  <c r="AH403" i="4"/>
  <c r="AC403" i="4"/>
  <c r="AA403" i="4"/>
  <c r="CG110" i="4"/>
  <c r="CF110" i="4"/>
  <c r="CD110" i="4"/>
  <c r="CC110" i="4"/>
  <c r="CQ318" i="4" s="1"/>
  <c r="CB110" i="4"/>
  <c r="CP318" i="4" s="1"/>
  <c r="CE110" i="4"/>
  <c r="BU110" i="4"/>
  <c r="CQ316" i="4" s="1"/>
  <c r="BY110" i="4"/>
  <c r="CQ317" i="4" s="1"/>
  <c r="BW110" i="4"/>
  <c r="BT110" i="4"/>
  <c r="CP316" i="4" s="1"/>
  <c r="BS110" i="4"/>
  <c r="BR110" i="4"/>
  <c r="BQ110" i="4"/>
  <c r="BP110" i="4"/>
  <c r="BO110" i="4"/>
  <c r="BN110" i="4"/>
  <c r="BM110" i="4"/>
  <c r="CA110" i="4"/>
  <c r="BX110" i="4"/>
  <c r="CP317" i="4" s="1"/>
  <c r="BV110" i="4"/>
  <c r="BZ110" i="4"/>
  <c r="BL110" i="4"/>
  <c r="BK110" i="4"/>
  <c r="BJ110" i="4"/>
  <c r="BH110" i="4"/>
  <c r="BG110" i="4"/>
  <c r="BI110" i="4"/>
  <c r="BF110" i="4"/>
  <c r="AY110" i="4"/>
  <c r="AX110" i="4"/>
  <c r="AW110" i="4"/>
  <c r="AV110" i="4"/>
  <c r="AU110" i="4"/>
  <c r="CJ318" i="4" s="1"/>
  <c r="AT110" i="4"/>
  <c r="CI318" i="4" s="1"/>
  <c r="BE110" i="4"/>
  <c r="AS110" i="4"/>
  <c r="AQ110" i="4"/>
  <c r="CJ317" i="4" s="1"/>
  <c r="AP110" i="4"/>
  <c r="CI317" i="4" s="1"/>
  <c r="AO110" i="4"/>
  <c r="AR110" i="4"/>
  <c r="AM110" i="4"/>
  <c r="CJ316" i="4" s="1"/>
  <c r="AI110" i="4"/>
  <c r="AN110" i="4"/>
  <c r="AL110" i="4"/>
  <c r="CI316" i="4" s="1"/>
  <c r="AH110" i="4"/>
  <c r="AJ110" i="4"/>
  <c r="AF110" i="4"/>
  <c r="AE110" i="4"/>
  <c r="AD110" i="4"/>
  <c r="AC110" i="4"/>
  <c r="AB110" i="4"/>
  <c r="AA110" i="4"/>
  <c r="AK110" i="4"/>
  <c r="AG110" i="4"/>
  <c r="CG113" i="4"/>
  <c r="CF113" i="4"/>
  <c r="CE113" i="4"/>
  <c r="CA113" i="4"/>
  <c r="BZ113" i="4"/>
  <c r="BY113" i="4"/>
  <c r="CQ326" i="4" s="1"/>
  <c r="BX113" i="4"/>
  <c r="CP326" i="4" s="1"/>
  <c r="BW113" i="4"/>
  <c r="BV113" i="4"/>
  <c r="CD113" i="4"/>
  <c r="CB113" i="4"/>
  <c r="CP327" i="4" s="1"/>
  <c r="CC113" i="4"/>
  <c r="CQ327" i="4" s="1"/>
  <c r="BU113" i="4"/>
  <c r="CQ325" i="4" s="1"/>
  <c r="BS113" i="4"/>
  <c r="BR113" i="4"/>
  <c r="BQ113" i="4"/>
  <c r="BP113" i="4"/>
  <c r="BO113" i="4"/>
  <c r="BL113" i="4"/>
  <c r="BT113" i="4"/>
  <c r="CP325" i="4" s="1"/>
  <c r="BK113" i="4"/>
  <c r="BJ113" i="4"/>
  <c r="BI113" i="4"/>
  <c r="BH113" i="4"/>
  <c r="BG113" i="4"/>
  <c r="BF113" i="4"/>
  <c r="BE113" i="4"/>
  <c r="BM113" i="4"/>
  <c r="AY113" i="4"/>
  <c r="BN113" i="4"/>
  <c r="AX113" i="4"/>
  <c r="AW113" i="4"/>
  <c r="AV113" i="4"/>
  <c r="AQ113" i="4"/>
  <c r="CJ326" i="4" s="1"/>
  <c r="AU113" i="4"/>
  <c r="CJ327" i="4" s="1"/>
  <c r="AT113" i="4"/>
  <c r="CI327" i="4" s="1"/>
  <c r="AS113" i="4"/>
  <c r="AR113" i="4"/>
  <c r="AN113" i="4"/>
  <c r="AP113" i="4"/>
  <c r="CI326" i="4" s="1"/>
  <c r="AO113" i="4"/>
  <c r="AM113" i="4"/>
  <c r="CJ325" i="4" s="1"/>
  <c r="AG113" i="4"/>
  <c r="AL113" i="4"/>
  <c r="CI325" i="4" s="1"/>
  <c r="AH113" i="4"/>
  <c r="AJ113" i="4"/>
  <c r="AE113" i="4"/>
  <c r="AK113" i="4"/>
  <c r="AF113" i="4"/>
  <c r="AB113" i="4"/>
  <c r="AC113" i="4"/>
  <c r="AA113" i="4"/>
  <c r="AI113" i="4"/>
  <c r="AD113" i="4"/>
  <c r="CG472" i="4"/>
  <c r="CE472" i="4"/>
  <c r="CD472" i="4"/>
  <c r="CC472" i="4"/>
  <c r="CQ1404" i="4" s="1"/>
  <c r="CF472" i="4"/>
  <c r="BZ472" i="4"/>
  <c r="BY472" i="4"/>
  <c r="CQ1403" i="4" s="1"/>
  <c r="BX472" i="4"/>
  <c r="CP1403" i="4" s="1"/>
  <c r="BV472" i="4"/>
  <c r="CB472" i="4"/>
  <c r="CP1404" i="4" s="1"/>
  <c r="BU472" i="4"/>
  <c r="CQ1402" i="4" s="1"/>
  <c r="CA472" i="4"/>
  <c r="BT472" i="4"/>
  <c r="CP1402" i="4" s="1"/>
  <c r="BS472" i="4"/>
  <c r="BR472" i="4"/>
  <c r="BQ472" i="4"/>
  <c r="BP472" i="4"/>
  <c r="BM472" i="4"/>
  <c r="BL472" i="4"/>
  <c r="BK472" i="4"/>
  <c r="BW472" i="4"/>
  <c r="BO472" i="4"/>
  <c r="BE472" i="4"/>
  <c r="AY472" i="4"/>
  <c r="BJ472" i="4"/>
  <c r="BN472" i="4"/>
  <c r="BH472" i="4"/>
  <c r="BI472" i="4"/>
  <c r="BF472" i="4"/>
  <c r="BG472" i="4"/>
  <c r="AW472" i="4"/>
  <c r="AT472" i="4"/>
  <c r="CI1404" i="4" s="1"/>
  <c r="AX472" i="4"/>
  <c r="AV472" i="4"/>
  <c r="AU472" i="4"/>
  <c r="CJ1404" i="4" s="1"/>
  <c r="AQ472" i="4"/>
  <c r="CJ1403" i="4" s="1"/>
  <c r="AS472" i="4"/>
  <c r="AO472" i="4"/>
  <c r="AR472" i="4"/>
  <c r="AN472" i="4"/>
  <c r="AP472" i="4"/>
  <c r="CI1403" i="4" s="1"/>
  <c r="AG472" i="4"/>
  <c r="AK472" i="4"/>
  <c r="AI472" i="4"/>
  <c r="AM472" i="4"/>
  <c r="CJ1402" i="4" s="1"/>
  <c r="AJ472" i="4"/>
  <c r="AL472" i="4"/>
  <c r="CI1402" i="4" s="1"/>
  <c r="AF472" i="4"/>
  <c r="AH472" i="4"/>
  <c r="AD472" i="4"/>
  <c r="AA472" i="4"/>
  <c r="AC472" i="4"/>
  <c r="AB472" i="4"/>
  <c r="AE472" i="4"/>
  <c r="CG343" i="4"/>
  <c r="CF343" i="4"/>
  <c r="CE343" i="4"/>
  <c r="CD343" i="4"/>
  <c r="CC343" i="4"/>
  <c r="CQ1017" i="4" s="1"/>
  <c r="CB343" i="4"/>
  <c r="CP1017" i="4" s="1"/>
  <c r="BZ343" i="4"/>
  <c r="BY343" i="4"/>
  <c r="CQ1016" i="4" s="1"/>
  <c r="BX343" i="4"/>
  <c r="CP1016" i="4" s="1"/>
  <c r="BW343" i="4"/>
  <c r="CA343" i="4"/>
  <c r="BV343" i="4"/>
  <c r="BS343" i="4"/>
  <c r="BM343" i="4"/>
  <c r="BL343" i="4"/>
  <c r="BU343" i="4"/>
  <c r="CQ1015" i="4" s="1"/>
  <c r="BO343" i="4"/>
  <c r="BN343" i="4"/>
  <c r="BR343" i="4"/>
  <c r="BQ343" i="4"/>
  <c r="BP343" i="4"/>
  <c r="BF343" i="4"/>
  <c r="BK343" i="4"/>
  <c r="BT343" i="4"/>
  <c r="CP1015" i="4" s="1"/>
  <c r="BI343" i="4"/>
  <c r="BE343" i="4"/>
  <c r="BJ343" i="4"/>
  <c r="BH343" i="4"/>
  <c r="BG343" i="4"/>
  <c r="AY343" i="4"/>
  <c r="AW343" i="4"/>
  <c r="AU343" i="4"/>
  <c r="CJ1017" i="4" s="1"/>
  <c r="AX343" i="4"/>
  <c r="AR343" i="4"/>
  <c r="AS343" i="4"/>
  <c r="AQ343" i="4"/>
  <c r="CJ1016" i="4" s="1"/>
  <c r="AO343" i="4"/>
  <c r="AV343" i="4"/>
  <c r="AP343" i="4"/>
  <c r="CI1016" i="4" s="1"/>
  <c r="AT343" i="4"/>
  <c r="CI1017" i="4" s="1"/>
  <c r="AM343" i="4"/>
  <c r="CJ1015" i="4" s="1"/>
  <c r="AL343" i="4"/>
  <c r="CI1015" i="4" s="1"/>
  <c r="AJ343" i="4"/>
  <c r="AN343" i="4"/>
  <c r="AH343" i="4"/>
  <c r="AI343" i="4"/>
  <c r="AK343" i="4"/>
  <c r="AG343" i="4"/>
  <c r="AC343" i="4"/>
  <c r="AF343" i="4"/>
  <c r="AD343" i="4"/>
  <c r="AA343" i="4"/>
  <c r="AE343" i="4"/>
  <c r="AB343" i="4"/>
  <c r="CF115" i="4"/>
  <c r="CE115" i="4"/>
  <c r="CA115" i="4"/>
  <c r="BZ115" i="4"/>
  <c r="BY115" i="4"/>
  <c r="CQ332" i="4" s="1"/>
  <c r="CC115" i="4"/>
  <c r="CQ333" i="4" s="1"/>
  <c r="CB115" i="4"/>
  <c r="CP333" i="4" s="1"/>
  <c r="BV115" i="4"/>
  <c r="CG115" i="4"/>
  <c r="CD115" i="4"/>
  <c r="BT115" i="4"/>
  <c r="CP331" i="4" s="1"/>
  <c r="BS115" i="4"/>
  <c r="BR115" i="4"/>
  <c r="BQ115" i="4"/>
  <c r="BP115" i="4"/>
  <c r="BO115" i="4"/>
  <c r="BX115" i="4"/>
  <c r="CP332" i="4" s="1"/>
  <c r="BU115" i="4"/>
  <c r="CQ331" i="4" s="1"/>
  <c r="BW115" i="4"/>
  <c r="BL115" i="4"/>
  <c r="BK115" i="4"/>
  <c r="BM115" i="4"/>
  <c r="BJ115" i="4"/>
  <c r="BI115" i="4"/>
  <c r="BH115" i="4"/>
  <c r="BN115" i="4"/>
  <c r="BG115" i="4"/>
  <c r="AX115" i="4"/>
  <c r="AW115" i="4"/>
  <c r="AV115" i="4"/>
  <c r="AS115" i="4"/>
  <c r="AR115" i="4"/>
  <c r="AT115" i="4"/>
  <c r="CI333" i="4" s="1"/>
  <c r="AY115" i="4"/>
  <c r="BF115" i="4"/>
  <c r="AQ115" i="4"/>
  <c r="CJ332" i="4" s="1"/>
  <c r="BE115" i="4"/>
  <c r="AU115" i="4"/>
  <c r="CJ333" i="4" s="1"/>
  <c r="AN115" i="4"/>
  <c r="AK115" i="4"/>
  <c r="AJ115" i="4"/>
  <c r="AI115" i="4"/>
  <c r="AO115" i="4"/>
  <c r="AL115" i="4"/>
  <c r="CI331" i="4" s="1"/>
  <c r="AP115" i="4"/>
  <c r="CI332" i="4" s="1"/>
  <c r="AM115" i="4"/>
  <c r="CJ331" i="4" s="1"/>
  <c r="AG115" i="4"/>
  <c r="AH115" i="4"/>
  <c r="AE115" i="4"/>
  <c r="AB115" i="4"/>
  <c r="AD115" i="4"/>
  <c r="AC115" i="4"/>
  <c r="AA115" i="4"/>
  <c r="AF115" i="4"/>
  <c r="CD206" i="4"/>
  <c r="CC206" i="4"/>
  <c r="CQ606" i="4" s="1"/>
  <c r="CB206" i="4"/>
  <c r="CP606" i="4" s="1"/>
  <c r="CG206" i="4"/>
  <c r="CA206" i="4"/>
  <c r="CE206" i="4"/>
  <c r="BV206" i="4"/>
  <c r="BS206" i="4"/>
  <c r="BR206" i="4"/>
  <c r="BQ206" i="4"/>
  <c r="BP206" i="4"/>
  <c r="BO206" i="4"/>
  <c r="BN206" i="4"/>
  <c r="BW206" i="4"/>
  <c r="BX206" i="4"/>
  <c r="CP605" i="4" s="1"/>
  <c r="BZ206" i="4"/>
  <c r="BY206" i="4"/>
  <c r="CQ605" i="4" s="1"/>
  <c r="BU206" i="4"/>
  <c r="CQ604" i="4" s="1"/>
  <c r="CF206" i="4"/>
  <c r="BJ206" i="4"/>
  <c r="BT206" i="4"/>
  <c r="CP604" i="4" s="1"/>
  <c r="BL206" i="4"/>
  <c r="BF206" i="4"/>
  <c r="BH206" i="4"/>
  <c r="BE206" i="4"/>
  <c r="AY206" i="4"/>
  <c r="AX206" i="4"/>
  <c r="AW206" i="4"/>
  <c r="AV206" i="4"/>
  <c r="AU206" i="4"/>
  <c r="CJ606" i="4" s="1"/>
  <c r="AT206" i="4"/>
  <c r="CI606" i="4" s="1"/>
  <c r="BI206" i="4"/>
  <c r="BG206" i="4"/>
  <c r="BK206" i="4"/>
  <c r="BM206" i="4"/>
  <c r="AQ206" i="4"/>
  <c r="CJ605" i="4" s="1"/>
  <c r="AS206" i="4"/>
  <c r="AP206" i="4"/>
  <c r="CI605" i="4" s="1"/>
  <c r="AO206" i="4"/>
  <c r="AM206" i="4"/>
  <c r="CJ604" i="4" s="1"/>
  <c r="AR206" i="4"/>
  <c r="AN206" i="4"/>
  <c r="AI206" i="4"/>
  <c r="AK206" i="4"/>
  <c r="AJ206" i="4"/>
  <c r="AL206" i="4"/>
  <c r="CI604" i="4" s="1"/>
  <c r="AH206" i="4"/>
  <c r="AF206" i="4"/>
  <c r="AE206" i="4"/>
  <c r="AD206" i="4"/>
  <c r="AC206" i="4"/>
  <c r="AB206" i="4"/>
  <c r="AA206" i="4"/>
  <c r="AG206" i="4"/>
  <c r="E9" i="1"/>
  <c r="D13" i="3"/>
  <c r="E12" i="3"/>
  <c r="CA9" i="1"/>
  <c r="I8" i="4" l="1"/>
  <c r="M8" i="4"/>
  <c r="O8" i="4"/>
  <c r="K8" i="4"/>
  <c r="R8" i="4"/>
  <c r="CT1163" i="4"/>
  <c r="CU1163" i="4"/>
  <c r="CM798" i="4"/>
  <c r="CN798" i="4"/>
  <c r="CL958" i="4"/>
  <c r="CK958" i="4"/>
  <c r="CM278" i="4"/>
  <c r="CN278" i="4"/>
  <c r="CK270" i="4"/>
  <c r="CL270" i="4"/>
  <c r="CT989" i="4"/>
  <c r="CU989" i="4"/>
  <c r="CT341" i="4"/>
  <c r="CU341" i="4"/>
  <c r="CR998" i="4"/>
  <c r="CS998" i="4"/>
  <c r="CT1173" i="4"/>
  <c r="CU1173" i="4"/>
  <c r="CM359" i="4"/>
  <c r="CN359" i="4"/>
  <c r="CM572" i="4"/>
  <c r="CN572" i="4"/>
  <c r="CK1297" i="4"/>
  <c r="CL1297" i="4"/>
  <c r="CL484" i="4"/>
  <c r="CK484" i="4"/>
  <c r="CN1125" i="4"/>
  <c r="CM1125" i="4"/>
  <c r="CU20" i="4"/>
  <c r="CT20" i="4"/>
  <c r="CK1122" i="4"/>
  <c r="CL1122" i="4"/>
  <c r="CK701" i="4"/>
  <c r="CL701" i="4"/>
  <c r="CR1082" i="4"/>
  <c r="CS1082" i="4"/>
  <c r="CT499" i="4"/>
  <c r="CU499" i="4"/>
  <c r="CR327" i="4"/>
  <c r="CS327" i="4"/>
  <c r="CL1362" i="4"/>
  <c r="CK1362" i="4"/>
  <c r="CT89" i="4"/>
  <c r="CU89" i="4"/>
  <c r="CL1046" i="4"/>
  <c r="CK1046" i="4"/>
  <c r="CL271" i="4"/>
  <c r="CK271" i="4"/>
  <c r="CK223" i="4"/>
  <c r="CL223" i="4"/>
  <c r="CK1094" i="4"/>
  <c r="CL1094" i="4"/>
  <c r="CM1310" i="4"/>
  <c r="CN1310" i="4"/>
  <c r="CR1364" i="4"/>
  <c r="CS1364" i="4"/>
  <c r="CM1024" i="4"/>
  <c r="CN1024" i="4"/>
  <c r="CM1407" i="4"/>
  <c r="CN1407" i="4"/>
  <c r="CT1355" i="4"/>
  <c r="CU1355" i="4"/>
  <c r="CT263" i="4"/>
  <c r="CU263" i="4"/>
  <c r="CR691" i="4"/>
  <c r="CS691" i="4"/>
  <c r="CR1294" i="4"/>
  <c r="CS1294" i="4"/>
  <c r="CT844" i="4"/>
  <c r="CU844" i="4"/>
  <c r="CT1357" i="4"/>
  <c r="CU1357" i="4"/>
  <c r="CK66" i="4"/>
  <c r="CL66" i="4"/>
  <c r="CK278" i="4"/>
  <c r="CL278" i="4"/>
  <c r="CN1108" i="4"/>
  <c r="CM1108" i="4"/>
  <c r="CK983" i="4"/>
  <c r="CL983" i="4"/>
  <c r="CK1306" i="4"/>
  <c r="CL1306" i="4"/>
  <c r="CT467" i="4"/>
  <c r="CU467" i="4"/>
  <c r="CT740" i="4"/>
  <c r="CU740" i="4"/>
  <c r="CR1437" i="4"/>
  <c r="CS1437" i="4"/>
  <c r="CT1374" i="4"/>
  <c r="CU1374" i="4"/>
  <c r="CM564" i="4"/>
  <c r="CN564" i="4"/>
  <c r="CM689" i="4"/>
  <c r="CN689" i="4"/>
  <c r="CM59" i="4"/>
  <c r="CN59" i="4"/>
  <c r="CR382" i="4"/>
  <c r="CS382" i="4"/>
  <c r="CK266" i="4"/>
  <c r="CL266" i="4"/>
  <c r="CT685" i="4"/>
  <c r="CU685" i="4"/>
  <c r="CR1254" i="4"/>
  <c r="CS1254" i="4"/>
  <c r="CR20" i="4"/>
  <c r="CS20" i="4"/>
  <c r="CS828" i="4"/>
  <c r="CR828" i="4"/>
  <c r="CM1214" i="4"/>
  <c r="CN1214" i="4"/>
  <c r="CK469" i="4"/>
  <c r="CL469" i="4"/>
  <c r="CK1416" i="4"/>
  <c r="CL1416" i="4"/>
  <c r="CU158" i="4"/>
  <c r="CT158" i="4"/>
  <c r="CM858" i="4"/>
  <c r="CN858" i="4"/>
  <c r="CU606" i="4"/>
  <c r="CT606" i="4"/>
  <c r="CU1404" i="4"/>
  <c r="CT1404" i="4"/>
  <c r="CK375" i="4"/>
  <c r="CL375" i="4"/>
  <c r="CR671" i="4"/>
  <c r="CS671" i="4"/>
  <c r="CU1047" i="4"/>
  <c r="CT1047" i="4"/>
  <c r="CM272" i="4"/>
  <c r="CN272" i="4"/>
  <c r="CS536" i="4"/>
  <c r="CR536" i="4"/>
  <c r="CR1164" i="4"/>
  <c r="CS1164" i="4"/>
  <c r="CK628" i="4"/>
  <c r="CL628" i="4"/>
  <c r="CR420" i="4"/>
  <c r="CS420" i="4"/>
  <c r="CR1005" i="4"/>
  <c r="CS1005" i="4"/>
  <c r="CR1094" i="4"/>
  <c r="CS1094" i="4"/>
  <c r="CK986" i="4"/>
  <c r="CL986" i="4"/>
  <c r="CS800" i="4"/>
  <c r="CR800" i="4"/>
  <c r="CL1309" i="4"/>
  <c r="CK1309" i="4"/>
  <c r="CN1311" i="4"/>
  <c r="CM1311" i="4"/>
  <c r="CM601" i="4"/>
  <c r="CN601" i="4"/>
  <c r="CT1363" i="4"/>
  <c r="CU1363" i="4"/>
  <c r="CK1024" i="4"/>
  <c r="CL1024" i="4"/>
  <c r="CR1024" i="4"/>
  <c r="CS1024" i="4"/>
  <c r="CT308" i="4"/>
  <c r="CU308" i="4"/>
  <c r="CM1205" i="4"/>
  <c r="CN1205" i="4"/>
  <c r="CR1204" i="4"/>
  <c r="CS1204" i="4"/>
  <c r="CK1338" i="4"/>
  <c r="CL1338" i="4"/>
  <c r="CR1337" i="4"/>
  <c r="CS1337" i="4"/>
  <c r="CT196" i="4"/>
  <c r="CU196" i="4"/>
  <c r="CM992" i="4"/>
  <c r="CN992" i="4"/>
  <c r="CK1177" i="4"/>
  <c r="CL1177" i="4"/>
  <c r="CS1177" i="4"/>
  <c r="CR1177" i="4"/>
  <c r="CK1042" i="4"/>
  <c r="CL1042" i="4"/>
  <c r="CK281" i="4"/>
  <c r="CL281" i="4"/>
  <c r="CK366" i="4"/>
  <c r="CL366" i="4"/>
  <c r="CT959" i="4"/>
  <c r="CU959" i="4"/>
  <c r="CR246" i="4"/>
  <c r="CS246" i="4"/>
  <c r="CN1314" i="4"/>
  <c r="CM1314" i="4"/>
  <c r="CT802" i="4"/>
  <c r="CU802" i="4"/>
  <c r="CM693" i="4"/>
  <c r="CN693" i="4"/>
  <c r="CK1367" i="4"/>
  <c r="CL1367" i="4"/>
  <c r="CR1368" i="4"/>
  <c r="CS1368" i="4"/>
  <c r="CM337" i="4"/>
  <c r="CN337" i="4"/>
  <c r="CR337" i="4"/>
  <c r="CS337" i="4"/>
  <c r="CU1019" i="4"/>
  <c r="CT1019" i="4"/>
  <c r="CR682" i="4"/>
  <c r="CS682" i="4"/>
  <c r="CU846" i="4"/>
  <c r="CT846" i="4"/>
  <c r="CL315" i="4"/>
  <c r="CK315" i="4"/>
  <c r="CK1200" i="4"/>
  <c r="CL1200" i="4"/>
  <c r="CU194" i="4"/>
  <c r="CT194" i="4"/>
  <c r="CT994" i="4"/>
  <c r="CU994" i="4"/>
  <c r="CU64" i="4"/>
  <c r="CT64" i="4"/>
  <c r="CR268" i="4"/>
  <c r="CS268" i="4"/>
  <c r="CR355" i="4"/>
  <c r="CS355" i="4"/>
  <c r="CT357" i="4"/>
  <c r="CU357" i="4"/>
  <c r="CR625" i="4"/>
  <c r="CS625" i="4"/>
  <c r="CK1221" i="4"/>
  <c r="CL1221" i="4"/>
  <c r="CM422" i="4"/>
  <c r="CN422" i="4"/>
  <c r="CK807" i="4"/>
  <c r="CL807" i="4"/>
  <c r="CT806" i="4"/>
  <c r="CU806" i="4"/>
  <c r="CR466" i="4"/>
  <c r="CS466" i="4"/>
  <c r="CR1001" i="4"/>
  <c r="CS1001" i="4"/>
  <c r="CT181" i="4"/>
  <c r="CU181" i="4"/>
  <c r="CK348" i="4"/>
  <c r="CL348" i="4"/>
  <c r="CT348" i="4"/>
  <c r="CU348" i="4"/>
  <c r="CU237" i="4"/>
  <c r="CT237" i="4"/>
  <c r="CT1437" i="4"/>
  <c r="CU1437" i="4"/>
  <c r="CM872" i="4"/>
  <c r="CN872" i="4"/>
  <c r="CM1070" i="4"/>
  <c r="CN1070" i="4"/>
  <c r="CS1071" i="4"/>
  <c r="CR1071" i="4"/>
  <c r="CM756" i="4"/>
  <c r="CN756" i="4"/>
  <c r="CR574" i="4"/>
  <c r="CS574" i="4"/>
  <c r="CT1372" i="4"/>
  <c r="CU1372" i="4"/>
  <c r="CN340" i="4"/>
  <c r="CM340" i="4"/>
  <c r="CM688" i="4"/>
  <c r="CN688" i="4"/>
  <c r="CR836" i="4"/>
  <c r="CS836" i="4"/>
  <c r="CK310" i="4"/>
  <c r="CL310" i="4"/>
  <c r="CT483" i="4"/>
  <c r="CU483" i="4"/>
  <c r="CR652" i="4"/>
  <c r="CS652" i="4"/>
  <c r="CK1130" i="4"/>
  <c r="CL1130" i="4"/>
  <c r="CS1129" i="4"/>
  <c r="CR1129" i="4"/>
  <c r="CN999" i="4"/>
  <c r="CM999" i="4"/>
  <c r="CM121" i="4"/>
  <c r="CN121" i="4"/>
  <c r="CK123" i="4"/>
  <c r="CL123" i="4"/>
  <c r="CR383" i="4"/>
  <c r="CS383" i="4"/>
  <c r="CT1171" i="4"/>
  <c r="CU1171" i="4"/>
  <c r="CR1050" i="4"/>
  <c r="CS1050" i="4"/>
  <c r="CR1155" i="4"/>
  <c r="CS1155" i="4"/>
  <c r="CT768" i="4"/>
  <c r="CU768" i="4"/>
  <c r="CS824" i="4"/>
  <c r="CR824" i="4"/>
  <c r="CU265" i="4"/>
  <c r="CT265" i="4"/>
  <c r="CR1230" i="4"/>
  <c r="CS1230" i="4"/>
  <c r="CN976" i="4"/>
  <c r="CM976" i="4"/>
  <c r="CT977" i="4"/>
  <c r="CU977" i="4"/>
  <c r="CT571" i="4"/>
  <c r="CU571" i="4"/>
  <c r="CR1299" i="4"/>
  <c r="CS1299" i="4"/>
  <c r="CR686" i="4"/>
  <c r="CS686" i="4"/>
  <c r="CN1123" i="4"/>
  <c r="CM1123" i="4"/>
  <c r="CM21" i="4"/>
  <c r="CN21" i="4"/>
  <c r="CT19" i="4"/>
  <c r="CU19" i="4"/>
  <c r="CM772" i="4"/>
  <c r="CN772" i="4"/>
  <c r="CR826" i="4"/>
  <c r="CS826" i="4"/>
  <c r="CR1107" i="4"/>
  <c r="CS1107" i="4"/>
  <c r="CL259" i="4"/>
  <c r="CK259" i="4"/>
  <c r="CU1215" i="4"/>
  <c r="CT1215" i="4"/>
  <c r="CK694" i="4"/>
  <c r="CL694" i="4"/>
  <c r="CT695" i="4"/>
  <c r="CU695" i="4"/>
  <c r="CK981" i="4"/>
  <c r="CL981" i="4"/>
  <c r="CM1286" i="4"/>
  <c r="CN1286" i="4"/>
  <c r="CR1341" i="4"/>
  <c r="CS1341" i="4"/>
  <c r="CM781" i="4"/>
  <c r="CN781" i="4"/>
  <c r="CR782" i="4"/>
  <c r="CS782" i="4"/>
  <c r="CN578" i="4"/>
  <c r="CM578" i="4"/>
  <c r="CR578" i="4"/>
  <c r="CS578" i="4"/>
  <c r="CT1414" i="4"/>
  <c r="CU1414" i="4"/>
  <c r="CL566" i="4"/>
  <c r="CK566" i="4"/>
  <c r="CN679" i="4"/>
  <c r="CM679" i="4"/>
  <c r="CT407" i="4"/>
  <c r="CU407" i="4"/>
  <c r="CR646" i="4"/>
  <c r="CS646" i="4"/>
  <c r="CU647" i="4"/>
  <c r="CT647" i="4"/>
  <c r="CS459" i="4"/>
  <c r="CR459" i="4"/>
  <c r="CT57" i="4"/>
  <c r="CU57" i="4"/>
  <c r="CM41" i="4"/>
  <c r="CN41" i="4"/>
  <c r="CT40" i="4"/>
  <c r="CU40" i="4"/>
  <c r="CM22" i="4"/>
  <c r="CN22" i="4"/>
  <c r="CM831" i="4"/>
  <c r="CN831" i="4"/>
  <c r="CR1103" i="4"/>
  <c r="CS1103" i="4"/>
  <c r="CT505" i="4"/>
  <c r="CU505" i="4"/>
  <c r="CT1208" i="4"/>
  <c r="CU1208" i="4"/>
  <c r="CM1006" i="4"/>
  <c r="CN1006" i="4"/>
  <c r="CM472" i="4"/>
  <c r="CN472" i="4"/>
  <c r="CT702" i="4"/>
  <c r="CU702" i="4"/>
  <c r="CN165" i="4"/>
  <c r="CM165" i="4"/>
  <c r="CS1292" i="4"/>
  <c r="CR1292" i="4"/>
  <c r="CK560" i="4"/>
  <c r="CL560" i="4"/>
  <c r="CU559" i="4"/>
  <c r="CT559" i="4"/>
  <c r="CN152" i="4"/>
  <c r="CM152" i="4"/>
  <c r="CL477" i="4"/>
  <c r="CK477" i="4"/>
  <c r="CM83" i="4"/>
  <c r="CN83" i="4"/>
  <c r="CT83" i="4"/>
  <c r="CU83" i="4"/>
  <c r="CR1243" i="4"/>
  <c r="CS1243" i="4"/>
  <c r="CM1317" i="4"/>
  <c r="CN1317" i="4"/>
  <c r="CS33" i="4"/>
  <c r="CR33" i="4"/>
  <c r="CK1393" i="4"/>
  <c r="CL1393" i="4"/>
  <c r="CM1218" i="4"/>
  <c r="CN1218" i="4"/>
  <c r="CT1218" i="4"/>
  <c r="CU1218" i="4"/>
  <c r="CM1114" i="4"/>
  <c r="CN1114" i="4"/>
  <c r="CT93" i="4"/>
  <c r="CU93" i="4"/>
  <c r="CK1011" i="4"/>
  <c r="CL1011" i="4"/>
  <c r="CR1011" i="4"/>
  <c r="CS1011" i="4"/>
  <c r="CM932" i="4"/>
  <c r="CN932" i="4"/>
  <c r="CS933" i="4"/>
  <c r="CR933" i="4"/>
  <c r="CT396" i="4"/>
  <c r="CU396" i="4"/>
  <c r="CN167" i="4"/>
  <c r="CM167" i="4"/>
  <c r="CM1418" i="4"/>
  <c r="CN1418" i="4"/>
  <c r="CL642" i="4"/>
  <c r="CK642" i="4"/>
  <c r="CT641" i="4"/>
  <c r="CU641" i="4"/>
  <c r="CS405" i="4"/>
  <c r="CR405" i="4"/>
  <c r="CR890" i="4"/>
  <c r="CS890" i="4"/>
  <c r="CU1136" i="4"/>
  <c r="CT1136" i="4"/>
  <c r="CT34" i="4"/>
  <c r="CU34" i="4"/>
  <c r="CK27" i="4"/>
  <c r="CL27" i="4"/>
  <c r="CR1423" i="4"/>
  <c r="CS1423" i="4"/>
  <c r="CK1239" i="4"/>
  <c r="CL1239" i="4"/>
  <c r="CR502" i="4"/>
  <c r="CS502" i="4"/>
  <c r="CT1112" i="4"/>
  <c r="CU1112" i="4"/>
  <c r="CL1187" i="4"/>
  <c r="CK1187" i="4"/>
  <c r="CT1188" i="4"/>
  <c r="CU1188" i="4"/>
  <c r="CT99" i="4"/>
  <c r="CU99" i="4"/>
  <c r="CT1014" i="4"/>
  <c r="CU1014" i="4"/>
  <c r="CT49" i="4"/>
  <c r="CU49" i="4"/>
  <c r="CM939" i="4"/>
  <c r="CN939" i="4"/>
  <c r="CR938" i="4"/>
  <c r="CS938" i="4"/>
  <c r="CM655" i="4"/>
  <c r="CN655" i="4"/>
  <c r="CR656" i="4"/>
  <c r="CS656" i="4"/>
  <c r="CM633" i="4"/>
  <c r="CN633" i="4"/>
  <c r="CR1030" i="4"/>
  <c r="CS1030" i="4"/>
  <c r="CR145" i="4"/>
  <c r="CS145" i="4"/>
  <c r="CM108" i="4"/>
  <c r="CN108" i="4"/>
  <c r="CM616" i="4"/>
  <c r="CN616" i="4"/>
  <c r="CT389" i="4"/>
  <c r="CU389" i="4"/>
  <c r="CK1151" i="4"/>
  <c r="CL1151" i="4"/>
  <c r="CR1065" i="4"/>
  <c r="CS1065" i="4"/>
  <c r="CK513" i="4"/>
  <c r="CL513" i="4"/>
  <c r="CN397" i="4"/>
  <c r="CM397" i="4"/>
  <c r="CM1300" i="4"/>
  <c r="CN1300" i="4"/>
  <c r="CS709" i="4"/>
  <c r="CR709" i="4"/>
  <c r="CT634" i="4"/>
  <c r="CU634" i="4"/>
  <c r="CM413" i="4"/>
  <c r="CN413" i="4"/>
  <c r="CM148" i="4"/>
  <c r="CN148" i="4"/>
  <c r="CK1139" i="4"/>
  <c r="CL1139" i="4"/>
  <c r="CR455" i="4"/>
  <c r="CS455" i="4"/>
  <c r="CS454" i="4"/>
  <c r="CR454" i="4"/>
  <c r="CT609" i="4"/>
  <c r="CU609" i="4"/>
  <c r="CN1054" i="4"/>
  <c r="CM1054" i="4"/>
  <c r="CM208" i="4"/>
  <c r="CN208" i="4"/>
  <c r="CT209" i="4"/>
  <c r="CU209" i="4"/>
  <c r="CK1149" i="4"/>
  <c r="CL1149" i="4"/>
  <c r="CT37" i="4"/>
  <c r="CU37" i="4"/>
  <c r="CT916" i="4"/>
  <c r="CU916" i="4"/>
  <c r="CM1430" i="4"/>
  <c r="CN1430" i="4"/>
  <c r="CT1430" i="4"/>
  <c r="CU1430" i="4"/>
  <c r="CM1397" i="4"/>
  <c r="CN1397" i="4"/>
  <c r="CT1398" i="4"/>
  <c r="CU1398" i="4"/>
  <c r="CK508" i="4"/>
  <c r="CL508" i="4"/>
  <c r="CU1119" i="4"/>
  <c r="CT1119" i="4"/>
  <c r="CN922" i="4"/>
  <c r="CM922" i="4"/>
  <c r="CL516" i="4"/>
  <c r="CK516" i="4"/>
  <c r="CT934" i="4"/>
  <c r="CU934" i="4"/>
  <c r="CR219" i="4"/>
  <c r="CS219" i="4"/>
  <c r="CR594" i="4"/>
  <c r="CS594" i="4"/>
  <c r="CT1232" i="4"/>
  <c r="CU1232" i="4"/>
  <c r="CR967" i="4"/>
  <c r="CS967" i="4"/>
  <c r="CM135" i="4"/>
  <c r="CN135" i="4"/>
  <c r="CR133" i="4"/>
  <c r="CS133" i="4"/>
  <c r="CU134" i="4"/>
  <c r="CT134" i="4"/>
  <c r="CM1347" i="4"/>
  <c r="CN1347" i="4"/>
  <c r="CR899" i="4"/>
  <c r="CS899" i="4"/>
  <c r="CK732" i="4"/>
  <c r="CL732" i="4"/>
  <c r="CN353" i="4"/>
  <c r="CM353" i="4"/>
  <c r="CN866" i="4"/>
  <c r="CM866" i="4"/>
  <c r="CT867" i="4"/>
  <c r="CU867" i="4"/>
  <c r="CT402" i="4"/>
  <c r="CU402" i="4"/>
  <c r="CM1079" i="4"/>
  <c r="CN1079" i="4"/>
  <c r="CT1078" i="4"/>
  <c r="CU1078" i="4"/>
  <c r="CU1080" i="4"/>
  <c r="CT1080" i="4"/>
  <c r="CN434" i="4"/>
  <c r="CM434" i="4"/>
  <c r="CK140" i="4"/>
  <c r="CL140" i="4"/>
  <c r="CM1141" i="4"/>
  <c r="CN1141" i="4"/>
  <c r="CS674" i="4"/>
  <c r="CR674" i="4"/>
  <c r="CR613" i="4"/>
  <c r="CS613" i="4"/>
  <c r="CU1059" i="4"/>
  <c r="CT1059" i="4"/>
  <c r="CS386" i="4"/>
  <c r="CR386" i="4"/>
  <c r="CN1322" i="4"/>
  <c r="CM1322" i="4"/>
  <c r="CK1432" i="4"/>
  <c r="CL1432" i="4"/>
  <c r="CT1236" i="4"/>
  <c r="CU1236" i="4"/>
  <c r="CT1289" i="4"/>
  <c r="CU1289" i="4"/>
  <c r="CT1189" i="4"/>
  <c r="CU1189" i="4"/>
  <c r="CM1257" i="4"/>
  <c r="CN1257" i="4"/>
  <c r="CR1255" i="4"/>
  <c r="CS1255" i="4"/>
  <c r="CL894" i="4"/>
  <c r="CK894" i="4"/>
  <c r="CM1062" i="4"/>
  <c r="CN1062" i="4"/>
  <c r="CR1061" i="4"/>
  <c r="CS1061" i="4"/>
  <c r="CN920" i="4"/>
  <c r="CM920" i="4"/>
  <c r="CT921" i="4"/>
  <c r="CU921" i="4"/>
  <c r="CN533" i="4"/>
  <c r="CM533" i="4"/>
  <c r="CR725" i="4"/>
  <c r="CS725" i="4"/>
  <c r="CR726" i="4"/>
  <c r="CS726" i="4"/>
  <c r="CS1264" i="4"/>
  <c r="CR1264" i="4"/>
  <c r="CL10" i="4"/>
  <c r="CK10" i="4"/>
  <c r="CK12" i="4"/>
  <c r="CL12" i="4"/>
  <c r="CK745" i="4"/>
  <c r="CL745" i="4"/>
  <c r="CM1441" i="4"/>
  <c r="CN1441" i="4"/>
  <c r="CK377" i="4"/>
  <c r="CL377" i="4"/>
  <c r="CT377" i="4"/>
  <c r="CU377" i="4"/>
  <c r="CM587" i="4"/>
  <c r="CN587" i="4"/>
  <c r="CT588" i="4"/>
  <c r="CU588" i="4"/>
  <c r="CT109" i="4"/>
  <c r="CU109" i="4"/>
  <c r="CR1051" i="4"/>
  <c r="CS1051" i="4"/>
  <c r="CM876" i="4"/>
  <c r="CN876" i="4"/>
  <c r="CU876" i="4"/>
  <c r="CT876" i="4"/>
  <c r="CL439" i="4"/>
  <c r="CK439" i="4"/>
  <c r="CM185" i="4"/>
  <c r="CN185" i="4"/>
  <c r="CR128" i="4"/>
  <c r="CS128" i="4"/>
  <c r="CM1349" i="4"/>
  <c r="CN1349" i="4"/>
  <c r="CT895" i="4"/>
  <c r="CU895" i="4"/>
  <c r="CT1377" i="4"/>
  <c r="CU1377" i="4"/>
  <c r="CM928" i="4"/>
  <c r="CN928" i="4"/>
  <c r="CT928" i="4"/>
  <c r="CU928" i="4"/>
  <c r="CM284" i="4"/>
  <c r="CN284" i="4"/>
  <c r="CL285" i="4"/>
  <c r="CK285" i="4"/>
  <c r="CM723" i="4"/>
  <c r="CN723" i="4"/>
  <c r="CS723" i="4"/>
  <c r="CR723" i="4"/>
  <c r="CS1260" i="4"/>
  <c r="CR1260" i="4"/>
  <c r="CK15" i="4"/>
  <c r="CL15" i="4"/>
  <c r="CN253" i="4"/>
  <c r="CM253" i="4"/>
  <c r="CU254" i="4"/>
  <c r="CT254" i="4"/>
  <c r="CT1035" i="4"/>
  <c r="CU1035" i="4"/>
  <c r="CK295" i="4"/>
  <c r="CL295" i="4"/>
  <c r="CU295" i="4"/>
  <c r="CT295" i="4"/>
  <c r="CK496" i="4"/>
  <c r="CL496" i="4"/>
  <c r="CR950" i="4"/>
  <c r="CS950" i="4"/>
  <c r="CK1379" i="4"/>
  <c r="CL1379" i="4"/>
  <c r="CM718" i="4"/>
  <c r="CN718" i="4"/>
  <c r="CR718" i="4"/>
  <c r="CS718" i="4"/>
  <c r="CN258" i="4"/>
  <c r="CM258" i="4"/>
  <c r="CS491" i="4"/>
  <c r="CR491" i="4"/>
  <c r="CM943" i="4"/>
  <c r="CN943" i="4"/>
  <c r="CR945" i="4"/>
  <c r="CS945" i="4"/>
  <c r="CL286" i="4"/>
  <c r="CK286" i="4"/>
  <c r="CK288" i="4"/>
  <c r="CL288" i="4"/>
  <c r="CS288" i="4"/>
  <c r="CR288" i="4"/>
  <c r="CS717" i="4"/>
  <c r="CR717" i="4"/>
  <c r="CK1400" i="4"/>
  <c r="CL1400" i="4"/>
  <c r="CU1399" i="4"/>
  <c r="CT1399" i="4"/>
  <c r="CT248" i="4"/>
  <c r="CU248" i="4"/>
  <c r="CT750" i="4"/>
  <c r="CU750" i="4"/>
  <c r="CM369" i="4"/>
  <c r="CN369" i="4"/>
  <c r="CM494" i="4"/>
  <c r="CN494" i="4"/>
  <c r="CM728" i="4"/>
  <c r="CN728" i="4"/>
  <c r="CT727" i="4"/>
  <c r="CU727" i="4"/>
  <c r="CT847" i="4"/>
  <c r="CU847" i="4"/>
  <c r="CM1166" i="4"/>
  <c r="CN1166" i="4"/>
  <c r="CT343" i="4"/>
  <c r="CU343" i="4"/>
  <c r="CR137" i="4"/>
  <c r="CS137" i="4"/>
  <c r="CR1343" i="4"/>
  <c r="CS1343" i="4"/>
  <c r="CL1087" i="4"/>
  <c r="CK1087" i="4"/>
  <c r="CT1087" i="4"/>
  <c r="CU1087" i="4"/>
  <c r="CN788" i="4"/>
  <c r="CM788" i="4"/>
  <c r="CR788" i="4"/>
  <c r="CS788" i="4"/>
  <c r="CR699" i="4"/>
  <c r="CS699" i="4"/>
  <c r="CS598" i="4"/>
  <c r="CR598" i="4"/>
  <c r="CT600" i="4"/>
  <c r="CU600" i="4"/>
  <c r="CK294" i="4"/>
  <c r="CL294" i="4"/>
  <c r="CN330" i="4"/>
  <c r="CM330" i="4"/>
  <c r="CL1333" i="4"/>
  <c r="CK1333" i="4"/>
  <c r="CK371" i="4"/>
  <c r="CL371" i="4"/>
  <c r="CT488" i="4"/>
  <c r="CU488" i="4"/>
  <c r="CR1351" i="4"/>
  <c r="CS1351" i="4"/>
  <c r="CR952" i="4"/>
  <c r="CS952" i="4"/>
  <c r="CL274" i="4"/>
  <c r="CK274" i="4"/>
  <c r="CK1271" i="4"/>
  <c r="CL1271" i="4"/>
  <c r="CT417" i="4"/>
  <c r="CU417" i="4"/>
  <c r="CN1090" i="4"/>
  <c r="CM1090" i="4"/>
  <c r="CR1090" i="4"/>
  <c r="CS1090" i="4"/>
  <c r="CM1269" i="4"/>
  <c r="CN1269" i="4"/>
  <c r="CU1015" i="4"/>
  <c r="CT1015" i="4"/>
  <c r="CK325" i="4"/>
  <c r="CL325" i="4"/>
  <c r="CK318" i="4"/>
  <c r="CL318" i="4"/>
  <c r="CR375" i="4"/>
  <c r="CS375" i="4"/>
  <c r="CL90" i="4"/>
  <c r="CK90" i="4"/>
  <c r="CR273" i="4"/>
  <c r="CS273" i="4"/>
  <c r="CR1004" i="4"/>
  <c r="CS1004" i="4"/>
  <c r="CM334" i="4"/>
  <c r="CN334" i="4"/>
  <c r="CM381" i="4"/>
  <c r="CN381" i="4"/>
  <c r="CK1044" i="4"/>
  <c r="CL1044" i="4"/>
  <c r="CT246" i="4"/>
  <c r="CU246" i="4"/>
  <c r="CS1296" i="4"/>
  <c r="CR1296" i="4"/>
  <c r="CM1134" i="4"/>
  <c r="CN1134" i="4"/>
  <c r="CK229" i="4"/>
  <c r="CL229" i="4"/>
  <c r="CM1000" i="4"/>
  <c r="CN1000" i="4"/>
  <c r="CM591" i="4"/>
  <c r="CN591" i="4"/>
  <c r="CR1374" i="4"/>
  <c r="CS1374" i="4"/>
  <c r="CR654" i="4"/>
  <c r="CS654" i="4"/>
  <c r="CR121" i="4"/>
  <c r="CS121" i="4"/>
  <c r="CR964" i="4"/>
  <c r="CS964" i="4"/>
  <c r="CM63" i="4"/>
  <c r="CN63" i="4"/>
  <c r="CN774" i="4"/>
  <c r="CM774" i="4"/>
  <c r="CR694" i="4"/>
  <c r="CS694" i="4"/>
  <c r="CM131" i="4"/>
  <c r="CN131" i="4"/>
  <c r="CT679" i="4"/>
  <c r="CU679" i="4"/>
  <c r="CR158" i="4"/>
  <c r="CS158" i="4"/>
  <c r="CK458" i="4"/>
  <c r="CL458" i="4"/>
  <c r="CN506" i="4"/>
  <c r="CM506" i="4"/>
  <c r="CN100" i="4"/>
  <c r="CM100" i="4"/>
  <c r="CL472" i="4"/>
  <c r="CK472" i="4"/>
  <c r="CU165" i="4"/>
  <c r="CT165" i="4"/>
  <c r="CL499" i="4"/>
  <c r="CK499" i="4"/>
  <c r="CR606" i="4"/>
  <c r="CS606" i="4"/>
  <c r="CN318" i="4"/>
  <c r="CM318" i="4"/>
  <c r="CM1445" i="4"/>
  <c r="CN1445" i="4"/>
  <c r="CM373" i="4"/>
  <c r="CN373" i="4"/>
  <c r="CR88" i="4"/>
  <c r="CS88" i="4"/>
  <c r="CK72" i="4"/>
  <c r="CL72" i="4"/>
  <c r="CM1163" i="4"/>
  <c r="CN1163" i="4"/>
  <c r="CK1004" i="4"/>
  <c r="CL1004" i="4"/>
  <c r="CL243" i="4"/>
  <c r="CK243" i="4"/>
  <c r="CL985" i="4"/>
  <c r="CK985" i="4"/>
  <c r="CK799" i="4"/>
  <c r="CL799" i="4"/>
  <c r="CU1311" i="4"/>
  <c r="CT1311" i="4"/>
  <c r="CM335" i="4"/>
  <c r="CN335" i="4"/>
  <c r="CU1407" i="4"/>
  <c r="CT1407" i="4"/>
  <c r="CK1205" i="4"/>
  <c r="CL1205" i="4"/>
  <c r="CM1354" i="4"/>
  <c r="CN1354" i="4"/>
  <c r="CR282" i="4"/>
  <c r="CS282" i="4"/>
  <c r="CM228" i="4"/>
  <c r="CN228" i="4"/>
  <c r="CK902" i="4"/>
  <c r="CL902" i="4"/>
  <c r="CT1368" i="4"/>
  <c r="CU1368" i="4"/>
  <c r="CT1296" i="4"/>
  <c r="CU1296" i="4"/>
  <c r="CS846" i="4"/>
  <c r="CR846" i="4"/>
  <c r="CR313" i="4"/>
  <c r="CS313" i="4"/>
  <c r="CS1174" i="4"/>
  <c r="CR1174" i="4"/>
  <c r="CM270" i="4"/>
  <c r="CN270" i="4"/>
  <c r="CS357" i="4"/>
  <c r="CR357" i="4"/>
  <c r="CT627" i="4"/>
  <c r="CU627" i="4"/>
  <c r="CK805" i="4"/>
  <c r="CL805" i="4"/>
  <c r="CK467" i="4"/>
  <c r="CL467" i="4"/>
  <c r="CM990" i="4"/>
  <c r="CN990" i="4"/>
  <c r="CM869" i="4"/>
  <c r="CN869" i="4"/>
  <c r="CS236" i="4"/>
  <c r="CR236" i="4"/>
  <c r="CN754" i="4"/>
  <c r="CM754" i="4"/>
  <c r="CT835" i="4"/>
  <c r="CU835" i="4"/>
  <c r="CU652" i="4"/>
  <c r="CT652" i="4"/>
  <c r="CL1049" i="4"/>
  <c r="CK1049" i="4"/>
  <c r="CK966" i="4"/>
  <c r="CL966" i="4"/>
  <c r="CR572" i="4"/>
  <c r="CS572" i="4"/>
  <c r="CM570" i="4"/>
  <c r="CN570" i="4"/>
  <c r="CM485" i="4"/>
  <c r="CN485" i="4"/>
  <c r="CM650" i="4"/>
  <c r="CN650" i="4"/>
  <c r="CT1181" i="4"/>
  <c r="CU1181" i="4"/>
  <c r="CK21" i="4"/>
  <c r="CL21" i="4"/>
  <c r="CK1105" i="4"/>
  <c r="CL1105" i="4"/>
  <c r="CM1415" i="4"/>
  <c r="CN1415" i="4"/>
  <c r="CK408" i="4"/>
  <c r="CL408" i="4"/>
  <c r="CM458" i="4"/>
  <c r="CN458" i="4"/>
  <c r="CK1207" i="4"/>
  <c r="CL1207" i="4"/>
  <c r="CM1122" i="4"/>
  <c r="CN1122" i="4"/>
  <c r="CS101" i="4"/>
  <c r="CR101" i="4"/>
  <c r="CK44" i="4"/>
  <c r="CL44" i="4"/>
  <c r="CU44" i="4"/>
  <c r="CT44" i="4"/>
  <c r="CR701" i="4"/>
  <c r="CS701" i="4"/>
  <c r="CR702" i="4"/>
  <c r="CS702" i="4"/>
  <c r="CM777" i="4"/>
  <c r="CN777" i="4"/>
  <c r="CU777" i="4"/>
  <c r="CT777" i="4"/>
  <c r="CT529" i="4"/>
  <c r="CU529" i="4"/>
  <c r="CS164" i="4"/>
  <c r="CR164" i="4"/>
  <c r="CT604" i="4"/>
  <c r="CU604" i="4"/>
  <c r="CM1403" i="4"/>
  <c r="CN1403" i="4"/>
  <c r="CM325" i="4"/>
  <c r="CN325" i="4"/>
  <c r="CK1195" i="4"/>
  <c r="CL1195" i="4"/>
  <c r="CR1197" i="4"/>
  <c r="CS1197" i="4"/>
  <c r="CT605" i="4"/>
  <c r="CU605" i="4"/>
  <c r="CS333" i="4"/>
  <c r="CR333" i="4"/>
  <c r="CN1404" i="4"/>
  <c r="CM1404" i="4"/>
  <c r="CS1328" i="4"/>
  <c r="CR1328" i="4"/>
  <c r="CU88" i="4"/>
  <c r="CT88" i="4"/>
  <c r="CS90" i="4"/>
  <c r="CR90" i="4"/>
  <c r="CM854" i="4"/>
  <c r="CN854" i="4"/>
  <c r="CR854" i="4"/>
  <c r="CS854" i="4"/>
  <c r="CU1045" i="4"/>
  <c r="CT1045" i="4"/>
  <c r="CK273" i="4"/>
  <c r="CL273" i="4"/>
  <c r="CT536" i="4"/>
  <c r="CU536" i="4"/>
  <c r="CT1273" i="4"/>
  <c r="CU1273" i="4"/>
  <c r="CT1164" i="4"/>
  <c r="CU1164" i="4"/>
  <c r="CN630" i="4"/>
  <c r="CM630" i="4"/>
  <c r="CR630" i="4"/>
  <c r="CS630" i="4"/>
  <c r="CM419" i="4"/>
  <c r="CN419" i="4"/>
  <c r="CT1094" i="4"/>
  <c r="CU1094" i="4"/>
  <c r="CR985" i="4"/>
  <c r="CS985" i="4"/>
  <c r="CR1305" i="4"/>
  <c r="CS1305" i="4"/>
  <c r="CR799" i="4"/>
  <c r="CS799" i="4"/>
  <c r="CS601" i="4"/>
  <c r="CR601" i="4"/>
  <c r="CK336" i="4"/>
  <c r="CL336" i="4"/>
  <c r="CR1025" i="4"/>
  <c r="CS1025" i="4"/>
  <c r="CK1407" i="4"/>
  <c r="CL1407" i="4"/>
  <c r="CT1337" i="4"/>
  <c r="CU1337" i="4"/>
  <c r="CN198" i="4"/>
  <c r="CM198" i="4"/>
  <c r="CK993" i="4"/>
  <c r="CL993" i="4"/>
  <c r="CM1355" i="4"/>
  <c r="CN1355" i="4"/>
  <c r="CR1356" i="4"/>
  <c r="CS1356" i="4"/>
  <c r="CT1178" i="4"/>
  <c r="CU1178" i="4"/>
  <c r="CM1042" i="4"/>
  <c r="CN1042" i="4"/>
  <c r="CT280" i="4"/>
  <c r="CU280" i="4"/>
  <c r="CS541" i="4"/>
  <c r="CR541" i="4"/>
  <c r="CM366" i="4"/>
  <c r="CN366" i="4"/>
  <c r="CR1224" i="4"/>
  <c r="CS1224" i="4"/>
  <c r="CK227" i="4"/>
  <c r="CL227" i="4"/>
  <c r="CK959" i="4"/>
  <c r="CL959" i="4"/>
  <c r="CT960" i="4"/>
  <c r="CU960" i="4"/>
  <c r="CR426" i="4"/>
  <c r="CS426" i="4"/>
  <c r="CK803" i="4"/>
  <c r="CL803" i="4"/>
  <c r="CU803" i="4"/>
  <c r="CT803" i="4"/>
  <c r="CT692" i="4"/>
  <c r="CU692" i="4"/>
  <c r="CN903" i="4"/>
  <c r="CM903" i="4"/>
  <c r="CR902" i="4"/>
  <c r="CS902" i="4"/>
  <c r="CT581" i="4"/>
  <c r="CU581" i="4"/>
  <c r="CM1367" i="4"/>
  <c r="CN1367" i="4"/>
  <c r="CU1367" i="4"/>
  <c r="CT1367" i="4"/>
  <c r="CT339" i="4"/>
  <c r="CU339" i="4"/>
  <c r="CT337" i="4"/>
  <c r="CU337" i="4"/>
  <c r="CM1294" i="4"/>
  <c r="CN1294" i="4"/>
  <c r="CM1296" i="4"/>
  <c r="CN1296" i="4"/>
  <c r="CT682" i="4"/>
  <c r="CU682" i="4"/>
  <c r="CN313" i="4"/>
  <c r="CM313" i="4"/>
  <c r="CU314" i="4"/>
  <c r="CT314" i="4"/>
  <c r="CL645" i="4"/>
  <c r="CK645" i="4"/>
  <c r="CK1175" i="4"/>
  <c r="CL1175" i="4"/>
  <c r="CS1039" i="4"/>
  <c r="CR1039" i="4"/>
  <c r="CL1157" i="4"/>
  <c r="CK1157" i="4"/>
  <c r="CR1158" i="4"/>
  <c r="CS1158" i="4"/>
  <c r="CK277" i="4"/>
  <c r="CL277" i="4"/>
  <c r="CT625" i="4"/>
  <c r="CU625" i="4"/>
  <c r="CU231" i="4"/>
  <c r="CT231" i="4"/>
  <c r="CR238" i="4"/>
  <c r="CS238" i="4"/>
  <c r="CM984" i="4"/>
  <c r="CN984" i="4"/>
  <c r="CR983" i="4"/>
  <c r="CS983" i="4"/>
  <c r="CN1307" i="4"/>
  <c r="CM1307" i="4"/>
  <c r="CR1306" i="4"/>
  <c r="CS1306" i="4"/>
  <c r="CT805" i="4"/>
  <c r="CU805" i="4"/>
  <c r="CR467" i="4"/>
  <c r="CS467" i="4"/>
  <c r="CM988" i="4"/>
  <c r="CN988" i="4"/>
  <c r="CK1001" i="4"/>
  <c r="CL1001" i="4"/>
  <c r="CT1001" i="4"/>
  <c r="CU1001" i="4"/>
  <c r="CK181" i="4"/>
  <c r="CL181" i="4"/>
  <c r="CN348" i="4"/>
  <c r="CM348" i="4"/>
  <c r="CT1283" i="4"/>
  <c r="CU1283" i="4"/>
  <c r="CT868" i="4"/>
  <c r="CU868" i="4"/>
  <c r="CK236" i="4"/>
  <c r="CL236" i="4"/>
  <c r="CK741" i="4"/>
  <c r="CL741" i="4"/>
  <c r="CS739" i="4"/>
  <c r="CR739" i="4"/>
  <c r="CK1435" i="4"/>
  <c r="CL1435" i="4"/>
  <c r="CT589" i="4"/>
  <c r="CU589" i="4"/>
  <c r="CM1069" i="4"/>
  <c r="CN1069" i="4"/>
  <c r="CR1070" i="4"/>
  <c r="CS1070" i="4"/>
  <c r="CK785" i="4"/>
  <c r="CL785" i="4"/>
  <c r="CR786" i="4"/>
  <c r="CS786" i="4"/>
  <c r="CR575" i="4"/>
  <c r="CS575" i="4"/>
  <c r="CT1373" i="4"/>
  <c r="CU1373" i="4"/>
  <c r="CT340" i="4"/>
  <c r="CU340" i="4"/>
  <c r="CL481" i="4"/>
  <c r="CK481" i="4"/>
  <c r="CR481" i="4"/>
  <c r="CS481" i="4"/>
  <c r="CK1131" i="4"/>
  <c r="CL1131" i="4"/>
  <c r="CR1131" i="4"/>
  <c r="CS1131" i="4"/>
  <c r="CM187" i="4"/>
  <c r="CN187" i="4"/>
  <c r="CT187" i="4"/>
  <c r="CU187" i="4"/>
  <c r="CT997" i="4"/>
  <c r="CU997" i="4"/>
  <c r="CM1246" i="4"/>
  <c r="CN1246" i="4"/>
  <c r="CR1247" i="4"/>
  <c r="CS1247" i="4"/>
  <c r="CS122" i="4"/>
  <c r="CR122" i="4"/>
  <c r="CK60" i="4"/>
  <c r="CL60" i="4"/>
  <c r="CR60" i="4"/>
  <c r="CS60" i="4"/>
  <c r="CK1173" i="4"/>
  <c r="CL1173" i="4"/>
  <c r="CN823" i="4"/>
  <c r="CM823" i="4"/>
  <c r="CT824" i="4"/>
  <c r="CU824" i="4"/>
  <c r="CM265" i="4"/>
  <c r="CN265" i="4"/>
  <c r="CR266" i="4"/>
  <c r="CS266" i="4"/>
  <c r="CN1229" i="4"/>
  <c r="CM1229" i="4"/>
  <c r="CU1230" i="4"/>
  <c r="CT1230" i="4"/>
  <c r="CT573" i="4"/>
  <c r="CU573" i="4"/>
  <c r="CT1299" i="4"/>
  <c r="CU1299" i="4"/>
  <c r="CK1411" i="4"/>
  <c r="CL1411" i="4"/>
  <c r="CL570" i="4"/>
  <c r="CK570" i="4"/>
  <c r="CK686" i="4"/>
  <c r="CL686" i="4"/>
  <c r="CT686" i="4"/>
  <c r="CU686" i="4"/>
  <c r="CK1253" i="4"/>
  <c r="CL1253" i="4"/>
  <c r="CK1181" i="4"/>
  <c r="CL1181" i="4"/>
  <c r="CT774" i="4"/>
  <c r="CU774" i="4"/>
  <c r="CR695" i="4"/>
  <c r="CS695" i="4"/>
  <c r="CM980" i="4"/>
  <c r="CN980" i="4"/>
  <c r="CM1261" i="4"/>
  <c r="CN1261" i="4"/>
  <c r="CR1262" i="4"/>
  <c r="CS1262" i="4"/>
  <c r="CM1340" i="4"/>
  <c r="CN1340" i="4"/>
  <c r="CK550" i="4"/>
  <c r="CL550" i="4"/>
  <c r="CK552" i="4"/>
  <c r="CL552" i="4"/>
  <c r="CL781" i="4"/>
  <c r="CK781" i="4"/>
  <c r="CT782" i="4"/>
  <c r="CU782" i="4"/>
  <c r="CT578" i="4"/>
  <c r="CU578" i="4"/>
  <c r="CS1416" i="4"/>
  <c r="CR1416" i="4"/>
  <c r="CM567" i="4"/>
  <c r="CN567" i="4"/>
  <c r="CT565" i="4"/>
  <c r="CU565" i="4"/>
  <c r="CK679" i="4"/>
  <c r="CL679" i="4"/>
  <c r="CR680" i="4"/>
  <c r="CS680" i="4"/>
  <c r="CM158" i="4"/>
  <c r="CN158" i="4"/>
  <c r="CK478" i="4"/>
  <c r="CL478" i="4"/>
  <c r="CT459" i="4"/>
  <c r="CU459" i="4"/>
  <c r="CN1251" i="4"/>
  <c r="CM1251" i="4"/>
  <c r="CK125" i="4"/>
  <c r="CL125" i="4"/>
  <c r="CM57" i="4"/>
  <c r="CN57" i="4"/>
  <c r="CM42" i="4"/>
  <c r="CN42" i="4"/>
  <c r="CK764" i="4"/>
  <c r="CL764" i="4"/>
  <c r="CM830" i="4"/>
  <c r="CN830" i="4"/>
  <c r="CT1102" i="4"/>
  <c r="CU1102" i="4"/>
  <c r="CK1120" i="4"/>
  <c r="CL1120" i="4"/>
  <c r="CU101" i="4"/>
  <c r="CT101" i="4"/>
  <c r="CR700" i="4"/>
  <c r="CS700" i="4"/>
  <c r="CR561" i="4"/>
  <c r="CS561" i="4"/>
  <c r="CM1081" i="4"/>
  <c r="CN1081" i="4"/>
  <c r="CN410" i="4"/>
  <c r="CM410" i="4"/>
  <c r="CT409" i="4"/>
  <c r="CU409" i="4"/>
  <c r="CR152" i="4"/>
  <c r="CS152" i="4"/>
  <c r="CU84" i="4"/>
  <c r="CT84" i="4"/>
  <c r="CM1243" i="4"/>
  <c r="CN1243" i="4"/>
  <c r="CR1317" i="4"/>
  <c r="CS1317" i="4"/>
  <c r="CR199" i="4"/>
  <c r="CS199" i="4"/>
  <c r="CR31" i="4"/>
  <c r="CS31" i="4"/>
  <c r="CL29" i="4"/>
  <c r="CK29" i="4"/>
  <c r="CR771" i="4"/>
  <c r="CS771" i="4"/>
  <c r="CR1394" i="4"/>
  <c r="CS1394" i="4"/>
  <c r="CN499" i="4"/>
  <c r="CM499" i="4"/>
  <c r="CK1115" i="4"/>
  <c r="CL1115" i="4"/>
  <c r="CR1115" i="4"/>
  <c r="CS1115" i="4"/>
  <c r="CR92" i="4"/>
  <c r="CS92" i="4"/>
  <c r="CT933" i="4"/>
  <c r="CU933" i="4"/>
  <c r="CN396" i="4"/>
  <c r="CM396" i="4"/>
  <c r="CU166" i="4"/>
  <c r="CT166" i="4"/>
  <c r="CK405" i="4"/>
  <c r="CL405" i="4"/>
  <c r="CR404" i="4"/>
  <c r="CS404" i="4"/>
  <c r="CT405" i="4"/>
  <c r="CU405" i="4"/>
  <c r="CN160" i="4"/>
  <c r="CM160" i="4"/>
  <c r="CS161" i="4"/>
  <c r="CR161" i="4"/>
  <c r="CM890" i="4"/>
  <c r="CN890" i="4"/>
  <c r="CN1136" i="4"/>
  <c r="CM1136" i="4"/>
  <c r="CS85" i="4"/>
  <c r="CR85" i="4"/>
  <c r="CR86" i="4"/>
  <c r="CS86" i="4"/>
  <c r="CM1326" i="4"/>
  <c r="CN1326" i="4"/>
  <c r="CN207" i="4"/>
  <c r="CM207" i="4"/>
  <c r="CR36" i="4"/>
  <c r="CS36" i="4"/>
  <c r="CM1239" i="4"/>
  <c r="CN1239" i="4"/>
  <c r="CL1389" i="4"/>
  <c r="CK1389" i="4"/>
  <c r="CT1389" i="4"/>
  <c r="CU1389" i="4"/>
  <c r="CR504" i="4"/>
  <c r="CS504" i="4"/>
  <c r="CR1188" i="4"/>
  <c r="CS1188" i="4"/>
  <c r="CN97" i="4"/>
  <c r="CM97" i="4"/>
  <c r="CS97" i="4"/>
  <c r="CR97" i="4"/>
  <c r="CK1013" i="4"/>
  <c r="CL1013" i="4"/>
  <c r="CK1032" i="4"/>
  <c r="CL1032" i="4"/>
  <c r="CS1032" i="4"/>
  <c r="CR1032" i="4"/>
  <c r="CT145" i="4"/>
  <c r="CU145" i="4"/>
  <c r="CK107" i="4"/>
  <c r="CL107" i="4"/>
  <c r="CT618" i="4"/>
  <c r="CU618" i="4"/>
  <c r="CK389" i="4"/>
  <c r="CL389" i="4"/>
  <c r="CR908" i="4"/>
  <c r="CS908" i="4"/>
  <c r="CL1426" i="4"/>
  <c r="CK1426" i="4"/>
  <c r="CT1426" i="4"/>
  <c r="CU1426" i="4"/>
  <c r="CU1065" i="4"/>
  <c r="CT1065" i="4"/>
  <c r="CK1381" i="4"/>
  <c r="CL1381" i="4"/>
  <c r="CM1159" i="4"/>
  <c r="CN1159" i="4"/>
  <c r="CR1160" i="4"/>
  <c r="CS1160" i="4"/>
  <c r="CM795" i="4"/>
  <c r="CN795" i="4"/>
  <c r="CS398" i="4"/>
  <c r="CR398" i="4"/>
  <c r="CR1301" i="4"/>
  <c r="CS1301" i="4"/>
  <c r="CK635" i="4"/>
  <c r="CL635" i="4"/>
  <c r="CN1077" i="4"/>
  <c r="CM1077" i="4"/>
  <c r="CS1076" i="4"/>
  <c r="CR1076" i="4"/>
  <c r="CR414" i="4"/>
  <c r="CS414" i="4"/>
  <c r="CR150" i="4"/>
  <c r="CS150" i="4"/>
  <c r="CM1140" i="4"/>
  <c r="CN1140" i="4"/>
  <c r="CN454" i="4"/>
  <c r="CM454" i="4"/>
  <c r="CT607" i="4"/>
  <c r="CU607" i="4"/>
  <c r="CU1055" i="4"/>
  <c r="CT1055" i="4"/>
  <c r="CK1318" i="4"/>
  <c r="CL1318" i="4"/>
  <c r="CT1318" i="4"/>
  <c r="CU1318" i="4"/>
  <c r="CM1431" i="4"/>
  <c r="CN1431" i="4"/>
  <c r="CM1240" i="4"/>
  <c r="CN1240" i="4"/>
  <c r="CL509" i="4"/>
  <c r="CK509" i="4"/>
  <c r="CK96" i="4"/>
  <c r="CL96" i="4"/>
  <c r="CR923" i="4"/>
  <c r="CS923" i="4"/>
  <c r="CK514" i="4"/>
  <c r="CL514" i="4"/>
  <c r="CR515" i="4"/>
  <c r="CS515" i="4"/>
  <c r="CK219" i="4"/>
  <c r="CL219" i="4"/>
  <c r="CT219" i="4"/>
  <c r="CU219" i="4"/>
  <c r="CU594" i="4"/>
  <c r="CT594" i="4"/>
  <c r="CM1232" i="4"/>
  <c r="CN1232" i="4"/>
  <c r="CN967" i="4"/>
  <c r="CM967" i="4"/>
  <c r="CR1067" i="4"/>
  <c r="CS1067" i="4"/>
  <c r="CR900" i="4"/>
  <c r="CS900" i="4"/>
  <c r="CM220" i="4"/>
  <c r="CN220" i="4"/>
  <c r="CT291" i="4"/>
  <c r="CU291" i="4"/>
  <c r="CR867" i="4"/>
  <c r="CS867" i="4"/>
  <c r="CT523" i="4"/>
  <c r="CU523" i="4"/>
  <c r="CS170" i="4"/>
  <c r="CR170" i="4"/>
  <c r="CT16" i="4"/>
  <c r="CU16" i="4"/>
  <c r="CR713" i="4"/>
  <c r="CS713" i="4"/>
  <c r="CL304" i="4"/>
  <c r="CK304" i="4"/>
  <c r="CK435" i="4"/>
  <c r="CL435" i="4"/>
  <c r="CK888" i="4"/>
  <c r="CL888" i="4"/>
  <c r="CN104" i="4"/>
  <c r="CM104" i="4"/>
  <c r="CK673" i="4"/>
  <c r="CL673" i="4"/>
  <c r="CT674" i="4"/>
  <c r="CU674" i="4"/>
  <c r="CR615" i="4"/>
  <c r="CS615" i="4"/>
  <c r="CN385" i="4"/>
  <c r="CM385" i="4"/>
  <c r="CT386" i="4"/>
  <c r="CU386" i="4"/>
  <c r="CK1321" i="4"/>
  <c r="CL1321" i="4"/>
  <c r="CN176" i="4"/>
  <c r="CM176" i="4"/>
  <c r="CR1432" i="4"/>
  <c r="CS1432" i="4"/>
  <c r="CR1236" i="4"/>
  <c r="CS1236" i="4"/>
  <c r="CK1290" i="4"/>
  <c r="CL1290" i="4"/>
  <c r="CT1191" i="4"/>
  <c r="CU1191" i="4"/>
  <c r="CK1384" i="4"/>
  <c r="CL1384" i="4"/>
  <c r="CS1385" i="4"/>
  <c r="CR1385" i="4"/>
  <c r="CL925" i="4"/>
  <c r="CK925" i="4"/>
  <c r="CR925" i="4"/>
  <c r="CS925" i="4"/>
  <c r="CM940" i="4"/>
  <c r="CN940" i="4"/>
  <c r="CM894" i="4"/>
  <c r="CN894" i="4"/>
  <c r="CT893" i="4"/>
  <c r="CU893" i="4"/>
  <c r="CK920" i="4"/>
  <c r="CL920" i="4"/>
  <c r="CR532" i="4"/>
  <c r="CS532" i="4"/>
  <c r="CK726" i="4"/>
  <c r="CL726" i="4"/>
  <c r="CK1264" i="4"/>
  <c r="CL1264" i="4"/>
  <c r="CR1265" i="4"/>
  <c r="CS1265" i="4"/>
  <c r="CL747" i="4"/>
  <c r="CK747" i="4"/>
  <c r="CR745" i="4"/>
  <c r="CS745" i="4"/>
  <c r="CL1036" i="4"/>
  <c r="CK1036" i="4"/>
  <c r="CL1038" i="4"/>
  <c r="CK1038" i="4"/>
  <c r="CR1038" i="4"/>
  <c r="CS1038" i="4"/>
  <c r="CT436" i="4"/>
  <c r="CU436" i="4"/>
  <c r="CL1442" i="4"/>
  <c r="CK1442" i="4"/>
  <c r="CR1442" i="4"/>
  <c r="CS1442" i="4"/>
  <c r="CR143" i="4"/>
  <c r="CS143" i="4"/>
  <c r="CR110" i="4"/>
  <c r="CS110" i="4"/>
  <c r="CK74" i="4"/>
  <c r="CL74" i="4"/>
  <c r="CM1052" i="4"/>
  <c r="CN1052" i="4"/>
  <c r="CU1051" i="4"/>
  <c r="CT1051" i="4"/>
  <c r="CM440" i="4"/>
  <c r="CN440" i="4"/>
  <c r="CS440" i="4"/>
  <c r="CR440" i="4"/>
  <c r="CK973" i="4"/>
  <c r="CL973" i="4"/>
  <c r="CN186" i="4"/>
  <c r="CM186" i="4"/>
  <c r="CM128" i="4"/>
  <c r="CN128" i="4"/>
  <c r="CU128" i="4"/>
  <c r="CT128" i="4"/>
  <c r="CR761" i="4"/>
  <c r="CS761" i="4"/>
  <c r="CK1348" i="4"/>
  <c r="CL1348" i="4"/>
  <c r="CR1348" i="4"/>
  <c r="CS1348" i="4"/>
  <c r="CK861" i="4"/>
  <c r="CL861" i="4"/>
  <c r="CT861" i="4"/>
  <c r="CU861" i="4"/>
  <c r="CR895" i="4"/>
  <c r="CS895" i="4"/>
  <c r="CS553" i="4"/>
  <c r="CR553" i="4"/>
  <c r="CM1259" i="4"/>
  <c r="CN1259" i="4"/>
  <c r="CN254" i="4"/>
  <c r="CM254" i="4"/>
  <c r="CR742" i="4"/>
  <c r="CS742" i="4"/>
  <c r="CM1034" i="4"/>
  <c r="CN1034" i="4"/>
  <c r="CT1034" i="4"/>
  <c r="CU1034" i="4"/>
  <c r="CR585" i="4"/>
  <c r="CS585" i="4"/>
  <c r="CK112" i="4"/>
  <c r="CL112" i="4"/>
  <c r="CT950" i="4"/>
  <c r="CU950" i="4"/>
  <c r="CU445" i="4"/>
  <c r="CT445" i="4"/>
  <c r="CK753" i="4"/>
  <c r="CL753" i="4"/>
  <c r="CU753" i="4"/>
  <c r="CT753" i="4"/>
  <c r="CT1379" i="4"/>
  <c r="CU1379" i="4"/>
  <c r="CM816" i="4"/>
  <c r="CN816" i="4"/>
  <c r="CT720" i="4"/>
  <c r="CU720" i="4"/>
  <c r="CS319" i="4"/>
  <c r="CR319" i="4"/>
  <c r="CK258" i="4"/>
  <c r="CL258" i="4"/>
  <c r="CM490" i="4"/>
  <c r="CN490" i="4"/>
  <c r="CU491" i="4"/>
  <c r="CT491" i="4"/>
  <c r="CK669" i="4"/>
  <c r="CL669" i="4"/>
  <c r="CN944" i="4"/>
  <c r="CM944" i="4"/>
  <c r="CT945" i="4"/>
  <c r="CU945" i="4"/>
  <c r="CK821" i="4"/>
  <c r="CL821" i="4"/>
  <c r="CK717" i="4"/>
  <c r="CL717" i="4"/>
  <c r="CK1399" i="4"/>
  <c r="CL1399" i="4"/>
  <c r="CL248" i="4"/>
  <c r="CK248" i="4"/>
  <c r="CU841" i="4"/>
  <c r="CT841" i="4"/>
  <c r="CR748" i="4"/>
  <c r="CS748" i="4"/>
  <c r="CT1330" i="4"/>
  <c r="CU1330" i="4"/>
  <c r="CR493" i="4"/>
  <c r="CS493" i="4"/>
  <c r="CS494" i="4"/>
  <c r="CR494" i="4"/>
  <c r="CR78" i="4"/>
  <c r="CS78" i="4"/>
  <c r="CK881" i="4"/>
  <c r="CL881" i="4"/>
  <c r="CT442" i="4"/>
  <c r="CU442" i="4"/>
  <c r="CL545" i="4"/>
  <c r="CK545" i="4"/>
  <c r="CM343" i="4"/>
  <c r="CN343" i="4"/>
  <c r="CN137" i="4"/>
  <c r="CM137" i="4"/>
  <c r="CU137" i="4"/>
  <c r="CT137" i="4"/>
  <c r="CK1280" i="4"/>
  <c r="CL1280" i="4"/>
  <c r="CK1343" i="4"/>
  <c r="CL1343" i="4"/>
  <c r="CU819" i="4"/>
  <c r="CT819" i="4"/>
  <c r="CT557" i="4"/>
  <c r="CU557" i="4"/>
  <c r="CK599" i="4"/>
  <c r="CL599" i="4"/>
  <c r="CS292" i="4"/>
  <c r="CR292" i="4"/>
  <c r="CR1023" i="4"/>
  <c r="CS1023" i="4"/>
  <c r="CK330" i="4"/>
  <c r="CL330" i="4"/>
  <c r="CS251" i="4"/>
  <c r="CR251" i="4"/>
  <c r="CM1353" i="4"/>
  <c r="CN1353" i="4"/>
  <c r="CM954" i="4"/>
  <c r="CN954" i="4"/>
  <c r="CU274" i="4"/>
  <c r="CT274" i="4"/>
  <c r="CK1272" i="4"/>
  <c r="CL1272" i="4"/>
  <c r="CM1168" i="4"/>
  <c r="CN1168" i="4"/>
  <c r="CM351" i="4"/>
  <c r="CN351" i="4"/>
  <c r="CT349" i="4"/>
  <c r="CU349" i="4"/>
  <c r="CK416" i="4"/>
  <c r="CL416" i="4"/>
  <c r="CS417" i="4"/>
  <c r="CR417" i="4"/>
  <c r="CU1092" i="4"/>
  <c r="CT1092" i="4"/>
  <c r="CK790" i="4"/>
  <c r="CL790" i="4"/>
  <c r="CN812" i="4"/>
  <c r="CM812" i="4"/>
  <c r="CM810" i="4"/>
  <c r="CN810" i="4"/>
  <c r="CM1268" i="4"/>
  <c r="CN1268" i="4"/>
  <c r="CK187" i="4"/>
  <c r="CL187" i="4"/>
  <c r="CM535" i="4"/>
  <c r="CN535" i="4"/>
  <c r="CM797" i="4"/>
  <c r="CN797" i="4"/>
  <c r="CT799" i="4"/>
  <c r="CU799" i="4"/>
  <c r="CK1365" i="4"/>
  <c r="CL1365" i="4"/>
  <c r="CL308" i="4"/>
  <c r="CK308" i="4"/>
  <c r="CN1338" i="4"/>
  <c r="CM1338" i="4"/>
  <c r="CL196" i="4"/>
  <c r="CK196" i="4"/>
  <c r="CS991" i="4"/>
  <c r="CR991" i="4"/>
  <c r="CK676" i="4"/>
  <c r="CL676" i="4"/>
  <c r="CR281" i="4"/>
  <c r="CS281" i="4"/>
  <c r="CT541" i="4"/>
  <c r="CU541" i="4"/>
  <c r="CM263" i="4"/>
  <c r="CN263" i="4"/>
  <c r="CT262" i="4"/>
  <c r="CU262" i="4"/>
  <c r="CR960" i="4"/>
  <c r="CS960" i="4"/>
  <c r="CR424" i="4"/>
  <c r="CS424" i="4"/>
  <c r="CS245" i="4"/>
  <c r="CR245" i="4"/>
  <c r="CU1098" i="4"/>
  <c r="CT1098" i="4"/>
  <c r="CR692" i="4"/>
  <c r="CS692" i="4"/>
  <c r="CU902" i="4"/>
  <c r="CT902" i="4"/>
  <c r="CL582" i="4"/>
  <c r="CK582" i="4"/>
  <c r="CL1366" i="4"/>
  <c r="CK1366" i="4"/>
  <c r="CM1019" i="4"/>
  <c r="CN1019" i="4"/>
  <c r="CK682" i="4"/>
  <c r="CL682" i="4"/>
  <c r="CT313" i="4"/>
  <c r="CU313" i="4"/>
  <c r="CN194" i="4"/>
  <c r="CM194" i="4"/>
  <c r="CM1359" i="4"/>
  <c r="CN1359" i="4"/>
  <c r="CK117" i="4"/>
  <c r="CL117" i="4"/>
  <c r="CK1176" i="4"/>
  <c r="CL1176" i="4"/>
  <c r="CT1176" i="4"/>
  <c r="CU1176" i="4"/>
  <c r="CM1039" i="4"/>
  <c r="CN1039" i="4"/>
  <c r="CU1041" i="4"/>
  <c r="CT1041" i="4"/>
  <c r="CM1157" i="4"/>
  <c r="CN1157" i="4"/>
  <c r="CM277" i="4"/>
  <c r="CN277" i="4"/>
  <c r="CR278" i="4"/>
  <c r="CS278" i="4"/>
  <c r="CS1110" i="4"/>
  <c r="CR1110" i="4"/>
  <c r="CK357" i="4"/>
  <c r="CL357" i="4"/>
  <c r="CN626" i="4"/>
  <c r="CM626" i="4"/>
  <c r="CM1221" i="4"/>
  <c r="CN1221" i="4"/>
  <c r="CN230" i="4"/>
  <c r="CM230" i="4"/>
  <c r="CM963" i="4"/>
  <c r="CN963" i="4"/>
  <c r="CL423" i="4"/>
  <c r="CK423" i="4"/>
  <c r="CR422" i="4"/>
  <c r="CS422" i="4"/>
  <c r="CM238" i="4"/>
  <c r="CN238" i="4"/>
  <c r="CM240" i="4"/>
  <c r="CN240" i="4"/>
  <c r="CT238" i="4"/>
  <c r="CU238" i="4"/>
  <c r="CS984" i="4"/>
  <c r="CR984" i="4"/>
  <c r="CM806" i="4"/>
  <c r="CN806" i="4"/>
  <c r="CR805" i="4"/>
  <c r="CS805" i="4"/>
  <c r="CT466" i="4"/>
  <c r="CU466" i="4"/>
  <c r="CT183" i="4"/>
  <c r="CU183" i="4"/>
  <c r="CS1284" i="4"/>
  <c r="CR1284" i="4"/>
  <c r="CM870" i="4"/>
  <c r="CN870" i="4"/>
  <c r="CM237" i="4"/>
  <c r="CN237" i="4"/>
  <c r="CR235" i="4"/>
  <c r="CS235" i="4"/>
  <c r="CT236" i="4"/>
  <c r="CU236" i="4"/>
  <c r="CM741" i="4"/>
  <c r="CN741" i="4"/>
  <c r="CT739" i="4"/>
  <c r="CU739" i="4"/>
  <c r="CM1436" i="4"/>
  <c r="CN1436" i="4"/>
  <c r="CT1436" i="4"/>
  <c r="CU1436" i="4"/>
  <c r="CR589" i="4"/>
  <c r="CS589" i="4"/>
  <c r="CT1070" i="4"/>
  <c r="CU1070" i="4"/>
  <c r="CM786" i="4"/>
  <c r="CN786" i="4"/>
  <c r="CU786" i="4"/>
  <c r="CT786" i="4"/>
  <c r="CL574" i="4"/>
  <c r="CK574" i="4"/>
  <c r="CU574" i="4"/>
  <c r="CT574" i="4"/>
  <c r="CM562" i="4"/>
  <c r="CN562" i="4"/>
  <c r="CL312" i="4"/>
  <c r="CK312" i="4"/>
  <c r="CS312" i="4"/>
  <c r="CR312" i="4"/>
  <c r="CM481" i="4"/>
  <c r="CN481" i="4"/>
  <c r="CT481" i="4"/>
  <c r="CU481" i="4"/>
  <c r="CK654" i="4"/>
  <c r="CL654" i="4"/>
  <c r="CU1131" i="4"/>
  <c r="CT1131" i="4"/>
  <c r="CN188" i="4"/>
  <c r="CM188" i="4"/>
  <c r="CM189" i="4"/>
  <c r="CN189" i="4"/>
  <c r="CR997" i="4"/>
  <c r="CS997" i="4"/>
  <c r="CT1246" i="4"/>
  <c r="CU1246" i="4"/>
  <c r="CT121" i="4"/>
  <c r="CU121" i="4"/>
  <c r="CT60" i="4"/>
  <c r="CU60" i="4"/>
  <c r="CM382" i="4"/>
  <c r="CN382" i="4"/>
  <c r="CM1048" i="4"/>
  <c r="CN1048" i="4"/>
  <c r="CM1049" i="4"/>
  <c r="CN1049" i="4"/>
  <c r="CM767" i="4"/>
  <c r="CN767" i="4"/>
  <c r="CU266" i="4"/>
  <c r="CT266" i="4"/>
  <c r="CT358" i="4"/>
  <c r="CU358" i="4"/>
  <c r="CK1230" i="4"/>
  <c r="CL1230" i="4"/>
  <c r="CS391" i="4"/>
  <c r="CR391" i="4"/>
  <c r="CK571" i="4"/>
  <c r="CL571" i="4"/>
  <c r="CK1369" i="4"/>
  <c r="CL1369" i="4"/>
  <c r="CN1298" i="4"/>
  <c r="CM1298" i="4"/>
  <c r="CR1411" i="4"/>
  <c r="CS1411" i="4"/>
  <c r="CL155" i="4"/>
  <c r="CK155" i="4"/>
  <c r="CR651" i="4"/>
  <c r="CS651" i="4"/>
  <c r="CM1253" i="4"/>
  <c r="CN1253" i="4"/>
  <c r="CR1252" i="4"/>
  <c r="CS1252" i="4"/>
  <c r="CK118" i="4"/>
  <c r="CL118" i="4"/>
  <c r="CN61" i="4"/>
  <c r="CM61" i="4"/>
  <c r="CK1182" i="4"/>
  <c r="CL1182" i="4"/>
  <c r="CR1182" i="4"/>
  <c r="CS1182" i="4"/>
  <c r="CR772" i="4"/>
  <c r="CS772" i="4"/>
  <c r="CN826" i="4"/>
  <c r="CM826" i="4"/>
  <c r="CT826" i="4"/>
  <c r="CU826" i="4"/>
  <c r="CR1213" i="4"/>
  <c r="CS1213" i="4"/>
  <c r="CT48" i="4"/>
  <c r="CU48" i="4"/>
  <c r="CS470" i="4"/>
  <c r="CR470" i="4"/>
  <c r="CK695" i="4"/>
  <c r="CL695" i="4"/>
  <c r="CT1261" i="4"/>
  <c r="CU1261" i="4"/>
  <c r="CK132" i="4"/>
  <c r="CL132" i="4"/>
  <c r="CS131" i="4"/>
  <c r="CR131" i="4"/>
  <c r="CK1287" i="4"/>
  <c r="CL1287" i="4"/>
  <c r="CR1286" i="4"/>
  <c r="CS1286" i="4"/>
  <c r="CR550" i="4"/>
  <c r="CS550" i="4"/>
  <c r="CK567" i="4"/>
  <c r="CL567" i="4"/>
  <c r="CM680" i="4"/>
  <c r="CN680" i="4"/>
  <c r="CU680" i="4"/>
  <c r="CT680" i="4"/>
  <c r="CL407" i="4"/>
  <c r="CK407" i="4"/>
  <c r="CM408" i="4"/>
  <c r="CN408" i="4"/>
  <c r="CL157" i="4"/>
  <c r="CK157" i="4"/>
  <c r="CU159" i="4"/>
  <c r="CT159" i="4"/>
  <c r="CT479" i="4"/>
  <c r="CU479" i="4"/>
  <c r="CK648" i="4"/>
  <c r="CL648" i="4"/>
  <c r="CK647" i="4"/>
  <c r="CL647" i="4"/>
  <c r="CS647" i="4"/>
  <c r="CR647" i="4"/>
  <c r="CT648" i="4"/>
  <c r="CU648" i="4"/>
  <c r="CT1126" i="4"/>
  <c r="CU1126" i="4"/>
  <c r="CL80" i="4"/>
  <c r="CK80" i="4"/>
  <c r="CR80" i="4"/>
  <c r="CS80" i="4"/>
  <c r="CL1251" i="4"/>
  <c r="CK1251" i="4"/>
  <c r="CR1249" i="4"/>
  <c r="CS1249" i="4"/>
  <c r="CN56" i="4"/>
  <c r="CM56" i="4"/>
  <c r="CT24" i="4"/>
  <c r="CU24" i="4"/>
  <c r="CT831" i="4"/>
  <c r="CU831" i="4"/>
  <c r="CK507" i="4"/>
  <c r="CL507" i="4"/>
  <c r="CM1207" i="4"/>
  <c r="CN1207" i="4"/>
  <c r="CT1006" i="4"/>
  <c r="CU1006" i="4"/>
  <c r="CU43" i="4"/>
  <c r="CT43" i="4"/>
  <c r="CS472" i="4"/>
  <c r="CR472" i="4"/>
  <c r="CT701" i="4"/>
  <c r="CU701" i="4"/>
  <c r="CS521" i="4"/>
  <c r="CR521" i="4"/>
  <c r="CK529" i="4"/>
  <c r="CL529" i="4"/>
  <c r="CS530" i="4"/>
  <c r="CR530" i="4"/>
  <c r="CR163" i="4"/>
  <c r="CS163" i="4"/>
  <c r="CT561" i="4"/>
  <c r="CU561" i="4"/>
  <c r="CR1081" i="4"/>
  <c r="CS1081" i="4"/>
  <c r="CN151" i="4"/>
  <c r="CM151" i="4"/>
  <c r="CT152" i="4"/>
  <c r="CU152" i="4"/>
  <c r="CN451" i="4"/>
  <c r="CM451" i="4"/>
  <c r="CL84" i="4"/>
  <c r="CK84" i="4"/>
  <c r="CT1317" i="4"/>
  <c r="CU1317" i="4"/>
  <c r="CR769" i="4"/>
  <c r="CS769" i="4"/>
  <c r="CR1393" i="4"/>
  <c r="CS1393" i="4"/>
  <c r="CU1394" i="4"/>
  <c r="CT1394" i="4"/>
  <c r="CL1114" i="4"/>
  <c r="CK1114" i="4"/>
  <c r="CT1114" i="4"/>
  <c r="CU1114" i="4"/>
  <c r="CU1115" i="4"/>
  <c r="CT1115" i="4"/>
  <c r="CK1183" i="4"/>
  <c r="CL1183" i="4"/>
  <c r="CU92" i="4"/>
  <c r="CT92" i="4"/>
  <c r="CR54" i="4"/>
  <c r="CS54" i="4"/>
  <c r="CS463" i="4"/>
  <c r="CR463" i="4"/>
  <c r="CL933" i="4"/>
  <c r="CK933" i="4"/>
  <c r="CT932" i="4"/>
  <c r="CU932" i="4"/>
  <c r="CS664" i="4"/>
  <c r="CR664" i="4"/>
  <c r="CT168" i="4"/>
  <c r="CU168" i="4"/>
  <c r="CT1417" i="4"/>
  <c r="CU1417" i="4"/>
  <c r="CM405" i="4"/>
  <c r="CN405" i="4"/>
  <c r="CT161" i="4"/>
  <c r="CU161" i="4"/>
  <c r="CN1135" i="4"/>
  <c r="CM1135" i="4"/>
  <c r="CT1137" i="4"/>
  <c r="CU1137" i="4"/>
  <c r="CT86" i="4"/>
  <c r="CU86" i="4"/>
  <c r="CN34" i="4"/>
  <c r="CM34" i="4"/>
  <c r="CT1425" i="4"/>
  <c r="CU1425" i="4"/>
  <c r="CL1237" i="4"/>
  <c r="CK1237" i="4"/>
  <c r="CT1388" i="4"/>
  <c r="CU1388" i="4"/>
  <c r="CM502" i="4"/>
  <c r="CN502" i="4"/>
  <c r="CS503" i="4"/>
  <c r="CR503" i="4"/>
  <c r="CR1187" i="4"/>
  <c r="CS1187" i="4"/>
  <c r="CL97" i="4"/>
  <c r="CK97" i="4"/>
  <c r="CU97" i="4"/>
  <c r="CT97" i="4"/>
  <c r="CM1013" i="4"/>
  <c r="CN1013" i="4"/>
  <c r="CR1014" i="4"/>
  <c r="CS1014" i="4"/>
  <c r="CM938" i="4"/>
  <c r="CN938" i="4"/>
  <c r="CT939" i="4"/>
  <c r="CU939" i="4"/>
  <c r="CM1031" i="4"/>
  <c r="CN1031" i="4"/>
  <c r="CT1030" i="4"/>
  <c r="CU1030" i="4"/>
  <c r="CK432" i="4"/>
  <c r="CL432" i="4"/>
  <c r="CK146" i="4"/>
  <c r="CL146" i="4"/>
  <c r="CN617" i="4"/>
  <c r="CM617" i="4"/>
  <c r="CN389" i="4"/>
  <c r="CM389" i="4"/>
  <c r="CM970" i="4"/>
  <c r="CN970" i="4"/>
  <c r="CK907" i="4"/>
  <c r="CL907" i="4"/>
  <c r="CT908" i="4"/>
  <c r="CU908" i="4"/>
  <c r="CT1063" i="4"/>
  <c r="CU1063" i="4"/>
  <c r="CU1160" i="4"/>
  <c r="CT1160" i="4"/>
  <c r="CK794" i="4"/>
  <c r="CL794" i="4"/>
  <c r="CR794" i="4"/>
  <c r="CS794" i="4"/>
  <c r="CK397" i="4"/>
  <c r="CL397" i="4"/>
  <c r="CT398" i="4"/>
  <c r="CU398" i="4"/>
  <c r="CT1301" i="4"/>
  <c r="CU1301" i="4"/>
  <c r="CR635" i="4"/>
  <c r="CS635" i="4"/>
  <c r="CT414" i="4"/>
  <c r="CU414" i="4"/>
  <c r="CT148" i="4"/>
  <c r="CU148" i="4"/>
  <c r="CU1056" i="4"/>
  <c r="CT1056" i="4"/>
  <c r="CM1318" i="4"/>
  <c r="CN1318" i="4"/>
  <c r="CK1320" i="4"/>
  <c r="CL1320" i="4"/>
  <c r="CR1147" i="4"/>
  <c r="CS1147" i="4"/>
  <c r="CS37" i="4"/>
  <c r="CR37" i="4"/>
  <c r="CR38" i="4"/>
  <c r="CS38" i="4"/>
  <c r="CT1429" i="4"/>
  <c r="CU1429" i="4"/>
  <c r="CR1242" i="4"/>
  <c r="CS1242" i="4"/>
  <c r="CS1397" i="4"/>
  <c r="CR1397" i="4"/>
  <c r="CN509" i="4"/>
  <c r="CM509" i="4"/>
  <c r="CM1192" i="4"/>
  <c r="CN1192" i="4"/>
  <c r="CT923" i="4"/>
  <c r="CU923" i="4"/>
  <c r="CM936" i="4"/>
  <c r="CN936" i="4"/>
  <c r="CR658" i="4"/>
  <c r="CS658" i="4"/>
  <c r="CL218" i="4"/>
  <c r="CK218" i="4"/>
  <c r="CK703" i="4"/>
  <c r="CL703" i="4"/>
  <c r="CR592" i="4"/>
  <c r="CS592" i="4"/>
  <c r="CT1231" i="4"/>
  <c r="CU1231" i="4"/>
  <c r="CK879" i="4"/>
  <c r="CL879" i="4"/>
  <c r="CK968" i="4"/>
  <c r="CL968" i="4"/>
  <c r="CS968" i="4"/>
  <c r="CR968" i="4"/>
  <c r="CR135" i="4"/>
  <c r="CS135" i="4"/>
  <c r="CM1067" i="4"/>
  <c r="CN1067" i="4"/>
  <c r="CU1066" i="4"/>
  <c r="CT1066" i="4"/>
  <c r="CT1067" i="4"/>
  <c r="CU1067" i="4"/>
  <c r="CK290" i="4"/>
  <c r="CL290" i="4"/>
  <c r="CS291" i="4"/>
  <c r="CR291" i="4"/>
  <c r="CM1027" i="4"/>
  <c r="CN1027" i="4"/>
  <c r="CR1027" i="4"/>
  <c r="CS1027" i="4"/>
  <c r="CT352" i="4"/>
  <c r="CU352" i="4"/>
  <c r="CR354" i="4"/>
  <c r="CS354" i="4"/>
  <c r="CM865" i="4"/>
  <c r="CN865" i="4"/>
  <c r="CR865" i="4"/>
  <c r="CS865" i="4"/>
  <c r="CM213" i="4"/>
  <c r="CN213" i="4"/>
  <c r="CS211" i="4"/>
  <c r="CR211" i="4"/>
  <c r="CM402" i="4"/>
  <c r="CN402" i="4"/>
  <c r="CN713" i="4"/>
  <c r="CM713" i="4"/>
  <c r="CT713" i="4"/>
  <c r="CU713" i="4"/>
  <c r="CK638" i="4"/>
  <c r="CL638" i="4"/>
  <c r="CS637" i="4"/>
  <c r="CR637" i="4"/>
  <c r="CL305" i="4"/>
  <c r="CK305" i="4"/>
  <c r="CR435" i="4"/>
  <c r="CS435" i="4"/>
  <c r="CK1142" i="4"/>
  <c r="CL1142" i="4"/>
  <c r="CM674" i="4"/>
  <c r="CN674" i="4"/>
  <c r="CK1323" i="4"/>
  <c r="CL1323" i="4"/>
  <c r="CU175" i="4"/>
  <c r="CT175" i="4"/>
  <c r="CR912" i="4"/>
  <c r="CS912" i="4"/>
  <c r="CN1390" i="4"/>
  <c r="CM1390" i="4"/>
  <c r="CT1290" i="4"/>
  <c r="CU1290" i="4"/>
  <c r="CR1290" i="4"/>
  <c r="CS1290" i="4"/>
  <c r="CK1385" i="4"/>
  <c r="CL1385" i="4"/>
  <c r="CT1384" i="4"/>
  <c r="CU1384" i="4"/>
  <c r="CT1385" i="4"/>
  <c r="CU1385" i="4"/>
  <c r="CM925" i="4"/>
  <c r="CN925" i="4"/>
  <c r="CL519" i="4"/>
  <c r="CK519" i="4"/>
  <c r="CL940" i="4"/>
  <c r="CK940" i="4"/>
  <c r="CU940" i="4"/>
  <c r="CT940" i="4"/>
  <c r="CM1256" i="4"/>
  <c r="CN1256" i="4"/>
  <c r="CK9" i="4"/>
  <c r="CL9" i="4"/>
  <c r="CR8" i="4"/>
  <c r="CS8" i="4"/>
  <c r="CT892" i="4"/>
  <c r="CU892" i="4"/>
  <c r="CM1060" i="4"/>
  <c r="CN1060" i="4"/>
  <c r="CR1062" i="4"/>
  <c r="CS1062" i="4"/>
  <c r="CT862" i="4"/>
  <c r="CU862" i="4"/>
  <c r="CK532" i="4"/>
  <c r="CL532" i="4"/>
  <c r="CS533" i="4"/>
  <c r="CR533" i="4"/>
  <c r="CK1265" i="4"/>
  <c r="CL1265" i="4"/>
  <c r="CT1265" i="4"/>
  <c r="CU1265" i="4"/>
  <c r="CU745" i="4"/>
  <c r="CT745" i="4"/>
  <c r="CL1037" i="4"/>
  <c r="CK1037" i="4"/>
  <c r="CT1037" i="4"/>
  <c r="CU1037" i="4"/>
  <c r="CT1038" i="4"/>
  <c r="CU1038" i="4"/>
  <c r="CK1441" i="4"/>
  <c r="CL1441" i="4"/>
  <c r="CT1442" i="4"/>
  <c r="CU1442" i="4"/>
  <c r="CR142" i="4"/>
  <c r="CS142" i="4"/>
  <c r="CT378" i="4"/>
  <c r="CU378" i="4"/>
  <c r="CR737" i="4"/>
  <c r="CS737" i="4"/>
  <c r="CU110" i="4"/>
  <c r="CT110" i="4"/>
  <c r="CT610" i="4"/>
  <c r="CU610" i="4"/>
  <c r="CM75" i="4"/>
  <c r="CN75" i="4"/>
  <c r="CR75" i="4"/>
  <c r="CS75" i="4"/>
  <c r="CM1051" i="4"/>
  <c r="CN1051" i="4"/>
  <c r="CT440" i="4"/>
  <c r="CU440" i="4"/>
  <c r="CM975" i="4"/>
  <c r="CN975" i="4"/>
  <c r="CM915" i="4"/>
  <c r="CN915" i="4"/>
  <c r="CU761" i="4"/>
  <c r="CT761" i="4"/>
  <c r="CM860" i="4"/>
  <c r="CN860" i="4"/>
  <c r="CR859" i="4"/>
  <c r="CS859" i="4"/>
  <c r="CT860" i="4"/>
  <c r="CU860" i="4"/>
  <c r="CM1376" i="4"/>
  <c r="CN1376" i="4"/>
  <c r="CK928" i="4"/>
  <c r="CL928" i="4"/>
  <c r="CR929" i="4"/>
  <c r="CS929" i="4"/>
  <c r="CK553" i="4"/>
  <c r="CL553" i="4"/>
  <c r="CL555" i="4"/>
  <c r="CK555" i="4"/>
  <c r="CK214" i="4"/>
  <c r="CL214" i="4"/>
  <c r="CR1259" i="4"/>
  <c r="CS1259" i="4"/>
  <c r="CL255" i="4"/>
  <c r="CK255" i="4"/>
  <c r="CT255" i="4"/>
  <c r="CU255" i="4"/>
  <c r="CL1035" i="4"/>
  <c r="CK1035" i="4"/>
  <c r="CR296" i="4"/>
  <c r="CS296" i="4"/>
  <c r="CT585" i="4"/>
  <c r="CU585" i="4"/>
  <c r="CM951" i="4"/>
  <c r="CN951" i="4"/>
  <c r="CM445" i="4"/>
  <c r="CN445" i="4"/>
  <c r="CR753" i="4"/>
  <c r="CS753" i="4"/>
  <c r="CM1378" i="4"/>
  <c r="CN1378" i="4"/>
  <c r="CK718" i="4"/>
  <c r="CL718" i="4"/>
  <c r="CK720" i="4"/>
  <c r="CL720" i="4"/>
  <c r="CT256" i="4"/>
  <c r="CU256" i="4"/>
  <c r="CK944" i="4"/>
  <c r="CL944" i="4"/>
  <c r="CS449" i="4"/>
  <c r="CR449" i="4"/>
  <c r="CM821" i="4"/>
  <c r="CN821" i="4"/>
  <c r="CM596" i="4"/>
  <c r="CN596" i="4"/>
  <c r="CT715" i="4"/>
  <c r="CU715" i="4"/>
  <c r="CS1400" i="4"/>
  <c r="CR1400" i="4"/>
  <c r="CR249" i="4"/>
  <c r="CS249" i="4"/>
  <c r="CR842" i="4"/>
  <c r="CS842" i="4"/>
  <c r="CK750" i="4"/>
  <c r="CL750" i="4"/>
  <c r="CK1330" i="4"/>
  <c r="CL1330" i="4"/>
  <c r="CR1331" i="4"/>
  <c r="CS1331" i="4"/>
  <c r="CK367" i="4"/>
  <c r="CL367" i="4"/>
  <c r="CU494" i="4"/>
  <c r="CT494" i="4"/>
  <c r="CR728" i="4"/>
  <c r="CS728" i="4"/>
  <c r="CK76" i="4"/>
  <c r="CL76" i="4"/>
  <c r="CT78" i="4"/>
  <c r="CU78" i="4"/>
  <c r="CK847" i="4"/>
  <c r="CL847" i="4"/>
  <c r="CK442" i="4"/>
  <c r="CL442" i="4"/>
  <c r="CM1167" i="4"/>
  <c r="CN1167" i="4"/>
  <c r="CT1167" i="4"/>
  <c r="CU1167" i="4"/>
  <c r="CU136" i="4"/>
  <c r="CT136" i="4"/>
  <c r="CK1279" i="4"/>
  <c r="CL1279" i="4"/>
  <c r="CS1279" i="4"/>
  <c r="CR1279" i="4"/>
  <c r="CM1087" i="4"/>
  <c r="CN1087" i="4"/>
  <c r="CL789" i="4"/>
  <c r="CK789" i="4"/>
  <c r="CT787" i="4"/>
  <c r="CU787" i="4"/>
  <c r="CN817" i="4"/>
  <c r="CM817" i="4"/>
  <c r="CR817" i="4"/>
  <c r="CS817" i="4"/>
  <c r="CR556" i="4"/>
  <c r="CS556" i="4"/>
  <c r="CK293" i="4"/>
  <c r="CL293" i="4"/>
  <c r="CK1023" i="4"/>
  <c r="CL1023" i="4"/>
  <c r="CT1022" i="4"/>
  <c r="CU1022" i="4"/>
  <c r="CS1408" i="4"/>
  <c r="CR1408" i="4"/>
  <c r="CU251" i="4"/>
  <c r="CT251" i="4"/>
  <c r="CR1201" i="4"/>
  <c r="CS1201" i="4"/>
  <c r="CR1334" i="4"/>
  <c r="CS1334" i="4"/>
  <c r="CR1439" i="4"/>
  <c r="CS1439" i="4"/>
  <c r="CM487" i="4"/>
  <c r="CN487" i="4"/>
  <c r="CK1353" i="4"/>
  <c r="CL1353" i="4"/>
  <c r="CN68" i="4"/>
  <c r="CM68" i="4"/>
  <c r="CS69" i="4"/>
  <c r="CR69" i="4"/>
  <c r="CK850" i="4"/>
  <c r="CL850" i="4"/>
  <c r="CR1270" i="4"/>
  <c r="CS1270" i="4"/>
  <c r="CR1091" i="4"/>
  <c r="CS1091" i="4"/>
  <c r="CN791" i="4"/>
  <c r="CM791" i="4"/>
  <c r="CT811" i="4"/>
  <c r="CU811" i="4"/>
  <c r="CT813" i="4"/>
  <c r="CU813" i="4"/>
  <c r="CK808" i="4"/>
  <c r="CL808" i="4"/>
  <c r="CR1269" i="4"/>
  <c r="CS1269" i="4"/>
  <c r="CS307" i="4"/>
  <c r="CR307" i="4"/>
  <c r="CR677" i="4"/>
  <c r="CS677" i="4"/>
  <c r="CR1366" i="4"/>
  <c r="CS1366" i="4"/>
  <c r="CL194" i="4"/>
  <c r="CK194" i="4"/>
  <c r="CR279" i="4"/>
  <c r="CS279" i="4"/>
  <c r="CR1221" i="4"/>
  <c r="CS1221" i="4"/>
  <c r="CK869" i="4"/>
  <c r="CL869" i="4"/>
  <c r="CT873" i="4"/>
  <c r="CU873" i="4"/>
  <c r="CN191" i="4"/>
  <c r="CM191" i="4"/>
  <c r="CT1254" i="4"/>
  <c r="CU1254" i="4"/>
  <c r="CT471" i="4"/>
  <c r="CU471" i="4"/>
  <c r="CR566" i="4"/>
  <c r="CS566" i="4"/>
  <c r="CN520" i="4"/>
  <c r="CM520" i="4"/>
  <c r="CS529" i="4"/>
  <c r="CR529" i="4"/>
  <c r="CL559" i="4"/>
  <c r="CK559" i="4"/>
  <c r="CT411" i="4"/>
  <c r="CU411" i="4"/>
  <c r="CM476" i="4"/>
  <c r="CN476" i="4"/>
  <c r="CR1315" i="4"/>
  <c r="CS1315" i="4"/>
  <c r="CK501" i="4"/>
  <c r="CL501" i="4"/>
  <c r="CT1446" i="4"/>
  <c r="CU1446" i="4"/>
  <c r="CK1360" i="4"/>
  <c r="CL1360" i="4"/>
  <c r="CM670" i="4"/>
  <c r="CN670" i="4"/>
  <c r="CL70" i="4"/>
  <c r="CK70" i="4"/>
  <c r="CR1045" i="4"/>
  <c r="CS1045" i="4"/>
  <c r="CM956" i="4"/>
  <c r="CN956" i="4"/>
  <c r="CT420" i="4"/>
  <c r="CU420" i="4"/>
  <c r="CN987" i="4"/>
  <c r="CM987" i="4"/>
  <c r="CN1303" i="4"/>
  <c r="CM1303" i="4"/>
  <c r="CT1304" i="4"/>
  <c r="CU1304" i="4"/>
  <c r="CR1405" i="4"/>
  <c r="CS1405" i="4"/>
  <c r="CM307" i="4"/>
  <c r="CN307" i="4"/>
  <c r="CR381" i="4"/>
  <c r="CS381" i="4"/>
  <c r="CK541" i="4"/>
  <c r="CL541" i="4"/>
  <c r="CR262" i="4"/>
  <c r="CS262" i="4"/>
  <c r="CM958" i="4"/>
  <c r="CN958" i="4"/>
  <c r="CK246" i="4"/>
  <c r="CL246" i="4"/>
  <c r="CT1314" i="4"/>
  <c r="CU1314" i="4"/>
  <c r="CR803" i="4"/>
  <c r="CS803" i="4"/>
  <c r="CS339" i="4"/>
  <c r="CR339" i="4"/>
  <c r="CK1019" i="4"/>
  <c r="CL1019" i="4"/>
  <c r="CM1200" i="4"/>
  <c r="CN1200" i="4"/>
  <c r="CR194" i="4"/>
  <c r="CS194" i="4"/>
  <c r="CR994" i="4"/>
  <c r="CS994" i="4"/>
  <c r="CK115" i="4"/>
  <c r="CL115" i="4"/>
  <c r="CR64" i="4"/>
  <c r="CS64" i="4"/>
  <c r="CT832" i="4"/>
  <c r="CU832" i="4"/>
  <c r="CN625" i="4"/>
  <c r="CM625" i="4"/>
  <c r="CT1221" i="4"/>
  <c r="CU1221" i="4"/>
  <c r="CS806" i="4"/>
  <c r="CR806" i="4"/>
  <c r="CR348" i="4"/>
  <c r="CS348" i="4"/>
  <c r="CR869" i="4"/>
  <c r="CS869" i="4"/>
  <c r="CK873" i="4"/>
  <c r="CL873" i="4"/>
  <c r="CT754" i="4"/>
  <c r="CU754" i="4"/>
  <c r="CU575" i="4"/>
  <c r="CT575" i="4"/>
  <c r="CL340" i="4"/>
  <c r="CK340" i="4"/>
  <c r="CU312" i="4"/>
  <c r="CT312" i="4"/>
  <c r="CS483" i="4"/>
  <c r="CR483" i="4"/>
  <c r="CU654" i="4"/>
  <c r="CT654" i="4"/>
  <c r="CU998" i="4"/>
  <c r="CT998" i="4"/>
  <c r="CL767" i="4"/>
  <c r="CK767" i="4"/>
  <c r="CT823" i="4"/>
  <c r="CU823" i="4"/>
  <c r="CT1099" i="4"/>
  <c r="CU1099" i="4"/>
  <c r="CL964" i="4"/>
  <c r="CK964" i="4"/>
  <c r="CK572" i="4"/>
  <c r="CL572" i="4"/>
  <c r="CK1371" i="4"/>
  <c r="CL1371" i="4"/>
  <c r="CK1298" i="4"/>
  <c r="CL1298" i="4"/>
  <c r="CR838" i="4"/>
  <c r="CS838" i="4"/>
  <c r="CU155" i="4"/>
  <c r="CT155" i="4"/>
  <c r="CM120" i="4"/>
  <c r="CN120" i="4"/>
  <c r="CK826" i="4"/>
  <c r="CL826" i="4"/>
  <c r="CT981" i="4"/>
  <c r="CU981" i="4"/>
  <c r="CU781" i="4"/>
  <c r="CT781" i="4"/>
  <c r="CR1415" i="4"/>
  <c r="CS1415" i="4"/>
  <c r="CT566" i="4"/>
  <c r="CU566" i="4"/>
  <c r="CR408" i="4"/>
  <c r="CS408" i="4"/>
  <c r="CM157" i="4"/>
  <c r="CN157" i="4"/>
  <c r="CM647" i="4"/>
  <c r="CN647" i="4"/>
  <c r="CM124" i="4"/>
  <c r="CN124" i="4"/>
  <c r="CS57" i="4"/>
  <c r="CR57" i="4"/>
  <c r="CM763" i="4"/>
  <c r="CN763" i="4"/>
  <c r="CR1102" i="4"/>
  <c r="CS1102" i="4"/>
  <c r="CT507" i="4"/>
  <c r="CU507" i="4"/>
  <c r="CR1208" i="4"/>
  <c r="CS1208" i="4"/>
  <c r="CM333" i="4"/>
  <c r="CN333" i="4"/>
  <c r="CT333" i="4"/>
  <c r="CU333" i="4"/>
  <c r="CL326" i="4"/>
  <c r="CK326" i="4"/>
  <c r="CT1196" i="4"/>
  <c r="CU1196" i="4"/>
  <c r="CK1327" i="4"/>
  <c r="CL1327" i="4"/>
  <c r="CK373" i="4"/>
  <c r="CL373" i="4"/>
  <c r="CS374" i="4"/>
  <c r="CR374" i="4"/>
  <c r="CT90" i="4"/>
  <c r="CU90" i="4"/>
  <c r="CR670" i="4"/>
  <c r="CS670" i="4"/>
  <c r="CR853" i="4"/>
  <c r="CS853" i="4"/>
  <c r="CT854" i="4"/>
  <c r="CU854" i="4"/>
  <c r="CM628" i="4"/>
  <c r="CN628" i="4"/>
  <c r="CM1225" i="4"/>
  <c r="CN1225" i="4"/>
  <c r="CT1226" i="4"/>
  <c r="CU1226" i="4"/>
  <c r="CN957" i="4"/>
  <c r="CM957" i="4"/>
  <c r="CM241" i="4"/>
  <c r="CN241" i="4"/>
  <c r="CM1094" i="4"/>
  <c r="CN1094" i="4"/>
  <c r="CT986" i="4"/>
  <c r="CU986" i="4"/>
  <c r="CK1304" i="4"/>
  <c r="CL1304" i="4"/>
  <c r="CT1305" i="4"/>
  <c r="CU1305" i="4"/>
  <c r="CT1025" i="4"/>
  <c r="CU1025" i="4"/>
  <c r="CK606" i="4"/>
  <c r="CL606" i="4"/>
  <c r="CR605" i="4"/>
  <c r="CS605" i="4"/>
  <c r="CT332" i="4"/>
  <c r="CU332" i="4"/>
  <c r="CR326" i="4"/>
  <c r="CS326" i="4"/>
  <c r="CM1196" i="4"/>
  <c r="CN1196" i="4"/>
  <c r="CR1196" i="4"/>
  <c r="CS1196" i="4"/>
  <c r="CN1327" i="4"/>
  <c r="CM1327" i="4"/>
  <c r="CM375" i="4"/>
  <c r="CN375" i="4"/>
  <c r="CT374" i="4"/>
  <c r="CU374" i="4"/>
  <c r="CS1360" i="4"/>
  <c r="CR1360" i="4"/>
  <c r="CL670" i="4"/>
  <c r="CK670" i="4"/>
  <c r="CT670" i="4"/>
  <c r="CU670" i="4"/>
  <c r="CS1047" i="4"/>
  <c r="CR1047" i="4"/>
  <c r="CU273" i="4"/>
  <c r="CT273" i="4"/>
  <c r="CK537" i="4"/>
  <c r="CL537" i="4"/>
  <c r="CS537" i="4"/>
  <c r="CR537" i="4"/>
  <c r="CT1274" i="4"/>
  <c r="CU1274" i="4"/>
  <c r="CM1164" i="4"/>
  <c r="CN1164" i="4"/>
  <c r="CR628" i="4"/>
  <c r="CS628" i="4"/>
  <c r="CR223" i="4"/>
  <c r="CS223" i="4"/>
  <c r="CK418" i="4"/>
  <c r="CL418" i="4"/>
  <c r="CN420" i="4"/>
  <c r="CM420" i="4"/>
  <c r="CT243" i="4"/>
  <c r="CU243" i="4"/>
  <c r="CK801" i="4"/>
  <c r="CL801" i="4"/>
  <c r="CK1311" i="4"/>
  <c r="CL1311" i="4"/>
  <c r="CM602" i="4"/>
  <c r="CN602" i="4"/>
  <c r="CK1363" i="4"/>
  <c r="CL1363" i="4"/>
  <c r="CK1025" i="4"/>
  <c r="CL1025" i="4"/>
  <c r="CR309" i="4"/>
  <c r="CS309" i="4"/>
  <c r="CK1204" i="4"/>
  <c r="CL1204" i="4"/>
  <c r="CL1206" i="4"/>
  <c r="CK1206" i="4"/>
  <c r="CR1205" i="4"/>
  <c r="CS1205" i="4"/>
  <c r="CM196" i="4"/>
  <c r="CN196" i="4"/>
  <c r="CU1356" i="4"/>
  <c r="CT1356" i="4"/>
  <c r="CT677" i="4"/>
  <c r="CU677" i="4"/>
  <c r="CR1179" i="4"/>
  <c r="CS1179" i="4"/>
  <c r="CT1043" i="4"/>
  <c r="CU1043" i="4"/>
  <c r="CR1043" i="4"/>
  <c r="CS1043" i="4"/>
  <c r="CU281" i="4"/>
  <c r="CT281" i="4"/>
  <c r="CN262" i="4"/>
  <c r="CM262" i="4"/>
  <c r="CT264" i="4"/>
  <c r="CU264" i="4"/>
  <c r="CK364" i="4"/>
  <c r="CL364" i="4"/>
  <c r="CM624" i="4"/>
  <c r="CN624" i="4"/>
  <c r="CT1222" i="4"/>
  <c r="CU1222" i="4"/>
  <c r="CM424" i="4"/>
  <c r="CN424" i="4"/>
  <c r="CL245" i="4"/>
  <c r="CK245" i="4"/>
  <c r="CT244" i="4"/>
  <c r="CU244" i="4"/>
  <c r="CK1097" i="4"/>
  <c r="CL1097" i="4"/>
  <c r="CT1312" i="4"/>
  <c r="CU1312" i="4"/>
  <c r="CK691" i="4"/>
  <c r="CL691" i="4"/>
  <c r="CT901" i="4"/>
  <c r="CU901" i="4"/>
  <c r="CM580" i="4"/>
  <c r="CN580" i="4"/>
  <c r="CR580" i="4"/>
  <c r="CS580" i="4"/>
  <c r="CK337" i="4"/>
  <c r="CL337" i="4"/>
  <c r="CT1018" i="4"/>
  <c r="CU1018" i="4"/>
  <c r="CT1020" i="4"/>
  <c r="CU1020" i="4"/>
  <c r="CN682" i="4"/>
  <c r="CM682" i="4"/>
  <c r="CR684" i="4"/>
  <c r="CS684" i="4"/>
  <c r="CR844" i="4"/>
  <c r="CS844" i="4"/>
  <c r="CK314" i="4"/>
  <c r="CL314" i="4"/>
  <c r="CS315" i="4"/>
  <c r="CR315" i="4"/>
  <c r="CR1200" i="4"/>
  <c r="CS1200" i="4"/>
  <c r="CM644" i="4"/>
  <c r="CN644" i="4"/>
  <c r="CK1134" i="4"/>
  <c r="CL1134" i="4"/>
  <c r="CL195" i="4"/>
  <c r="CK195" i="4"/>
  <c r="CM994" i="4"/>
  <c r="CN994" i="4"/>
  <c r="CR995" i="4"/>
  <c r="CS995" i="4"/>
  <c r="CU1174" i="4"/>
  <c r="CT1174" i="4"/>
  <c r="CT1039" i="4"/>
  <c r="CU1039" i="4"/>
  <c r="CK1156" i="4"/>
  <c r="CL1156" i="4"/>
  <c r="CT278" i="4"/>
  <c r="CU278" i="4"/>
  <c r="CN268" i="4"/>
  <c r="CM268" i="4"/>
  <c r="CT268" i="4"/>
  <c r="CU268" i="4"/>
  <c r="CN357" i="4"/>
  <c r="CM357" i="4"/>
  <c r="CT355" i="4"/>
  <c r="CU355" i="4"/>
  <c r="CT1220" i="4"/>
  <c r="CU1220" i="4"/>
  <c r="CK422" i="4"/>
  <c r="CL422" i="4"/>
  <c r="CT422" i="4"/>
  <c r="CU422" i="4"/>
  <c r="CT240" i="4"/>
  <c r="CU240" i="4"/>
  <c r="CK982" i="4"/>
  <c r="CL982" i="4"/>
  <c r="CN467" i="4"/>
  <c r="CM467" i="4"/>
  <c r="CK989" i="4"/>
  <c r="CL989" i="4"/>
  <c r="CN1283" i="4"/>
  <c r="CM1283" i="4"/>
  <c r="CR1282" i="4"/>
  <c r="CS1282" i="4"/>
  <c r="CK868" i="4"/>
  <c r="CL868" i="4"/>
  <c r="CM547" i="4"/>
  <c r="CN547" i="4"/>
  <c r="CM873" i="4"/>
  <c r="CN873" i="4"/>
  <c r="CK1070" i="4"/>
  <c r="CL1070" i="4"/>
  <c r="CK754" i="4"/>
  <c r="CL754" i="4"/>
  <c r="CM576" i="4"/>
  <c r="CN576" i="4"/>
  <c r="CU576" i="4"/>
  <c r="CT576" i="4"/>
  <c r="CM1374" i="4"/>
  <c r="CN1374" i="4"/>
  <c r="CT562" i="4"/>
  <c r="CU562" i="4"/>
  <c r="CR690" i="4"/>
  <c r="CS690" i="4"/>
  <c r="CM654" i="4"/>
  <c r="CN654" i="4"/>
  <c r="CM1130" i="4"/>
  <c r="CN1130" i="4"/>
  <c r="CS188" i="4"/>
  <c r="CR188" i="4"/>
  <c r="CN1050" i="4"/>
  <c r="CM1050" i="4"/>
  <c r="CR1049" i="4"/>
  <c r="CS1049" i="4"/>
  <c r="CT1153" i="4"/>
  <c r="CU1153" i="4"/>
  <c r="CK768" i="4"/>
  <c r="CL768" i="4"/>
  <c r="CK824" i="4"/>
  <c r="CL824" i="4"/>
  <c r="CL267" i="4"/>
  <c r="CK267" i="4"/>
  <c r="CR267" i="4"/>
  <c r="CS267" i="4"/>
  <c r="CK358" i="4"/>
  <c r="CL358" i="4"/>
  <c r="CM964" i="4"/>
  <c r="CN964" i="4"/>
  <c r="CM977" i="4"/>
  <c r="CN977" i="4"/>
  <c r="CS778" i="4"/>
  <c r="CR778" i="4"/>
  <c r="CR1297" i="4"/>
  <c r="CS1297" i="4"/>
  <c r="CU1412" i="4"/>
  <c r="CT1412" i="4"/>
  <c r="CK568" i="4"/>
  <c r="CL568" i="4"/>
  <c r="CT687" i="4"/>
  <c r="CU687" i="4"/>
  <c r="CK156" i="4"/>
  <c r="CL156" i="4"/>
  <c r="CS156" i="4"/>
  <c r="CR156" i="4"/>
  <c r="CK486" i="4"/>
  <c r="CL486" i="4"/>
  <c r="CT651" i="4"/>
  <c r="CU651" i="4"/>
  <c r="CK190" i="4"/>
  <c r="CL190" i="4"/>
  <c r="CL192" i="4"/>
  <c r="CK192" i="4"/>
  <c r="CR1145" i="4"/>
  <c r="CS1145" i="4"/>
  <c r="CK1180" i="4"/>
  <c r="CL1180" i="4"/>
  <c r="CT1182" i="4"/>
  <c r="CU1182" i="4"/>
  <c r="CM259" i="4"/>
  <c r="CN259" i="4"/>
  <c r="CS259" i="4"/>
  <c r="CR259" i="4"/>
  <c r="CU46" i="4"/>
  <c r="CT46" i="4"/>
  <c r="CT470" i="4"/>
  <c r="CU470" i="4"/>
  <c r="CT694" i="4"/>
  <c r="CU694" i="4"/>
  <c r="CM981" i="4"/>
  <c r="CN981" i="4"/>
  <c r="CS980" i="4"/>
  <c r="CR980" i="4"/>
  <c r="CN1287" i="4"/>
  <c r="CM1287" i="4"/>
  <c r="CT1286" i="4"/>
  <c r="CU1286" i="4"/>
  <c r="CL783" i="4"/>
  <c r="CK783" i="4"/>
  <c r="CM406" i="4"/>
  <c r="CN406" i="4"/>
  <c r="CK158" i="4"/>
  <c r="CL158" i="4"/>
  <c r="CK646" i="4"/>
  <c r="CL646" i="4"/>
  <c r="CT1128" i="4"/>
  <c r="CU1128" i="4"/>
  <c r="CU80" i="4"/>
  <c r="CT80" i="4"/>
  <c r="CR126" i="4"/>
  <c r="CS126" i="4"/>
  <c r="CK856" i="4"/>
  <c r="CL856" i="4"/>
  <c r="CL203" i="4"/>
  <c r="CK203" i="4"/>
  <c r="CM23" i="4"/>
  <c r="CN23" i="4"/>
  <c r="CR24" i="4"/>
  <c r="CS24" i="4"/>
  <c r="CL831" i="4"/>
  <c r="CK831" i="4"/>
  <c r="CK506" i="4"/>
  <c r="CL506" i="4"/>
  <c r="CS1209" i="4"/>
  <c r="CR1209" i="4"/>
  <c r="CU102" i="4"/>
  <c r="CT102" i="4"/>
  <c r="CN45" i="4"/>
  <c r="CM45" i="4"/>
  <c r="CS43" i="4"/>
  <c r="CR43" i="4"/>
  <c r="CT472" i="4"/>
  <c r="CU472" i="4"/>
  <c r="CK702" i="4"/>
  <c r="CL702" i="4"/>
  <c r="CN522" i="4"/>
  <c r="CM522" i="4"/>
  <c r="CT521" i="4"/>
  <c r="CU521" i="4"/>
  <c r="CT530" i="4"/>
  <c r="CU530" i="4"/>
  <c r="CK1291" i="4"/>
  <c r="CL1291" i="4"/>
  <c r="CT1292" i="4"/>
  <c r="CU1292" i="4"/>
  <c r="CM1422" i="4"/>
  <c r="CN1422" i="4"/>
  <c r="CK1081" i="4"/>
  <c r="CL1081" i="4"/>
  <c r="CK152" i="4"/>
  <c r="CL152" i="4"/>
  <c r="CM477" i="4"/>
  <c r="CN477" i="4"/>
  <c r="CR1245" i="4"/>
  <c r="CS1245" i="4"/>
  <c r="CM1316" i="4"/>
  <c r="CN1316" i="4"/>
  <c r="CM199" i="4"/>
  <c r="CN199" i="4"/>
  <c r="CS200" i="4"/>
  <c r="CR200" i="4"/>
  <c r="CK33" i="4"/>
  <c r="CL33" i="4"/>
  <c r="CN28" i="4"/>
  <c r="CM28" i="4"/>
  <c r="CU769" i="4"/>
  <c r="CT769" i="4"/>
  <c r="CN1115" i="4"/>
  <c r="CM1115" i="4"/>
  <c r="CR1185" i="4"/>
  <c r="CS1185" i="4"/>
  <c r="CN92" i="4"/>
  <c r="CM92" i="4"/>
  <c r="CU91" i="4"/>
  <c r="CT91" i="4"/>
  <c r="CS464" i="4"/>
  <c r="CR464" i="4"/>
  <c r="CM931" i="4"/>
  <c r="CN931" i="4"/>
  <c r="CM933" i="4"/>
  <c r="CN933" i="4"/>
  <c r="CN664" i="4"/>
  <c r="CM664" i="4"/>
  <c r="CS666" i="4"/>
  <c r="CR666" i="4"/>
  <c r="CM395" i="4"/>
  <c r="CN395" i="4"/>
  <c r="CK396" i="4"/>
  <c r="CL396" i="4"/>
  <c r="CN1417" i="4"/>
  <c r="CM1417" i="4"/>
  <c r="CS1084" i="4"/>
  <c r="CR1084" i="4"/>
  <c r="CK160" i="4"/>
  <c r="CL160" i="4"/>
  <c r="CL890" i="4"/>
  <c r="CK890" i="4"/>
  <c r="CS1137" i="4"/>
  <c r="CR1137" i="4"/>
  <c r="CK87" i="4"/>
  <c r="CL87" i="4"/>
  <c r="CK207" i="4"/>
  <c r="CL207" i="4"/>
  <c r="CM27" i="4"/>
  <c r="CN27" i="4"/>
  <c r="CM1423" i="4"/>
  <c r="CN1423" i="4"/>
  <c r="CT1424" i="4"/>
  <c r="CU1424" i="4"/>
  <c r="CL1212" i="4"/>
  <c r="CK1212" i="4"/>
  <c r="CN1111" i="4"/>
  <c r="CM1111" i="4"/>
  <c r="CS1113" i="4"/>
  <c r="CR1113" i="4"/>
  <c r="CK233" i="4"/>
  <c r="CL233" i="4"/>
  <c r="CM1187" i="4"/>
  <c r="CN1187" i="4"/>
  <c r="CR50" i="4"/>
  <c r="CS50" i="4"/>
  <c r="CK939" i="4"/>
  <c r="CL939" i="4"/>
  <c r="CU938" i="4"/>
  <c r="CT938" i="4"/>
  <c r="CT1032" i="4"/>
  <c r="CU1032" i="4"/>
  <c r="CM432" i="4"/>
  <c r="CN432" i="4"/>
  <c r="CK616" i="4"/>
  <c r="CL616" i="4"/>
  <c r="CR617" i="4"/>
  <c r="CS617" i="4"/>
  <c r="CU1152" i="4"/>
  <c r="CT1152" i="4"/>
  <c r="CK971" i="4"/>
  <c r="CL971" i="4"/>
  <c r="CL180" i="4"/>
  <c r="CK180" i="4"/>
  <c r="CN757" i="4"/>
  <c r="CM757" i="4"/>
  <c r="CR904" i="4"/>
  <c r="CS904" i="4"/>
  <c r="CR905" i="4"/>
  <c r="CS905" i="4"/>
  <c r="CR1381" i="4"/>
  <c r="CS1381" i="4"/>
  <c r="CU513" i="4"/>
  <c r="CT513" i="4"/>
  <c r="CL174" i="4"/>
  <c r="CK174" i="4"/>
  <c r="CK711" i="4"/>
  <c r="CL711" i="4"/>
  <c r="CU635" i="4"/>
  <c r="CT635" i="4"/>
  <c r="CM150" i="4"/>
  <c r="CN150" i="4"/>
  <c r="CT150" i="4"/>
  <c r="CU150" i="4"/>
  <c r="CK454" i="4"/>
  <c r="CL454" i="4"/>
  <c r="CN1055" i="4"/>
  <c r="CM1055" i="4"/>
  <c r="CT1054" i="4"/>
  <c r="CU1054" i="4"/>
  <c r="CK209" i="4"/>
  <c r="CL209" i="4"/>
  <c r="CK1148" i="4"/>
  <c r="CL1148" i="4"/>
  <c r="CT1147" i="4"/>
  <c r="CU1147" i="4"/>
  <c r="CU38" i="4"/>
  <c r="CT38" i="4"/>
  <c r="CK918" i="4"/>
  <c r="CL918" i="4"/>
  <c r="CT917" i="4"/>
  <c r="CU917" i="4"/>
  <c r="CN1241" i="4"/>
  <c r="CM1241" i="4"/>
  <c r="CK1398" i="4"/>
  <c r="CL1398" i="4"/>
  <c r="CR510" i="4"/>
  <c r="CS510" i="4"/>
  <c r="CS1194" i="4"/>
  <c r="CR1194" i="4"/>
  <c r="CR94" i="4"/>
  <c r="CS94" i="4"/>
  <c r="CK923" i="4"/>
  <c r="CL923" i="4"/>
  <c r="CS924" i="4"/>
  <c r="CR924" i="4"/>
  <c r="CM514" i="4"/>
  <c r="CN514" i="4"/>
  <c r="CM935" i="4"/>
  <c r="CN935" i="4"/>
  <c r="CU660" i="4"/>
  <c r="CT660" i="4"/>
  <c r="CN703" i="4"/>
  <c r="CM703" i="4"/>
  <c r="CT592" i="4"/>
  <c r="CU592" i="4"/>
  <c r="CK1232" i="4"/>
  <c r="CL1232" i="4"/>
  <c r="CR733" i="4"/>
  <c r="CS733" i="4"/>
  <c r="CM879" i="4"/>
  <c r="CN879" i="4"/>
  <c r="CT968" i="4"/>
  <c r="CU968" i="4"/>
  <c r="CK135" i="4"/>
  <c r="CL135" i="4"/>
  <c r="CT133" i="4"/>
  <c r="CU133" i="4"/>
  <c r="CK1029" i="4"/>
  <c r="CL1029" i="4"/>
  <c r="CN730" i="4"/>
  <c r="CM730" i="4"/>
  <c r="CR730" i="4"/>
  <c r="CS730" i="4"/>
  <c r="CT354" i="4"/>
  <c r="CU354" i="4"/>
  <c r="CT865" i="4"/>
  <c r="CU865" i="4"/>
  <c r="CU212" i="4"/>
  <c r="CT212" i="4"/>
  <c r="CK523" i="4"/>
  <c r="CL523" i="4"/>
  <c r="CU524" i="4"/>
  <c r="CT524" i="4"/>
  <c r="CL169" i="4"/>
  <c r="CK169" i="4"/>
  <c r="CR712" i="4"/>
  <c r="CS712" i="4"/>
  <c r="CT637" i="4"/>
  <c r="CU637" i="4"/>
  <c r="CK1143" i="4"/>
  <c r="CL1143" i="4"/>
  <c r="CT103" i="4"/>
  <c r="CU103" i="4"/>
  <c r="CK675" i="4"/>
  <c r="CL675" i="4"/>
  <c r="CT675" i="4"/>
  <c r="CU675" i="4"/>
  <c r="CM1059" i="4"/>
  <c r="CN1059" i="4"/>
  <c r="CM386" i="4"/>
  <c r="CN386" i="4"/>
  <c r="CT387" i="4"/>
  <c r="CU387" i="4"/>
  <c r="CM911" i="4"/>
  <c r="CN911" i="4"/>
  <c r="CT912" i="4"/>
  <c r="CU912" i="4"/>
  <c r="CK1433" i="4"/>
  <c r="CL1433" i="4"/>
  <c r="CR1434" i="4"/>
  <c r="CS1434" i="4"/>
  <c r="CM1236" i="4"/>
  <c r="CN1236" i="4"/>
  <c r="CR1391" i="4"/>
  <c r="CS1391" i="4"/>
  <c r="CM1386" i="4"/>
  <c r="CN1386" i="4"/>
  <c r="CR926" i="4"/>
  <c r="CS926" i="4"/>
  <c r="CK941" i="4"/>
  <c r="CL941" i="4"/>
  <c r="CU1255" i="4"/>
  <c r="CT1255" i="4"/>
  <c r="CT8" i="4"/>
  <c r="CU8" i="4"/>
  <c r="CK864" i="4"/>
  <c r="CL864" i="4"/>
  <c r="CS862" i="4"/>
  <c r="CR862" i="4"/>
  <c r="CT919" i="4"/>
  <c r="CU919" i="4"/>
  <c r="CT532" i="4"/>
  <c r="CU532" i="4"/>
  <c r="CK725" i="4"/>
  <c r="CL725" i="4"/>
  <c r="CM1264" i="4"/>
  <c r="CN1264" i="4"/>
  <c r="CM747" i="4"/>
  <c r="CN747" i="4"/>
  <c r="CR303" i="4"/>
  <c r="CS303" i="4"/>
  <c r="CN1442" i="4"/>
  <c r="CM1442" i="4"/>
  <c r="CK378" i="4"/>
  <c r="CL378" i="4"/>
  <c r="CM736" i="4"/>
  <c r="CN736" i="4"/>
  <c r="CU737" i="4"/>
  <c r="CT737" i="4"/>
  <c r="CM588" i="4"/>
  <c r="CN588" i="4"/>
  <c r="CU75" i="4"/>
  <c r="CT75" i="4"/>
  <c r="CR1053" i="4"/>
  <c r="CS1053" i="4"/>
  <c r="CK876" i="4"/>
  <c r="CL876" i="4"/>
  <c r="CM439" i="4"/>
  <c r="CN439" i="4"/>
  <c r="CL185" i="4"/>
  <c r="CK185" i="4"/>
  <c r="CS185" i="4"/>
  <c r="CR185" i="4"/>
  <c r="CR913" i="4"/>
  <c r="CS913" i="4"/>
  <c r="CN1074" i="4"/>
  <c r="CM1074" i="4"/>
  <c r="CM761" i="4"/>
  <c r="CN761" i="4"/>
  <c r="CL1350" i="4"/>
  <c r="CK1350" i="4"/>
  <c r="CT1349" i="4"/>
  <c r="CU1349" i="4"/>
  <c r="CK895" i="4"/>
  <c r="CL895" i="4"/>
  <c r="CT929" i="4"/>
  <c r="CU929" i="4"/>
  <c r="CK215" i="4"/>
  <c r="CL215" i="4"/>
  <c r="CU214" i="4"/>
  <c r="CT214" i="4"/>
  <c r="CT1259" i="4"/>
  <c r="CU1259" i="4"/>
  <c r="CK254" i="4"/>
  <c r="CL254" i="4"/>
  <c r="CU253" i="4"/>
  <c r="CT253" i="4"/>
  <c r="CM1035" i="4"/>
  <c r="CN1035" i="4"/>
  <c r="CK296" i="4"/>
  <c r="CL296" i="4"/>
  <c r="CT296" i="4"/>
  <c r="CU296" i="4"/>
  <c r="CK585" i="4"/>
  <c r="CL585" i="4"/>
  <c r="CR113" i="4"/>
  <c r="CS113" i="4"/>
  <c r="CR949" i="4"/>
  <c r="CS949" i="4"/>
  <c r="CS446" i="4"/>
  <c r="CR446" i="4"/>
  <c r="CK814" i="4"/>
  <c r="CL814" i="4"/>
  <c r="CL719" i="4"/>
  <c r="CK719" i="4"/>
  <c r="CT319" i="4"/>
  <c r="CU319" i="4"/>
  <c r="CK491" i="4"/>
  <c r="CL491" i="4"/>
  <c r="CN945" i="4"/>
  <c r="CM945" i="4"/>
  <c r="CN448" i="4"/>
  <c r="CM448" i="4"/>
  <c r="CT449" i="4"/>
  <c r="CU449" i="4"/>
  <c r="CT1400" i="4"/>
  <c r="CU1400" i="4"/>
  <c r="CR323" i="4"/>
  <c r="CS323" i="4"/>
  <c r="CT247" i="4"/>
  <c r="CU247" i="4"/>
  <c r="CU249" i="4"/>
  <c r="CT249" i="4"/>
  <c r="CL841" i="4"/>
  <c r="CK841" i="4"/>
  <c r="CN750" i="4"/>
  <c r="CM750" i="4"/>
  <c r="CT748" i="4"/>
  <c r="CU748" i="4"/>
  <c r="CK1331" i="4"/>
  <c r="CL1331" i="4"/>
  <c r="CT1331" i="4"/>
  <c r="CU1331" i="4"/>
  <c r="CK495" i="4"/>
  <c r="CL495" i="4"/>
  <c r="CT728" i="4"/>
  <c r="CU728" i="4"/>
  <c r="CT76" i="4"/>
  <c r="CU76" i="4"/>
  <c r="CT947" i="4"/>
  <c r="CU947" i="4"/>
  <c r="CM882" i="4"/>
  <c r="CN882" i="4"/>
  <c r="CN444" i="4"/>
  <c r="CM444" i="4"/>
  <c r="CR544" i="4"/>
  <c r="CS544" i="4"/>
  <c r="CR546" i="4"/>
  <c r="CS546" i="4"/>
  <c r="CR344" i="4"/>
  <c r="CS344" i="4"/>
  <c r="CT1088" i="4"/>
  <c r="CU1088" i="4"/>
  <c r="CK699" i="4"/>
  <c r="CL699" i="4"/>
  <c r="CK818" i="4"/>
  <c r="CL818" i="4"/>
  <c r="CT817" i="4"/>
  <c r="CU817" i="4"/>
  <c r="CK558" i="4"/>
  <c r="CL558" i="4"/>
  <c r="CM293" i="4"/>
  <c r="CN293" i="4"/>
  <c r="CM1022" i="4"/>
  <c r="CN1022" i="4"/>
  <c r="CM1409" i="4"/>
  <c r="CN1409" i="4"/>
  <c r="CS1409" i="4"/>
  <c r="CR1409" i="4"/>
  <c r="CT250" i="4"/>
  <c r="CU250" i="4"/>
  <c r="CK1202" i="4"/>
  <c r="CL1202" i="4"/>
  <c r="CK1335" i="4"/>
  <c r="CL1335" i="4"/>
  <c r="CT1333" i="4"/>
  <c r="CU1333" i="4"/>
  <c r="CT1334" i="4"/>
  <c r="CU1334" i="4"/>
  <c r="CS489" i="4"/>
  <c r="CR489" i="4"/>
  <c r="CN69" i="4"/>
  <c r="CM69" i="4"/>
  <c r="CT69" i="4"/>
  <c r="CU69" i="4"/>
  <c r="CR954" i="4"/>
  <c r="CS954" i="4"/>
  <c r="CL275" i="4"/>
  <c r="CK275" i="4"/>
  <c r="CR275" i="4"/>
  <c r="CS275" i="4"/>
  <c r="CN538" i="4"/>
  <c r="CM538" i="4"/>
  <c r="CR1168" i="4"/>
  <c r="CS1168" i="4"/>
  <c r="CM363" i="4"/>
  <c r="CN363" i="4"/>
  <c r="CR363" i="4"/>
  <c r="CS363" i="4"/>
  <c r="CK620" i="4"/>
  <c r="CL620" i="4"/>
  <c r="CL417" i="4"/>
  <c r="CK417" i="4"/>
  <c r="CL792" i="4"/>
  <c r="CK792" i="4"/>
  <c r="CT1267" i="4"/>
  <c r="CU1267" i="4"/>
  <c r="CT1269" i="4"/>
  <c r="CU1269" i="4"/>
  <c r="CT224" i="4"/>
  <c r="CU224" i="4"/>
  <c r="CK1446" i="4"/>
  <c r="CL1446" i="4"/>
  <c r="CK604" i="4"/>
  <c r="CL604" i="4"/>
  <c r="CN606" i="4"/>
  <c r="CM606" i="4"/>
  <c r="CN332" i="4"/>
  <c r="CM332" i="4"/>
  <c r="CK1015" i="4"/>
  <c r="CL1015" i="4"/>
  <c r="CK1404" i="4"/>
  <c r="CL1404" i="4"/>
  <c r="CU326" i="4"/>
  <c r="CT326" i="4"/>
  <c r="CL316" i="4"/>
  <c r="CK316" i="4"/>
  <c r="CN1197" i="4"/>
  <c r="CM1197" i="4"/>
  <c r="CS1327" i="4"/>
  <c r="CR1327" i="4"/>
  <c r="CK374" i="4"/>
  <c r="CL374" i="4"/>
  <c r="CR1361" i="4"/>
  <c r="CS1361" i="4"/>
  <c r="CN90" i="4"/>
  <c r="CM90" i="4"/>
  <c r="CK671" i="4"/>
  <c r="CL671" i="4"/>
  <c r="CT71" i="4"/>
  <c r="CU71" i="4"/>
  <c r="CT853" i="4"/>
  <c r="CU853" i="4"/>
  <c r="CN1047" i="4"/>
  <c r="CM1047" i="4"/>
  <c r="CN273" i="4"/>
  <c r="CM273" i="4"/>
  <c r="CL536" i="4"/>
  <c r="CK536" i="4"/>
  <c r="CU537" i="4"/>
  <c r="CT537" i="4"/>
  <c r="CM1273" i="4"/>
  <c r="CN1273" i="4"/>
  <c r="CS1275" i="4"/>
  <c r="CR1275" i="4"/>
  <c r="CK1164" i="4"/>
  <c r="CL1164" i="4"/>
  <c r="CT628" i="4"/>
  <c r="CU628" i="4"/>
  <c r="CM1227" i="4"/>
  <c r="CN1227" i="4"/>
  <c r="CL225" i="4"/>
  <c r="CK225" i="4"/>
  <c r="CU225" i="4"/>
  <c r="CT225" i="4"/>
  <c r="CN955" i="4"/>
  <c r="CM955" i="4"/>
  <c r="CT955" i="4"/>
  <c r="CU955" i="4"/>
  <c r="CM418" i="4"/>
  <c r="CN418" i="4"/>
  <c r="CK1003" i="4"/>
  <c r="CL1003" i="4"/>
  <c r="CT1005" i="4"/>
  <c r="CU1005" i="4"/>
  <c r="CK241" i="4"/>
  <c r="CL241" i="4"/>
  <c r="CR241" i="4"/>
  <c r="CS241" i="4"/>
  <c r="CK1095" i="4"/>
  <c r="CL1095" i="4"/>
  <c r="CM796" i="4"/>
  <c r="CN796" i="4"/>
  <c r="CK602" i="4"/>
  <c r="CL602" i="4"/>
  <c r="CR603" i="4"/>
  <c r="CS603" i="4"/>
  <c r="CK1026" i="4"/>
  <c r="CL1026" i="4"/>
  <c r="CM309" i="4"/>
  <c r="CN309" i="4"/>
  <c r="CU309" i="4"/>
  <c r="CT309" i="4"/>
  <c r="CR197" i="4"/>
  <c r="CS197" i="4"/>
  <c r="CM1178" i="4"/>
  <c r="CN1178" i="4"/>
  <c r="CT1179" i="4"/>
  <c r="CU1179" i="4"/>
  <c r="CK282" i="4"/>
  <c r="CL282" i="4"/>
  <c r="CT282" i="4"/>
  <c r="CU282" i="4"/>
  <c r="CL263" i="4"/>
  <c r="CK263" i="4"/>
  <c r="CS263" i="4"/>
  <c r="CR263" i="4"/>
  <c r="CL624" i="4"/>
  <c r="CK624" i="4"/>
  <c r="CR623" i="4"/>
  <c r="CS623" i="4"/>
  <c r="CL1222" i="4"/>
  <c r="CK1222" i="4"/>
  <c r="CR1222" i="4"/>
  <c r="CS1222" i="4"/>
  <c r="CT424" i="4"/>
  <c r="CU424" i="4"/>
  <c r="CM245" i="4"/>
  <c r="CN245" i="4"/>
  <c r="CM1096" i="4"/>
  <c r="CN1096" i="4"/>
  <c r="CR1097" i="4"/>
  <c r="CS1097" i="4"/>
  <c r="CK1314" i="4"/>
  <c r="CL1314" i="4"/>
  <c r="CT804" i="4"/>
  <c r="CU804" i="4"/>
  <c r="CK903" i="4"/>
  <c r="CL903" i="4"/>
  <c r="CR581" i="4"/>
  <c r="CS581" i="4"/>
  <c r="CK338" i="4"/>
  <c r="CL338" i="4"/>
  <c r="CR338" i="4"/>
  <c r="CS338" i="4"/>
  <c r="CM314" i="4"/>
  <c r="CN314" i="4"/>
  <c r="CT315" i="4"/>
  <c r="CU315" i="4"/>
  <c r="CR1198" i="4"/>
  <c r="CS1198" i="4"/>
  <c r="CR645" i="4"/>
  <c r="CS645" i="4"/>
  <c r="CR1357" i="4"/>
  <c r="CS1357" i="4"/>
  <c r="CK64" i="4"/>
  <c r="CL64" i="4"/>
  <c r="CL1174" i="4"/>
  <c r="CK1174" i="4"/>
  <c r="CR1176" i="4"/>
  <c r="CS1176" i="4"/>
  <c r="CK1109" i="4"/>
  <c r="CL1109" i="4"/>
  <c r="CK268" i="4"/>
  <c r="CL268" i="4"/>
  <c r="CR269" i="4"/>
  <c r="CS269" i="4"/>
  <c r="CK625" i="4"/>
  <c r="CL625" i="4"/>
  <c r="CR626" i="4"/>
  <c r="CS626" i="4"/>
  <c r="CM423" i="4"/>
  <c r="CN423" i="4"/>
  <c r="CR468" i="4"/>
  <c r="CS468" i="4"/>
  <c r="CM1002" i="4"/>
  <c r="CN1002" i="4"/>
  <c r="CR1000" i="4"/>
  <c r="CS1000" i="4"/>
  <c r="CN181" i="4"/>
  <c r="CM181" i="4"/>
  <c r="CR183" i="4"/>
  <c r="CS183" i="4"/>
  <c r="CK1284" i="4"/>
  <c r="CL1284" i="4"/>
  <c r="CR237" i="4"/>
  <c r="CS237" i="4"/>
  <c r="CK590" i="4"/>
  <c r="CL590" i="4"/>
  <c r="CR784" i="4"/>
  <c r="CS784" i="4"/>
  <c r="CR576" i="4"/>
  <c r="CS576" i="4"/>
  <c r="CR340" i="4"/>
  <c r="CS340" i="4"/>
  <c r="CT342" i="4"/>
  <c r="CU342" i="4"/>
  <c r="CK690" i="4"/>
  <c r="CL690" i="4"/>
  <c r="CR688" i="4"/>
  <c r="CS688" i="4"/>
  <c r="CT690" i="4"/>
  <c r="CU690" i="4"/>
  <c r="CN482" i="4"/>
  <c r="CM482" i="4"/>
  <c r="CT189" i="4"/>
  <c r="CU189" i="4"/>
  <c r="CM998" i="4"/>
  <c r="CN998" i="4"/>
  <c r="CT1248" i="4"/>
  <c r="CU1248" i="4"/>
  <c r="CN60" i="4"/>
  <c r="CM60" i="4"/>
  <c r="CK383" i="4"/>
  <c r="CL383" i="4"/>
  <c r="CM1173" i="4"/>
  <c r="CN1173" i="4"/>
  <c r="CT1049" i="4"/>
  <c r="CU1049" i="4"/>
  <c r="CK1154" i="4"/>
  <c r="CL1154" i="4"/>
  <c r="CM824" i="4"/>
  <c r="CN824" i="4"/>
  <c r="CR825" i="4"/>
  <c r="CS825" i="4"/>
  <c r="CN1099" i="4"/>
  <c r="CM1099" i="4"/>
  <c r="CT267" i="4"/>
  <c r="CU267" i="4"/>
  <c r="CM358" i="4"/>
  <c r="CN358" i="4"/>
  <c r="CT359" i="4"/>
  <c r="CU359" i="4"/>
  <c r="CK1228" i="4"/>
  <c r="CL1228" i="4"/>
  <c r="CT1228" i="4"/>
  <c r="CU1228" i="4"/>
  <c r="CK977" i="4"/>
  <c r="CL977" i="4"/>
  <c r="CR978" i="4"/>
  <c r="CS978" i="4"/>
  <c r="CT778" i="4"/>
  <c r="CU778" i="4"/>
  <c r="CR573" i="4"/>
  <c r="CS573" i="4"/>
  <c r="CU572" i="4"/>
  <c r="CT572" i="4"/>
  <c r="CN1411" i="4"/>
  <c r="CM1411" i="4"/>
  <c r="CT839" i="4"/>
  <c r="CU839" i="4"/>
  <c r="CN156" i="4"/>
  <c r="CM156" i="4"/>
  <c r="CT156" i="4"/>
  <c r="CU156" i="4"/>
  <c r="CN484" i="4"/>
  <c r="CM484" i="4"/>
  <c r="CR484" i="4"/>
  <c r="CS484" i="4"/>
  <c r="CR1123" i="4"/>
  <c r="CS1123" i="4"/>
  <c r="CT1145" i="4"/>
  <c r="CU1145" i="4"/>
  <c r="CL1252" i="4"/>
  <c r="CK1252" i="4"/>
  <c r="CT1253" i="4"/>
  <c r="CU1253" i="4"/>
  <c r="CN118" i="4"/>
  <c r="CM118" i="4"/>
  <c r="CS120" i="4"/>
  <c r="CR120" i="4"/>
  <c r="CK61" i="4"/>
  <c r="CL61" i="4"/>
  <c r="CM1180" i="4"/>
  <c r="CN1180" i="4"/>
  <c r="CT1180" i="4"/>
  <c r="CU1180" i="4"/>
  <c r="CK773" i="4"/>
  <c r="CL773" i="4"/>
  <c r="CR774" i="4"/>
  <c r="CS774" i="4"/>
  <c r="CR827" i="4"/>
  <c r="CS827" i="4"/>
  <c r="CM1105" i="4"/>
  <c r="CN1105" i="4"/>
  <c r="CK260" i="4"/>
  <c r="CL260" i="4"/>
  <c r="CT259" i="4"/>
  <c r="CU259" i="4"/>
  <c r="CK1215" i="4"/>
  <c r="CL1215" i="4"/>
  <c r="CR47" i="4"/>
  <c r="CS47" i="4"/>
  <c r="CK471" i="4"/>
  <c r="CL471" i="4"/>
  <c r="CM694" i="4"/>
  <c r="CN694" i="4"/>
  <c r="CR979" i="4"/>
  <c r="CS979" i="4"/>
  <c r="CK1262" i="4"/>
  <c r="CL1262" i="4"/>
  <c r="CU1263" i="4"/>
  <c r="CT1263" i="4"/>
  <c r="CK130" i="4"/>
  <c r="CL130" i="4"/>
  <c r="CK1340" i="4"/>
  <c r="CL1340" i="4"/>
  <c r="CM782" i="4"/>
  <c r="CN782" i="4"/>
  <c r="CT783" i="4"/>
  <c r="CU783" i="4"/>
  <c r="CK527" i="4"/>
  <c r="CL527" i="4"/>
  <c r="CK579" i="4"/>
  <c r="CL579" i="4"/>
  <c r="CR681" i="4"/>
  <c r="CS681" i="4"/>
  <c r="CR406" i="4"/>
  <c r="CS406" i="4"/>
  <c r="CK159" i="4"/>
  <c r="CL159" i="4"/>
  <c r="CR159" i="4"/>
  <c r="CS159" i="4"/>
  <c r="CK479" i="4"/>
  <c r="CL479" i="4"/>
  <c r="CT1127" i="4"/>
  <c r="CU1127" i="4"/>
  <c r="CL459" i="4"/>
  <c r="CK459" i="4"/>
  <c r="CM81" i="4"/>
  <c r="CN81" i="4"/>
  <c r="CT126" i="4"/>
  <c r="CU126" i="4"/>
  <c r="CL57" i="4"/>
  <c r="CK57" i="4"/>
  <c r="CU55" i="4"/>
  <c r="CT55" i="4"/>
  <c r="CM202" i="4"/>
  <c r="CN202" i="4"/>
  <c r="CR203" i="4"/>
  <c r="CS203" i="4"/>
  <c r="CR765" i="4"/>
  <c r="CS765" i="4"/>
  <c r="CU1103" i="4"/>
  <c r="CT1103" i="4"/>
  <c r="CS505" i="4"/>
  <c r="CR505" i="4"/>
  <c r="CT1209" i="4"/>
  <c r="CU1209" i="4"/>
  <c r="CS1120" i="4"/>
  <c r="CR1120" i="4"/>
  <c r="CL101" i="4"/>
  <c r="CK101" i="4"/>
  <c r="CK1006" i="4"/>
  <c r="CL1006" i="4"/>
  <c r="CU1007" i="4"/>
  <c r="CT1007" i="4"/>
  <c r="CM702" i="4"/>
  <c r="CN702" i="4"/>
  <c r="CT700" i="4"/>
  <c r="CU700" i="4"/>
  <c r="CS663" i="4"/>
  <c r="CR663" i="4"/>
  <c r="CM1292" i="4"/>
  <c r="CN1292" i="4"/>
  <c r="CK1420" i="4"/>
  <c r="CL1420" i="4"/>
  <c r="CM561" i="4"/>
  <c r="CN561" i="4"/>
  <c r="CU1082" i="4"/>
  <c r="CT1082" i="4"/>
  <c r="CS410" i="4"/>
  <c r="CR410" i="4"/>
  <c r="CR451" i="4"/>
  <c r="CS451" i="4"/>
  <c r="CN84" i="4"/>
  <c r="CM84" i="4"/>
  <c r="CT1243" i="4"/>
  <c r="CU1243" i="4"/>
  <c r="CU200" i="4"/>
  <c r="CT200" i="4"/>
  <c r="CM33" i="4"/>
  <c r="CN33" i="4"/>
  <c r="CN29" i="4"/>
  <c r="CM29" i="4"/>
  <c r="CK1395" i="4"/>
  <c r="CL1395" i="4"/>
  <c r="CK1218" i="4"/>
  <c r="CL1218" i="4"/>
  <c r="CK93" i="4"/>
  <c r="CL93" i="4"/>
  <c r="CS93" i="4"/>
  <c r="CR93" i="4"/>
  <c r="CT1011" i="4"/>
  <c r="CU1011" i="4"/>
  <c r="CK53" i="4"/>
  <c r="CL53" i="4"/>
  <c r="CN464" i="4"/>
  <c r="CM464" i="4"/>
  <c r="CT464" i="4"/>
  <c r="CU464" i="4"/>
  <c r="CK664" i="4"/>
  <c r="CL664" i="4"/>
  <c r="CN166" i="4"/>
  <c r="CM166" i="4"/>
  <c r="CK1419" i="4"/>
  <c r="CL1419" i="4"/>
  <c r="CM641" i="4"/>
  <c r="CN641" i="4"/>
  <c r="CS403" i="4"/>
  <c r="CR403" i="4"/>
  <c r="CL161" i="4"/>
  <c r="CK161" i="4"/>
  <c r="CT890" i="4"/>
  <c r="CU890" i="4"/>
  <c r="CK1136" i="4"/>
  <c r="CL1136" i="4"/>
  <c r="CR87" i="4"/>
  <c r="CS87" i="4"/>
  <c r="CN206" i="4"/>
  <c r="CM206" i="4"/>
  <c r="CS25" i="4"/>
  <c r="CR25" i="4"/>
  <c r="CK1424" i="4"/>
  <c r="CL1424" i="4"/>
  <c r="CM1389" i="4"/>
  <c r="CN1389" i="4"/>
  <c r="CU503" i="4"/>
  <c r="CT503" i="4"/>
  <c r="CT1113" i="4"/>
  <c r="CU1113" i="4"/>
  <c r="CT232" i="4"/>
  <c r="CU232" i="4"/>
  <c r="CK1188" i="4"/>
  <c r="CL1188" i="4"/>
  <c r="CK50" i="4"/>
  <c r="CL50" i="4"/>
  <c r="CU50" i="4"/>
  <c r="CT50" i="4"/>
  <c r="CN937" i="4"/>
  <c r="CM937" i="4"/>
  <c r="CT656" i="4"/>
  <c r="CU656" i="4"/>
  <c r="CM1032" i="4"/>
  <c r="CN1032" i="4"/>
  <c r="CT1031" i="4"/>
  <c r="CU1031" i="4"/>
  <c r="CL298" i="4"/>
  <c r="CK298" i="4"/>
  <c r="CR146" i="4"/>
  <c r="CS146" i="4"/>
  <c r="CT617" i="4"/>
  <c r="CU617" i="4"/>
  <c r="CR388" i="4"/>
  <c r="CS388" i="4"/>
  <c r="CM1151" i="4"/>
  <c r="CN1151" i="4"/>
  <c r="CR971" i="4"/>
  <c r="CS971" i="4"/>
  <c r="CK909" i="4"/>
  <c r="CL909" i="4"/>
  <c r="CR909" i="4"/>
  <c r="CS909" i="4"/>
  <c r="CR1427" i="4"/>
  <c r="CS1427" i="4"/>
  <c r="CM1065" i="4"/>
  <c r="CN1065" i="4"/>
  <c r="CT906" i="4"/>
  <c r="CU906" i="4"/>
  <c r="CT905" i="4"/>
  <c r="CU905" i="4"/>
  <c r="CR1383" i="4"/>
  <c r="CS1383" i="4"/>
  <c r="CK1160" i="4"/>
  <c r="CL1160" i="4"/>
  <c r="CS793" i="4"/>
  <c r="CR793" i="4"/>
  <c r="CK398" i="4"/>
  <c r="CL398" i="4"/>
  <c r="CM174" i="4"/>
  <c r="CN174" i="4"/>
  <c r="CM412" i="4"/>
  <c r="CN412" i="4"/>
  <c r="CL427" i="4"/>
  <c r="CK427" i="4"/>
  <c r="CL149" i="4"/>
  <c r="CK149" i="4"/>
  <c r="CK455" i="4"/>
  <c r="CL455" i="4"/>
  <c r="CR607" i="4"/>
  <c r="CS607" i="4"/>
  <c r="CL210" i="4"/>
  <c r="CK210" i="4"/>
  <c r="CR210" i="4"/>
  <c r="CS210" i="4"/>
  <c r="CM1148" i="4"/>
  <c r="CN1148" i="4"/>
  <c r="CK39" i="4"/>
  <c r="CL39" i="4"/>
  <c r="CR1241" i="4"/>
  <c r="CS1241" i="4"/>
  <c r="CU509" i="4"/>
  <c r="CT509" i="4"/>
  <c r="CT510" i="4"/>
  <c r="CU510" i="4"/>
  <c r="CM1193" i="4"/>
  <c r="CN1193" i="4"/>
  <c r="CR95" i="4"/>
  <c r="CS95" i="4"/>
  <c r="CT516" i="4"/>
  <c r="CU516" i="4"/>
  <c r="CR936" i="4"/>
  <c r="CS936" i="4"/>
  <c r="CT659" i="4"/>
  <c r="CU659" i="4"/>
  <c r="CK704" i="4"/>
  <c r="CL704" i="4"/>
  <c r="CS705" i="4"/>
  <c r="CR705" i="4"/>
  <c r="CK592" i="4"/>
  <c r="CL592" i="4"/>
  <c r="CM594" i="4"/>
  <c r="CN594" i="4"/>
  <c r="CT1233" i="4"/>
  <c r="CU1233" i="4"/>
  <c r="CU733" i="4"/>
  <c r="CT733" i="4"/>
  <c r="CU967" i="4"/>
  <c r="CT967" i="4"/>
  <c r="CK1067" i="4"/>
  <c r="CL1067" i="4"/>
  <c r="CR1345" i="4"/>
  <c r="CS1345" i="4"/>
  <c r="CM900" i="4"/>
  <c r="CN900" i="4"/>
  <c r="CR732" i="4"/>
  <c r="CS732" i="4"/>
  <c r="CM354" i="4"/>
  <c r="CN354" i="4"/>
  <c r="CK402" i="4"/>
  <c r="CL402" i="4"/>
  <c r="CL171" i="4"/>
  <c r="CK171" i="4"/>
  <c r="CU170" i="4"/>
  <c r="CT170" i="4"/>
  <c r="CK714" i="4"/>
  <c r="CL714" i="4"/>
  <c r="CS639" i="4"/>
  <c r="CR639" i="4"/>
  <c r="CM1080" i="4"/>
  <c r="CN1080" i="4"/>
  <c r="CR305" i="4"/>
  <c r="CS305" i="4"/>
  <c r="CR141" i="4"/>
  <c r="CS141" i="4"/>
  <c r="CU615" i="4"/>
  <c r="CT615" i="4"/>
  <c r="CN1323" i="4"/>
  <c r="CM1323" i="4"/>
  <c r="CT1322" i="4"/>
  <c r="CU1322" i="4"/>
  <c r="CL175" i="4"/>
  <c r="CK175" i="4"/>
  <c r="CR176" i="4"/>
  <c r="CS176" i="4"/>
  <c r="CK912" i="4"/>
  <c r="CL912" i="4"/>
  <c r="CK1391" i="4"/>
  <c r="CL1391" i="4"/>
  <c r="CT1392" i="4"/>
  <c r="CU1392" i="4"/>
  <c r="CN1189" i="4"/>
  <c r="CM1189" i="4"/>
  <c r="CT926" i="4"/>
  <c r="CU926" i="4"/>
  <c r="CK8" i="4"/>
  <c r="CL8" i="4"/>
  <c r="CT1062" i="4"/>
  <c r="CU1062" i="4"/>
  <c r="CK862" i="4"/>
  <c r="CL862" i="4"/>
  <c r="CR863" i="4"/>
  <c r="CS863" i="4"/>
  <c r="CK534" i="4"/>
  <c r="CL534" i="4"/>
  <c r="CN725" i="4"/>
  <c r="CM725" i="4"/>
  <c r="CN707" i="4"/>
  <c r="CM707" i="4"/>
  <c r="CT706" i="4"/>
  <c r="CU706" i="4"/>
  <c r="CR708" i="4"/>
  <c r="CS708" i="4"/>
  <c r="CR1037" i="4"/>
  <c r="CS1037" i="4"/>
  <c r="CR302" i="4"/>
  <c r="CS302" i="4"/>
  <c r="CK142" i="4"/>
  <c r="CL142" i="4"/>
  <c r="CN377" i="4"/>
  <c r="CM377" i="4"/>
  <c r="CK737" i="4"/>
  <c r="CL737" i="4"/>
  <c r="CL586" i="4"/>
  <c r="CK586" i="4"/>
  <c r="CM110" i="4"/>
  <c r="CN110" i="4"/>
  <c r="CR111" i="4"/>
  <c r="CS111" i="4"/>
  <c r="CR611" i="4"/>
  <c r="CS611" i="4"/>
  <c r="CU1053" i="4"/>
  <c r="CT1053" i="4"/>
  <c r="CK440" i="4"/>
  <c r="CL440" i="4"/>
  <c r="CS184" i="4"/>
  <c r="CR184" i="4"/>
  <c r="CU185" i="4"/>
  <c r="CT185" i="4"/>
  <c r="CT913" i="4"/>
  <c r="CU913" i="4"/>
  <c r="CT127" i="4"/>
  <c r="CU127" i="4"/>
  <c r="CR129" i="4"/>
  <c r="CS129" i="4"/>
  <c r="CT760" i="4"/>
  <c r="CU760" i="4"/>
  <c r="CT762" i="4"/>
  <c r="CU762" i="4"/>
  <c r="CM861" i="4"/>
  <c r="CN861" i="4"/>
  <c r="CL216" i="4"/>
  <c r="CK216" i="4"/>
  <c r="CK283" i="4"/>
  <c r="CL283" i="4"/>
  <c r="CK1259" i="4"/>
  <c r="CL1259" i="4"/>
  <c r="CS255" i="4"/>
  <c r="CR255" i="4"/>
  <c r="CM296" i="4"/>
  <c r="CN296" i="4"/>
  <c r="CM584" i="4"/>
  <c r="CN584" i="4"/>
  <c r="CT113" i="4"/>
  <c r="CU113" i="4"/>
  <c r="CK951" i="4"/>
  <c r="CL951" i="4"/>
  <c r="CK446" i="4"/>
  <c r="CL446" i="4"/>
  <c r="CT446" i="4"/>
  <c r="CU446" i="4"/>
  <c r="CL751" i="4"/>
  <c r="CK751" i="4"/>
  <c r="CR1379" i="4"/>
  <c r="CS1379" i="4"/>
  <c r="CM719" i="4"/>
  <c r="CN719" i="4"/>
  <c r="CR320" i="4"/>
  <c r="CS320" i="4"/>
  <c r="CM257" i="4"/>
  <c r="CN257" i="4"/>
  <c r="CM491" i="4"/>
  <c r="CN491" i="4"/>
  <c r="CS822" i="4"/>
  <c r="CR822" i="4"/>
  <c r="CK596" i="4"/>
  <c r="CL596" i="4"/>
  <c r="CT287" i="4"/>
  <c r="CU287" i="4"/>
  <c r="CM322" i="4"/>
  <c r="CN322" i="4"/>
  <c r="CM249" i="4"/>
  <c r="CN249" i="4"/>
  <c r="CM842" i="4"/>
  <c r="CN842" i="4"/>
  <c r="CN1331" i="4"/>
  <c r="CM1331" i="4"/>
  <c r="CR495" i="4"/>
  <c r="CS495" i="4"/>
  <c r="CR76" i="4"/>
  <c r="CS76" i="4"/>
  <c r="CK848" i="4"/>
  <c r="CL848" i="4"/>
  <c r="CT848" i="4"/>
  <c r="CU848" i="4"/>
  <c r="CM946" i="4"/>
  <c r="CN946" i="4"/>
  <c r="CT946" i="4"/>
  <c r="CU946" i="4"/>
  <c r="CL882" i="4"/>
  <c r="CK882" i="4"/>
  <c r="CR882" i="4"/>
  <c r="CS882" i="4"/>
  <c r="CN545" i="4"/>
  <c r="CM545" i="4"/>
  <c r="CT546" i="4"/>
  <c r="CU546" i="4"/>
  <c r="CM1276" i="4"/>
  <c r="CN1276" i="4"/>
  <c r="CR1165" i="4"/>
  <c r="CS1165" i="4"/>
  <c r="CR1167" i="4"/>
  <c r="CS1167" i="4"/>
  <c r="CK343" i="4"/>
  <c r="CL343" i="4"/>
  <c r="CT344" i="4"/>
  <c r="CU344" i="4"/>
  <c r="CL138" i="4"/>
  <c r="CK138" i="4"/>
  <c r="CT1280" i="4"/>
  <c r="CU1280" i="4"/>
  <c r="CM1344" i="4"/>
  <c r="CN1344" i="4"/>
  <c r="CM1088" i="4"/>
  <c r="CN1088" i="4"/>
  <c r="CM698" i="4"/>
  <c r="CN698" i="4"/>
  <c r="CR697" i="4"/>
  <c r="CS697" i="4"/>
  <c r="CT699" i="4"/>
  <c r="CU699" i="4"/>
  <c r="CM818" i="4"/>
  <c r="CN818" i="4"/>
  <c r="CM558" i="4"/>
  <c r="CN558" i="4"/>
  <c r="CT1023" i="4"/>
  <c r="CU1023" i="4"/>
  <c r="CT1409" i="4"/>
  <c r="CU1409" i="4"/>
  <c r="CN250" i="4"/>
  <c r="CM250" i="4"/>
  <c r="CR1203" i="4"/>
  <c r="CS1203" i="4"/>
  <c r="CR1335" i="4"/>
  <c r="CS1335" i="4"/>
  <c r="CT1440" i="4"/>
  <c r="CU1440" i="4"/>
  <c r="CK370" i="4"/>
  <c r="CL370" i="4"/>
  <c r="CT371" i="4"/>
  <c r="CU371" i="4"/>
  <c r="CK487" i="4"/>
  <c r="CL487" i="4"/>
  <c r="CK488" i="4"/>
  <c r="CL488" i="4"/>
  <c r="CU489" i="4"/>
  <c r="CT489" i="4"/>
  <c r="CU1351" i="4"/>
  <c r="CT1351" i="4"/>
  <c r="CT68" i="4"/>
  <c r="CU68" i="4"/>
  <c r="CT850" i="4"/>
  <c r="CU850" i="4"/>
  <c r="CK954" i="4"/>
  <c r="CL954" i="4"/>
  <c r="CR276" i="4"/>
  <c r="CS276" i="4"/>
  <c r="CK538" i="4"/>
  <c r="CL538" i="4"/>
  <c r="CR538" i="4"/>
  <c r="CS538" i="4"/>
  <c r="CM1272" i="4"/>
  <c r="CN1272" i="4"/>
  <c r="CT1271" i="4"/>
  <c r="CU1271" i="4"/>
  <c r="CR1169" i="4"/>
  <c r="CS1169" i="4"/>
  <c r="CR361" i="4"/>
  <c r="CS361" i="4"/>
  <c r="CM619" i="4"/>
  <c r="CN619" i="4"/>
  <c r="CM417" i="4"/>
  <c r="CN417" i="4"/>
  <c r="CT1091" i="4"/>
  <c r="CU1091" i="4"/>
  <c r="CK811" i="4"/>
  <c r="CL811" i="4"/>
  <c r="CT1268" i="4"/>
  <c r="CU1268" i="4"/>
  <c r="CT1097" i="4"/>
  <c r="CU1097" i="4"/>
  <c r="CN116" i="4"/>
  <c r="CM116" i="4"/>
  <c r="CT1040" i="4"/>
  <c r="CU1040" i="4"/>
  <c r="CS833" i="4"/>
  <c r="CR833" i="4"/>
  <c r="CN1109" i="4"/>
  <c r="CM1109" i="4"/>
  <c r="CR356" i="4"/>
  <c r="CS356" i="4"/>
  <c r="CS627" i="4"/>
  <c r="CR627" i="4"/>
  <c r="CU626" i="4"/>
  <c r="CT626" i="4"/>
  <c r="CR230" i="4"/>
  <c r="CS230" i="4"/>
  <c r="CN961" i="4"/>
  <c r="CM961" i="4"/>
  <c r="CU963" i="4"/>
  <c r="CT963" i="4"/>
  <c r="CK238" i="4"/>
  <c r="CL238" i="4"/>
  <c r="CT239" i="4"/>
  <c r="CU239" i="4"/>
  <c r="CR1307" i="4"/>
  <c r="CS1307" i="4"/>
  <c r="CN807" i="4"/>
  <c r="CM807" i="4"/>
  <c r="CT468" i="4"/>
  <c r="CU468" i="4"/>
  <c r="CM1284" i="4"/>
  <c r="CN1284" i="4"/>
  <c r="CK237" i="4"/>
  <c r="CL237" i="4"/>
  <c r="CM1437" i="4"/>
  <c r="CN1437" i="4"/>
  <c r="CT591" i="4"/>
  <c r="CU591" i="4"/>
  <c r="CT1071" i="4"/>
  <c r="CU1071" i="4"/>
  <c r="CK786" i="4"/>
  <c r="CL786" i="4"/>
  <c r="CT784" i="4"/>
  <c r="CU784" i="4"/>
  <c r="CM575" i="4"/>
  <c r="CN575" i="4"/>
  <c r="CK342" i="4"/>
  <c r="CL342" i="4"/>
  <c r="CS342" i="4"/>
  <c r="CR342" i="4"/>
  <c r="CT563" i="4"/>
  <c r="CU563" i="4"/>
  <c r="CM690" i="4"/>
  <c r="CN690" i="4"/>
  <c r="CK835" i="4"/>
  <c r="CL835" i="4"/>
  <c r="CU310" i="4"/>
  <c r="CT310" i="4"/>
  <c r="CS482" i="4"/>
  <c r="CR482" i="4"/>
  <c r="CM997" i="4"/>
  <c r="CN997" i="4"/>
  <c r="CK1247" i="4"/>
  <c r="CL1247" i="4"/>
  <c r="CS1248" i="4"/>
  <c r="CR1248" i="4"/>
  <c r="CL121" i="4"/>
  <c r="CK121" i="4"/>
  <c r="CN1172" i="4"/>
  <c r="CM1172" i="4"/>
  <c r="CT1172" i="4"/>
  <c r="CU1172" i="4"/>
  <c r="CK1153" i="4"/>
  <c r="CL1153" i="4"/>
  <c r="CM766" i="4"/>
  <c r="CN766" i="4"/>
  <c r="CU825" i="4"/>
  <c r="CT825" i="4"/>
  <c r="CN266" i="4"/>
  <c r="CM266" i="4"/>
  <c r="CT1229" i="4"/>
  <c r="CU1229" i="4"/>
  <c r="CT966" i="4"/>
  <c r="CU966" i="4"/>
  <c r="CK393" i="4"/>
  <c r="CL393" i="4"/>
  <c r="CL978" i="4"/>
  <c r="CK978" i="4"/>
  <c r="CU976" i="4"/>
  <c r="CT976" i="4"/>
  <c r="CU978" i="4"/>
  <c r="CT978" i="4"/>
  <c r="CN1299" i="4"/>
  <c r="CM1299" i="4"/>
  <c r="CU838" i="4"/>
  <c r="CT838" i="4"/>
  <c r="CT484" i="4"/>
  <c r="CU484" i="4"/>
  <c r="CK649" i="4"/>
  <c r="CL649" i="4"/>
  <c r="CK1123" i="4"/>
  <c r="CL1123" i="4"/>
  <c r="CL1254" i="4"/>
  <c r="CK1254" i="4"/>
  <c r="CM119" i="4"/>
  <c r="CN119" i="4"/>
  <c r="CS61" i="4"/>
  <c r="CR61" i="4"/>
  <c r="CK19" i="4"/>
  <c r="CL19" i="4"/>
  <c r="CM773" i="4"/>
  <c r="CN773" i="4"/>
  <c r="CT772" i="4"/>
  <c r="CU772" i="4"/>
  <c r="CT827" i="4"/>
  <c r="CU827" i="4"/>
  <c r="CK1107" i="4"/>
  <c r="CL1107" i="4"/>
  <c r="CK261" i="4"/>
  <c r="CL261" i="4"/>
  <c r="CM46" i="4"/>
  <c r="CN46" i="4"/>
  <c r="CR46" i="4"/>
  <c r="CS46" i="4"/>
  <c r="CU47" i="4"/>
  <c r="CT47" i="4"/>
  <c r="CT980" i="4"/>
  <c r="CU980" i="4"/>
  <c r="CR1263" i="4"/>
  <c r="CS1263" i="4"/>
  <c r="CR1339" i="4"/>
  <c r="CS1339" i="4"/>
  <c r="CR551" i="4"/>
  <c r="CS551" i="4"/>
  <c r="CM783" i="4"/>
  <c r="CN783" i="4"/>
  <c r="CS783" i="4"/>
  <c r="CR783" i="4"/>
  <c r="CR526" i="4"/>
  <c r="CS526" i="4"/>
  <c r="CR1414" i="4"/>
  <c r="CS1414" i="4"/>
  <c r="CT681" i="4"/>
  <c r="CU681" i="4"/>
  <c r="CL480" i="4"/>
  <c r="CK480" i="4"/>
  <c r="CN1127" i="4"/>
  <c r="CM1127" i="4"/>
  <c r="CM79" i="4"/>
  <c r="CN79" i="4"/>
  <c r="CS81" i="4"/>
  <c r="CR81" i="4"/>
  <c r="CR125" i="4"/>
  <c r="CS125" i="4"/>
  <c r="CM856" i="4"/>
  <c r="CN856" i="4"/>
  <c r="CT858" i="4"/>
  <c r="CU858" i="4"/>
  <c r="CS202" i="4"/>
  <c r="CR202" i="4"/>
  <c r="CU203" i="4"/>
  <c r="CT203" i="4"/>
  <c r="CL24" i="4"/>
  <c r="CK24" i="4"/>
  <c r="CM764" i="4"/>
  <c r="CN764" i="4"/>
  <c r="CL1103" i="4"/>
  <c r="CK1103" i="4"/>
  <c r="CM1209" i="4"/>
  <c r="CN1209" i="4"/>
  <c r="CN1120" i="4"/>
  <c r="CM1120" i="4"/>
  <c r="CS1121" i="4"/>
  <c r="CR1121" i="4"/>
  <c r="CN101" i="4"/>
  <c r="CM101" i="4"/>
  <c r="CT100" i="4"/>
  <c r="CU100" i="4"/>
  <c r="CR1007" i="4"/>
  <c r="CS1007" i="4"/>
  <c r="CK45" i="4"/>
  <c r="CL45" i="4"/>
  <c r="CK474" i="4"/>
  <c r="CL474" i="4"/>
  <c r="CT522" i="4"/>
  <c r="CU522" i="4"/>
  <c r="CS522" i="4"/>
  <c r="CR522" i="4"/>
  <c r="CK777" i="4"/>
  <c r="CL777" i="4"/>
  <c r="CR531" i="4"/>
  <c r="CS531" i="4"/>
  <c r="CL1293" i="4"/>
  <c r="CK1293" i="4"/>
  <c r="CR1293" i="4"/>
  <c r="CS1293" i="4"/>
  <c r="CR1420" i="4"/>
  <c r="CS1420" i="4"/>
  <c r="CR559" i="4"/>
  <c r="CS559" i="4"/>
  <c r="CK1083" i="4"/>
  <c r="CL1083" i="4"/>
  <c r="CU1081" i="4"/>
  <c r="CT1081" i="4"/>
  <c r="CS153" i="4"/>
  <c r="CR153" i="4"/>
  <c r="CK451" i="4"/>
  <c r="CL451" i="4"/>
  <c r="CK82" i="4"/>
  <c r="CL82" i="4"/>
  <c r="CK1243" i="4"/>
  <c r="CL1243" i="4"/>
  <c r="CT1315" i="4"/>
  <c r="CU1315" i="4"/>
  <c r="CL200" i="4"/>
  <c r="CK200" i="4"/>
  <c r="CU31" i="4"/>
  <c r="CT31" i="4"/>
  <c r="CS29" i="4"/>
  <c r="CR29" i="4"/>
  <c r="CK770" i="4"/>
  <c r="CL770" i="4"/>
  <c r="CK1394" i="4"/>
  <c r="CL1394" i="4"/>
  <c r="CN1116" i="4"/>
  <c r="CM1116" i="4"/>
  <c r="CT1116" i="4"/>
  <c r="CU1116" i="4"/>
  <c r="CN93" i="4"/>
  <c r="CM93" i="4"/>
  <c r="CM1009" i="4"/>
  <c r="CN1009" i="4"/>
  <c r="CR1009" i="4"/>
  <c r="CS1009" i="4"/>
  <c r="CN53" i="4"/>
  <c r="CM53" i="4"/>
  <c r="CK464" i="4"/>
  <c r="CL464" i="4"/>
  <c r="CR932" i="4"/>
  <c r="CS932" i="4"/>
  <c r="CK666" i="4"/>
  <c r="CL666" i="4"/>
  <c r="CK168" i="4"/>
  <c r="CL168" i="4"/>
  <c r="CS642" i="4"/>
  <c r="CR642" i="4"/>
  <c r="CT1085" i="4"/>
  <c r="CU1085" i="4"/>
  <c r="CT404" i="4"/>
  <c r="CU404" i="4"/>
  <c r="CT85" i="4"/>
  <c r="CU85" i="4"/>
  <c r="CM35" i="4"/>
  <c r="CN35" i="4"/>
  <c r="CT36" i="4"/>
  <c r="CU36" i="4"/>
  <c r="CT26" i="4"/>
  <c r="CU26" i="4"/>
  <c r="CM1424" i="4"/>
  <c r="CN1424" i="4"/>
  <c r="CM1237" i="4"/>
  <c r="CN1237" i="4"/>
  <c r="CR1237" i="4"/>
  <c r="CS1237" i="4"/>
  <c r="CK1186" i="4"/>
  <c r="CL1186" i="4"/>
  <c r="CN1188" i="4"/>
  <c r="CM1188" i="4"/>
  <c r="CS98" i="4"/>
  <c r="CR98" i="4"/>
  <c r="CK1014" i="4"/>
  <c r="CL1014" i="4"/>
  <c r="CK51" i="4"/>
  <c r="CL51" i="4"/>
  <c r="CM632" i="4"/>
  <c r="CN632" i="4"/>
  <c r="CR631" i="4"/>
  <c r="CS631" i="4"/>
  <c r="CR431" i="4"/>
  <c r="CS431" i="4"/>
  <c r="CT146" i="4"/>
  <c r="CU146" i="4"/>
  <c r="CM618" i="4"/>
  <c r="CN618" i="4"/>
  <c r="CK390" i="4"/>
  <c r="CL390" i="4"/>
  <c r="CT388" i="4"/>
  <c r="CU388" i="4"/>
  <c r="CM1152" i="4"/>
  <c r="CN1152" i="4"/>
  <c r="CT971" i="4"/>
  <c r="CU971" i="4"/>
  <c r="CM178" i="4"/>
  <c r="CN178" i="4"/>
  <c r="CU178" i="4"/>
  <c r="CT178" i="4"/>
  <c r="CT909" i="4"/>
  <c r="CU909" i="4"/>
  <c r="CT511" i="4"/>
  <c r="CU511" i="4"/>
  <c r="CM1161" i="4"/>
  <c r="CN1161" i="4"/>
  <c r="CS1161" i="4"/>
  <c r="CR1161" i="4"/>
  <c r="CU794" i="4"/>
  <c r="CT794" i="4"/>
  <c r="CT399" i="4"/>
  <c r="CU399" i="4"/>
  <c r="CM1302" i="4"/>
  <c r="CN1302" i="4"/>
  <c r="CR1302" i="4"/>
  <c r="CS1302" i="4"/>
  <c r="CS634" i="4"/>
  <c r="CR634" i="4"/>
  <c r="CK414" i="4"/>
  <c r="CL414" i="4"/>
  <c r="CS413" i="4"/>
  <c r="CR413" i="4"/>
  <c r="CM427" i="4"/>
  <c r="CN427" i="4"/>
  <c r="CM149" i="4"/>
  <c r="CN149" i="4"/>
  <c r="CT1140" i="4"/>
  <c r="CU1140" i="4"/>
  <c r="CN455" i="4"/>
  <c r="CM455" i="4"/>
  <c r="CK607" i="4"/>
  <c r="CL607" i="4"/>
  <c r="CK609" i="4"/>
  <c r="CL609" i="4"/>
  <c r="CR609" i="4"/>
  <c r="CS609" i="4"/>
  <c r="CN209" i="4"/>
  <c r="CM209" i="4"/>
  <c r="CT208" i="4"/>
  <c r="CU208" i="4"/>
  <c r="CT210" i="4"/>
  <c r="CU210" i="4"/>
  <c r="CR1148" i="4"/>
  <c r="CS1148" i="4"/>
  <c r="CM39" i="4"/>
  <c r="CN39" i="4"/>
  <c r="CS916" i="4"/>
  <c r="CR916" i="4"/>
  <c r="CL1242" i="4"/>
  <c r="CK1242" i="4"/>
  <c r="CT1241" i="4"/>
  <c r="CU1241" i="4"/>
  <c r="CL1396" i="4"/>
  <c r="CK1396" i="4"/>
  <c r="CK1193" i="4"/>
  <c r="CL1193" i="4"/>
  <c r="CS1193" i="4"/>
  <c r="CR1193" i="4"/>
  <c r="CK924" i="4"/>
  <c r="CL924" i="4"/>
  <c r="CT924" i="4"/>
  <c r="CU924" i="4"/>
  <c r="CK936" i="4"/>
  <c r="CL936" i="4"/>
  <c r="CN219" i="4"/>
  <c r="CM219" i="4"/>
  <c r="CR704" i="4"/>
  <c r="CS704" i="4"/>
  <c r="CR1233" i="4"/>
  <c r="CS1233" i="4"/>
  <c r="CM733" i="4"/>
  <c r="CN733" i="4"/>
  <c r="CR969" i="4"/>
  <c r="CS969" i="4"/>
  <c r="CU1068" i="4"/>
  <c r="CT1068" i="4"/>
  <c r="CM1345" i="4"/>
  <c r="CN1345" i="4"/>
  <c r="CL221" i="4"/>
  <c r="CK221" i="4"/>
  <c r="CL291" i="4"/>
  <c r="CK291" i="4"/>
  <c r="CM1028" i="4"/>
  <c r="CN1028" i="4"/>
  <c r="CR1029" i="4"/>
  <c r="CS1029" i="4"/>
  <c r="CU730" i="4"/>
  <c r="CT730" i="4"/>
  <c r="CK354" i="4"/>
  <c r="CL354" i="4"/>
  <c r="CR352" i="4"/>
  <c r="CS352" i="4"/>
  <c r="CK866" i="4"/>
  <c r="CL866" i="4"/>
  <c r="CK524" i="4"/>
  <c r="CL524" i="4"/>
  <c r="CS525" i="4"/>
  <c r="CR525" i="4"/>
  <c r="CN714" i="4"/>
  <c r="CM714" i="4"/>
  <c r="CU712" i="4"/>
  <c r="CT712" i="4"/>
  <c r="CR714" i="4"/>
  <c r="CS714" i="4"/>
  <c r="CM638" i="4"/>
  <c r="CN638" i="4"/>
  <c r="CR638" i="4"/>
  <c r="CS638" i="4"/>
  <c r="CT305" i="4"/>
  <c r="CU305" i="4"/>
  <c r="CR886" i="4"/>
  <c r="CS886" i="4"/>
  <c r="CM1142" i="4"/>
  <c r="CN1142" i="4"/>
  <c r="CR1142" i="4"/>
  <c r="CS1142" i="4"/>
  <c r="CR103" i="4"/>
  <c r="CS103" i="4"/>
  <c r="CM614" i="4"/>
  <c r="CN614" i="4"/>
  <c r="CM1057" i="4"/>
  <c r="CN1057" i="4"/>
  <c r="CK1059" i="4"/>
  <c r="CL1059" i="4"/>
  <c r="CR1057" i="4"/>
  <c r="CS1057" i="4"/>
  <c r="CK385" i="4"/>
  <c r="CL385" i="4"/>
  <c r="CK387" i="4"/>
  <c r="CL387" i="4"/>
  <c r="CR387" i="4"/>
  <c r="CS387" i="4"/>
  <c r="CM175" i="4"/>
  <c r="CN175" i="4"/>
  <c r="CU176" i="4"/>
  <c r="CT176" i="4"/>
  <c r="CR1234" i="4"/>
  <c r="CS1234" i="4"/>
  <c r="CL1390" i="4"/>
  <c r="CK1390" i="4"/>
  <c r="CT1390" i="4"/>
  <c r="CU1390" i="4"/>
  <c r="CR1191" i="4"/>
  <c r="CS1191" i="4"/>
  <c r="CK926" i="4"/>
  <c r="CL926" i="4"/>
  <c r="CS517" i="4"/>
  <c r="CR517" i="4"/>
  <c r="CN8" i="4"/>
  <c r="CM8" i="4"/>
  <c r="CS9" i="4"/>
  <c r="CR9" i="4"/>
  <c r="CK892" i="4"/>
  <c r="CL892" i="4"/>
  <c r="CM921" i="4"/>
  <c r="CN921" i="4"/>
  <c r="CM10" i="4"/>
  <c r="CN10" i="4"/>
  <c r="CS10" i="4"/>
  <c r="CR10" i="4"/>
  <c r="CK708" i="4"/>
  <c r="CL708" i="4"/>
  <c r="CN746" i="4"/>
  <c r="CM746" i="4"/>
  <c r="CK302" i="4"/>
  <c r="CL302" i="4"/>
  <c r="CU302" i="4"/>
  <c r="CT302" i="4"/>
  <c r="CT1443" i="4"/>
  <c r="CU1443" i="4"/>
  <c r="CN738" i="4"/>
  <c r="CM738" i="4"/>
  <c r="CK75" i="4"/>
  <c r="CL75" i="4"/>
  <c r="CT74" i="4"/>
  <c r="CU74" i="4"/>
  <c r="CK1051" i="4"/>
  <c r="CL1051" i="4"/>
  <c r="CS441" i="4"/>
  <c r="CR441" i="4"/>
  <c r="CT973" i="4"/>
  <c r="CU973" i="4"/>
  <c r="CM913" i="4"/>
  <c r="CN913" i="4"/>
  <c r="CK915" i="4"/>
  <c r="CL915" i="4"/>
  <c r="CN129" i="4"/>
  <c r="CM129" i="4"/>
  <c r="CK1072" i="4"/>
  <c r="CL1072" i="4"/>
  <c r="CR1072" i="4"/>
  <c r="CS1072" i="4"/>
  <c r="CN1348" i="4"/>
  <c r="CM1348" i="4"/>
  <c r="CM895" i="4"/>
  <c r="CN895" i="4"/>
  <c r="CL1377" i="4"/>
  <c r="CK1377" i="4"/>
  <c r="CM929" i="4"/>
  <c r="CN929" i="4"/>
  <c r="CU554" i="4"/>
  <c r="CT554" i="4"/>
  <c r="CR283" i="4"/>
  <c r="CS283" i="4"/>
  <c r="CM1258" i="4"/>
  <c r="CN1258" i="4"/>
  <c r="CN742" i="4"/>
  <c r="CM742" i="4"/>
  <c r="CS743" i="4"/>
  <c r="CR743" i="4"/>
  <c r="CR1034" i="4"/>
  <c r="CS1034" i="4"/>
  <c r="CR297" i="4"/>
  <c r="CS297" i="4"/>
  <c r="CS951" i="4"/>
  <c r="CR951" i="4"/>
  <c r="CN752" i="4"/>
  <c r="CM752" i="4"/>
  <c r="CR816" i="4"/>
  <c r="CS816" i="4"/>
  <c r="CN720" i="4"/>
  <c r="CM720" i="4"/>
  <c r="CR720" i="4"/>
  <c r="CS720" i="4"/>
  <c r="CK319" i="4"/>
  <c r="CL319" i="4"/>
  <c r="CU320" i="4"/>
  <c r="CT320" i="4"/>
  <c r="CM668" i="4"/>
  <c r="CN668" i="4"/>
  <c r="CK448" i="4"/>
  <c r="CL448" i="4"/>
  <c r="CL820" i="4"/>
  <c r="CK820" i="4"/>
  <c r="CL597" i="4"/>
  <c r="CK597" i="4"/>
  <c r="CU596" i="4"/>
  <c r="CT596" i="4"/>
  <c r="CR597" i="4"/>
  <c r="CS597" i="4"/>
  <c r="CT288" i="4"/>
  <c r="CU288" i="4"/>
  <c r="CM1400" i="4"/>
  <c r="CN1400" i="4"/>
  <c r="CR1401" i="4"/>
  <c r="CS1401" i="4"/>
  <c r="CT324" i="4"/>
  <c r="CU324" i="4"/>
  <c r="CM248" i="4"/>
  <c r="CN248" i="4"/>
  <c r="CK842" i="4"/>
  <c r="CL842" i="4"/>
  <c r="CT1332" i="4"/>
  <c r="CU1332" i="4"/>
  <c r="CM727" i="4"/>
  <c r="CN727" i="4"/>
  <c r="CM847" i="4"/>
  <c r="CN847" i="4"/>
  <c r="CM881" i="4"/>
  <c r="CN881" i="4"/>
  <c r="CR880" i="4"/>
  <c r="CS880" i="4"/>
  <c r="CT882" i="4"/>
  <c r="CU882" i="4"/>
  <c r="CL546" i="4"/>
  <c r="CK546" i="4"/>
  <c r="CT544" i="4"/>
  <c r="CU544" i="4"/>
  <c r="CK1167" i="4"/>
  <c r="CL1167" i="4"/>
  <c r="CM344" i="4"/>
  <c r="CN344" i="4"/>
  <c r="CM1280" i="4"/>
  <c r="CN1280" i="4"/>
  <c r="CK1089" i="4"/>
  <c r="CL1089" i="4"/>
  <c r="CT698" i="4"/>
  <c r="CU698" i="4"/>
  <c r="CL251" i="4"/>
  <c r="CK251" i="4"/>
  <c r="CS252" i="4"/>
  <c r="CR252" i="4"/>
  <c r="CT1203" i="4"/>
  <c r="CU1203" i="4"/>
  <c r="CN1335" i="4"/>
  <c r="CM1335" i="4"/>
  <c r="CM1438" i="4"/>
  <c r="CN1438" i="4"/>
  <c r="CK489" i="4"/>
  <c r="CL489" i="4"/>
  <c r="CK1351" i="4"/>
  <c r="CL1351" i="4"/>
  <c r="CL69" i="4"/>
  <c r="CK69" i="4"/>
  <c r="CR68" i="4"/>
  <c r="CS68" i="4"/>
  <c r="CR851" i="4"/>
  <c r="CS851" i="4"/>
  <c r="CL952" i="4"/>
  <c r="CK952" i="4"/>
  <c r="CS540" i="4"/>
  <c r="CR540" i="4"/>
  <c r="CM1169" i="4"/>
  <c r="CN1169" i="4"/>
  <c r="CT1169" i="4"/>
  <c r="CU1169" i="4"/>
  <c r="CR362" i="4"/>
  <c r="CS362" i="4"/>
  <c r="CK1091" i="4"/>
  <c r="CL1091" i="4"/>
  <c r="CT1090" i="4"/>
  <c r="CU1090" i="4"/>
  <c r="CR813" i="4"/>
  <c r="CS813" i="4"/>
  <c r="CK1269" i="4"/>
  <c r="CL1269" i="4"/>
  <c r="CK28" i="4"/>
  <c r="CL28" i="4"/>
  <c r="CM1328" i="4"/>
  <c r="CN1328" i="4"/>
  <c r="CR1046" i="4"/>
  <c r="CS1046" i="4"/>
  <c r="CK1162" i="4"/>
  <c r="CL1162" i="4"/>
  <c r="CM225" i="4"/>
  <c r="CN225" i="4"/>
  <c r="CR957" i="4"/>
  <c r="CS957" i="4"/>
  <c r="CM985" i="4"/>
  <c r="CN985" i="4"/>
  <c r="CT985" i="4"/>
  <c r="CU985" i="4"/>
  <c r="CK1305" i="4"/>
  <c r="CL1305" i="4"/>
  <c r="CR1309" i="4"/>
  <c r="CS1309" i="4"/>
  <c r="CR1026" i="4"/>
  <c r="CS1026" i="4"/>
  <c r="CK1406" i="4"/>
  <c r="CL1406" i="4"/>
  <c r="CK309" i="4"/>
  <c r="CL309" i="4"/>
  <c r="CR308" i="4"/>
  <c r="CS308" i="4"/>
  <c r="CU1206" i="4"/>
  <c r="CT1206" i="4"/>
  <c r="CR993" i="4"/>
  <c r="CS993" i="4"/>
  <c r="CT991" i="4"/>
  <c r="CU991" i="4"/>
  <c r="CM1356" i="4"/>
  <c r="CN1356" i="4"/>
  <c r="CM676" i="4"/>
  <c r="CN676" i="4"/>
  <c r="CU676" i="4"/>
  <c r="CT676" i="4"/>
  <c r="CM380" i="4"/>
  <c r="CN380" i="4"/>
  <c r="CR379" i="4"/>
  <c r="CS379" i="4"/>
  <c r="CK1179" i="4"/>
  <c r="CL1179" i="4"/>
  <c r="CU1044" i="4"/>
  <c r="CT1044" i="4"/>
  <c r="CK542" i="4"/>
  <c r="CL542" i="4"/>
  <c r="CT542" i="4"/>
  <c r="CU542" i="4"/>
  <c r="CK264" i="4"/>
  <c r="CL264" i="4"/>
  <c r="CN364" i="4"/>
  <c r="CM364" i="4"/>
  <c r="CR365" i="4"/>
  <c r="CS365" i="4"/>
  <c r="CT624" i="4"/>
  <c r="CU624" i="4"/>
  <c r="CM1222" i="4"/>
  <c r="CN1222" i="4"/>
  <c r="CR1223" i="4"/>
  <c r="CS1223" i="4"/>
  <c r="CK424" i="4"/>
  <c r="CL424" i="4"/>
  <c r="CM1097" i="4"/>
  <c r="CN1097" i="4"/>
  <c r="CN803" i="4"/>
  <c r="CM803" i="4"/>
  <c r="CM692" i="4"/>
  <c r="CN692" i="4"/>
  <c r="CM582" i="4"/>
  <c r="CN582" i="4"/>
  <c r="CT582" i="4"/>
  <c r="CU582" i="4"/>
  <c r="CK1294" i="4"/>
  <c r="CL1294" i="4"/>
  <c r="CM1020" i="4"/>
  <c r="CN1020" i="4"/>
  <c r="CK683" i="4"/>
  <c r="CL683" i="4"/>
  <c r="CU683" i="4"/>
  <c r="CT683" i="4"/>
  <c r="CK846" i="4"/>
  <c r="CL846" i="4"/>
  <c r="CR1199" i="4"/>
  <c r="CS1199" i="4"/>
  <c r="CM645" i="4"/>
  <c r="CN645" i="4"/>
  <c r="CR644" i="4"/>
  <c r="CS644" i="4"/>
  <c r="CN1132" i="4"/>
  <c r="CM1132" i="4"/>
  <c r="CT1132" i="4"/>
  <c r="CU1132" i="4"/>
  <c r="CL1357" i="4"/>
  <c r="CK1357" i="4"/>
  <c r="CM117" i="4"/>
  <c r="CN117" i="4"/>
  <c r="CU117" i="4"/>
  <c r="CT117" i="4"/>
  <c r="CN64" i="4"/>
  <c r="CM64" i="4"/>
  <c r="CM1174" i="4"/>
  <c r="CN1174" i="4"/>
  <c r="CT1157" i="4"/>
  <c r="CU1157" i="4"/>
  <c r="CL279" i="4"/>
  <c r="CK279" i="4"/>
  <c r="CM833" i="4"/>
  <c r="CN833" i="4"/>
  <c r="CT833" i="4"/>
  <c r="CU833" i="4"/>
  <c r="CN269" i="4"/>
  <c r="CM269" i="4"/>
  <c r="CM627" i="4"/>
  <c r="CN627" i="4"/>
  <c r="CN231" i="4"/>
  <c r="CM231" i="4"/>
  <c r="CT230" i="4"/>
  <c r="CU230" i="4"/>
  <c r="CR963" i="4"/>
  <c r="CS963" i="4"/>
  <c r="CR961" i="4"/>
  <c r="CS961" i="4"/>
  <c r="CK984" i="4"/>
  <c r="CL984" i="4"/>
  <c r="CK1308" i="4"/>
  <c r="CL1308" i="4"/>
  <c r="CT1307" i="4"/>
  <c r="CU1307" i="4"/>
  <c r="CK468" i="4"/>
  <c r="CL468" i="4"/>
  <c r="CK988" i="4"/>
  <c r="CL988" i="4"/>
  <c r="CM183" i="4"/>
  <c r="CN183" i="4"/>
  <c r="CL870" i="4"/>
  <c r="CK870" i="4"/>
  <c r="CM236" i="4"/>
  <c r="CN236" i="4"/>
  <c r="CK548" i="4"/>
  <c r="CL548" i="4"/>
  <c r="CM740" i="4"/>
  <c r="CN740" i="4"/>
  <c r="CT1435" i="4"/>
  <c r="CU1435" i="4"/>
  <c r="CR590" i="4"/>
  <c r="CS590" i="4"/>
  <c r="CT871" i="4"/>
  <c r="CU871" i="4"/>
  <c r="CS755" i="4"/>
  <c r="CR755" i="4"/>
  <c r="CL562" i="4"/>
  <c r="CK562" i="4"/>
  <c r="CR564" i="4"/>
  <c r="CS564" i="4"/>
  <c r="CU688" i="4"/>
  <c r="CT688" i="4"/>
  <c r="CM835" i="4"/>
  <c r="CN835" i="4"/>
  <c r="CT482" i="4"/>
  <c r="CU482" i="4"/>
  <c r="CK382" i="4"/>
  <c r="CL382" i="4"/>
  <c r="CT384" i="4"/>
  <c r="CU384" i="4"/>
  <c r="CM1171" i="4"/>
  <c r="CN1171" i="4"/>
  <c r="CL1050" i="4"/>
  <c r="CK1050" i="4"/>
  <c r="CU1048" i="4"/>
  <c r="CT1048" i="4"/>
  <c r="CN1153" i="4"/>
  <c r="CM1153" i="4"/>
  <c r="CS1154" i="4"/>
  <c r="CR1154" i="4"/>
  <c r="CM768" i="4"/>
  <c r="CN768" i="4"/>
  <c r="CR1099" i="4"/>
  <c r="CS1099" i="4"/>
  <c r="CM267" i="4"/>
  <c r="CN267" i="4"/>
  <c r="CM1230" i="4"/>
  <c r="CN1230" i="4"/>
  <c r="CT964" i="4"/>
  <c r="CU964" i="4"/>
  <c r="CT965" i="4"/>
  <c r="CU965" i="4"/>
  <c r="CN393" i="4"/>
  <c r="CM393" i="4"/>
  <c r="CT391" i="4"/>
  <c r="CU391" i="4"/>
  <c r="CM778" i="4"/>
  <c r="CN778" i="4"/>
  <c r="CR779" i="4"/>
  <c r="CS779" i="4"/>
  <c r="CM1369" i="4"/>
  <c r="CN1369" i="4"/>
  <c r="CS1369" i="4"/>
  <c r="CR1369" i="4"/>
  <c r="CK1299" i="4"/>
  <c r="CL1299" i="4"/>
  <c r="CS570" i="4"/>
  <c r="CR570" i="4"/>
  <c r="CM686" i="4"/>
  <c r="CN686" i="4"/>
  <c r="CK838" i="4"/>
  <c r="CL838" i="4"/>
  <c r="CR839" i="4"/>
  <c r="CS839" i="4"/>
  <c r="CN155" i="4"/>
  <c r="CM155" i="4"/>
  <c r="CR485" i="4"/>
  <c r="CS485" i="4"/>
  <c r="CM651" i="4"/>
  <c r="CN651" i="4"/>
  <c r="CR649" i="4"/>
  <c r="CS649" i="4"/>
  <c r="CN1124" i="4"/>
  <c r="CM1124" i="4"/>
  <c r="CU190" i="4"/>
  <c r="CT190" i="4"/>
  <c r="CS1146" i="4"/>
  <c r="CR1146" i="4"/>
  <c r="CT1146" i="4"/>
  <c r="CU1146" i="4"/>
  <c r="CK119" i="4"/>
  <c r="CL119" i="4"/>
  <c r="CT61" i="4"/>
  <c r="CU61" i="4"/>
  <c r="CR1105" i="4"/>
  <c r="CS1105" i="4"/>
  <c r="CR261" i="4"/>
  <c r="CS261" i="4"/>
  <c r="CK47" i="4"/>
  <c r="CL47" i="4"/>
  <c r="CN471" i="4"/>
  <c r="CM471" i="4"/>
  <c r="CK979" i="4"/>
  <c r="CL979" i="4"/>
  <c r="CN1263" i="4"/>
  <c r="CM1263" i="4"/>
  <c r="CR130" i="4"/>
  <c r="CS130" i="4"/>
  <c r="CS1287" i="4"/>
  <c r="CR1287" i="4"/>
  <c r="CT1339" i="4"/>
  <c r="CU1339" i="4"/>
  <c r="CU526" i="4"/>
  <c r="CT526" i="4"/>
  <c r="CM579" i="4"/>
  <c r="CN579" i="4"/>
  <c r="CK1414" i="4"/>
  <c r="CL1414" i="4"/>
  <c r="CU1415" i="4"/>
  <c r="CT1415" i="4"/>
  <c r="CM681" i="4"/>
  <c r="CN681" i="4"/>
  <c r="CM159" i="4"/>
  <c r="CN159" i="4"/>
  <c r="CT157" i="4"/>
  <c r="CU157" i="4"/>
  <c r="CT478" i="4"/>
  <c r="CU478" i="4"/>
  <c r="CM1126" i="4"/>
  <c r="CN1126" i="4"/>
  <c r="CR1127" i="4"/>
  <c r="CS1127" i="4"/>
  <c r="CN459" i="4"/>
  <c r="CM459" i="4"/>
  <c r="CU457" i="4"/>
  <c r="CT457" i="4"/>
  <c r="CR124" i="4"/>
  <c r="CS124" i="4"/>
  <c r="CT42" i="4"/>
  <c r="CU42" i="4"/>
  <c r="CM1102" i="4"/>
  <c r="CN1102" i="4"/>
  <c r="CT506" i="4"/>
  <c r="CU506" i="4"/>
  <c r="CN1208" i="4"/>
  <c r="CM1208" i="4"/>
  <c r="CT1121" i="4"/>
  <c r="CU1121" i="4"/>
  <c r="CN473" i="4"/>
  <c r="CM473" i="4"/>
  <c r="CR474" i="4"/>
  <c r="CS474" i="4"/>
  <c r="CR473" i="4"/>
  <c r="CS473" i="4"/>
  <c r="CM700" i="4"/>
  <c r="CN700" i="4"/>
  <c r="CM661" i="4"/>
  <c r="CN661" i="4"/>
  <c r="CL775" i="4"/>
  <c r="CK775" i="4"/>
  <c r="CT531" i="4"/>
  <c r="CU531" i="4"/>
  <c r="CK1292" i="4"/>
  <c r="CL1292" i="4"/>
  <c r="CT1293" i="4"/>
  <c r="CU1293" i="4"/>
  <c r="CT1421" i="4"/>
  <c r="CU1421" i="4"/>
  <c r="CM1082" i="4"/>
  <c r="CN1082" i="4"/>
  <c r="CL153" i="4"/>
  <c r="CK153" i="4"/>
  <c r="CU153" i="4"/>
  <c r="CT153" i="4"/>
  <c r="CM475" i="4"/>
  <c r="CN475" i="4"/>
  <c r="CK452" i="4"/>
  <c r="CL452" i="4"/>
  <c r="CK1244" i="4"/>
  <c r="CL1244" i="4"/>
  <c r="CU1245" i="4"/>
  <c r="CT1245" i="4"/>
  <c r="CR28" i="4"/>
  <c r="CS28" i="4"/>
  <c r="CR30" i="4"/>
  <c r="CS30" i="4"/>
  <c r="CR770" i="4"/>
  <c r="CS770" i="4"/>
  <c r="CL500" i="4"/>
  <c r="CK500" i="4"/>
  <c r="CR1183" i="4"/>
  <c r="CS1183" i="4"/>
  <c r="CR91" i="4"/>
  <c r="CS91" i="4"/>
  <c r="CN1011" i="4"/>
  <c r="CM1011" i="4"/>
  <c r="CT1009" i="4"/>
  <c r="CU1009" i="4"/>
  <c r="CK463" i="4"/>
  <c r="CL463" i="4"/>
  <c r="CS931" i="4"/>
  <c r="CR931" i="4"/>
  <c r="CK665" i="4"/>
  <c r="CL665" i="4"/>
  <c r="CR665" i="4"/>
  <c r="CS665" i="4"/>
  <c r="CU394" i="4"/>
  <c r="CT394" i="4"/>
  <c r="CS168" i="4"/>
  <c r="CR168" i="4"/>
  <c r="CU640" i="4"/>
  <c r="CT640" i="4"/>
  <c r="CU642" i="4"/>
  <c r="CT642" i="4"/>
  <c r="CK1084" i="4"/>
  <c r="CL1084" i="4"/>
  <c r="CT1084" i="4"/>
  <c r="CU1084" i="4"/>
  <c r="CK403" i="4"/>
  <c r="CL403" i="4"/>
  <c r="CM161" i="4"/>
  <c r="CN161" i="4"/>
  <c r="CT889" i="4"/>
  <c r="CU889" i="4"/>
  <c r="CM1324" i="4"/>
  <c r="CN1324" i="4"/>
  <c r="CS1324" i="4"/>
  <c r="CR1324" i="4"/>
  <c r="CK205" i="4"/>
  <c r="CL205" i="4"/>
  <c r="CK25" i="4"/>
  <c r="CL25" i="4"/>
  <c r="CS1425" i="4"/>
  <c r="CR1425" i="4"/>
  <c r="CT1237" i="4"/>
  <c r="CU1237" i="4"/>
  <c r="CK502" i="4"/>
  <c r="CL502" i="4"/>
  <c r="CR1210" i="4"/>
  <c r="CS1210" i="4"/>
  <c r="CR1111" i="4"/>
  <c r="CS1111" i="4"/>
  <c r="CL232" i="4"/>
  <c r="CK232" i="4"/>
  <c r="CN98" i="4"/>
  <c r="CM98" i="4"/>
  <c r="CT98" i="4"/>
  <c r="CU98" i="4"/>
  <c r="CR937" i="4"/>
  <c r="CS937" i="4"/>
  <c r="CM657" i="4"/>
  <c r="CN657" i="4"/>
  <c r="CM631" i="4"/>
  <c r="CN631" i="4"/>
  <c r="CT631" i="4"/>
  <c r="CU631" i="4"/>
  <c r="CL299" i="4"/>
  <c r="CK299" i="4"/>
  <c r="CR299" i="4"/>
  <c r="CS299" i="4"/>
  <c r="CR106" i="4"/>
  <c r="CS106" i="4"/>
  <c r="CU616" i="4"/>
  <c r="CT616" i="4"/>
  <c r="CR389" i="4"/>
  <c r="CS389" i="4"/>
  <c r="CK972" i="4"/>
  <c r="CL972" i="4"/>
  <c r="CT970" i="4"/>
  <c r="CU970" i="4"/>
  <c r="CK178" i="4"/>
  <c r="CL178" i="4"/>
  <c r="CT1427" i="4"/>
  <c r="CU1427" i="4"/>
  <c r="CR1063" i="4"/>
  <c r="CS1063" i="4"/>
  <c r="CK757" i="4"/>
  <c r="CL757" i="4"/>
  <c r="CL906" i="4"/>
  <c r="CK906" i="4"/>
  <c r="CT904" i="4"/>
  <c r="CU904" i="4"/>
  <c r="CS906" i="4"/>
  <c r="CR906" i="4"/>
  <c r="CN513" i="4"/>
  <c r="CM513" i="4"/>
  <c r="CT1161" i="4"/>
  <c r="CU1161" i="4"/>
  <c r="CN398" i="4"/>
  <c r="CM398" i="4"/>
  <c r="CR399" i="4"/>
  <c r="CS399" i="4"/>
  <c r="CT1302" i="4"/>
  <c r="CU1302" i="4"/>
  <c r="CR711" i="4"/>
  <c r="CS711" i="4"/>
  <c r="CK1075" i="4"/>
  <c r="CL1075" i="4"/>
  <c r="CS1075" i="4"/>
  <c r="CR1075" i="4"/>
  <c r="CM414" i="4"/>
  <c r="CN414" i="4"/>
  <c r="CR149" i="4"/>
  <c r="CS149" i="4"/>
  <c r="CM1138" i="4"/>
  <c r="CN1138" i="4"/>
  <c r="CT456" i="4"/>
  <c r="CU456" i="4"/>
  <c r="CM1056" i="4"/>
  <c r="CN1056" i="4"/>
  <c r="CM916" i="4"/>
  <c r="CN916" i="4"/>
  <c r="CT508" i="4"/>
  <c r="CU508" i="4"/>
  <c r="CN1117" i="4"/>
  <c r="CM1117" i="4"/>
  <c r="CT1193" i="4"/>
  <c r="CU1193" i="4"/>
  <c r="CT95" i="4"/>
  <c r="CU95" i="4"/>
  <c r="CK935" i="4"/>
  <c r="CL935" i="4"/>
  <c r="CR659" i="4"/>
  <c r="CS659" i="4"/>
  <c r="CR218" i="4"/>
  <c r="CS218" i="4"/>
  <c r="CU704" i="4"/>
  <c r="CT704" i="4"/>
  <c r="CM1233" i="4"/>
  <c r="CN1233" i="4"/>
  <c r="CR734" i="4"/>
  <c r="CS734" i="4"/>
  <c r="CM968" i="4"/>
  <c r="CN968" i="4"/>
  <c r="CT969" i="4"/>
  <c r="CU969" i="4"/>
  <c r="CR1347" i="4"/>
  <c r="CS1347" i="4"/>
  <c r="CT1345" i="4"/>
  <c r="CU1345" i="4"/>
  <c r="CK900" i="4"/>
  <c r="CL900" i="4"/>
  <c r="CU220" i="4"/>
  <c r="CT220" i="4"/>
  <c r="CK1028" i="4"/>
  <c r="CL1028" i="4"/>
  <c r="CT1029" i="4"/>
  <c r="CU1029" i="4"/>
  <c r="CR866" i="4"/>
  <c r="CS866" i="4"/>
  <c r="CL525" i="4"/>
  <c r="CK525" i="4"/>
  <c r="CR524" i="4"/>
  <c r="CS524" i="4"/>
  <c r="CU525" i="4"/>
  <c r="CT525" i="4"/>
  <c r="CT400" i="4"/>
  <c r="CU400" i="4"/>
  <c r="CS171" i="4"/>
  <c r="CR171" i="4"/>
  <c r="CM637" i="4"/>
  <c r="CN637" i="4"/>
  <c r="CU638" i="4"/>
  <c r="CT638" i="4"/>
  <c r="CL433" i="4"/>
  <c r="CK433" i="4"/>
  <c r="CM140" i="4"/>
  <c r="CN140" i="4"/>
  <c r="CT140" i="4"/>
  <c r="CU140" i="4"/>
  <c r="CT888" i="4"/>
  <c r="CU888" i="4"/>
  <c r="CT1142" i="4"/>
  <c r="CU1142" i="4"/>
  <c r="CL613" i="4"/>
  <c r="CK613" i="4"/>
  <c r="CM387" i="4"/>
  <c r="CN387" i="4"/>
  <c r="CT910" i="4"/>
  <c r="CU910" i="4"/>
  <c r="CM1433" i="4"/>
  <c r="CN1433" i="4"/>
  <c r="CK1235" i="4"/>
  <c r="CL1235" i="4"/>
  <c r="CR1392" i="4"/>
  <c r="CS1392" i="4"/>
  <c r="CN1290" i="4"/>
  <c r="CM1290" i="4"/>
  <c r="CM926" i="4"/>
  <c r="CN926" i="4"/>
  <c r="CR519" i="4"/>
  <c r="CS519" i="4"/>
  <c r="CT9" i="4"/>
  <c r="CU9" i="4"/>
  <c r="CM862" i="4"/>
  <c r="CN862" i="4"/>
  <c r="CT863" i="4"/>
  <c r="CU863" i="4"/>
  <c r="CR919" i="4"/>
  <c r="CS919" i="4"/>
  <c r="CU533" i="4"/>
  <c r="CT533" i="4"/>
  <c r="CM1266" i="4"/>
  <c r="CN1266" i="4"/>
  <c r="CU10" i="4"/>
  <c r="CT10" i="4"/>
  <c r="CN708" i="4"/>
  <c r="CM708" i="4"/>
  <c r="CK437" i="4"/>
  <c r="CL437" i="4"/>
  <c r="CN142" i="4"/>
  <c r="CM142" i="4"/>
  <c r="CR376" i="4"/>
  <c r="CS376" i="4"/>
  <c r="CK736" i="4"/>
  <c r="CL736" i="4"/>
  <c r="CK111" i="4"/>
  <c r="CL111" i="4"/>
  <c r="CM610" i="4"/>
  <c r="CN610" i="4"/>
  <c r="CN441" i="4"/>
  <c r="CM441" i="4"/>
  <c r="CU441" i="4"/>
  <c r="CT441" i="4"/>
  <c r="CK128" i="4"/>
  <c r="CL128" i="4"/>
  <c r="CM1073" i="4"/>
  <c r="CN1073" i="4"/>
  <c r="CR1073" i="4"/>
  <c r="CS1073" i="4"/>
  <c r="CR760" i="4"/>
  <c r="CS760" i="4"/>
  <c r="CT1348" i="4"/>
  <c r="CU1348" i="4"/>
  <c r="CT897" i="4"/>
  <c r="CU897" i="4"/>
  <c r="CR897" i="4"/>
  <c r="CS897" i="4"/>
  <c r="CK1375" i="4"/>
  <c r="CL1375" i="4"/>
  <c r="CK284" i="4"/>
  <c r="CL284" i="4"/>
  <c r="CT283" i="4"/>
  <c r="CU283" i="4"/>
  <c r="CL723" i="4"/>
  <c r="CK723" i="4"/>
  <c r="CT723" i="4"/>
  <c r="CU723" i="4"/>
  <c r="CS13" i="4"/>
  <c r="CR13" i="4"/>
  <c r="CL743" i="4"/>
  <c r="CK743" i="4"/>
  <c r="CU743" i="4"/>
  <c r="CT743" i="4"/>
  <c r="CT297" i="4"/>
  <c r="CU297" i="4"/>
  <c r="CM585" i="4"/>
  <c r="CN585" i="4"/>
  <c r="CM113" i="4"/>
  <c r="CN113" i="4"/>
  <c r="CN319" i="4"/>
  <c r="CM319" i="4"/>
  <c r="CK492" i="4"/>
  <c r="CL492" i="4"/>
  <c r="CR492" i="4"/>
  <c r="CS492" i="4"/>
  <c r="CM667" i="4"/>
  <c r="CN667" i="4"/>
  <c r="CR668" i="4"/>
  <c r="CS668" i="4"/>
  <c r="CM449" i="4"/>
  <c r="CN449" i="4"/>
  <c r="CT448" i="4"/>
  <c r="CU448" i="4"/>
  <c r="CS595" i="4"/>
  <c r="CR595" i="4"/>
  <c r="CT597" i="4"/>
  <c r="CU597" i="4"/>
  <c r="CT286" i="4"/>
  <c r="CU286" i="4"/>
  <c r="CN717" i="4"/>
  <c r="CM717" i="4"/>
  <c r="CT1401" i="4"/>
  <c r="CU1401" i="4"/>
  <c r="CN841" i="4"/>
  <c r="CM841" i="4"/>
  <c r="CR367" i="4"/>
  <c r="CS367" i="4"/>
  <c r="CL727" i="4"/>
  <c r="CK727" i="4"/>
  <c r="CR729" i="4"/>
  <c r="CS729" i="4"/>
  <c r="CL78" i="4"/>
  <c r="CK78" i="4"/>
  <c r="CM948" i="4"/>
  <c r="CN948" i="4"/>
  <c r="CR443" i="4"/>
  <c r="CS443" i="4"/>
  <c r="CK1277" i="4"/>
  <c r="CL1277" i="4"/>
  <c r="CS1276" i="4"/>
  <c r="CR1276" i="4"/>
  <c r="CT1165" i="4"/>
  <c r="CU1165" i="4"/>
  <c r="CL1088" i="4"/>
  <c r="CK1088" i="4"/>
  <c r="CM787" i="4"/>
  <c r="CN787" i="4"/>
  <c r="CR818" i="4"/>
  <c r="CS818" i="4"/>
  <c r="CM599" i="4"/>
  <c r="CN599" i="4"/>
  <c r="CL1408" i="4"/>
  <c r="CK1408" i="4"/>
  <c r="CR328" i="4"/>
  <c r="CS328" i="4"/>
  <c r="CT252" i="4"/>
  <c r="CU252" i="4"/>
  <c r="CK1439" i="4"/>
  <c r="CL1439" i="4"/>
  <c r="CM489" i="4"/>
  <c r="CN489" i="4"/>
  <c r="CM1351" i="4"/>
  <c r="CN1351" i="4"/>
  <c r="CK276" i="4"/>
  <c r="CL276" i="4"/>
  <c r="CS1272" i="4"/>
  <c r="CR1272" i="4"/>
  <c r="CK351" i="4"/>
  <c r="CL351" i="4"/>
  <c r="CK363" i="4"/>
  <c r="CL363" i="4"/>
  <c r="CT363" i="4"/>
  <c r="CU363" i="4"/>
  <c r="CR619" i="4"/>
  <c r="CS619" i="4"/>
  <c r="CS790" i="4"/>
  <c r="CR790" i="4"/>
  <c r="CT812" i="4"/>
  <c r="CU812" i="4"/>
  <c r="CM808" i="4"/>
  <c r="CN808" i="4"/>
  <c r="CT810" i="4"/>
  <c r="CU810" i="4"/>
  <c r="CS1268" i="4"/>
  <c r="CR1268" i="4"/>
  <c r="CT32" i="4"/>
  <c r="CU32" i="4"/>
  <c r="CU988" i="4"/>
  <c r="CT988" i="4"/>
  <c r="CR1015" i="4"/>
  <c r="CS1015" i="4"/>
  <c r="CR1444" i="4"/>
  <c r="CS1444" i="4"/>
  <c r="CM800" i="4"/>
  <c r="CN800" i="4"/>
  <c r="CK333" i="4"/>
  <c r="CL333" i="4"/>
  <c r="CR332" i="4"/>
  <c r="CS332" i="4"/>
  <c r="CK1016" i="4"/>
  <c r="CL1016" i="4"/>
  <c r="CN1402" i="4"/>
  <c r="CM1402" i="4"/>
  <c r="CR1402" i="4"/>
  <c r="CS1402" i="4"/>
  <c r="CM327" i="4"/>
  <c r="CN327" i="4"/>
  <c r="CM316" i="4"/>
  <c r="CN316" i="4"/>
  <c r="CK1329" i="4"/>
  <c r="CL1329" i="4"/>
  <c r="CR1329" i="4"/>
  <c r="CS1329" i="4"/>
  <c r="CK1444" i="4"/>
  <c r="CL1444" i="4"/>
  <c r="CN88" i="4"/>
  <c r="CM88" i="4"/>
  <c r="CS70" i="4"/>
  <c r="CR70" i="4"/>
  <c r="CM1045" i="4"/>
  <c r="CN1045" i="4"/>
  <c r="CT1046" i="4"/>
  <c r="CU1046" i="4"/>
  <c r="CL272" i="4"/>
  <c r="CK272" i="4"/>
  <c r="CR271" i="4"/>
  <c r="CS271" i="4"/>
  <c r="CN536" i="4"/>
  <c r="CM536" i="4"/>
  <c r="CK1273" i="4"/>
  <c r="CL1273" i="4"/>
  <c r="CS1162" i="4"/>
  <c r="CR1162" i="4"/>
  <c r="CM1226" i="4"/>
  <c r="CN1226" i="4"/>
  <c r="CR1225" i="4"/>
  <c r="CS1225" i="4"/>
  <c r="CK956" i="4"/>
  <c r="CL956" i="4"/>
  <c r="CK420" i="4"/>
  <c r="CL420" i="4"/>
  <c r="CR1003" i="4"/>
  <c r="CS1003" i="4"/>
  <c r="CK796" i="4"/>
  <c r="CL796" i="4"/>
  <c r="CK800" i="4"/>
  <c r="CL800" i="4"/>
  <c r="CT800" i="4"/>
  <c r="CU800" i="4"/>
  <c r="CT1309" i="4"/>
  <c r="CU1309" i="4"/>
  <c r="CK603" i="4"/>
  <c r="CL603" i="4"/>
  <c r="CT603" i="4"/>
  <c r="CU603" i="4"/>
  <c r="CR1363" i="4"/>
  <c r="CS1363" i="4"/>
  <c r="CT1026" i="4"/>
  <c r="CU1026" i="4"/>
  <c r="CS1406" i="4"/>
  <c r="CR1406" i="4"/>
  <c r="CT307" i="4"/>
  <c r="CU307" i="4"/>
  <c r="CM1206" i="4"/>
  <c r="CN1206" i="4"/>
  <c r="CN1336" i="4"/>
  <c r="CM1336" i="4"/>
  <c r="CR196" i="4"/>
  <c r="CS196" i="4"/>
  <c r="CR198" i="4"/>
  <c r="CS198" i="4"/>
  <c r="CN991" i="4"/>
  <c r="CM991" i="4"/>
  <c r="CK1356" i="4"/>
  <c r="CL1356" i="4"/>
  <c r="CR678" i="4"/>
  <c r="CS678" i="4"/>
  <c r="CK381" i="4"/>
  <c r="CL381" i="4"/>
  <c r="CT379" i="4"/>
  <c r="CU379" i="4"/>
  <c r="CN542" i="4"/>
  <c r="CM542" i="4"/>
  <c r="CT364" i="4"/>
  <c r="CU364" i="4"/>
  <c r="CT623" i="4"/>
  <c r="CU623" i="4"/>
  <c r="CS228" i="4"/>
  <c r="CR228" i="4"/>
  <c r="CL960" i="4"/>
  <c r="CK960" i="4"/>
  <c r="CR958" i="4"/>
  <c r="CS958" i="4"/>
  <c r="CK425" i="4"/>
  <c r="CL425" i="4"/>
  <c r="CR244" i="4"/>
  <c r="CS244" i="4"/>
  <c r="CK692" i="4"/>
  <c r="CL692" i="4"/>
  <c r="CU580" i="4"/>
  <c r="CT580" i="4"/>
  <c r="CM1368" i="4"/>
  <c r="CN1368" i="4"/>
  <c r="CT1294" i="4"/>
  <c r="CU1294" i="4"/>
  <c r="CM683" i="4"/>
  <c r="CN683" i="4"/>
  <c r="CN846" i="4"/>
  <c r="CM846" i="4"/>
  <c r="CK313" i="4"/>
  <c r="CL313" i="4"/>
  <c r="CK1198" i="4"/>
  <c r="CL1198" i="4"/>
  <c r="CR643" i="4"/>
  <c r="CS643" i="4"/>
  <c r="CL193" i="4"/>
  <c r="CK193" i="4"/>
  <c r="CN995" i="4"/>
  <c r="CM995" i="4"/>
  <c r="CM1357" i="4"/>
  <c r="CN1357" i="4"/>
  <c r="CK116" i="4"/>
  <c r="CL116" i="4"/>
  <c r="CS65" i="4"/>
  <c r="CR65" i="4"/>
  <c r="CM1176" i="4"/>
  <c r="CN1176" i="4"/>
  <c r="CK1040" i="4"/>
  <c r="CL1040" i="4"/>
  <c r="CK832" i="4"/>
  <c r="CL832" i="4"/>
  <c r="CK1108" i="4"/>
  <c r="CL1108" i="4"/>
  <c r="CS1108" i="4"/>
  <c r="CR1108" i="4"/>
  <c r="CU269" i="4"/>
  <c r="CT269" i="4"/>
  <c r="CR270" i="4"/>
  <c r="CS270" i="4"/>
  <c r="CT356" i="4"/>
  <c r="CU356" i="4"/>
  <c r="CK1219" i="4"/>
  <c r="CL1219" i="4"/>
  <c r="CT229" i="4"/>
  <c r="CU229" i="4"/>
  <c r="CM962" i="4"/>
  <c r="CN962" i="4"/>
  <c r="CT961" i="4"/>
  <c r="CU961" i="4"/>
  <c r="CK239" i="4"/>
  <c r="CL239" i="4"/>
  <c r="CN1306" i="4"/>
  <c r="CM1306" i="4"/>
  <c r="CS182" i="4"/>
  <c r="CR182" i="4"/>
  <c r="CK346" i="4"/>
  <c r="CL346" i="4"/>
  <c r="CR1283" i="4"/>
  <c r="CS1283" i="4"/>
  <c r="CT869" i="4"/>
  <c r="CU869" i="4"/>
  <c r="CR547" i="4"/>
  <c r="CS547" i="4"/>
  <c r="CL740" i="4"/>
  <c r="CK740" i="4"/>
  <c r="CU590" i="4"/>
  <c r="CT590" i="4"/>
  <c r="CK871" i="4"/>
  <c r="CL871" i="4"/>
  <c r="CR871" i="4"/>
  <c r="CS871" i="4"/>
  <c r="CL1071" i="4"/>
  <c r="CK1071" i="4"/>
  <c r="CT1069" i="4"/>
  <c r="CU1069" i="4"/>
  <c r="CR756" i="4"/>
  <c r="CS756" i="4"/>
  <c r="CK575" i="4"/>
  <c r="CL575" i="4"/>
  <c r="CK341" i="4"/>
  <c r="CL341" i="4"/>
  <c r="CR563" i="4"/>
  <c r="CS563" i="4"/>
  <c r="CK836" i="4"/>
  <c r="CL836" i="4"/>
  <c r="CR311" i="4"/>
  <c r="CS311" i="4"/>
  <c r="CK482" i="4"/>
  <c r="CL482" i="4"/>
  <c r="CM652" i="4"/>
  <c r="CN652" i="4"/>
  <c r="CT653" i="4"/>
  <c r="CU653" i="4"/>
  <c r="CN1131" i="4"/>
  <c r="CM1131" i="4"/>
  <c r="CM1247" i="4"/>
  <c r="CN1247" i="4"/>
  <c r="CM383" i="4"/>
  <c r="CN383" i="4"/>
  <c r="CT1154" i="4"/>
  <c r="CU1154" i="4"/>
  <c r="CT766" i="4"/>
  <c r="CU766" i="4"/>
  <c r="CL825" i="4"/>
  <c r="CK825" i="4"/>
  <c r="CK1100" i="4"/>
  <c r="CL1100" i="4"/>
  <c r="CR1100" i="4"/>
  <c r="CS1100" i="4"/>
  <c r="CT360" i="4"/>
  <c r="CU360" i="4"/>
  <c r="CM966" i="4"/>
  <c r="CN966" i="4"/>
  <c r="CK392" i="4"/>
  <c r="CL392" i="4"/>
  <c r="CK778" i="4"/>
  <c r="CL778" i="4"/>
  <c r="CT779" i="4"/>
  <c r="CU779" i="4"/>
  <c r="CN573" i="4"/>
  <c r="CM573" i="4"/>
  <c r="CL1370" i="4"/>
  <c r="CK1370" i="4"/>
  <c r="CR1370" i="4"/>
  <c r="CS1370" i="4"/>
  <c r="CR1413" i="4"/>
  <c r="CS1413" i="4"/>
  <c r="CR568" i="4"/>
  <c r="CS568" i="4"/>
  <c r="CK687" i="4"/>
  <c r="CL687" i="4"/>
  <c r="CN838" i="4"/>
  <c r="CM838" i="4"/>
  <c r="CN486" i="4"/>
  <c r="CM486" i="4"/>
  <c r="CT649" i="4"/>
  <c r="CU649" i="4"/>
  <c r="CS1125" i="4"/>
  <c r="CR1125" i="4"/>
  <c r="CM1145" i="4"/>
  <c r="CN1145" i="4"/>
  <c r="CM1182" i="4"/>
  <c r="CN1182" i="4"/>
  <c r="CS1181" i="4"/>
  <c r="CR1181" i="4"/>
  <c r="CM19" i="4"/>
  <c r="CN19" i="4"/>
  <c r="CN828" i="4"/>
  <c r="CM828" i="4"/>
  <c r="CT1107" i="4"/>
  <c r="CU1107" i="4"/>
  <c r="CU261" i="4"/>
  <c r="CT261" i="4"/>
  <c r="CR1214" i="4"/>
  <c r="CS1214" i="4"/>
  <c r="CK46" i="4"/>
  <c r="CL46" i="4"/>
  <c r="CS696" i="4"/>
  <c r="CR696" i="4"/>
  <c r="CL1261" i="4"/>
  <c r="CK1261" i="4"/>
  <c r="CT1262" i="4"/>
  <c r="CU1262" i="4"/>
  <c r="CU131" i="4"/>
  <c r="CT131" i="4"/>
  <c r="CK782" i="4"/>
  <c r="CL782" i="4"/>
  <c r="CM526" i="4"/>
  <c r="CN526" i="4"/>
  <c r="CK1415" i="4"/>
  <c r="CL1415" i="4"/>
  <c r="CS407" i="4"/>
  <c r="CR407" i="4"/>
  <c r="CN478" i="4"/>
  <c r="CM478" i="4"/>
  <c r="CR478" i="4"/>
  <c r="CS478" i="4"/>
  <c r="CR479" i="4"/>
  <c r="CS479" i="4"/>
  <c r="CM648" i="4"/>
  <c r="CN648" i="4"/>
  <c r="CR648" i="4"/>
  <c r="CS648" i="4"/>
  <c r="CL1128" i="4"/>
  <c r="CK1128" i="4"/>
  <c r="CS1126" i="4"/>
  <c r="CR1126" i="4"/>
  <c r="CN80" i="4"/>
  <c r="CM80" i="4"/>
  <c r="CT1251" i="4"/>
  <c r="CU1251" i="4"/>
  <c r="CT125" i="4"/>
  <c r="CU125" i="4"/>
  <c r="CM203" i="4"/>
  <c r="CN203" i="4"/>
  <c r="CN40" i="4"/>
  <c r="CM40" i="4"/>
  <c r="CM829" i="4"/>
  <c r="CN829" i="4"/>
  <c r="CS506" i="4"/>
  <c r="CR506" i="4"/>
  <c r="CK1007" i="4"/>
  <c r="CL1007" i="4"/>
  <c r="CT1008" i="4"/>
  <c r="CU1008" i="4"/>
  <c r="CN44" i="4"/>
  <c r="CM44" i="4"/>
  <c r="CK473" i="4"/>
  <c r="CL473" i="4"/>
  <c r="CT473" i="4"/>
  <c r="CU473" i="4"/>
  <c r="CK700" i="4"/>
  <c r="CL700" i="4"/>
  <c r="CR775" i="4"/>
  <c r="CS775" i="4"/>
  <c r="CK531" i="4"/>
  <c r="CL531" i="4"/>
  <c r="CN560" i="4"/>
  <c r="CM560" i="4"/>
  <c r="CK561" i="4"/>
  <c r="CL561" i="4"/>
  <c r="CK1082" i="4"/>
  <c r="CL1082" i="4"/>
  <c r="CR475" i="4"/>
  <c r="CS475" i="4"/>
  <c r="CM452" i="4"/>
  <c r="CN452" i="4"/>
  <c r="CK83" i="4"/>
  <c r="CL83" i="4"/>
  <c r="CK1245" i="4"/>
  <c r="CL1245" i="4"/>
  <c r="CK1315" i="4"/>
  <c r="CL1315" i="4"/>
  <c r="CL1317" i="4"/>
  <c r="CK1317" i="4"/>
  <c r="CN200" i="4"/>
  <c r="CM200" i="4"/>
  <c r="CR201" i="4"/>
  <c r="CS201" i="4"/>
  <c r="CK31" i="4"/>
  <c r="CL31" i="4"/>
  <c r="CT29" i="4"/>
  <c r="CU29" i="4"/>
  <c r="CT30" i="4"/>
  <c r="CU30" i="4"/>
  <c r="CT770" i="4"/>
  <c r="CU770" i="4"/>
  <c r="CM501" i="4"/>
  <c r="CN501" i="4"/>
  <c r="CM1216" i="4"/>
  <c r="CN1216" i="4"/>
  <c r="CK1116" i="4"/>
  <c r="CL1116" i="4"/>
  <c r="CM1183" i="4"/>
  <c r="CN1183" i="4"/>
  <c r="CK91" i="4"/>
  <c r="CL91" i="4"/>
  <c r="CS465" i="4"/>
  <c r="CR465" i="4"/>
  <c r="CM665" i="4"/>
  <c r="CN665" i="4"/>
  <c r="CT665" i="4"/>
  <c r="CU665" i="4"/>
  <c r="CK166" i="4"/>
  <c r="CL166" i="4"/>
  <c r="CK167" i="4"/>
  <c r="CL167" i="4"/>
  <c r="CS167" i="4"/>
  <c r="CR167" i="4"/>
  <c r="CK1417" i="4"/>
  <c r="CL1417" i="4"/>
  <c r="CR1417" i="4"/>
  <c r="CS1417" i="4"/>
  <c r="CM642" i="4"/>
  <c r="CN642" i="4"/>
  <c r="CM1084" i="4"/>
  <c r="CN1084" i="4"/>
  <c r="CK162" i="4"/>
  <c r="CL162" i="4"/>
  <c r="CS162" i="4"/>
  <c r="CR162" i="4"/>
  <c r="CK1137" i="4"/>
  <c r="CL1137" i="4"/>
  <c r="CK460" i="4"/>
  <c r="CL460" i="4"/>
  <c r="CR461" i="4"/>
  <c r="CS461" i="4"/>
  <c r="CM87" i="4"/>
  <c r="CN87" i="4"/>
  <c r="CT205" i="4"/>
  <c r="CU205" i="4"/>
  <c r="CK1425" i="4"/>
  <c r="CL1425" i="4"/>
  <c r="CT1210" i="4"/>
  <c r="CU1210" i="4"/>
  <c r="CN1112" i="4"/>
  <c r="CM1112" i="4"/>
  <c r="CM233" i="4"/>
  <c r="CN233" i="4"/>
  <c r="CT234" i="4"/>
  <c r="CU234" i="4"/>
  <c r="CL99" i="4"/>
  <c r="CK99" i="4"/>
  <c r="CK1012" i="4"/>
  <c r="CL1012" i="4"/>
  <c r="CR657" i="4"/>
  <c r="CS657" i="4"/>
  <c r="CK1030" i="4"/>
  <c r="CL1030" i="4"/>
  <c r="CT298" i="4"/>
  <c r="CU298" i="4"/>
  <c r="CT299" i="4"/>
  <c r="CU299" i="4"/>
  <c r="CM146" i="4"/>
  <c r="CN146" i="4"/>
  <c r="CT147" i="4"/>
  <c r="CU147" i="4"/>
  <c r="CM390" i="4"/>
  <c r="CN390" i="4"/>
  <c r="CT390" i="4"/>
  <c r="CU390" i="4"/>
  <c r="CT1151" i="4"/>
  <c r="CU1151" i="4"/>
  <c r="CM971" i="4"/>
  <c r="CN971" i="4"/>
  <c r="CR972" i="4"/>
  <c r="CS972" i="4"/>
  <c r="CL179" i="4"/>
  <c r="CK179" i="4"/>
  <c r="CR907" i="4"/>
  <c r="CS907" i="4"/>
  <c r="CK1065" i="4"/>
  <c r="CL1065" i="4"/>
  <c r="CL759" i="4"/>
  <c r="CK759" i="4"/>
  <c r="CK1383" i="4"/>
  <c r="CL1383" i="4"/>
  <c r="CK793" i="4"/>
  <c r="CL793" i="4"/>
  <c r="CN172" i="4"/>
  <c r="CM172" i="4"/>
  <c r="CU711" i="4"/>
  <c r="CT711" i="4"/>
  <c r="CK636" i="4"/>
  <c r="CL636" i="4"/>
  <c r="CT636" i="4"/>
  <c r="CU636" i="4"/>
  <c r="CM1075" i="4"/>
  <c r="CN1075" i="4"/>
  <c r="CR429" i="4"/>
  <c r="CS429" i="4"/>
  <c r="CT149" i="4"/>
  <c r="CU149" i="4"/>
  <c r="CM884" i="4"/>
  <c r="CN884" i="4"/>
  <c r="CK1138" i="4"/>
  <c r="CL1138" i="4"/>
  <c r="CM456" i="4"/>
  <c r="CN456" i="4"/>
  <c r="CT455" i="4"/>
  <c r="CU455" i="4"/>
  <c r="CS456" i="4"/>
  <c r="CR456" i="4"/>
  <c r="CR1056" i="4"/>
  <c r="CS1056" i="4"/>
  <c r="CM210" i="4"/>
  <c r="CN210" i="4"/>
  <c r="CR917" i="4"/>
  <c r="CS917" i="4"/>
  <c r="CK1429" i="4"/>
  <c r="CL1429" i="4"/>
  <c r="CK1241" i="4"/>
  <c r="CL1241" i="4"/>
  <c r="CK1194" i="4"/>
  <c r="CL1194" i="4"/>
  <c r="CN94" i="4"/>
  <c r="CM94" i="4"/>
  <c r="CR514" i="4"/>
  <c r="CS514" i="4"/>
  <c r="CR217" i="4"/>
  <c r="CS217" i="4"/>
  <c r="CU703" i="4"/>
  <c r="CT703" i="4"/>
  <c r="CK1233" i="4"/>
  <c r="CL1233" i="4"/>
  <c r="CL733" i="4"/>
  <c r="CK733" i="4"/>
  <c r="CT734" i="4"/>
  <c r="CU734" i="4"/>
  <c r="CM289" i="4"/>
  <c r="CN289" i="4"/>
  <c r="CM731" i="4"/>
  <c r="CN731" i="4"/>
  <c r="CS731" i="4"/>
  <c r="CR731" i="4"/>
  <c r="CT866" i="4"/>
  <c r="CU866" i="4"/>
  <c r="CN211" i="4"/>
  <c r="CM211" i="4"/>
  <c r="CT171" i="4"/>
  <c r="CU171" i="4"/>
  <c r="CK17" i="4"/>
  <c r="CL17" i="4"/>
  <c r="CT435" i="4"/>
  <c r="CU435" i="4"/>
  <c r="CT139" i="4"/>
  <c r="CU139" i="4"/>
  <c r="CU887" i="4"/>
  <c r="CT887" i="4"/>
  <c r="CR1143" i="4"/>
  <c r="CS1143" i="4"/>
  <c r="CR104" i="4"/>
  <c r="CS104" i="4"/>
  <c r="CL614" i="4"/>
  <c r="CK614" i="4"/>
  <c r="CR614" i="4"/>
  <c r="CS614" i="4"/>
  <c r="CR1059" i="4"/>
  <c r="CS1059" i="4"/>
  <c r="CL176" i="4"/>
  <c r="CK176" i="4"/>
  <c r="CT177" i="4"/>
  <c r="CU177" i="4"/>
  <c r="CN912" i="4"/>
  <c r="CM912" i="4"/>
  <c r="CT1434" i="4"/>
  <c r="CU1434" i="4"/>
  <c r="CR1433" i="4"/>
  <c r="CS1433" i="4"/>
  <c r="CK1234" i="4"/>
  <c r="CL1234" i="4"/>
  <c r="CM1391" i="4"/>
  <c r="CN1391" i="4"/>
  <c r="CM1288" i="4"/>
  <c r="CN1288" i="4"/>
  <c r="CM1190" i="4"/>
  <c r="CN1190" i="4"/>
  <c r="CR1190" i="4"/>
  <c r="CS1190" i="4"/>
  <c r="CR927" i="4"/>
  <c r="CS927" i="4"/>
  <c r="CT517" i="4"/>
  <c r="CU517" i="4"/>
  <c r="CM941" i="4"/>
  <c r="CN941" i="4"/>
  <c r="CR942" i="4"/>
  <c r="CS942" i="4"/>
  <c r="CM893" i="4"/>
  <c r="CN893" i="4"/>
  <c r="CS1266" i="4"/>
  <c r="CR1266" i="4"/>
  <c r="CT303" i="4"/>
  <c r="CU303" i="4"/>
  <c r="CN437" i="4"/>
  <c r="CM437" i="4"/>
  <c r="CU143" i="4"/>
  <c r="CT143" i="4"/>
  <c r="CK376" i="4"/>
  <c r="CL376" i="4"/>
  <c r="CR586" i="4"/>
  <c r="CS586" i="4"/>
  <c r="CU611" i="4"/>
  <c r="CT611" i="4"/>
  <c r="CM1053" i="4"/>
  <c r="CN1053" i="4"/>
  <c r="CT1052" i="4"/>
  <c r="CU1052" i="4"/>
  <c r="CR874" i="4"/>
  <c r="CS874" i="4"/>
  <c r="CR973" i="4"/>
  <c r="CS973" i="4"/>
  <c r="CS914" i="4"/>
  <c r="CR914" i="4"/>
  <c r="CM1072" i="4"/>
  <c r="CN1072" i="4"/>
  <c r="CT1073" i="4"/>
  <c r="CU1073" i="4"/>
  <c r="CM762" i="4"/>
  <c r="CN762" i="4"/>
  <c r="CT859" i="4"/>
  <c r="CU859" i="4"/>
  <c r="CM896" i="4"/>
  <c r="CN896" i="4"/>
  <c r="CT896" i="4"/>
  <c r="CU896" i="4"/>
  <c r="CM1377" i="4"/>
  <c r="CN1377" i="4"/>
  <c r="CT1375" i="4"/>
  <c r="CU1375" i="4"/>
  <c r="CR930" i="4"/>
  <c r="CS930" i="4"/>
  <c r="CM216" i="4"/>
  <c r="CN216" i="4"/>
  <c r="CM283" i="4"/>
  <c r="CN283" i="4"/>
  <c r="CT1260" i="4"/>
  <c r="CU1260" i="4"/>
  <c r="CK13" i="4"/>
  <c r="CL13" i="4"/>
  <c r="CM255" i="4"/>
  <c r="CN255" i="4"/>
  <c r="CT744" i="4"/>
  <c r="CU744" i="4"/>
  <c r="CM297" i="4"/>
  <c r="CN297" i="4"/>
  <c r="CS295" i="4"/>
  <c r="CR295" i="4"/>
  <c r="CS497" i="4"/>
  <c r="CR497" i="4"/>
  <c r="CR583" i="4"/>
  <c r="CS583" i="4"/>
  <c r="CM446" i="4"/>
  <c r="CN446" i="4"/>
  <c r="CR447" i="4"/>
  <c r="CS447" i="4"/>
  <c r="CM753" i="4"/>
  <c r="CN753" i="4"/>
  <c r="CT751" i="4"/>
  <c r="CU751" i="4"/>
  <c r="CK1380" i="4"/>
  <c r="CL1380" i="4"/>
  <c r="CT1378" i="4"/>
  <c r="CU1378" i="4"/>
  <c r="CR1380" i="4"/>
  <c r="CS1380" i="4"/>
  <c r="CT816" i="4"/>
  <c r="CU816" i="4"/>
  <c r="CR814" i="4"/>
  <c r="CS814" i="4"/>
  <c r="CM492" i="4"/>
  <c r="CN492" i="4"/>
  <c r="CT492" i="4"/>
  <c r="CU492" i="4"/>
  <c r="CN669" i="4"/>
  <c r="CM669" i="4"/>
  <c r="CR944" i="4"/>
  <c r="CS944" i="4"/>
  <c r="CS448" i="4"/>
  <c r="CR448" i="4"/>
  <c r="CU821" i="4"/>
  <c r="CT821" i="4"/>
  <c r="CR596" i="4"/>
  <c r="CS596" i="4"/>
  <c r="CL287" i="4"/>
  <c r="CK287" i="4"/>
  <c r="CS1399" i="4"/>
  <c r="CR1399" i="4"/>
  <c r="CR322" i="4"/>
  <c r="CS322" i="4"/>
  <c r="CS843" i="4"/>
  <c r="CR843" i="4"/>
  <c r="CK1332" i="4"/>
  <c r="CL1332" i="4"/>
  <c r="CM368" i="4"/>
  <c r="CN368" i="4"/>
  <c r="CR369" i="4"/>
  <c r="CS369" i="4"/>
  <c r="CL728" i="4"/>
  <c r="CK728" i="4"/>
  <c r="CU729" i="4"/>
  <c r="CT729" i="4"/>
  <c r="CM78" i="4"/>
  <c r="CN78" i="4"/>
  <c r="CM848" i="4"/>
  <c r="CN848" i="4"/>
  <c r="CK444" i="4"/>
  <c r="CL444" i="4"/>
  <c r="CS442" i="4"/>
  <c r="CR442" i="4"/>
  <c r="CT443" i="4"/>
  <c r="CU443" i="4"/>
  <c r="CK1278" i="4"/>
  <c r="CL1278" i="4"/>
  <c r="CK344" i="4"/>
  <c r="CL344" i="4"/>
  <c r="CR343" i="4"/>
  <c r="CS343" i="4"/>
  <c r="CR345" i="4"/>
  <c r="CS345" i="4"/>
  <c r="CK1281" i="4"/>
  <c r="CL1281" i="4"/>
  <c r="CS1342" i="4"/>
  <c r="CR1342" i="4"/>
  <c r="CT1089" i="4"/>
  <c r="CU1089" i="4"/>
  <c r="CK787" i="4"/>
  <c r="CL787" i="4"/>
  <c r="CT788" i="4"/>
  <c r="CU788" i="4"/>
  <c r="CT818" i="4"/>
  <c r="CU818" i="4"/>
  <c r="CM600" i="4"/>
  <c r="CN600" i="4"/>
  <c r="CR600" i="4"/>
  <c r="CS600" i="4"/>
  <c r="CU293" i="4"/>
  <c r="CT293" i="4"/>
  <c r="CT1021" i="4"/>
  <c r="CU1021" i="4"/>
  <c r="CT328" i="4"/>
  <c r="CU328" i="4"/>
  <c r="CM1201" i="4"/>
  <c r="CN1201" i="4"/>
  <c r="CT1201" i="4"/>
  <c r="CU1201" i="4"/>
  <c r="CM1439" i="4"/>
  <c r="CN1439" i="4"/>
  <c r="CT1438" i="4"/>
  <c r="CU1438" i="4"/>
  <c r="CT487" i="4"/>
  <c r="CU487" i="4"/>
  <c r="CR1352" i="4"/>
  <c r="CS1352" i="4"/>
  <c r="CR67" i="4"/>
  <c r="CS67" i="4"/>
  <c r="CT851" i="4"/>
  <c r="CU851" i="4"/>
  <c r="CM539" i="4"/>
  <c r="CN539" i="4"/>
  <c r="CK1168" i="4"/>
  <c r="CL1168" i="4"/>
  <c r="CT361" i="4"/>
  <c r="CU361" i="4"/>
  <c r="CN620" i="4"/>
  <c r="CM620" i="4"/>
  <c r="CT619" i="4"/>
  <c r="CU619" i="4"/>
  <c r="CT791" i="4"/>
  <c r="CU791" i="4"/>
  <c r="CK812" i="4"/>
  <c r="CL812" i="4"/>
  <c r="CK623" i="4"/>
  <c r="CL623" i="4"/>
  <c r="CR425" i="4"/>
  <c r="CS425" i="4"/>
  <c r="CK1368" i="4"/>
  <c r="CL1368" i="4"/>
  <c r="CT1366" i="4"/>
  <c r="CU1366" i="4"/>
  <c r="CK1295" i="4"/>
  <c r="CL1295" i="4"/>
  <c r="CM684" i="4"/>
  <c r="CN684" i="4"/>
  <c r="CL844" i="4"/>
  <c r="CK844" i="4"/>
  <c r="CT1198" i="4"/>
  <c r="CU1198" i="4"/>
  <c r="CT643" i="4"/>
  <c r="CU643" i="4"/>
  <c r="CK1133" i="4"/>
  <c r="CL1133" i="4"/>
  <c r="CU1133" i="4"/>
  <c r="CT1133" i="4"/>
  <c r="CS1134" i="4"/>
  <c r="CR1134" i="4"/>
  <c r="CT996" i="4"/>
  <c r="CU996" i="4"/>
  <c r="CM1358" i="4"/>
  <c r="CN1358" i="4"/>
  <c r="CM65" i="4"/>
  <c r="CN65" i="4"/>
  <c r="CT65" i="4"/>
  <c r="CU65" i="4"/>
  <c r="CL1041" i="4"/>
  <c r="CK1041" i="4"/>
  <c r="CT1156" i="4"/>
  <c r="CU1156" i="4"/>
  <c r="CM832" i="4"/>
  <c r="CN832" i="4"/>
  <c r="CL1110" i="4"/>
  <c r="CK1110" i="4"/>
  <c r="CS1109" i="4"/>
  <c r="CR1109" i="4"/>
  <c r="CL269" i="4"/>
  <c r="CK269" i="4"/>
  <c r="CT270" i="4"/>
  <c r="CU270" i="4"/>
  <c r="CK356" i="4"/>
  <c r="CL356" i="4"/>
  <c r="CK231" i="4"/>
  <c r="CL231" i="4"/>
  <c r="CR229" i="4"/>
  <c r="CS229" i="4"/>
  <c r="CL962" i="4"/>
  <c r="CK962" i="4"/>
  <c r="CK421" i="4"/>
  <c r="CL421" i="4"/>
  <c r="CR982" i="4"/>
  <c r="CS982" i="4"/>
  <c r="CS1308" i="4"/>
  <c r="CR1308" i="4"/>
  <c r="CM468" i="4"/>
  <c r="CN468" i="4"/>
  <c r="CR989" i="4"/>
  <c r="CS989" i="4"/>
  <c r="CL1002" i="4"/>
  <c r="CK1002" i="4"/>
  <c r="CN182" i="4"/>
  <c r="CM182" i="4"/>
  <c r="CU182" i="4"/>
  <c r="CT182" i="4"/>
  <c r="CN346" i="4"/>
  <c r="CM346" i="4"/>
  <c r="CT1284" i="4"/>
  <c r="CU1284" i="4"/>
  <c r="CM868" i="4"/>
  <c r="CN868" i="4"/>
  <c r="CS549" i="4"/>
  <c r="CR549" i="4"/>
  <c r="CR1436" i="4"/>
  <c r="CS1436" i="4"/>
  <c r="CK591" i="4"/>
  <c r="CL591" i="4"/>
  <c r="CM871" i="4"/>
  <c r="CN871" i="4"/>
  <c r="CM1071" i="4"/>
  <c r="CN1071" i="4"/>
  <c r="CR754" i="4"/>
  <c r="CS754" i="4"/>
  <c r="CU755" i="4"/>
  <c r="CT755" i="4"/>
  <c r="CK576" i="4"/>
  <c r="CL576" i="4"/>
  <c r="CM341" i="4"/>
  <c r="CN341" i="4"/>
  <c r="CK563" i="4"/>
  <c r="CL563" i="4"/>
  <c r="CM836" i="4"/>
  <c r="CN836" i="4"/>
  <c r="CL483" i="4"/>
  <c r="CK483" i="4"/>
  <c r="CS187" i="4"/>
  <c r="CR187" i="4"/>
  <c r="CS189" i="4"/>
  <c r="CR189" i="4"/>
  <c r="CR999" i="4"/>
  <c r="CS999" i="4"/>
  <c r="CN1248" i="4"/>
  <c r="CM1248" i="4"/>
  <c r="CK122" i="4"/>
  <c r="CL122" i="4"/>
  <c r="CR384" i="4"/>
  <c r="CS384" i="4"/>
  <c r="CS1153" i="4"/>
  <c r="CR1153" i="4"/>
  <c r="CR767" i="4"/>
  <c r="CS767" i="4"/>
  <c r="CK359" i="4"/>
  <c r="CL359" i="4"/>
  <c r="CR360" i="4"/>
  <c r="CS360" i="4"/>
  <c r="CR965" i="4"/>
  <c r="CS965" i="4"/>
  <c r="CS966" i="4"/>
  <c r="CR966" i="4"/>
  <c r="CM978" i="4"/>
  <c r="CN978" i="4"/>
  <c r="CM779" i="4"/>
  <c r="CN779" i="4"/>
  <c r="CK573" i="4"/>
  <c r="CL573" i="4"/>
  <c r="CM1370" i="4"/>
  <c r="CN1370" i="4"/>
  <c r="CR1371" i="4"/>
  <c r="CS1371" i="4"/>
  <c r="CK1412" i="4"/>
  <c r="CL1412" i="4"/>
  <c r="CT1413" i="4"/>
  <c r="CU1413" i="4"/>
  <c r="CN568" i="4"/>
  <c r="CM568" i="4"/>
  <c r="CU568" i="4"/>
  <c r="CT568" i="4"/>
  <c r="CM687" i="4"/>
  <c r="CN687" i="4"/>
  <c r="CK839" i="4"/>
  <c r="CL839" i="4"/>
  <c r="CS486" i="4"/>
  <c r="CR486" i="4"/>
  <c r="CK1124" i="4"/>
  <c r="CL1124" i="4"/>
  <c r="CS1124" i="4"/>
  <c r="CR1124" i="4"/>
  <c r="CT1125" i="4"/>
  <c r="CU1125" i="4"/>
  <c r="CR191" i="4"/>
  <c r="CS191" i="4"/>
  <c r="CM1146" i="4"/>
  <c r="CN1146" i="4"/>
  <c r="CL120" i="4"/>
  <c r="CK120" i="4"/>
  <c r="CT120" i="4"/>
  <c r="CU120" i="4"/>
  <c r="CR62" i="4"/>
  <c r="CS62" i="4"/>
  <c r="CK827" i="4"/>
  <c r="CL827" i="4"/>
  <c r="CN260" i="4"/>
  <c r="CM260" i="4"/>
  <c r="CK1213" i="4"/>
  <c r="CL1213" i="4"/>
  <c r="CU1213" i="4"/>
  <c r="CT1213" i="4"/>
  <c r="CR48" i="4"/>
  <c r="CS48" i="4"/>
  <c r="CN469" i="4"/>
  <c r="CM469" i="4"/>
  <c r="CK696" i="4"/>
  <c r="CL696" i="4"/>
  <c r="CT696" i="4"/>
  <c r="CU696" i="4"/>
  <c r="CM1262" i="4"/>
  <c r="CN1262" i="4"/>
  <c r="CR1261" i="4"/>
  <c r="CS1261" i="4"/>
  <c r="CM130" i="4"/>
  <c r="CN130" i="4"/>
  <c r="CT130" i="4"/>
  <c r="CU130" i="4"/>
  <c r="CK1339" i="4"/>
  <c r="CL1339" i="4"/>
  <c r="CU551" i="4"/>
  <c r="CT551" i="4"/>
  <c r="CK526" i="4"/>
  <c r="CL526" i="4"/>
  <c r="CU527" i="4"/>
  <c r="CT527" i="4"/>
  <c r="CM577" i="4"/>
  <c r="CN577" i="4"/>
  <c r="CR579" i="4"/>
  <c r="CS579" i="4"/>
  <c r="CS567" i="4"/>
  <c r="CR567" i="4"/>
  <c r="CK680" i="4"/>
  <c r="CL680" i="4"/>
  <c r="CT458" i="4"/>
  <c r="CU458" i="4"/>
  <c r="CM1250" i="4"/>
  <c r="CN1250" i="4"/>
  <c r="CR1251" i="4"/>
  <c r="CS1251" i="4"/>
  <c r="CT124" i="4"/>
  <c r="CU124" i="4"/>
  <c r="CK857" i="4"/>
  <c r="CL857" i="4"/>
  <c r="CR858" i="4"/>
  <c r="CS858" i="4"/>
  <c r="CS204" i="4"/>
  <c r="CR204" i="4"/>
  <c r="CK41" i="4"/>
  <c r="CL41" i="4"/>
  <c r="CR40" i="4"/>
  <c r="CS40" i="4"/>
  <c r="CR42" i="4"/>
  <c r="CS42" i="4"/>
  <c r="CN24" i="4"/>
  <c r="CM24" i="4"/>
  <c r="CS23" i="4"/>
  <c r="CR23" i="4"/>
  <c r="CL763" i="4"/>
  <c r="CK763" i="4"/>
  <c r="CT1104" i="4"/>
  <c r="CU1104" i="4"/>
  <c r="CR1207" i="4"/>
  <c r="CS1207" i="4"/>
  <c r="CL1121" i="4"/>
  <c r="CK1121" i="4"/>
  <c r="CM102" i="4"/>
  <c r="CN102" i="4"/>
  <c r="CM43" i="4"/>
  <c r="CN43" i="4"/>
  <c r="CT474" i="4"/>
  <c r="CU474" i="4"/>
  <c r="CK662" i="4"/>
  <c r="CL662" i="4"/>
  <c r="CT775" i="4"/>
  <c r="CU775" i="4"/>
  <c r="CK530" i="4"/>
  <c r="CL530" i="4"/>
  <c r="CN530" i="4"/>
  <c r="CM530" i="4"/>
  <c r="CM163" i="4"/>
  <c r="CN163" i="4"/>
  <c r="CN1420" i="4"/>
  <c r="CM1420" i="4"/>
  <c r="CT1083" i="4"/>
  <c r="CU1083" i="4"/>
  <c r="CM409" i="4"/>
  <c r="CN409" i="4"/>
  <c r="CU151" i="4"/>
  <c r="CT151" i="4"/>
  <c r="CT1244" i="4"/>
  <c r="CU1244" i="4"/>
  <c r="CS1316" i="4"/>
  <c r="CR1316" i="4"/>
  <c r="CT201" i="4"/>
  <c r="CU201" i="4"/>
  <c r="CM31" i="4"/>
  <c r="CN31" i="4"/>
  <c r="CT28" i="4"/>
  <c r="CU28" i="4"/>
  <c r="CK769" i="4"/>
  <c r="CL769" i="4"/>
  <c r="CU500" i="4"/>
  <c r="CT500" i="4"/>
  <c r="CR1216" i="4"/>
  <c r="CS1216" i="4"/>
  <c r="CT465" i="4"/>
  <c r="CU465" i="4"/>
  <c r="CN168" i="4"/>
  <c r="CM168" i="4"/>
  <c r="CT167" i="4"/>
  <c r="CU167" i="4"/>
  <c r="CU1418" i="4"/>
  <c r="CT1418" i="4"/>
  <c r="CK1085" i="4"/>
  <c r="CL1085" i="4"/>
  <c r="CR160" i="4"/>
  <c r="CS160" i="4"/>
  <c r="CU162" i="4"/>
  <c r="CT162" i="4"/>
  <c r="CS460" i="4"/>
  <c r="CR460" i="4"/>
  <c r="CL1325" i="4"/>
  <c r="CK1325" i="4"/>
  <c r="CK36" i="4"/>
  <c r="CL36" i="4"/>
  <c r="CN25" i="4"/>
  <c r="CM25" i="4"/>
  <c r="CT1239" i="4"/>
  <c r="CU1239" i="4"/>
  <c r="CK503" i="4"/>
  <c r="CL503" i="4"/>
  <c r="CN1113" i="4"/>
  <c r="CM1113" i="4"/>
  <c r="CM232" i="4"/>
  <c r="CN232" i="4"/>
  <c r="CL98" i="4"/>
  <c r="CK98" i="4"/>
  <c r="CR99" i="4"/>
  <c r="CS99" i="4"/>
  <c r="CK937" i="4"/>
  <c r="CL937" i="4"/>
  <c r="CK631" i="4"/>
  <c r="CL631" i="4"/>
  <c r="CR632" i="4"/>
  <c r="CS632" i="4"/>
  <c r="CR298" i="4"/>
  <c r="CS298" i="4"/>
  <c r="CR107" i="4"/>
  <c r="CS107" i="4"/>
  <c r="CL1150" i="4"/>
  <c r="CK1150" i="4"/>
  <c r="CS970" i="4"/>
  <c r="CR970" i="4"/>
  <c r="CT972" i="4"/>
  <c r="CU972" i="4"/>
  <c r="CS178" i="4"/>
  <c r="CR178" i="4"/>
  <c r="CK908" i="4"/>
  <c r="CL908" i="4"/>
  <c r="CT907" i="4"/>
  <c r="CU907" i="4"/>
  <c r="CM1426" i="4"/>
  <c r="CN1426" i="4"/>
  <c r="CM1063" i="4"/>
  <c r="CN1063" i="4"/>
  <c r="CK758" i="4"/>
  <c r="CL758" i="4"/>
  <c r="CM1381" i="4"/>
  <c r="CN1381" i="4"/>
  <c r="CU1383" i="4"/>
  <c r="CT1383" i="4"/>
  <c r="CM1160" i="4"/>
  <c r="CN1160" i="4"/>
  <c r="CR1159" i="4"/>
  <c r="CS1159" i="4"/>
  <c r="CM793" i="4"/>
  <c r="CN793" i="4"/>
  <c r="CT172" i="4"/>
  <c r="CU172" i="4"/>
  <c r="CL1301" i="4"/>
  <c r="CK1301" i="4"/>
  <c r="CK709" i="4"/>
  <c r="CL709" i="4"/>
  <c r="CL1077" i="4"/>
  <c r="CK1077" i="4"/>
  <c r="CU1076" i="4"/>
  <c r="CT1076" i="4"/>
  <c r="CT429" i="4"/>
  <c r="CU429" i="4"/>
  <c r="CM883" i="4"/>
  <c r="CN883" i="4"/>
  <c r="CM885" i="4"/>
  <c r="CN885" i="4"/>
  <c r="CR1138" i="4"/>
  <c r="CS1138" i="4"/>
  <c r="CK1054" i="4"/>
  <c r="CL1054" i="4"/>
  <c r="CS1319" i="4"/>
  <c r="CR1319" i="4"/>
  <c r="CS208" i="4"/>
  <c r="CR208" i="4"/>
  <c r="CR1429" i="4"/>
  <c r="CS1429" i="4"/>
  <c r="CM1242" i="4"/>
  <c r="CN1242" i="4"/>
  <c r="CR1398" i="4"/>
  <c r="CS1398" i="4"/>
  <c r="CK510" i="4"/>
  <c r="CL510" i="4"/>
  <c r="CR508" i="4"/>
  <c r="CS508" i="4"/>
  <c r="CM95" i="4"/>
  <c r="CN95" i="4"/>
  <c r="CK515" i="4"/>
  <c r="CL515" i="4"/>
  <c r="CT935" i="4"/>
  <c r="CU935" i="4"/>
  <c r="CN658" i="4"/>
  <c r="CM658" i="4"/>
  <c r="CT218" i="4"/>
  <c r="CU218" i="4"/>
  <c r="CK705" i="4"/>
  <c r="CL705" i="4"/>
  <c r="CN734" i="4"/>
  <c r="CM734" i="4"/>
  <c r="CT879" i="4"/>
  <c r="CU879" i="4"/>
  <c r="CK969" i="4"/>
  <c r="CL969" i="4"/>
  <c r="CK1068" i="4"/>
  <c r="CL1068" i="4"/>
  <c r="CK1346" i="4"/>
  <c r="CL1346" i="4"/>
  <c r="CK898" i="4"/>
  <c r="CL898" i="4"/>
  <c r="CN290" i="4"/>
  <c r="CM290" i="4"/>
  <c r="CM291" i="4"/>
  <c r="CN291" i="4"/>
  <c r="CM1029" i="4"/>
  <c r="CN1029" i="4"/>
  <c r="CT731" i="4"/>
  <c r="CU731" i="4"/>
  <c r="CK865" i="4"/>
  <c r="CL865" i="4"/>
  <c r="CM525" i="4"/>
  <c r="CN525" i="4"/>
  <c r="CM400" i="4"/>
  <c r="CN400" i="4"/>
  <c r="CM171" i="4"/>
  <c r="CN171" i="4"/>
  <c r="CN16" i="4"/>
  <c r="CM16" i="4"/>
  <c r="CS17" i="4"/>
  <c r="CR17" i="4"/>
  <c r="CT639" i="4"/>
  <c r="CU639" i="4"/>
  <c r="CK1078" i="4"/>
  <c r="CL1078" i="4"/>
  <c r="CR1080" i="4"/>
  <c r="CS1080" i="4"/>
  <c r="CM305" i="4"/>
  <c r="CN305" i="4"/>
  <c r="CR433" i="4"/>
  <c r="CS433" i="4"/>
  <c r="CM141" i="4"/>
  <c r="CN141" i="4"/>
  <c r="CT141" i="4"/>
  <c r="CU141" i="4"/>
  <c r="CM1143" i="4"/>
  <c r="CN1143" i="4"/>
  <c r="CT1143" i="4"/>
  <c r="CU1143" i="4"/>
  <c r="CK104" i="4"/>
  <c r="CL104" i="4"/>
  <c r="CU104" i="4"/>
  <c r="CT104" i="4"/>
  <c r="CU614" i="4"/>
  <c r="CT614" i="4"/>
  <c r="CR1321" i="4"/>
  <c r="CS1321" i="4"/>
  <c r="CT1433" i="4"/>
  <c r="CU1433" i="4"/>
  <c r="CK1288" i="4"/>
  <c r="CL1288" i="4"/>
  <c r="CS1288" i="4"/>
  <c r="CR1288" i="4"/>
  <c r="CK1191" i="4"/>
  <c r="CL1191" i="4"/>
  <c r="CT1190" i="4"/>
  <c r="CU1190" i="4"/>
  <c r="CK927" i="4"/>
  <c r="CL927" i="4"/>
  <c r="CT927" i="4"/>
  <c r="CU927" i="4"/>
  <c r="CM517" i="4"/>
  <c r="CN517" i="4"/>
  <c r="CT519" i="4"/>
  <c r="CU519" i="4"/>
  <c r="CR940" i="4"/>
  <c r="CS940" i="4"/>
  <c r="CT942" i="4"/>
  <c r="CU942" i="4"/>
  <c r="CK1255" i="4"/>
  <c r="CL1255" i="4"/>
  <c r="CM892" i="4"/>
  <c r="CN892" i="4"/>
  <c r="CN532" i="4"/>
  <c r="CM532" i="4"/>
  <c r="CU725" i="4"/>
  <c r="CT725" i="4"/>
  <c r="CN1265" i="4"/>
  <c r="CM1265" i="4"/>
  <c r="CT1266" i="4"/>
  <c r="CU1266" i="4"/>
  <c r="CK746" i="4"/>
  <c r="CL746" i="4"/>
  <c r="CS746" i="4"/>
  <c r="CR746" i="4"/>
  <c r="CM1038" i="4"/>
  <c r="CN1038" i="4"/>
  <c r="CN302" i="4"/>
  <c r="CM302" i="4"/>
  <c r="CU438" i="4"/>
  <c r="CT438" i="4"/>
  <c r="CK1443" i="4"/>
  <c r="CL1443" i="4"/>
  <c r="CK143" i="4"/>
  <c r="CL143" i="4"/>
  <c r="CR736" i="4"/>
  <c r="CS736" i="4"/>
  <c r="CR738" i="4"/>
  <c r="CS738" i="4"/>
  <c r="CT586" i="4"/>
  <c r="CU586" i="4"/>
  <c r="CT111" i="4"/>
  <c r="CU111" i="4"/>
  <c r="CK610" i="4"/>
  <c r="CL610" i="4"/>
  <c r="CR610" i="4"/>
  <c r="CS610" i="4"/>
  <c r="CS73" i="4"/>
  <c r="CR73" i="4"/>
  <c r="CK874" i="4"/>
  <c r="CL874" i="4"/>
  <c r="CK914" i="4"/>
  <c r="CL914" i="4"/>
  <c r="CT914" i="4"/>
  <c r="CU914" i="4"/>
  <c r="CR1349" i="4"/>
  <c r="CS1349" i="4"/>
  <c r="CT1350" i="4"/>
  <c r="CU1350" i="4"/>
  <c r="CK896" i="4"/>
  <c r="CL896" i="4"/>
  <c r="CN930" i="4"/>
  <c r="CM930" i="4"/>
  <c r="CU930" i="4"/>
  <c r="CT930" i="4"/>
  <c r="CR284" i="4"/>
  <c r="CS284" i="4"/>
  <c r="CR721" i="4"/>
  <c r="CS721" i="4"/>
  <c r="CT13" i="4"/>
  <c r="CU13" i="4"/>
  <c r="CK1033" i="4"/>
  <c r="CL1033" i="4"/>
  <c r="CK297" i="4"/>
  <c r="CL297" i="4"/>
  <c r="CN496" i="4"/>
  <c r="CM496" i="4"/>
  <c r="CU497" i="4"/>
  <c r="CT497" i="4"/>
  <c r="CK113" i="4"/>
  <c r="CL113" i="4"/>
  <c r="CM1379" i="4"/>
  <c r="CN1379" i="4"/>
  <c r="CT719" i="4"/>
  <c r="CU719" i="4"/>
  <c r="CM320" i="4"/>
  <c r="CN320" i="4"/>
  <c r="CT321" i="4"/>
  <c r="CU321" i="4"/>
  <c r="CK256" i="4"/>
  <c r="CL256" i="4"/>
  <c r="CR667" i="4"/>
  <c r="CS667" i="4"/>
  <c r="CK945" i="4"/>
  <c r="CL945" i="4"/>
  <c r="CS943" i="4"/>
  <c r="CR943" i="4"/>
  <c r="CN450" i="4"/>
  <c r="CM450" i="4"/>
  <c r="CR450" i="4"/>
  <c r="CS450" i="4"/>
  <c r="CN822" i="4"/>
  <c r="CM822" i="4"/>
  <c r="CT820" i="4"/>
  <c r="CU820" i="4"/>
  <c r="CR287" i="4"/>
  <c r="CS287" i="4"/>
  <c r="CK1401" i="4"/>
  <c r="CL1401" i="4"/>
  <c r="CK249" i="4"/>
  <c r="CL249" i="4"/>
  <c r="CS247" i="4"/>
  <c r="CR247" i="4"/>
  <c r="CM367" i="4"/>
  <c r="CN367" i="4"/>
  <c r="CT367" i="4"/>
  <c r="CU367" i="4"/>
  <c r="CL493" i="4"/>
  <c r="CK493" i="4"/>
  <c r="CL729" i="4"/>
  <c r="CK729" i="4"/>
  <c r="CN849" i="4"/>
  <c r="CM849" i="4"/>
  <c r="CU849" i="4"/>
  <c r="CT849" i="4"/>
  <c r="CT880" i="4"/>
  <c r="CU880" i="4"/>
  <c r="CM1277" i="4"/>
  <c r="CN1277" i="4"/>
  <c r="CT345" i="4"/>
  <c r="CU345" i="4"/>
  <c r="CL136" i="4"/>
  <c r="CK136" i="4"/>
  <c r="CM1342" i="4"/>
  <c r="CN1342" i="4"/>
  <c r="CM1089" i="4"/>
  <c r="CN1089" i="4"/>
  <c r="CM699" i="4"/>
  <c r="CN699" i="4"/>
  <c r="CK817" i="4"/>
  <c r="CL817" i="4"/>
  <c r="CM598" i="4"/>
  <c r="CN598" i="4"/>
  <c r="CR294" i="4"/>
  <c r="CS294" i="4"/>
  <c r="CS370" i="4"/>
  <c r="CR370" i="4"/>
  <c r="CT1352" i="4"/>
  <c r="CU1352" i="4"/>
  <c r="CM67" i="4"/>
  <c r="CN67" i="4"/>
  <c r="CT67" i="4"/>
  <c r="CU67" i="4"/>
  <c r="CM851" i="4"/>
  <c r="CN851" i="4"/>
  <c r="CT952" i="4"/>
  <c r="CU952" i="4"/>
  <c r="CM275" i="4"/>
  <c r="CN275" i="4"/>
  <c r="CT276" i="4"/>
  <c r="CU276" i="4"/>
  <c r="CU1168" i="4"/>
  <c r="CT1168" i="4"/>
  <c r="CS1170" i="4"/>
  <c r="CR1170" i="4"/>
  <c r="CM362" i="4"/>
  <c r="CN362" i="4"/>
  <c r="CR621" i="4"/>
  <c r="CS621" i="4"/>
  <c r="CM415" i="4"/>
  <c r="CN415" i="4"/>
  <c r="CN1091" i="4"/>
  <c r="CM1091" i="4"/>
  <c r="CT790" i="4"/>
  <c r="CU790" i="4"/>
  <c r="CS812" i="4"/>
  <c r="CR812" i="4"/>
  <c r="CM809" i="4"/>
  <c r="CN809" i="4"/>
  <c r="CR810" i="4"/>
  <c r="CS810" i="4"/>
  <c r="CN70" i="4"/>
  <c r="CM70" i="4"/>
  <c r="CL262" i="4"/>
  <c r="CK262" i="4"/>
  <c r="CT1017" i="4"/>
  <c r="CU1017" i="4"/>
  <c r="CT1402" i="4"/>
  <c r="CU1402" i="4"/>
  <c r="CU316" i="4"/>
  <c r="CT316" i="4"/>
  <c r="CN1446" i="4"/>
  <c r="CM1446" i="4"/>
  <c r="CK1361" i="4"/>
  <c r="CL1361" i="4"/>
  <c r="CL672" i="4"/>
  <c r="CK672" i="4"/>
  <c r="CK71" i="4"/>
  <c r="CL71" i="4"/>
  <c r="CR71" i="4"/>
  <c r="CS71" i="4"/>
  <c r="CN1046" i="4"/>
  <c r="CM1046" i="4"/>
  <c r="CN271" i="4"/>
  <c r="CM271" i="4"/>
  <c r="CK1274" i="4"/>
  <c r="CL1274" i="4"/>
  <c r="CK1226" i="4"/>
  <c r="CL1226" i="4"/>
  <c r="CT1225" i="4"/>
  <c r="CU1225" i="4"/>
  <c r="CR1226" i="4"/>
  <c r="CS1226" i="4"/>
  <c r="CT956" i="4"/>
  <c r="CU956" i="4"/>
  <c r="CM1004" i="4"/>
  <c r="CN1004" i="4"/>
  <c r="CM1005" i="4"/>
  <c r="CN1005" i="4"/>
  <c r="CT242" i="4"/>
  <c r="CU242" i="4"/>
  <c r="CS1095" i="4"/>
  <c r="CR1095" i="4"/>
  <c r="CS796" i="4"/>
  <c r="CR796" i="4"/>
  <c r="CU798" i="4"/>
  <c r="CT798" i="4"/>
  <c r="CR986" i="4"/>
  <c r="CS986" i="4"/>
  <c r="CK1303" i="4"/>
  <c r="CL1303" i="4"/>
  <c r="CS1303" i="4"/>
  <c r="CR1303" i="4"/>
  <c r="CT334" i="4"/>
  <c r="CU334" i="4"/>
  <c r="CM1026" i="4"/>
  <c r="CN1026" i="4"/>
  <c r="CT1024" i="4"/>
  <c r="CU1024" i="4"/>
  <c r="CM197" i="4"/>
  <c r="CN197" i="4"/>
  <c r="CT992" i="4"/>
  <c r="CU992" i="4"/>
  <c r="CK1354" i="4"/>
  <c r="CL1354" i="4"/>
  <c r="CK678" i="4"/>
  <c r="CL678" i="4"/>
  <c r="CT678" i="4"/>
  <c r="CU678" i="4"/>
  <c r="CK380" i="4"/>
  <c r="CL380" i="4"/>
  <c r="CM1179" i="4"/>
  <c r="CN1179" i="4"/>
  <c r="CT1177" i="4"/>
  <c r="CU1177" i="4"/>
  <c r="CN282" i="4"/>
  <c r="CM282" i="4"/>
  <c r="CR543" i="4"/>
  <c r="CS543" i="4"/>
  <c r="CM264" i="4"/>
  <c r="CN264" i="4"/>
  <c r="CR264" i="4"/>
  <c r="CS264" i="4"/>
  <c r="CK365" i="4"/>
  <c r="CL365" i="4"/>
  <c r="CN1224" i="4"/>
  <c r="CM1224" i="4"/>
  <c r="CK226" i="4"/>
  <c r="CL226" i="4"/>
  <c r="CT226" i="4"/>
  <c r="CU226" i="4"/>
  <c r="CT425" i="4"/>
  <c r="CU425" i="4"/>
  <c r="CN246" i="4"/>
  <c r="CM246" i="4"/>
  <c r="CU245" i="4"/>
  <c r="CT245" i="4"/>
  <c r="CR1313" i="4"/>
  <c r="CS1313" i="4"/>
  <c r="CK802" i="4"/>
  <c r="CL802" i="4"/>
  <c r="CR901" i="4"/>
  <c r="CS901" i="4"/>
  <c r="CK581" i="4"/>
  <c r="CL581" i="4"/>
  <c r="CM844" i="4"/>
  <c r="CN844" i="4"/>
  <c r="CK1199" i="4"/>
  <c r="CL1199" i="4"/>
  <c r="CU1200" i="4"/>
  <c r="CT1200" i="4"/>
  <c r="CN1133" i="4"/>
  <c r="CM1133" i="4"/>
  <c r="CT1134" i="4"/>
  <c r="CU1134" i="4"/>
  <c r="CT195" i="4"/>
  <c r="CU195" i="4"/>
  <c r="CR116" i="4"/>
  <c r="CS116" i="4"/>
  <c r="CT1175" i="4"/>
  <c r="CU1175" i="4"/>
  <c r="CM1040" i="4"/>
  <c r="CN1040" i="4"/>
  <c r="CR1041" i="4"/>
  <c r="CS1041" i="4"/>
  <c r="CM279" i="4"/>
  <c r="CN279" i="4"/>
  <c r="CM834" i="4"/>
  <c r="CN834" i="4"/>
  <c r="CM355" i="4"/>
  <c r="CN355" i="4"/>
  <c r="CK626" i="4"/>
  <c r="CL626" i="4"/>
  <c r="CR1219" i="4"/>
  <c r="CS1219" i="4"/>
  <c r="CK963" i="4"/>
  <c r="CL963" i="4"/>
  <c r="CT423" i="4"/>
  <c r="CU423" i="4"/>
  <c r="CT983" i="4"/>
  <c r="CU983" i="4"/>
  <c r="CK1307" i="4"/>
  <c r="CL1307" i="4"/>
  <c r="CT1306" i="4"/>
  <c r="CU1306" i="4"/>
  <c r="CT1308" i="4"/>
  <c r="CU1308" i="4"/>
  <c r="CT807" i="4"/>
  <c r="CU807" i="4"/>
  <c r="CT1000" i="4"/>
  <c r="CU1000" i="4"/>
  <c r="CK182" i="4"/>
  <c r="CL182" i="4"/>
  <c r="CR347" i="4"/>
  <c r="CS347" i="4"/>
  <c r="CN1282" i="4"/>
  <c r="CM1282" i="4"/>
  <c r="CM235" i="4"/>
  <c r="CN235" i="4"/>
  <c r="CL549" i="4"/>
  <c r="CK549" i="4"/>
  <c r="CS548" i="4"/>
  <c r="CR548" i="4"/>
  <c r="CT549" i="4"/>
  <c r="CU549" i="4"/>
  <c r="CL739" i="4"/>
  <c r="CK739" i="4"/>
  <c r="CR740" i="4"/>
  <c r="CS740" i="4"/>
  <c r="CM590" i="4"/>
  <c r="CN590" i="4"/>
  <c r="CR591" i="4"/>
  <c r="CS591" i="4"/>
  <c r="CR872" i="4"/>
  <c r="CS872" i="4"/>
  <c r="CM785" i="4"/>
  <c r="CN785" i="4"/>
  <c r="CM563" i="4"/>
  <c r="CN563" i="4"/>
  <c r="CS562" i="4"/>
  <c r="CR562" i="4"/>
  <c r="CL688" i="4"/>
  <c r="CK688" i="4"/>
  <c r="CS837" i="4"/>
  <c r="CR837" i="4"/>
  <c r="CS653" i="4"/>
  <c r="CR653" i="4"/>
  <c r="CK1129" i="4"/>
  <c r="CL1129" i="4"/>
  <c r="CU1129" i="4"/>
  <c r="CT1129" i="4"/>
  <c r="CL188" i="4"/>
  <c r="CK188" i="4"/>
  <c r="CT188" i="4"/>
  <c r="CU188" i="4"/>
  <c r="CL998" i="4"/>
  <c r="CK998" i="4"/>
  <c r="CK1248" i="4"/>
  <c r="CL1248" i="4"/>
  <c r="CM58" i="4"/>
  <c r="CN58" i="4"/>
  <c r="CR58" i="4"/>
  <c r="CS58" i="4"/>
  <c r="CN384" i="4"/>
  <c r="CM384" i="4"/>
  <c r="CK1048" i="4"/>
  <c r="CL1048" i="4"/>
  <c r="CT1155" i="4"/>
  <c r="CU1155" i="4"/>
  <c r="CM825" i="4"/>
  <c r="CN825" i="4"/>
  <c r="CS358" i="4"/>
  <c r="CR358" i="4"/>
  <c r="CR392" i="4"/>
  <c r="CS392" i="4"/>
  <c r="CS976" i="4"/>
  <c r="CR976" i="4"/>
  <c r="CM1371" i="4"/>
  <c r="CN1371" i="4"/>
  <c r="CT1369" i="4"/>
  <c r="CU1369" i="4"/>
  <c r="CN1413" i="4"/>
  <c r="CM1413" i="4"/>
  <c r="CU570" i="4"/>
  <c r="CT570" i="4"/>
  <c r="CR685" i="4"/>
  <c r="CS685" i="4"/>
  <c r="CU154" i="4"/>
  <c r="CT154" i="4"/>
  <c r="CU486" i="4"/>
  <c r="CT486" i="4"/>
  <c r="CL1125" i="4"/>
  <c r="CK1125" i="4"/>
  <c r="CT192" i="4"/>
  <c r="CU192" i="4"/>
  <c r="CK1146" i="4"/>
  <c r="CL1146" i="4"/>
  <c r="CR1253" i="4"/>
  <c r="CS1253" i="4"/>
  <c r="CN62" i="4"/>
  <c r="CM62" i="4"/>
  <c r="CU62" i="4"/>
  <c r="CT62" i="4"/>
  <c r="CK828" i="4"/>
  <c r="CL828" i="4"/>
  <c r="CT1105" i="4"/>
  <c r="CU1105" i="4"/>
  <c r="CS469" i="4"/>
  <c r="CR469" i="4"/>
  <c r="CN695" i="4"/>
  <c r="CM695" i="4"/>
  <c r="CT1340" i="4"/>
  <c r="CU1340" i="4"/>
  <c r="CN1414" i="4"/>
  <c r="CM1414" i="4"/>
  <c r="CR565" i="4"/>
  <c r="CS565" i="4"/>
  <c r="CK681" i="4"/>
  <c r="CL681" i="4"/>
  <c r="CK406" i="4"/>
  <c r="CL406" i="4"/>
  <c r="CT406" i="4"/>
  <c r="CU406" i="4"/>
  <c r="CR480" i="4"/>
  <c r="CS480" i="4"/>
  <c r="CS1128" i="4"/>
  <c r="CR1128" i="4"/>
  <c r="CT81" i="4"/>
  <c r="CU81" i="4"/>
  <c r="CK1249" i="4"/>
  <c r="CL1249" i="4"/>
  <c r="CT1249" i="4"/>
  <c r="CU1249" i="4"/>
  <c r="CM55" i="4"/>
  <c r="CN55" i="4"/>
  <c r="CS55" i="4"/>
  <c r="CR55" i="4"/>
  <c r="CU202" i="4"/>
  <c r="CT202" i="4"/>
  <c r="CT204" i="4"/>
  <c r="CU204" i="4"/>
  <c r="CK765" i="4"/>
  <c r="CL765" i="4"/>
  <c r="CT764" i="4"/>
  <c r="CU764" i="4"/>
  <c r="CR829" i="4"/>
  <c r="CS829" i="4"/>
  <c r="CN1103" i="4"/>
  <c r="CM1103" i="4"/>
  <c r="CM505" i="4"/>
  <c r="CN505" i="4"/>
  <c r="CK1209" i="4"/>
  <c r="CL1209" i="4"/>
  <c r="CN1007" i="4"/>
  <c r="CM1007" i="4"/>
  <c r="CR1006" i="4"/>
  <c r="CS1006" i="4"/>
  <c r="CK43" i="4"/>
  <c r="CL43" i="4"/>
  <c r="CT45" i="4"/>
  <c r="CU45" i="4"/>
  <c r="CM701" i="4"/>
  <c r="CN701" i="4"/>
  <c r="CL522" i="4"/>
  <c r="CK522" i="4"/>
  <c r="CM663" i="4"/>
  <c r="CN663" i="4"/>
  <c r="CT661" i="4"/>
  <c r="CU661" i="4"/>
  <c r="CR662" i="4"/>
  <c r="CS662" i="4"/>
  <c r="CN531" i="4"/>
  <c r="CM531" i="4"/>
  <c r="CU163" i="4"/>
  <c r="CT163" i="4"/>
  <c r="CN1291" i="4"/>
  <c r="CM1291" i="4"/>
  <c r="CM1293" i="4"/>
  <c r="CN1293" i="4"/>
  <c r="CM1421" i="4"/>
  <c r="CN1421" i="4"/>
  <c r="CR409" i="4"/>
  <c r="CS409" i="4"/>
  <c r="CN153" i="4"/>
  <c r="CM153" i="4"/>
  <c r="CU475" i="4"/>
  <c r="CT475" i="4"/>
  <c r="CS453" i="4"/>
  <c r="CR453" i="4"/>
  <c r="CR84" i="4"/>
  <c r="CS84" i="4"/>
  <c r="CT1316" i="4"/>
  <c r="CU1316" i="4"/>
  <c r="CK201" i="4"/>
  <c r="CL201" i="4"/>
  <c r="CM769" i="4"/>
  <c r="CN769" i="4"/>
  <c r="CT771" i="4"/>
  <c r="CU771" i="4"/>
  <c r="CN500" i="4"/>
  <c r="CM500" i="4"/>
  <c r="CS501" i="4"/>
  <c r="CR501" i="4"/>
  <c r="CK1184" i="4"/>
  <c r="CL1184" i="4"/>
  <c r="CR1184" i="4"/>
  <c r="CS1184" i="4"/>
  <c r="CU1183" i="4"/>
  <c r="CT1183" i="4"/>
  <c r="CK1009" i="4"/>
  <c r="CL1009" i="4"/>
  <c r="CR1010" i="4"/>
  <c r="CS1010" i="4"/>
  <c r="CU54" i="4"/>
  <c r="CT54" i="4"/>
  <c r="CU666" i="4"/>
  <c r="CT666" i="4"/>
  <c r="CR640" i="4"/>
  <c r="CS640" i="4"/>
  <c r="CR1086" i="4"/>
  <c r="CS1086" i="4"/>
  <c r="CL404" i="4"/>
  <c r="CK404" i="4"/>
  <c r="CT403" i="4"/>
  <c r="CU403" i="4"/>
  <c r="CK889" i="4"/>
  <c r="CL889" i="4"/>
  <c r="CM461" i="4"/>
  <c r="CN461" i="4"/>
  <c r="CM1325" i="4"/>
  <c r="CN1325" i="4"/>
  <c r="CR34" i="4"/>
  <c r="CS34" i="4"/>
  <c r="CL26" i="4"/>
  <c r="CK26" i="4"/>
  <c r="CT1423" i="4"/>
  <c r="CU1423" i="4"/>
  <c r="CR1239" i="4"/>
  <c r="CS1239" i="4"/>
  <c r="CM1387" i="4"/>
  <c r="CN1387" i="4"/>
  <c r="CR1387" i="4"/>
  <c r="CS1387" i="4"/>
  <c r="CN504" i="4"/>
  <c r="CM504" i="4"/>
  <c r="CL1210" i="4"/>
  <c r="CK1210" i="4"/>
  <c r="CR1212" i="4"/>
  <c r="CS1212" i="4"/>
  <c r="CU1012" i="4"/>
  <c r="CT1012" i="4"/>
  <c r="CU655" i="4"/>
  <c r="CT655" i="4"/>
  <c r="CT632" i="4"/>
  <c r="CU632" i="4"/>
  <c r="CM300" i="4"/>
  <c r="CN300" i="4"/>
  <c r="CR432" i="4"/>
  <c r="CS432" i="4"/>
  <c r="CN106" i="4"/>
  <c r="CM106" i="4"/>
  <c r="CT107" i="4"/>
  <c r="CU107" i="4"/>
  <c r="CK618" i="4"/>
  <c r="CL618" i="4"/>
  <c r="CM907" i="4"/>
  <c r="CN907" i="4"/>
  <c r="CK1427" i="4"/>
  <c r="CL1427" i="4"/>
  <c r="CT1428" i="4"/>
  <c r="CU1428" i="4"/>
  <c r="CN758" i="4"/>
  <c r="CM758" i="4"/>
  <c r="CK904" i="4"/>
  <c r="CL904" i="4"/>
  <c r="CL1382" i="4"/>
  <c r="CK1382" i="4"/>
  <c r="CK399" i="4"/>
  <c r="CL399" i="4"/>
  <c r="CT397" i="4"/>
  <c r="CU397" i="4"/>
  <c r="CK172" i="4"/>
  <c r="CL172" i="4"/>
  <c r="CM1301" i="4"/>
  <c r="CN1301" i="4"/>
  <c r="CN709" i="4"/>
  <c r="CM709" i="4"/>
  <c r="CM635" i="4"/>
  <c r="CN635" i="4"/>
  <c r="CL428" i="4"/>
  <c r="CK428" i="4"/>
  <c r="CT427" i="4"/>
  <c r="CU427" i="4"/>
  <c r="CK884" i="4"/>
  <c r="CL884" i="4"/>
  <c r="CR885" i="4"/>
  <c r="CS885" i="4"/>
  <c r="CR1140" i="4"/>
  <c r="CS1140" i="4"/>
  <c r="CL456" i="4"/>
  <c r="CK456" i="4"/>
  <c r="CU1319" i="4"/>
  <c r="CT1319" i="4"/>
  <c r="CK1147" i="4"/>
  <c r="CL1147" i="4"/>
  <c r="CM38" i="4"/>
  <c r="CN38" i="4"/>
  <c r="CR918" i="4"/>
  <c r="CS918" i="4"/>
  <c r="CU1431" i="4"/>
  <c r="CT1431" i="4"/>
  <c r="CT1242" i="4"/>
  <c r="CU1242" i="4"/>
  <c r="CT1396" i="4"/>
  <c r="CU1396" i="4"/>
  <c r="CM510" i="4"/>
  <c r="CN510" i="4"/>
  <c r="CK1117" i="4"/>
  <c r="CL1117" i="4"/>
  <c r="CT1118" i="4"/>
  <c r="CU1118" i="4"/>
  <c r="CK94" i="4"/>
  <c r="CL94" i="4"/>
  <c r="CM924" i="4"/>
  <c r="CN924" i="4"/>
  <c r="CM515" i="4"/>
  <c r="CN515" i="4"/>
  <c r="CT515" i="4"/>
  <c r="CU515" i="4"/>
  <c r="CK934" i="4"/>
  <c r="CL934" i="4"/>
  <c r="CK659" i="4"/>
  <c r="CL659" i="4"/>
  <c r="CM704" i="4"/>
  <c r="CN704" i="4"/>
  <c r="CT705" i="4"/>
  <c r="CU705" i="4"/>
  <c r="CK734" i="4"/>
  <c r="CL734" i="4"/>
  <c r="CK877" i="4"/>
  <c r="CL877" i="4"/>
  <c r="CR877" i="4"/>
  <c r="CS877" i="4"/>
  <c r="CM969" i="4"/>
  <c r="CN969" i="4"/>
  <c r="CK133" i="4"/>
  <c r="CL133" i="4"/>
  <c r="CT135" i="4"/>
  <c r="CU135" i="4"/>
  <c r="CR1346" i="4"/>
  <c r="CS1346" i="4"/>
  <c r="CK220" i="4"/>
  <c r="CL220" i="4"/>
  <c r="CR289" i="4"/>
  <c r="CS289" i="4"/>
  <c r="CT1027" i="4"/>
  <c r="CU1027" i="4"/>
  <c r="CK867" i="4"/>
  <c r="CL867" i="4"/>
  <c r="CR212" i="4"/>
  <c r="CS212" i="4"/>
  <c r="CT211" i="4"/>
  <c r="CU211" i="4"/>
  <c r="CM401" i="4"/>
  <c r="CN401" i="4"/>
  <c r="CR401" i="4"/>
  <c r="CS401" i="4"/>
  <c r="CS169" i="4"/>
  <c r="CR169" i="4"/>
  <c r="CT17" i="4"/>
  <c r="CU17" i="4"/>
  <c r="CK712" i="4"/>
  <c r="CL712" i="4"/>
  <c r="CS1079" i="4"/>
  <c r="CR1079" i="4"/>
  <c r="CR306" i="4"/>
  <c r="CS306" i="4"/>
  <c r="CM433" i="4"/>
  <c r="CN433" i="4"/>
  <c r="CT433" i="4"/>
  <c r="CU433" i="4"/>
  <c r="CR140" i="4"/>
  <c r="CS140" i="4"/>
  <c r="CT886" i="4"/>
  <c r="CU886" i="4"/>
  <c r="CM103" i="4"/>
  <c r="CN103" i="4"/>
  <c r="CT1057" i="4"/>
  <c r="CU1057" i="4"/>
  <c r="CK1322" i="4"/>
  <c r="CL1322" i="4"/>
  <c r="CS177" i="4"/>
  <c r="CR177" i="4"/>
  <c r="CL1434" i="4"/>
  <c r="CK1434" i="4"/>
  <c r="CM1234" i="4"/>
  <c r="CN1234" i="4"/>
  <c r="CT1235" i="4"/>
  <c r="CU1235" i="4"/>
  <c r="CT1288" i="4"/>
  <c r="CU1288" i="4"/>
  <c r="CL1190" i="4"/>
  <c r="CK1190" i="4"/>
  <c r="CK518" i="4"/>
  <c r="CL518" i="4"/>
  <c r="CT941" i="4"/>
  <c r="CU941" i="4"/>
  <c r="CK893" i="4"/>
  <c r="CL893" i="4"/>
  <c r="CK1061" i="4"/>
  <c r="CL1061" i="4"/>
  <c r="CM863" i="4"/>
  <c r="CN863" i="4"/>
  <c r="CS534" i="4"/>
  <c r="CR534" i="4"/>
  <c r="CK724" i="4"/>
  <c r="CL724" i="4"/>
  <c r="CT726" i="4"/>
  <c r="CU726" i="4"/>
  <c r="CM745" i="4"/>
  <c r="CN745" i="4"/>
  <c r="CT746" i="4"/>
  <c r="CU746" i="4"/>
  <c r="CT301" i="4"/>
  <c r="CU301" i="4"/>
  <c r="CS436" i="4"/>
  <c r="CR436" i="4"/>
  <c r="CM1443" i="4"/>
  <c r="CN1443" i="4"/>
  <c r="CU738" i="4"/>
  <c r="CT738" i="4"/>
  <c r="CK611" i="4"/>
  <c r="CL611" i="4"/>
  <c r="CT73" i="4"/>
  <c r="CU73" i="4"/>
  <c r="CM874" i="4"/>
  <c r="CN874" i="4"/>
  <c r="CR876" i="4"/>
  <c r="CS876" i="4"/>
  <c r="CK441" i="4"/>
  <c r="CL441" i="4"/>
  <c r="CM973" i="4"/>
  <c r="CN973" i="4"/>
  <c r="CU975" i="4"/>
  <c r="CT975" i="4"/>
  <c r="CK1073" i="4"/>
  <c r="CL1073" i="4"/>
  <c r="CM1350" i="4"/>
  <c r="CN1350" i="4"/>
  <c r="CM859" i="4"/>
  <c r="CN859" i="4"/>
  <c r="CR1375" i="4"/>
  <c r="CS1375" i="4"/>
  <c r="CM553" i="4"/>
  <c r="CN553" i="4"/>
  <c r="CT285" i="4"/>
  <c r="CU285" i="4"/>
  <c r="CU721" i="4"/>
  <c r="CT721" i="4"/>
  <c r="CM13" i="4"/>
  <c r="CN13" i="4"/>
  <c r="CR253" i="4"/>
  <c r="CS253" i="4"/>
  <c r="CM743" i="4"/>
  <c r="CN743" i="4"/>
  <c r="CM114" i="4"/>
  <c r="CN114" i="4"/>
  <c r="CS114" i="4"/>
  <c r="CR114" i="4"/>
  <c r="CN447" i="4"/>
  <c r="CM447" i="4"/>
  <c r="CS445" i="4"/>
  <c r="CR445" i="4"/>
  <c r="CT447" i="4"/>
  <c r="CU447" i="4"/>
  <c r="CN1380" i="4"/>
  <c r="CM1380" i="4"/>
  <c r="CU1380" i="4"/>
  <c r="CT1380" i="4"/>
  <c r="CM814" i="4"/>
  <c r="CN814" i="4"/>
  <c r="CT814" i="4"/>
  <c r="CU814" i="4"/>
  <c r="CN321" i="4"/>
  <c r="CM321" i="4"/>
  <c r="CR256" i="4"/>
  <c r="CS256" i="4"/>
  <c r="CK668" i="4"/>
  <c r="CL668" i="4"/>
  <c r="CT669" i="4"/>
  <c r="CU669" i="4"/>
  <c r="CT450" i="4"/>
  <c r="CU450" i="4"/>
  <c r="CT822" i="4"/>
  <c r="CU822" i="4"/>
  <c r="CM597" i="4"/>
  <c r="CN597" i="4"/>
  <c r="CN287" i="4"/>
  <c r="CM287" i="4"/>
  <c r="CM715" i="4"/>
  <c r="CN715" i="4"/>
  <c r="CM1401" i="4"/>
  <c r="CN1401" i="4"/>
  <c r="CT323" i="4"/>
  <c r="CU323" i="4"/>
  <c r="CM247" i="4"/>
  <c r="CN247" i="4"/>
  <c r="CT842" i="4"/>
  <c r="CU842" i="4"/>
  <c r="CS1332" i="4"/>
  <c r="CR1332" i="4"/>
  <c r="CR368" i="4"/>
  <c r="CS368" i="4"/>
  <c r="CM729" i="4"/>
  <c r="CN729" i="4"/>
  <c r="CS849" i="4"/>
  <c r="CR849" i="4"/>
  <c r="CK880" i="4"/>
  <c r="CL880" i="4"/>
  <c r="CL443" i="4"/>
  <c r="CK443" i="4"/>
  <c r="CK544" i="4"/>
  <c r="CL544" i="4"/>
  <c r="CK1276" i="4"/>
  <c r="CL1276" i="4"/>
  <c r="CS1278" i="4"/>
  <c r="CR1278" i="4"/>
  <c r="CN138" i="4"/>
  <c r="CM138" i="4"/>
  <c r="CT138" i="4"/>
  <c r="CU138" i="4"/>
  <c r="CM1343" i="4"/>
  <c r="CN1343" i="4"/>
  <c r="CK788" i="4"/>
  <c r="CL788" i="4"/>
  <c r="CR698" i="4"/>
  <c r="CS698" i="4"/>
  <c r="CL600" i="4"/>
  <c r="CK600" i="4"/>
  <c r="CM1023" i="4"/>
  <c r="CN1023" i="4"/>
  <c r="CK1409" i="4"/>
  <c r="CL1409" i="4"/>
  <c r="CR1410" i="4"/>
  <c r="CS1410" i="4"/>
  <c r="CT330" i="4"/>
  <c r="CU330" i="4"/>
  <c r="CK1440" i="4"/>
  <c r="CL1440" i="4"/>
  <c r="CR1440" i="4"/>
  <c r="CS1440" i="4"/>
  <c r="CR372" i="4"/>
  <c r="CS372" i="4"/>
  <c r="CT852" i="4"/>
  <c r="CU852" i="4"/>
  <c r="CN276" i="4"/>
  <c r="CM276" i="4"/>
  <c r="CK540" i="4"/>
  <c r="CL540" i="4"/>
  <c r="CT538" i="4"/>
  <c r="CU538" i="4"/>
  <c r="CR539" i="4"/>
  <c r="CS539" i="4"/>
  <c r="CR1271" i="4"/>
  <c r="CS1271" i="4"/>
  <c r="CK1170" i="4"/>
  <c r="CL1170" i="4"/>
  <c r="CT1170" i="4"/>
  <c r="CU1170" i="4"/>
  <c r="CN349" i="4"/>
  <c r="CM349" i="4"/>
  <c r="CT351" i="4"/>
  <c r="CU351" i="4"/>
  <c r="CR1092" i="4"/>
  <c r="CS1092" i="4"/>
  <c r="S8" i="4"/>
  <c r="T8" i="4" s="1"/>
  <c r="CU327" i="4"/>
  <c r="CT327" i="4"/>
  <c r="CN1362" i="4"/>
  <c r="CM1362" i="4"/>
  <c r="CS89" i="4"/>
  <c r="CR89" i="4"/>
  <c r="CM853" i="4"/>
  <c r="CN853" i="4"/>
  <c r="CT418" i="4"/>
  <c r="CU418" i="4"/>
  <c r="CM243" i="4"/>
  <c r="CN243" i="4"/>
  <c r="CT1095" i="4"/>
  <c r="CU1095" i="4"/>
  <c r="CK987" i="4"/>
  <c r="CL987" i="4"/>
  <c r="CS1304" i="4"/>
  <c r="CR1304" i="4"/>
  <c r="CT227" i="4"/>
  <c r="CU227" i="4"/>
  <c r="CK1313" i="4"/>
  <c r="CL1313" i="4"/>
  <c r="CN1018" i="4"/>
  <c r="CM1018" i="4"/>
  <c r="CM643" i="4"/>
  <c r="CN643" i="4"/>
  <c r="CM115" i="4"/>
  <c r="CN115" i="4"/>
  <c r="CU1108" i="4"/>
  <c r="CT1108" i="4"/>
  <c r="CM1308" i="4"/>
  <c r="CN1308" i="4"/>
  <c r="CM574" i="4"/>
  <c r="CN574" i="4"/>
  <c r="CR768" i="4"/>
  <c r="CS768" i="4"/>
  <c r="CR1229" i="4"/>
  <c r="CS1229" i="4"/>
  <c r="CM1412" i="4"/>
  <c r="CN1412" i="4"/>
  <c r="CS155" i="4"/>
  <c r="CR155" i="4"/>
  <c r="CR190" i="4"/>
  <c r="CS190" i="4"/>
  <c r="CN528" i="4"/>
  <c r="CM528" i="4"/>
  <c r="CN125" i="4"/>
  <c r="CM125" i="4"/>
  <c r="CL22" i="4"/>
  <c r="CK22" i="4"/>
  <c r="CU830" i="4"/>
  <c r="CT830" i="4"/>
  <c r="CR44" i="4"/>
  <c r="CS44" i="4"/>
  <c r="CS777" i="4"/>
  <c r="CR777" i="4"/>
  <c r="CM1394" i="4"/>
  <c r="CN1394" i="4"/>
  <c r="CM1360" i="4"/>
  <c r="CN1360" i="4"/>
  <c r="CR672" i="4"/>
  <c r="CS672" i="4"/>
  <c r="CT629" i="4"/>
  <c r="CU629" i="4"/>
  <c r="CM224" i="4"/>
  <c r="CN224" i="4"/>
  <c r="CT1004" i="4"/>
  <c r="CU1004" i="4"/>
  <c r="CK797" i="4"/>
  <c r="CL797" i="4"/>
  <c r="CM336" i="4"/>
  <c r="CN336" i="4"/>
  <c r="CR676" i="4"/>
  <c r="CS676" i="4"/>
  <c r="CR364" i="4"/>
  <c r="CS364" i="4"/>
  <c r="CR959" i="4"/>
  <c r="CS959" i="4"/>
  <c r="CM691" i="4"/>
  <c r="CN691" i="4"/>
  <c r="CT645" i="4"/>
  <c r="CU645" i="4"/>
  <c r="CM1175" i="4"/>
  <c r="CN1175" i="4"/>
  <c r="CT331" i="4"/>
  <c r="CU331" i="4"/>
  <c r="CS325" i="4"/>
  <c r="CR325" i="4"/>
  <c r="CT317" i="4"/>
  <c r="CU317" i="4"/>
  <c r="CR1273" i="4"/>
  <c r="CS1273" i="4"/>
  <c r="CU630" i="4"/>
  <c r="CT630" i="4"/>
  <c r="CT1205" i="4"/>
  <c r="CU1205" i="4"/>
  <c r="CT1224" i="4"/>
  <c r="CU1224" i="4"/>
  <c r="CS226" i="4"/>
  <c r="CR226" i="4"/>
  <c r="CR1098" i="4"/>
  <c r="CS1098" i="4"/>
  <c r="CT691" i="4"/>
  <c r="CU691" i="4"/>
  <c r="CM604" i="4"/>
  <c r="CN604" i="4"/>
  <c r="CM331" i="4"/>
  <c r="CN331" i="4"/>
  <c r="CM1016" i="4"/>
  <c r="CN1016" i="4"/>
  <c r="CR1404" i="4"/>
  <c r="CS1404" i="4"/>
  <c r="CK317" i="4"/>
  <c r="CL317" i="4"/>
  <c r="CR1195" i="4"/>
  <c r="CS1195" i="4"/>
  <c r="CM1329" i="4"/>
  <c r="CN1329" i="4"/>
  <c r="CM1444" i="4"/>
  <c r="CN1444" i="4"/>
  <c r="CM1361" i="4"/>
  <c r="CN1361" i="4"/>
  <c r="CR1362" i="4"/>
  <c r="CS1362" i="4"/>
  <c r="CU672" i="4"/>
  <c r="CT672" i="4"/>
  <c r="CK629" i="4"/>
  <c r="CL629" i="4"/>
  <c r="CM223" i="4"/>
  <c r="CN223" i="4"/>
  <c r="CK955" i="4"/>
  <c r="CL955" i="4"/>
  <c r="CR956" i="4"/>
  <c r="CS956" i="4"/>
  <c r="CS418" i="4"/>
  <c r="CR418" i="4"/>
  <c r="CM1003" i="4"/>
  <c r="CN1003" i="4"/>
  <c r="CL1093" i="4"/>
  <c r="CK1093" i="4"/>
  <c r="CT1093" i="4"/>
  <c r="CU1093" i="4"/>
  <c r="CU797" i="4"/>
  <c r="CT797" i="4"/>
  <c r="CR987" i="4"/>
  <c r="CS987" i="4"/>
  <c r="CU1303" i="4"/>
  <c r="CT1303" i="4"/>
  <c r="CT801" i="4"/>
  <c r="CU801" i="4"/>
  <c r="CR1310" i="4"/>
  <c r="CS1310" i="4"/>
  <c r="CM603" i="4"/>
  <c r="CN603" i="4"/>
  <c r="CT601" i="4"/>
  <c r="CU601" i="4"/>
  <c r="CK1364" i="4"/>
  <c r="CL1364" i="4"/>
  <c r="CR1206" i="4"/>
  <c r="CS1206" i="4"/>
  <c r="CL1337" i="4"/>
  <c r="CK1337" i="4"/>
  <c r="CS1338" i="4"/>
  <c r="CR1338" i="4"/>
  <c r="CS1336" i="4"/>
  <c r="CR1336" i="4"/>
  <c r="CU198" i="4"/>
  <c r="CT198" i="4"/>
  <c r="CR1354" i="4"/>
  <c r="CS1354" i="4"/>
  <c r="CK543" i="4"/>
  <c r="CL543" i="4"/>
  <c r="CT543" i="4"/>
  <c r="CU543" i="4"/>
  <c r="CM365" i="4"/>
  <c r="CN365" i="4"/>
  <c r="CR366" i="4"/>
  <c r="CS366" i="4"/>
  <c r="CM622" i="4"/>
  <c r="CN622" i="4"/>
  <c r="CM1223" i="4"/>
  <c r="CN1223" i="4"/>
  <c r="CK1224" i="4"/>
  <c r="CL1224" i="4"/>
  <c r="CM227" i="4"/>
  <c r="CN227" i="4"/>
  <c r="CM960" i="4"/>
  <c r="CN960" i="4"/>
  <c r="CL1098" i="4"/>
  <c r="CK1098" i="4"/>
  <c r="CT1313" i="4"/>
  <c r="CU1313" i="4"/>
  <c r="CM804" i="4"/>
  <c r="CN804" i="4"/>
  <c r="CM581" i="4"/>
  <c r="CN581" i="4"/>
  <c r="CM1366" i="4"/>
  <c r="CN1366" i="4"/>
  <c r="CT684" i="4"/>
  <c r="CU684" i="4"/>
  <c r="CK845" i="4"/>
  <c r="CL845" i="4"/>
  <c r="CM315" i="4"/>
  <c r="CN315" i="4"/>
  <c r="CR314" i="4"/>
  <c r="CS314" i="4"/>
  <c r="CM1198" i="4"/>
  <c r="CN1198" i="4"/>
  <c r="CK643" i="4"/>
  <c r="CL643" i="4"/>
  <c r="CS1133" i="4"/>
  <c r="CR1133" i="4"/>
  <c r="CR195" i="4"/>
  <c r="CS195" i="4"/>
  <c r="CM996" i="4"/>
  <c r="CN996" i="4"/>
  <c r="CT1359" i="4"/>
  <c r="CU1359" i="4"/>
  <c r="CS115" i="4"/>
  <c r="CR115" i="4"/>
  <c r="CM1041" i="4"/>
  <c r="CN1041" i="4"/>
  <c r="CM1158" i="4"/>
  <c r="CN1158" i="4"/>
  <c r="CR1157" i="4"/>
  <c r="CS1157" i="4"/>
  <c r="CT1110" i="4"/>
  <c r="CU1110" i="4"/>
  <c r="CK627" i="4"/>
  <c r="CL627" i="4"/>
  <c r="CR962" i="4"/>
  <c r="CS962" i="4"/>
  <c r="CR421" i="4"/>
  <c r="CS421" i="4"/>
  <c r="CT984" i="4"/>
  <c r="CU984" i="4"/>
  <c r="CS807" i="4"/>
  <c r="CR807" i="4"/>
  <c r="CK990" i="4"/>
  <c r="CL990" i="4"/>
  <c r="CR181" i="4"/>
  <c r="CS181" i="4"/>
  <c r="CT347" i="4"/>
  <c r="CU347" i="4"/>
  <c r="CK1282" i="4"/>
  <c r="CL1282" i="4"/>
  <c r="CR868" i="4"/>
  <c r="CS868" i="4"/>
  <c r="CT870" i="4"/>
  <c r="CU870" i="4"/>
  <c r="CK235" i="4"/>
  <c r="CL235" i="4"/>
  <c r="CT547" i="4"/>
  <c r="CU547" i="4"/>
  <c r="CM739" i="4"/>
  <c r="CN739" i="4"/>
  <c r="CL1436" i="4"/>
  <c r="CK1436" i="4"/>
  <c r="CM589" i="4"/>
  <c r="CN589" i="4"/>
  <c r="CT872" i="4"/>
  <c r="CU872" i="4"/>
  <c r="CM755" i="4"/>
  <c r="CN755" i="4"/>
  <c r="CM1372" i="4"/>
  <c r="CN1372" i="4"/>
  <c r="CR1372" i="4"/>
  <c r="CS1372" i="4"/>
  <c r="CR341" i="4"/>
  <c r="CS341" i="4"/>
  <c r="CU564" i="4"/>
  <c r="CT564" i="4"/>
  <c r="CK837" i="4"/>
  <c r="CL837" i="4"/>
  <c r="CT836" i="4"/>
  <c r="CU836" i="4"/>
  <c r="CT837" i="4"/>
  <c r="CU837" i="4"/>
  <c r="CM310" i="4"/>
  <c r="CN310" i="4"/>
  <c r="CL653" i="4"/>
  <c r="CK653" i="4"/>
  <c r="CS1130" i="4"/>
  <c r="CR1130" i="4"/>
  <c r="CR123" i="4"/>
  <c r="CS123" i="4"/>
  <c r="CK58" i="4"/>
  <c r="CL58" i="4"/>
  <c r="CT58" i="4"/>
  <c r="CU58" i="4"/>
  <c r="CK384" i="4"/>
  <c r="CL384" i="4"/>
  <c r="CK1172" i="4"/>
  <c r="CL1172" i="4"/>
  <c r="CR1171" i="4"/>
  <c r="CS1171" i="4"/>
  <c r="CM1154" i="4"/>
  <c r="CN1154" i="4"/>
  <c r="CK766" i="4"/>
  <c r="CL766" i="4"/>
  <c r="CT767" i="4"/>
  <c r="CU767" i="4"/>
  <c r="CK1099" i="4"/>
  <c r="CL1099" i="4"/>
  <c r="CT1101" i="4"/>
  <c r="CU1101" i="4"/>
  <c r="CK265" i="4"/>
  <c r="CL265" i="4"/>
  <c r="CM391" i="4"/>
  <c r="CN391" i="4"/>
  <c r="CT392" i="4"/>
  <c r="CU392" i="4"/>
  <c r="CL779" i="4"/>
  <c r="CK779" i="4"/>
  <c r="CR780" i="4"/>
  <c r="CS780" i="4"/>
  <c r="CT1370" i="4"/>
  <c r="CU1370" i="4"/>
  <c r="CT1297" i="4"/>
  <c r="CU1297" i="4"/>
  <c r="CK569" i="4"/>
  <c r="CL569" i="4"/>
  <c r="CR687" i="4"/>
  <c r="CS687" i="4"/>
  <c r="CT485" i="4"/>
  <c r="CU485" i="4"/>
  <c r="CM190" i="4"/>
  <c r="CN190" i="4"/>
  <c r="CT191" i="4"/>
  <c r="CU191" i="4"/>
  <c r="CM1252" i="4"/>
  <c r="CN1252" i="4"/>
  <c r="CK62" i="4"/>
  <c r="CL62" i="4"/>
  <c r="CK772" i="4"/>
  <c r="CL772" i="4"/>
  <c r="CM827" i="4"/>
  <c r="CN827" i="4"/>
  <c r="CT828" i="4"/>
  <c r="CU828" i="4"/>
  <c r="CM261" i="4"/>
  <c r="CN261" i="4"/>
  <c r="CM47" i="4"/>
  <c r="CN47" i="4"/>
  <c r="CN470" i="4"/>
  <c r="CM470" i="4"/>
  <c r="CU469" i="4"/>
  <c r="CT469" i="4"/>
  <c r="CN979" i="4"/>
  <c r="CM979" i="4"/>
  <c r="CK131" i="4"/>
  <c r="CL131" i="4"/>
  <c r="CK1286" i="4"/>
  <c r="CL1286" i="4"/>
  <c r="CN1339" i="4"/>
  <c r="CM1339" i="4"/>
  <c r="CT1341" i="4"/>
  <c r="CU1341" i="4"/>
  <c r="CU579" i="4"/>
  <c r="CT579" i="4"/>
  <c r="CM565" i="4"/>
  <c r="CN565" i="4"/>
  <c r="CT567" i="4"/>
  <c r="CU567" i="4"/>
  <c r="CT480" i="4"/>
  <c r="CU480" i="4"/>
  <c r="CK1127" i="4"/>
  <c r="CL1127" i="4"/>
  <c r="CK79" i="4"/>
  <c r="CL79" i="4"/>
  <c r="CK1250" i="4"/>
  <c r="CL1250" i="4"/>
  <c r="CL126" i="4"/>
  <c r="CK126" i="4"/>
  <c r="CR857" i="4"/>
  <c r="CS857" i="4"/>
  <c r="CL204" i="4"/>
  <c r="CK204" i="4"/>
  <c r="CK40" i="4"/>
  <c r="CL40" i="4"/>
  <c r="CR22" i="4"/>
  <c r="CS22" i="4"/>
  <c r="CR763" i="4"/>
  <c r="CS763" i="4"/>
  <c r="CL829" i="4"/>
  <c r="CK829" i="4"/>
  <c r="CL1102" i="4"/>
  <c r="CK1102" i="4"/>
  <c r="CR1104" i="4"/>
  <c r="CS1104" i="4"/>
  <c r="CN1121" i="4"/>
  <c r="CM1121" i="4"/>
  <c r="CT1120" i="4"/>
  <c r="CU1120" i="4"/>
  <c r="CS1122" i="4"/>
  <c r="CR1122" i="4"/>
  <c r="CN474" i="4"/>
  <c r="CM474" i="4"/>
  <c r="CK661" i="4"/>
  <c r="CL661" i="4"/>
  <c r="CM662" i="4"/>
  <c r="CN662" i="4"/>
  <c r="CT662" i="4"/>
  <c r="CU662" i="4"/>
  <c r="CR776" i="4"/>
  <c r="CS776" i="4"/>
  <c r="CM1083" i="4"/>
  <c r="CN1083" i="4"/>
  <c r="CK409" i="4"/>
  <c r="CL409" i="4"/>
  <c r="CT410" i="4"/>
  <c r="CU410" i="4"/>
  <c r="CS151" i="4"/>
  <c r="CR151" i="4"/>
  <c r="CS476" i="4"/>
  <c r="CR476" i="4"/>
  <c r="CN453" i="4"/>
  <c r="CM453" i="4"/>
  <c r="CT453" i="4"/>
  <c r="CU453" i="4"/>
  <c r="CR1244" i="4"/>
  <c r="CS1244" i="4"/>
  <c r="CK30" i="4"/>
  <c r="CL30" i="4"/>
  <c r="CM1393" i="4"/>
  <c r="CN1393" i="4"/>
  <c r="CR1395" i="4"/>
  <c r="CS1395" i="4"/>
  <c r="CT501" i="4"/>
  <c r="CU501" i="4"/>
  <c r="CS1217" i="4"/>
  <c r="CR1217" i="4"/>
  <c r="CK1185" i="4"/>
  <c r="CL1185" i="4"/>
  <c r="CU1184" i="4"/>
  <c r="CT1184" i="4"/>
  <c r="CK1010" i="4"/>
  <c r="CL1010" i="4"/>
  <c r="CT1010" i="4"/>
  <c r="CU1010" i="4"/>
  <c r="CK54" i="4"/>
  <c r="CL54" i="4"/>
  <c r="CT53" i="4"/>
  <c r="CU53" i="4"/>
  <c r="CK465" i="4"/>
  <c r="CL465" i="4"/>
  <c r="CK931" i="4"/>
  <c r="CL931" i="4"/>
  <c r="CT664" i="4"/>
  <c r="CU664" i="4"/>
  <c r="CT1086" i="4"/>
  <c r="CU1086" i="4"/>
  <c r="CM403" i="4"/>
  <c r="CN403" i="4"/>
  <c r="CN889" i="4"/>
  <c r="CM889" i="4"/>
  <c r="CM1137" i="4"/>
  <c r="CN1137" i="4"/>
  <c r="CK461" i="4"/>
  <c r="CL461" i="4"/>
  <c r="CS462" i="4"/>
  <c r="CR462" i="4"/>
  <c r="CK85" i="4"/>
  <c r="CL85" i="4"/>
  <c r="CK1324" i="4"/>
  <c r="CL1324" i="4"/>
  <c r="CS207" i="4"/>
  <c r="CR207" i="4"/>
  <c r="CN26" i="4"/>
  <c r="CM26" i="4"/>
  <c r="CR26" i="4"/>
  <c r="CS26" i="4"/>
  <c r="CM1425" i="4"/>
  <c r="CN1425" i="4"/>
  <c r="CK1238" i="4"/>
  <c r="CL1238" i="4"/>
  <c r="CM503" i="4"/>
  <c r="CN503" i="4"/>
  <c r="CT502" i="4"/>
  <c r="CU502" i="4"/>
  <c r="CK1113" i="4"/>
  <c r="CL1113" i="4"/>
  <c r="CR1013" i="4"/>
  <c r="CS1013" i="4"/>
  <c r="CK938" i="4"/>
  <c r="CL938" i="4"/>
  <c r="CT937" i="4"/>
  <c r="CU937" i="4"/>
  <c r="CM656" i="4"/>
  <c r="CN656" i="4"/>
  <c r="CR300" i="4"/>
  <c r="CS300" i="4"/>
  <c r="CT432" i="4"/>
  <c r="CU432" i="4"/>
  <c r="CM147" i="4"/>
  <c r="CN147" i="4"/>
  <c r="CM1428" i="4"/>
  <c r="CN1428" i="4"/>
  <c r="CR1426" i="4"/>
  <c r="CS1426" i="4"/>
  <c r="CK1064" i="4"/>
  <c r="CL1064" i="4"/>
  <c r="CS757" i="4"/>
  <c r="CR757" i="4"/>
  <c r="CR758" i="4"/>
  <c r="CS758" i="4"/>
  <c r="CM1382" i="4"/>
  <c r="CN1382" i="4"/>
  <c r="CR1382" i="4"/>
  <c r="CS1382" i="4"/>
  <c r="CR511" i="4"/>
  <c r="CS511" i="4"/>
  <c r="CK1161" i="4"/>
  <c r="CL1161" i="4"/>
  <c r="CM399" i="4"/>
  <c r="CN399" i="4"/>
  <c r="CL173" i="4"/>
  <c r="CK173" i="4"/>
  <c r="CS173" i="4"/>
  <c r="CR173" i="4"/>
  <c r="CS1300" i="4"/>
  <c r="CR1300" i="4"/>
  <c r="CM634" i="4"/>
  <c r="CN634" i="4"/>
  <c r="CM636" i="4"/>
  <c r="CN636" i="4"/>
  <c r="CR636" i="4"/>
  <c r="CS636" i="4"/>
  <c r="CK1076" i="4"/>
  <c r="CL1076" i="4"/>
  <c r="CR884" i="4"/>
  <c r="CS884" i="4"/>
  <c r="CT885" i="4"/>
  <c r="CU885" i="4"/>
  <c r="CU1138" i="4"/>
  <c r="CT1138" i="4"/>
  <c r="CM607" i="4"/>
  <c r="CN607" i="4"/>
  <c r="CR608" i="4"/>
  <c r="CS608" i="4"/>
  <c r="CK1056" i="4"/>
  <c r="CL1056" i="4"/>
  <c r="CR1054" i="4"/>
  <c r="CS1054" i="4"/>
  <c r="CM1147" i="4"/>
  <c r="CN1147" i="4"/>
  <c r="CT1148" i="4"/>
  <c r="CU1148" i="4"/>
  <c r="CT918" i="4"/>
  <c r="CU918" i="4"/>
  <c r="CM1396" i="4"/>
  <c r="CN1396" i="4"/>
  <c r="CS509" i="4"/>
  <c r="CR509" i="4"/>
  <c r="CM1118" i="4"/>
  <c r="CN1118" i="4"/>
  <c r="CM1194" i="4"/>
  <c r="CN1194" i="4"/>
  <c r="CT96" i="4"/>
  <c r="CU96" i="4"/>
  <c r="CS516" i="4"/>
  <c r="CR516" i="4"/>
  <c r="CR660" i="4"/>
  <c r="CS660" i="4"/>
  <c r="CM217" i="4"/>
  <c r="CN217" i="4"/>
  <c r="CM592" i="4"/>
  <c r="CN592" i="4"/>
  <c r="CR593" i="4"/>
  <c r="CS593" i="4"/>
  <c r="CN1066" i="4"/>
  <c r="CM1066" i="4"/>
  <c r="CK1345" i="4"/>
  <c r="CL1345" i="4"/>
  <c r="CT1346" i="4"/>
  <c r="CU1346" i="4"/>
  <c r="CM899" i="4"/>
  <c r="CN899" i="4"/>
  <c r="CN221" i="4"/>
  <c r="CM221" i="4"/>
  <c r="CR222" i="4"/>
  <c r="CS222" i="4"/>
  <c r="CT289" i="4"/>
  <c r="CU289" i="4"/>
  <c r="CT1028" i="4"/>
  <c r="CU1028" i="4"/>
  <c r="CK730" i="4"/>
  <c r="CL730" i="4"/>
  <c r="CK211" i="4"/>
  <c r="CL211" i="4"/>
  <c r="CL400" i="4"/>
  <c r="CK400" i="4"/>
  <c r="CT401" i="4"/>
  <c r="CU401" i="4"/>
  <c r="CK170" i="4"/>
  <c r="CL170" i="4"/>
  <c r="CN18" i="4"/>
  <c r="CM18" i="4"/>
  <c r="CN712" i="4"/>
  <c r="CM712" i="4"/>
  <c r="CK639" i="4"/>
  <c r="CL639" i="4"/>
  <c r="CM1078" i="4"/>
  <c r="CN1078" i="4"/>
  <c r="CR304" i="4"/>
  <c r="CS304" i="4"/>
  <c r="CU306" i="4"/>
  <c r="CT306" i="4"/>
  <c r="CR139" i="4"/>
  <c r="CS139" i="4"/>
  <c r="CK886" i="4"/>
  <c r="CL886" i="4"/>
  <c r="CR675" i="4"/>
  <c r="CS675" i="4"/>
  <c r="CT613" i="4"/>
  <c r="CU613" i="4"/>
  <c r="CN1058" i="4"/>
  <c r="CM1058" i="4"/>
  <c r="CM1321" i="4"/>
  <c r="CN1321" i="4"/>
  <c r="CR910" i="4"/>
  <c r="CS910" i="4"/>
  <c r="CM1392" i="4"/>
  <c r="CN1392" i="4"/>
  <c r="CT1391" i="4"/>
  <c r="CU1391" i="4"/>
  <c r="CM1191" i="4"/>
  <c r="CN1191" i="4"/>
  <c r="CN518" i="4"/>
  <c r="CM518" i="4"/>
  <c r="CR1256" i="4"/>
  <c r="CS1256" i="4"/>
  <c r="CK7" i="4"/>
  <c r="CL7" i="4"/>
  <c r="CM9" i="4"/>
  <c r="CN9" i="4"/>
  <c r="CM1061" i="4"/>
  <c r="CN1061" i="4"/>
  <c r="CS1060" i="4"/>
  <c r="CR1060" i="4"/>
  <c r="CK863" i="4"/>
  <c r="CL863" i="4"/>
  <c r="CT864" i="4"/>
  <c r="CU864" i="4"/>
  <c r="CK919" i="4"/>
  <c r="CL919" i="4"/>
  <c r="CT534" i="4"/>
  <c r="CU534" i="4"/>
  <c r="CN726" i="4"/>
  <c r="CM726" i="4"/>
  <c r="CT1264" i="4"/>
  <c r="CU1264" i="4"/>
  <c r="CK11" i="4"/>
  <c r="CL11" i="4"/>
  <c r="CS706" i="4"/>
  <c r="CR706" i="4"/>
  <c r="CS747" i="4"/>
  <c r="CR747" i="4"/>
  <c r="CM303" i="4"/>
  <c r="CN303" i="4"/>
  <c r="CM438" i="4"/>
  <c r="CN438" i="4"/>
  <c r="CR144" i="4"/>
  <c r="CS144" i="4"/>
  <c r="CM376" i="4"/>
  <c r="CN376" i="4"/>
  <c r="CK587" i="4"/>
  <c r="CL587" i="4"/>
  <c r="CR587" i="4"/>
  <c r="CS587" i="4"/>
  <c r="CM111" i="4"/>
  <c r="CN111" i="4"/>
  <c r="CR612" i="4"/>
  <c r="CS612" i="4"/>
  <c r="CT974" i="4"/>
  <c r="CU974" i="4"/>
  <c r="CL184" i="4"/>
  <c r="CK184" i="4"/>
  <c r="CK186" i="4"/>
  <c r="CL186" i="4"/>
  <c r="CR915" i="4"/>
  <c r="CS915" i="4"/>
  <c r="CM127" i="4"/>
  <c r="CN127" i="4"/>
  <c r="CL129" i="4"/>
  <c r="CK129" i="4"/>
  <c r="CT129" i="4"/>
  <c r="CU129" i="4"/>
  <c r="CK761" i="4"/>
  <c r="CL761" i="4"/>
  <c r="CM897" i="4"/>
  <c r="CN897" i="4"/>
  <c r="CR1376" i="4"/>
  <c r="CS1376" i="4"/>
  <c r="CS928" i="4"/>
  <c r="CR928" i="4"/>
  <c r="CK554" i="4"/>
  <c r="CL554" i="4"/>
  <c r="CS554" i="4"/>
  <c r="CR554" i="4"/>
  <c r="CR216" i="4"/>
  <c r="CS216" i="4"/>
  <c r="CR14" i="4"/>
  <c r="CS14" i="4"/>
  <c r="CR744" i="4"/>
  <c r="CS744" i="4"/>
  <c r="CK583" i="4"/>
  <c r="CL583" i="4"/>
  <c r="CU114" i="4"/>
  <c r="CT114" i="4"/>
  <c r="CL815" i="4"/>
  <c r="CK815" i="4"/>
  <c r="CT815" i="4"/>
  <c r="CU815" i="4"/>
  <c r="CR321" i="4"/>
  <c r="CS321" i="4"/>
  <c r="CR257" i="4"/>
  <c r="CS257" i="4"/>
  <c r="CK490" i="4"/>
  <c r="CL490" i="4"/>
  <c r="CK449" i="4"/>
  <c r="CL449" i="4"/>
  <c r="CR821" i="4"/>
  <c r="CS821" i="4"/>
  <c r="CT595" i="4"/>
  <c r="CU595" i="4"/>
  <c r="CR715" i="4"/>
  <c r="CS715" i="4"/>
  <c r="CM324" i="4"/>
  <c r="CN324" i="4"/>
  <c r="CU322" i="4"/>
  <c r="CT322" i="4"/>
  <c r="CM843" i="4"/>
  <c r="CN843" i="4"/>
  <c r="CU843" i="4"/>
  <c r="CT843" i="4"/>
  <c r="CN748" i="4"/>
  <c r="CM748" i="4"/>
  <c r="CR749" i="4"/>
  <c r="CS749" i="4"/>
  <c r="CN1330" i="4"/>
  <c r="CM1330" i="4"/>
  <c r="CM1332" i="4"/>
  <c r="CN1332" i="4"/>
  <c r="CT368" i="4"/>
  <c r="CU368" i="4"/>
  <c r="CM495" i="4"/>
  <c r="CN495" i="4"/>
  <c r="CK946" i="4"/>
  <c r="CL946" i="4"/>
  <c r="CR947" i="4"/>
  <c r="CS947" i="4"/>
  <c r="CS444" i="4"/>
  <c r="CR444" i="4"/>
  <c r="CT1278" i="4"/>
  <c r="CU1278" i="4"/>
  <c r="CK1165" i="4"/>
  <c r="CL1165" i="4"/>
  <c r="CR138" i="4"/>
  <c r="CS138" i="4"/>
  <c r="CK1342" i="4"/>
  <c r="CL1342" i="4"/>
  <c r="CU1344" i="4"/>
  <c r="CT1344" i="4"/>
  <c r="CR1088" i="4"/>
  <c r="CS1088" i="4"/>
  <c r="CM697" i="4"/>
  <c r="CN697" i="4"/>
  <c r="CK819" i="4"/>
  <c r="CL819" i="4"/>
  <c r="CK556" i="4"/>
  <c r="CL556" i="4"/>
  <c r="CU292" i="4"/>
  <c r="CT292" i="4"/>
  <c r="CL1410" i="4"/>
  <c r="CK1410" i="4"/>
  <c r="CT1410" i="4"/>
  <c r="CU1410" i="4"/>
  <c r="CR330" i="4"/>
  <c r="CS330" i="4"/>
  <c r="CK252" i="4"/>
  <c r="CL252" i="4"/>
  <c r="CK1201" i="4"/>
  <c r="CL1201" i="4"/>
  <c r="CS1202" i="4"/>
  <c r="CR1202" i="4"/>
  <c r="CM1440" i="4"/>
  <c r="CN1440" i="4"/>
  <c r="CM371" i="4"/>
  <c r="CN371" i="4"/>
  <c r="CT372" i="4"/>
  <c r="CU372" i="4"/>
  <c r="CS1353" i="4"/>
  <c r="CR1353" i="4"/>
  <c r="CR852" i="4"/>
  <c r="CS852" i="4"/>
  <c r="CM952" i="4"/>
  <c r="CN952" i="4"/>
  <c r="CT539" i="4"/>
  <c r="CU539" i="4"/>
  <c r="CK619" i="4"/>
  <c r="CL619" i="4"/>
  <c r="CT621" i="4"/>
  <c r="CU621" i="4"/>
  <c r="CK415" i="4"/>
  <c r="CL415" i="4"/>
  <c r="CR415" i="4"/>
  <c r="CS415" i="4"/>
  <c r="CK1092" i="4"/>
  <c r="CL1092" i="4"/>
  <c r="CS811" i="4"/>
  <c r="CR811" i="4"/>
  <c r="CM605" i="4"/>
  <c r="CN605" i="4"/>
  <c r="CM71" i="4"/>
  <c r="CN71" i="4"/>
  <c r="CR1274" i="4"/>
  <c r="CS1274" i="4"/>
  <c r="CR224" i="4"/>
  <c r="CS224" i="4"/>
  <c r="CS1311" i="4"/>
  <c r="CR1311" i="4"/>
  <c r="CR336" i="4"/>
  <c r="CS336" i="4"/>
  <c r="CM1406" i="4"/>
  <c r="CN1406" i="4"/>
  <c r="CT1204" i="4"/>
  <c r="CU1204" i="4"/>
  <c r="CK1355" i="4"/>
  <c r="CL1355" i="4"/>
  <c r="CK280" i="4"/>
  <c r="CL280" i="4"/>
  <c r="CM623" i="4"/>
  <c r="CN623" i="4"/>
  <c r="CT1096" i="4"/>
  <c r="CU1096" i="4"/>
  <c r="CU279" i="4"/>
  <c r="CT279" i="4"/>
  <c r="CT1109" i="4"/>
  <c r="CU1109" i="4"/>
  <c r="CR231" i="4"/>
  <c r="CS231" i="4"/>
  <c r="CM421" i="4"/>
  <c r="CN421" i="4"/>
  <c r="CM312" i="4"/>
  <c r="CN312" i="4"/>
  <c r="CN1129" i="4"/>
  <c r="CM1129" i="4"/>
  <c r="CT59" i="4"/>
  <c r="CU59" i="4"/>
  <c r="CK1101" i="4"/>
  <c r="CL1101" i="4"/>
  <c r="CR265" i="4"/>
  <c r="CS265" i="4"/>
  <c r="CM392" i="4"/>
  <c r="CN392" i="4"/>
  <c r="CR571" i="4"/>
  <c r="CS571" i="4"/>
  <c r="CK840" i="4"/>
  <c r="CL840" i="4"/>
  <c r="CK485" i="4"/>
  <c r="CL485" i="4"/>
  <c r="CR192" i="4"/>
  <c r="CS192" i="4"/>
  <c r="CK470" i="4"/>
  <c r="CL470" i="4"/>
  <c r="CR981" i="4"/>
  <c r="CS981" i="4"/>
  <c r="CL1285" i="4"/>
  <c r="CK1285" i="4"/>
  <c r="CR552" i="4"/>
  <c r="CS552" i="4"/>
  <c r="CK577" i="4"/>
  <c r="CL577" i="4"/>
  <c r="CN1128" i="4"/>
  <c r="CM1128" i="4"/>
  <c r="CT41" i="4"/>
  <c r="CU41" i="4"/>
  <c r="CR102" i="4"/>
  <c r="CS102" i="4"/>
  <c r="CU663" i="4"/>
  <c r="CT663" i="4"/>
  <c r="CU164" i="4"/>
  <c r="CT164" i="4"/>
  <c r="CT1393" i="4"/>
  <c r="CU1393" i="4"/>
  <c r="CK1328" i="4"/>
  <c r="CL1328" i="4"/>
  <c r="CM374" i="4"/>
  <c r="CN374" i="4"/>
  <c r="CU70" i="4"/>
  <c r="CT70" i="4"/>
  <c r="CL242" i="4"/>
  <c r="CK242" i="4"/>
  <c r="CM799" i="4"/>
  <c r="CN799" i="4"/>
  <c r="CU197" i="4"/>
  <c r="CT197" i="4"/>
  <c r="CM678" i="4"/>
  <c r="CN678" i="4"/>
  <c r="CK1178" i="4"/>
  <c r="CL1178" i="4"/>
  <c r="CS542" i="4"/>
  <c r="CR542" i="4"/>
  <c r="CK1223" i="4"/>
  <c r="CL1223" i="4"/>
  <c r="CR804" i="4"/>
  <c r="CS804" i="4"/>
  <c r="CK1020" i="4"/>
  <c r="CL1020" i="4"/>
  <c r="CL1132" i="4"/>
  <c r="CK1132" i="4"/>
  <c r="CL1158" i="4"/>
  <c r="CK1158" i="4"/>
  <c r="CK327" i="4"/>
  <c r="CL327" i="4"/>
  <c r="CM855" i="4"/>
  <c r="CN855" i="4"/>
  <c r="CM326" i="4"/>
  <c r="CN326" i="4"/>
  <c r="CM1195" i="4"/>
  <c r="CN1195" i="4"/>
  <c r="CK1225" i="4"/>
  <c r="CL1225" i="4"/>
  <c r="CR1093" i="4"/>
  <c r="CS1093" i="4"/>
  <c r="CR797" i="4"/>
  <c r="CS797" i="4"/>
  <c r="CR334" i="4"/>
  <c r="CS334" i="4"/>
  <c r="CT1405" i="4"/>
  <c r="CU1405" i="4"/>
  <c r="CS992" i="4"/>
  <c r="CR992" i="4"/>
  <c r="CL379" i="4"/>
  <c r="CK379" i="4"/>
  <c r="CL1043" i="4"/>
  <c r="CK1043" i="4"/>
  <c r="CM541" i="4"/>
  <c r="CN541" i="4"/>
  <c r="CK426" i="4"/>
  <c r="CL426" i="4"/>
  <c r="CL804" i="4"/>
  <c r="CK804" i="4"/>
  <c r="CK332" i="4"/>
  <c r="CL332" i="4"/>
  <c r="CK1403" i="4"/>
  <c r="CL1403" i="4"/>
  <c r="CM317" i="4"/>
  <c r="CN317" i="4"/>
  <c r="CR318" i="4"/>
  <c r="CS318" i="4"/>
  <c r="CU1327" i="4"/>
  <c r="CT1327" i="4"/>
  <c r="CT1444" i="4"/>
  <c r="CU1444" i="4"/>
  <c r="CS373" i="4"/>
  <c r="CR373" i="4"/>
  <c r="CT1362" i="4"/>
  <c r="CU1362" i="4"/>
  <c r="CT671" i="4"/>
  <c r="CU671" i="4"/>
  <c r="CK853" i="4"/>
  <c r="CL853" i="4"/>
  <c r="CR272" i="4"/>
  <c r="CS272" i="4"/>
  <c r="CK535" i="4"/>
  <c r="CL535" i="4"/>
  <c r="CM1274" i="4"/>
  <c r="CN1274" i="4"/>
  <c r="CT1275" i="4"/>
  <c r="CU1275" i="4"/>
  <c r="CM1162" i="4"/>
  <c r="CN1162" i="4"/>
  <c r="CM629" i="4"/>
  <c r="CN629" i="4"/>
  <c r="CT957" i="4"/>
  <c r="CU957" i="4"/>
  <c r="CL419" i="4"/>
  <c r="CK419" i="4"/>
  <c r="CS243" i="4"/>
  <c r="CR243" i="4"/>
  <c r="CT796" i="4"/>
  <c r="CU796" i="4"/>
  <c r="CM1309" i="4"/>
  <c r="CN1309" i="4"/>
  <c r="CT1310" i="4"/>
  <c r="CU1310" i="4"/>
  <c r="CT602" i="4"/>
  <c r="CU602" i="4"/>
  <c r="CM1365" i="4"/>
  <c r="CN1365" i="4"/>
  <c r="CR1365" i="4"/>
  <c r="CS1365" i="4"/>
  <c r="CT335" i="4"/>
  <c r="CU335" i="4"/>
  <c r="CR1407" i="4"/>
  <c r="CS1407" i="4"/>
  <c r="CL307" i="4"/>
  <c r="CK307" i="4"/>
  <c r="CT1336" i="4"/>
  <c r="CU1336" i="4"/>
  <c r="CT1354" i="4"/>
  <c r="CU1354" i="4"/>
  <c r="CK677" i="4"/>
  <c r="CL677" i="4"/>
  <c r="CT380" i="4"/>
  <c r="CU380" i="4"/>
  <c r="CM1044" i="4"/>
  <c r="CN1044" i="4"/>
  <c r="CS1044" i="4"/>
  <c r="CR1044" i="4"/>
  <c r="CM281" i="4"/>
  <c r="CN281" i="4"/>
  <c r="CU366" i="4"/>
  <c r="CT366" i="4"/>
  <c r="CL622" i="4"/>
  <c r="CK622" i="4"/>
  <c r="CR624" i="4"/>
  <c r="CS624" i="4"/>
  <c r="CM226" i="4"/>
  <c r="CN226" i="4"/>
  <c r="CT958" i="4"/>
  <c r="CU958" i="4"/>
  <c r="CT426" i="4"/>
  <c r="CU426" i="4"/>
  <c r="CL244" i="4"/>
  <c r="CK244" i="4"/>
  <c r="CK1096" i="4"/>
  <c r="CL1096" i="4"/>
  <c r="CM1313" i="4"/>
  <c r="CN1313" i="4"/>
  <c r="CM902" i="4"/>
  <c r="CN902" i="4"/>
  <c r="CR903" i="4"/>
  <c r="CS903" i="4"/>
  <c r="CM339" i="4"/>
  <c r="CN339" i="4"/>
  <c r="CS1295" i="4"/>
  <c r="CR1295" i="4"/>
  <c r="CK1018" i="4"/>
  <c r="CL1018" i="4"/>
  <c r="CR1018" i="4"/>
  <c r="CS1018" i="4"/>
  <c r="CT1199" i="4"/>
  <c r="CU1199" i="4"/>
  <c r="CN193" i="4"/>
  <c r="CM193" i="4"/>
  <c r="CR193" i="4"/>
  <c r="CS193" i="4"/>
  <c r="CK996" i="4"/>
  <c r="CL996" i="4"/>
  <c r="CT1358" i="4"/>
  <c r="CU1358" i="4"/>
  <c r="CT116" i="4"/>
  <c r="CU116" i="4"/>
  <c r="CM66" i="4"/>
  <c r="CN66" i="4"/>
  <c r="CN1156" i="4"/>
  <c r="CM1156" i="4"/>
  <c r="CS277" i="4"/>
  <c r="CR277" i="4"/>
  <c r="CM1110" i="4"/>
  <c r="CN1110" i="4"/>
  <c r="CK355" i="4"/>
  <c r="CL355" i="4"/>
  <c r="CM1219" i="4"/>
  <c r="CN1219" i="4"/>
  <c r="CR1220" i="4"/>
  <c r="CS1220" i="4"/>
  <c r="CN229" i="4"/>
  <c r="CM229" i="4"/>
  <c r="CK961" i="4"/>
  <c r="CL961" i="4"/>
  <c r="CT962" i="4"/>
  <c r="CU962" i="4"/>
  <c r="CN239" i="4"/>
  <c r="CM239" i="4"/>
  <c r="CR239" i="4"/>
  <c r="CS239" i="4"/>
  <c r="CM805" i="4"/>
  <c r="CN805" i="4"/>
  <c r="CM989" i="4"/>
  <c r="CN989" i="4"/>
  <c r="CL347" i="4"/>
  <c r="CK347" i="4"/>
  <c r="CR346" i="4"/>
  <c r="CS346" i="4"/>
  <c r="CR870" i="4"/>
  <c r="CS870" i="4"/>
  <c r="CT235" i="4"/>
  <c r="CU235" i="4"/>
  <c r="CK1437" i="4"/>
  <c r="CL1437" i="4"/>
  <c r="CK589" i="4"/>
  <c r="CL589" i="4"/>
  <c r="CR1069" i="4"/>
  <c r="CS1069" i="4"/>
  <c r="CK756" i="4"/>
  <c r="CL756" i="4"/>
  <c r="CT756" i="4"/>
  <c r="CU756" i="4"/>
  <c r="CL1373" i="4"/>
  <c r="CK1373" i="4"/>
  <c r="CS1373" i="4"/>
  <c r="CR1373" i="4"/>
  <c r="CM837" i="4"/>
  <c r="CN837" i="4"/>
  <c r="CT1130" i="4"/>
  <c r="CU1130" i="4"/>
  <c r="CT999" i="4"/>
  <c r="CU999" i="4"/>
  <c r="CK1246" i="4"/>
  <c r="CL1246" i="4"/>
  <c r="CR1246" i="4"/>
  <c r="CS1246" i="4"/>
  <c r="CN123" i="4"/>
  <c r="CM123" i="4"/>
  <c r="CU123" i="4"/>
  <c r="CT123" i="4"/>
  <c r="CT382" i="4"/>
  <c r="CU382" i="4"/>
  <c r="CK1171" i="4"/>
  <c r="CL1171" i="4"/>
  <c r="CS1048" i="4"/>
  <c r="CR1048" i="4"/>
  <c r="CT1100" i="4"/>
  <c r="CU1100" i="4"/>
  <c r="CK965" i="4"/>
  <c r="CL965" i="4"/>
  <c r="CU1371" i="4"/>
  <c r="CT1371" i="4"/>
  <c r="CK1413" i="4"/>
  <c r="CL1413" i="4"/>
  <c r="CR1412" i="4"/>
  <c r="CS1412" i="4"/>
  <c r="CT840" i="4"/>
  <c r="CU840" i="4"/>
  <c r="CS154" i="4"/>
  <c r="CR154" i="4"/>
  <c r="CK650" i="4"/>
  <c r="CL650" i="4"/>
  <c r="CU650" i="4"/>
  <c r="CT650" i="4"/>
  <c r="CN192" i="4"/>
  <c r="CM192" i="4"/>
  <c r="CK1144" i="4"/>
  <c r="CL1144" i="4"/>
  <c r="CT1252" i="4"/>
  <c r="CU1252" i="4"/>
  <c r="CR119" i="4"/>
  <c r="CS119" i="4"/>
  <c r="CK20" i="4"/>
  <c r="CL20" i="4"/>
  <c r="CS21" i="4"/>
  <c r="CR21" i="4"/>
  <c r="CK774" i="4"/>
  <c r="CL774" i="4"/>
  <c r="CM1106" i="4"/>
  <c r="CN1106" i="4"/>
  <c r="CR260" i="4"/>
  <c r="CS260" i="4"/>
  <c r="CN1213" i="4"/>
  <c r="CM1213" i="4"/>
  <c r="CR1215" i="4"/>
  <c r="CS1215" i="4"/>
  <c r="CT979" i="4"/>
  <c r="CU979" i="4"/>
  <c r="CK1263" i="4"/>
  <c r="CL1263" i="4"/>
  <c r="CT132" i="4"/>
  <c r="CU132" i="4"/>
  <c r="CM1285" i="4"/>
  <c r="CN1285" i="4"/>
  <c r="CR1285" i="4"/>
  <c r="CS1285" i="4"/>
  <c r="CM1341" i="4"/>
  <c r="CN1341" i="4"/>
  <c r="CR1340" i="4"/>
  <c r="CS1340" i="4"/>
  <c r="CM550" i="4"/>
  <c r="CN550" i="4"/>
  <c r="CS528" i="4"/>
  <c r="CR528" i="4"/>
  <c r="CT1416" i="4"/>
  <c r="CU1416" i="4"/>
  <c r="CL565" i="4"/>
  <c r="CK565" i="4"/>
  <c r="CM407" i="4"/>
  <c r="CN407" i="4"/>
  <c r="CK1126" i="4"/>
  <c r="CL1126" i="4"/>
  <c r="CN457" i="4"/>
  <c r="CM457" i="4"/>
  <c r="CK81" i="4"/>
  <c r="CL81" i="4"/>
  <c r="CR79" i="4"/>
  <c r="CS79" i="4"/>
  <c r="CN126" i="4"/>
  <c r="CM126" i="4"/>
  <c r="CM857" i="4"/>
  <c r="CN857" i="4"/>
  <c r="CT856" i="4"/>
  <c r="CU856" i="4"/>
  <c r="CT857" i="4"/>
  <c r="CU857" i="4"/>
  <c r="CK56" i="4"/>
  <c r="CL56" i="4"/>
  <c r="CK202" i="4"/>
  <c r="CL202" i="4"/>
  <c r="CL42" i="4"/>
  <c r="CK42" i="4"/>
  <c r="CT23" i="4"/>
  <c r="CU23" i="4"/>
  <c r="CR764" i="4"/>
  <c r="CS764" i="4"/>
  <c r="CU765" i="4"/>
  <c r="CT765" i="4"/>
  <c r="CT829" i="4"/>
  <c r="CU829" i="4"/>
  <c r="CK1208" i="4"/>
  <c r="CL1208" i="4"/>
  <c r="CT1122" i="4"/>
  <c r="CU1122" i="4"/>
  <c r="CR100" i="4"/>
  <c r="CS100" i="4"/>
  <c r="CM1008" i="4"/>
  <c r="CN1008" i="4"/>
  <c r="CL521" i="4"/>
  <c r="CK521" i="4"/>
  <c r="CK663" i="4"/>
  <c r="CL663" i="4"/>
  <c r="CT776" i="4"/>
  <c r="CU776" i="4"/>
  <c r="CL163" i="4"/>
  <c r="CK163" i="4"/>
  <c r="CR1291" i="4"/>
  <c r="CS1291" i="4"/>
  <c r="CK475" i="4"/>
  <c r="CL475" i="4"/>
  <c r="CT451" i="4"/>
  <c r="CU451" i="4"/>
  <c r="CS82" i="4"/>
  <c r="CR82" i="4"/>
  <c r="CU82" i="4"/>
  <c r="CT82" i="4"/>
  <c r="CM201" i="4"/>
  <c r="CN201" i="4"/>
  <c r="CM30" i="4"/>
  <c r="CN30" i="4"/>
  <c r="CK1216" i="4"/>
  <c r="CL1216" i="4"/>
  <c r="CT1217" i="4"/>
  <c r="CU1217" i="4"/>
  <c r="CM91" i="4"/>
  <c r="CN91" i="4"/>
  <c r="CU52" i="4"/>
  <c r="CT52" i="4"/>
  <c r="CK932" i="4"/>
  <c r="CL932" i="4"/>
  <c r="CM394" i="4"/>
  <c r="CN394" i="4"/>
  <c r="CR395" i="4"/>
  <c r="CS395" i="4"/>
  <c r="CR889" i="4"/>
  <c r="CS889" i="4"/>
  <c r="CR891" i="4"/>
  <c r="CS891" i="4"/>
  <c r="CT462" i="4"/>
  <c r="CU462" i="4"/>
  <c r="CR1326" i="4"/>
  <c r="CS1326" i="4"/>
  <c r="CR205" i="4"/>
  <c r="CS205" i="4"/>
  <c r="CK35" i="4"/>
  <c r="CL35" i="4"/>
  <c r="CR1424" i="4"/>
  <c r="CS1424" i="4"/>
  <c r="CS1238" i="4"/>
  <c r="CR1238" i="4"/>
  <c r="CM1388" i="4"/>
  <c r="CN1388" i="4"/>
  <c r="CR1388" i="4"/>
  <c r="CS1388" i="4"/>
  <c r="CM1210" i="4"/>
  <c r="CN1210" i="4"/>
  <c r="CR1211" i="4"/>
  <c r="CS1211" i="4"/>
  <c r="CK1111" i="4"/>
  <c r="CL1111" i="4"/>
  <c r="CR233" i="4"/>
  <c r="CS233" i="4"/>
  <c r="CS1186" i="4"/>
  <c r="CR1186" i="4"/>
  <c r="CM1012" i="4"/>
  <c r="CN1012" i="4"/>
  <c r="CM50" i="4"/>
  <c r="CN50" i="4"/>
  <c r="CL657" i="4"/>
  <c r="CK657" i="4"/>
  <c r="CR655" i="4"/>
  <c r="CS655" i="4"/>
  <c r="CK632" i="4"/>
  <c r="CL632" i="4"/>
  <c r="CR633" i="4"/>
  <c r="CS633" i="4"/>
  <c r="CU300" i="4"/>
  <c r="CT300" i="4"/>
  <c r="CM431" i="4"/>
  <c r="CN431" i="4"/>
  <c r="CR430" i="4"/>
  <c r="CS430" i="4"/>
  <c r="CK106" i="4"/>
  <c r="CL106" i="4"/>
  <c r="CL388" i="4"/>
  <c r="CK388" i="4"/>
  <c r="CM1150" i="4"/>
  <c r="CN1150" i="4"/>
  <c r="CT1150" i="4"/>
  <c r="CU1150" i="4"/>
  <c r="CM909" i="4"/>
  <c r="CN909" i="4"/>
  <c r="CR1428" i="4"/>
  <c r="CS1428" i="4"/>
  <c r="CU757" i="4"/>
  <c r="CT757" i="4"/>
  <c r="CT758" i="4"/>
  <c r="CU758" i="4"/>
  <c r="CM906" i="4"/>
  <c r="CN906" i="4"/>
  <c r="CT1382" i="4"/>
  <c r="CU1382" i="4"/>
  <c r="CM511" i="4"/>
  <c r="CN511" i="4"/>
  <c r="CM794" i="4"/>
  <c r="CN794" i="4"/>
  <c r="CR1077" i="4"/>
  <c r="CS1077" i="4"/>
  <c r="CT428" i="4"/>
  <c r="CU428" i="4"/>
  <c r="CR883" i="4"/>
  <c r="CS883" i="4"/>
  <c r="CU608" i="4"/>
  <c r="CT608" i="4"/>
  <c r="CK1319" i="4"/>
  <c r="CL1319" i="4"/>
  <c r="CT39" i="4"/>
  <c r="CU39" i="4"/>
  <c r="CM918" i="4"/>
  <c r="CN918" i="4"/>
  <c r="CL1240" i="4"/>
  <c r="CK1240" i="4"/>
  <c r="CK1192" i="4"/>
  <c r="CL1192" i="4"/>
  <c r="CR1192" i="4"/>
  <c r="CS1192" i="4"/>
  <c r="CU936" i="4"/>
  <c r="CT936" i="4"/>
  <c r="CM659" i="4"/>
  <c r="CN659" i="4"/>
  <c r="CL594" i="4"/>
  <c r="CK594" i="4"/>
  <c r="CT593" i="4"/>
  <c r="CU593" i="4"/>
  <c r="CN133" i="4"/>
  <c r="CM133" i="4"/>
  <c r="CR898" i="4"/>
  <c r="CS898" i="4"/>
  <c r="CT222" i="4"/>
  <c r="CU222" i="4"/>
  <c r="CL289" i="4"/>
  <c r="CK289" i="4"/>
  <c r="CS1028" i="4"/>
  <c r="CR1028" i="4"/>
  <c r="CN352" i="4"/>
  <c r="CM352" i="4"/>
  <c r="CK212" i="4"/>
  <c r="CL212" i="4"/>
  <c r="CK16" i="4"/>
  <c r="CL16" i="4"/>
  <c r="CM639" i="4"/>
  <c r="CN639" i="4"/>
  <c r="CK1079" i="4"/>
  <c r="CL1079" i="4"/>
  <c r="CL306" i="4"/>
  <c r="CK306" i="4"/>
  <c r="CK434" i="4"/>
  <c r="CL434" i="4"/>
  <c r="CL141" i="4"/>
  <c r="CK141" i="4"/>
  <c r="CM887" i="4"/>
  <c r="CN887" i="4"/>
  <c r="CL103" i="4"/>
  <c r="CK103" i="4"/>
  <c r="CK1057" i="4"/>
  <c r="CL1057" i="4"/>
  <c r="CR1323" i="4"/>
  <c r="CS1323" i="4"/>
  <c r="CK911" i="4"/>
  <c r="CL911" i="4"/>
  <c r="CU911" i="4"/>
  <c r="CT911" i="4"/>
  <c r="CR1384" i="4"/>
  <c r="CS1384" i="4"/>
  <c r="CN927" i="4"/>
  <c r="CM927" i="4"/>
  <c r="CT925" i="4"/>
  <c r="CU925" i="4"/>
  <c r="CS941" i="4"/>
  <c r="CR941" i="4"/>
  <c r="CT1256" i="4"/>
  <c r="CU1256" i="4"/>
  <c r="CR894" i="4"/>
  <c r="CS894" i="4"/>
  <c r="CK1060" i="4"/>
  <c r="CL1060" i="4"/>
  <c r="CR864" i="4"/>
  <c r="CS864" i="4"/>
  <c r="CK1266" i="4"/>
  <c r="CL1266" i="4"/>
  <c r="CR11" i="4"/>
  <c r="CS11" i="4"/>
  <c r="CK706" i="4"/>
  <c r="CL706" i="4"/>
  <c r="CL301" i="4"/>
  <c r="CK301" i="4"/>
  <c r="CK303" i="4"/>
  <c r="CL303" i="4"/>
  <c r="CU437" i="4"/>
  <c r="CT437" i="4"/>
  <c r="CR1441" i="4"/>
  <c r="CS1441" i="4"/>
  <c r="CM144" i="4"/>
  <c r="CN144" i="4"/>
  <c r="CT142" i="4"/>
  <c r="CU142" i="4"/>
  <c r="CM737" i="4"/>
  <c r="CN737" i="4"/>
  <c r="CT736" i="4"/>
  <c r="CU736" i="4"/>
  <c r="CT587" i="4"/>
  <c r="CU587" i="4"/>
  <c r="CL109" i="4"/>
  <c r="CK109" i="4"/>
  <c r="CM74" i="4"/>
  <c r="CN74" i="4"/>
  <c r="CR1052" i="4"/>
  <c r="CS1052" i="4"/>
  <c r="CR875" i="4"/>
  <c r="CS875" i="4"/>
  <c r="CK975" i="4"/>
  <c r="CL975" i="4"/>
  <c r="CK913" i="4"/>
  <c r="CL913" i="4"/>
  <c r="CT915" i="4"/>
  <c r="CU915" i="4"/>
  <c r="CK1074" i="4"/>
  <c r="CL1074" i="4"/>
  <c r="CT1072" i="4"/>
  <c r="CU1072" i="4"/>
  <c r="CS1074" i="4"/>
  <c r="CR1074" i="4"/>
  <c r="CK762" i="4"/>
  <c r="CL762" i="4"/>
  <c r="CR1350" i="4"/>
  <c r="CS1350" i="4"/>
  <c r="CK860" i="4"/>
  <c r="CL860" i="4"/>
  <c r="CR896" i="4"/>
  <c r="CS896" i="4"/>
  <c r="CR1377" i="4"/>
  <c r="CS1377" i="4"/>
  <c r="CK930" i="4"/>
  <c r="CL930" i="4"/>
  <c r="CT553" i="4"/>
  <c r="CU553" i="4"/>
  <c r="CR555" i="4"/>
  <c r="CS555" i="4"/>
  <c r="CU284" i="4"/>
  <c r="CT284" i="4"/>
  <c r="CM721" i="4"/>
  <c r="CN721" i="4"/>
  <c r="CT14" i="4"/>
  <c r="CU14" i="4"/>
  <c r="CK742" i="4"/>
  <c r="CL742" i="4"/>
  <c r="CR1033" i="4"/>
  <c r="CS1033" i="4"/>
  <c r="CL497" i="4"/>
  <c r="CK497" i="4"/>
  <c r="CM112" i="4"/>
  <c r="CN112" i="4"/>
  <c r="CK114" i="4"/>
  <c r="CL114" i="4"/>
  <c r="CR112" i="4"/>
  <c r="CS112" i="4"/>
  <c r="CK949" i="4"/>
  <c r="CL949" i="4"/>
  <c r="CT949" i="4"/>
  <c r="CU949" i="4"/>
  <c r="CM751" i="4"/>
  <c r="CN751" i="4"/>
  <c r="CR1378" i="4"/>
  <c r="CS1378" i="4"/>
  <c r="CL321" i="4"/>
  <c r="CK321" i="4"/>
  <c r="CN256" i="4"/>
  <c r="CM256" i="4"/>
  <c r="CU257" i="4"/>
  <c r="CT257" i="4"/>
  <c r="CT667" i="4"/>
  <c r="CU667" i="4"/>
  <c r="CT668" i="4"/>
  <c r="CU668" i="4"/>
  <c r="CT943" i="4"/>
  <c r="CU943" i="4"/>
  <c r="CR820" i="4"/>
  <c r="CS820" i="4"/>
  <c r="CR716" i="4"/>
  <c r="CS716" i="4"/>
  <c r="CL324" i="4"/>
  <c r="CK324" i="4"/>
  <c r="CK843" i="4"/>
  <c r="CL843" i="4"/>
  <c r="CK749" i="4"/>
  <c r="CL749" i="4"/>
  <c r="CU749" i="4"/>
  <c r="CT749" i="4"/>
  <c r="CK368" i="4"/>
  <c r="CL368" i="4"/>
  <c r="CK849" i="4"/>
  <c r="CL849" i="4"/>
  <c r="CK947" i="4"/>
  <c r="CL947" i="4"/>
  <c r="CR946" i="4"/>
  <c r="CS946" i="4"/>
  <c r="CT444" i="4"/>
  <c r="CU444" i="4"/>
  <c r="CK1166" i="4"/>
  <c r="CL1166" i="4"/>
  <c r="CM136" i="4"/>
  <c r="CN136" i="4"/>
  <c r="CT1343" i="4"/>
  <c r="CU1343" i="4"/>
  <c r="CR1089" i="4"/>
  <c r="CS1089" i="4"/>
  <c r="CK697" i="4"/>
  <c r="CL697" i="4"/>
  <c r="CT697" i="4"/>
  <c r="CU697" i="4"/>
  <c r="CS557" i="4"/>
  <c r="CR557" i="4"/>
  <c r="CK292" i="4"/>
  <c r="CL292" i="4"/>
  <c r="CK1021" i="4"/>
  <c r="CL1021" i="4"/>
  <c r="CR1021" i="4"/>
  <c r="CS1021" i="4"/>
  <c r="CU1408" i="4"/>
  <c r="CT1408" i="4"/>
  <c r="CK329" i="4"/>
  <c r="CL329" i="4"/>
  <c r="CM1202" i="4"/>
  <c r="CN1202" i="4"/>
  <c r="CT1202" i="4"/>
  <c r="CU1202" i="4"/>
  <c r="CM370" i="4"/>
  <c r="CN370" i="4"/>
  <c r="CT370" i="4"/>
  <c r="CU370" i="4"/>
  <c r="CK1352" i="4"/>
  <c r="CL1352" i="4"/>
  <c r="CT1353" i="4"/>
  <c r="CU1353" i="4"/>
  <c r="CM953" i="4"/>
  <c r="CN953" i="4"/>
  <c r="CT954" i="4"/>
  <c r="CU954" i="4"/>
  <c r="CK350" i="4"/>
  <c r="CL350" i="4"/>
  <c r="CU620" i="4"/>
  <c r="CT620" i="4"/>
  <c r="CN813" i="4"/>
  <c r="CM813" i="4"/>
  <c r="CK809" i="4"/>
  <c r="CL809" i="4"/>
  <c r="CT808" i="4"/>
  <c r="CU808" i="4"/>
  <c r="CK1267" i="4"/>
  <c r="CL1267" i="4"/>
  <c r="CT622" i="4"/>
  <c r="CU622" i="4"/>
  <c r="CK995" i="4"/>
  <c r="CL995" i="4"/>
  <c r="CU741" i="4"/>
  <c r="CT741" i="4"/>
  <c r="CK784" i="4"/>
  <c r="CL784" i="4"/>
  <c r="CM1373" i="4"/>
  <c r="CN1373" i="4"/>
  <c r="CK999" i="4"/>
  <c r="CL999" i="4"/>
  <c r="CM122" i="4"/>
  <c r="CN122" i="4"/>
  <c r="CL1155" i="4"/>
  <c r="CK1155" i="4"/>
  <c r="CT393" i="4"/>
  <c r="CU393" i="4"/>
  <c r="CK685" i="4"/>
  <c r="CL685" i="4"/>
  <c r="CU1124" i="4"/>
  <c r="CT1124" i="4"/>
  <c r="CN1181" i="4"/>
  <c r="CM1181" i="4"/>
  <c r="CM1215" i="4"/>
  <c r="CN1215" i="4"/>
  <c r="CR781" i="4"/>
  <c r="CS781" i="4"/>
  <c r="CS527" i="4"/>
  <c r="CR527" i="4"/>
  <c r="CR560" i="4"/>
  <c r="CS560" i="4"/>
  <c r="CL411" i="4"/>
  <c r="CK411" i="4"/>
  <c r="CT476" i="4"/>
  <c r="CU476" i="4"/>
  <c r="CM82" i="4"/>
  <c r="CN82" i="4"/>
  <c r="CR83" i="4"/>
  <c r="CS83" i="4"/>
  <c r="CK199" i="4"/>
  <c r="CL199" i="4"/>
  <c r="CK89" i="4"/>
  <c r="CL89" i="4"/>
  <c r="CT1361" i="4"/>
  <c r="CU1361" i="4"/>
  <c r="CR419" i="4"/>
  <c r="CS419" i="4"/>
  <c r="CM1305" i="4"/>
  <c r="CN1305" i="4"/>
  <c r="CR335" i="4"/>
  <c r="CS335" i="4"/>
  <c r="CL1405" i="4"/>
  <c r="CK1405" i="4"/>
  <c r="CN425" i="4"/>
  <c r="CM425" i="4"/>
  <c r="CT338" i="4"/>
  <c r="CU338" i="4"/>
  <c r="CR683" i="4"/>
  <c r="CS683" i="4"/>
  <c r="CR845" i="4"/>
  <c r="CS845" i="4"/>
  <c r="CS117" i="4"/>
  <c r="CR117" i="4"/>
  <c r="CU1016" i="4"/>
  <c r="CT1016" i="4"/>
  <c r="CR1017" i="4"/>
  <c r="CS1017" i="4"/>
  <c r="CT1329" i="4"/>
  <c r="CU1329" i="4"/>
  <c r="CT271" i="4"/>
  <c r="CU271" i="4"/>
  <c r="CR225" i="4"/>
  <c r="CS225" i="4"/>
  <c r="CN1095" i="4"/>
  <c r="CM1095" i="4"/>
  <c r="CM1025" i="4"/>
  <c r="CN1025" i="4"/>
  <c r="CL197" i="4"/>
  <c r="CK197" i="4"/>
  <c r="CT1042" i="4"/>
  <c r="CU1042" i="4"/>
  <c r="CU318" i="4"/>
  <c r="CT318" i="4"/>
  <c r="CM89" i="4"/>
  <c r="CN89" i="4"/>
  <c r="CR72" i="4"/>
  <c r="CS72" i="4"/>
  <c r="CT72" i="4"/>
  <c r="CU72" i="4"/>
  <c r="CK855" i="4"/>
  <c r="CL855" i="4"/>
  <c r="CK1047" i="4"/>
  <c r="CL1047" i="4"/>
  <c r="CT272" i="4"/>
  <c r="CU272" i="4"/>
  <c r="CS535" i="4"/>
  <c r="CR535" i="4"/>
  <c r="CN1275" i="4"/>
  <c r="CM1275" i="4"/>
  <c r="CK1163" i="4"/>
  <c r="CL1163" i="4"/>
  <c r="CS629" i="4"/>
  <c r="CR629" i="4"/>
  <c r="CR1227" i="4"/>
  <c r="CS1227" i="4"/>
  <c r="CU223" i="4"/>
  <c r="CT223" i="4"/>
  <c r="CK957" i="4"/>
  <c r="CL957" i="4"/>
  <c r="CR955" i="4"/>
  <c r="CS955" i="4"/>
  <c r="CU419" i="4"/>
  <c r="CT419" i="4"/>
  <c r="CL1005" i="4"/>
  <c r="CK1005" i="4"/>
  <c r="CN242" i="4"/>
  <c r="CM242" i="4"/>
  <c r="CM1093" i="4"/>
  <c r="CN1093" i="4"/>
  <c r="CK1310" i="4"/>
  <c r="CL1310" i="4"/>
  <c r="CR602" i="4"/>
  <c r="CS602" i="4"/>
  <c r="CN1364" i="4"/>
  <c r="CM1364" i="4"/>
  <c r="CT1364" i="4"/>
  <c r="CU1364" i="4"/>
  <c r="CT1365" i="4"/>
  <c r="CU1365" i="4"/>
  <c r="CK334" i="4"/>
  <c r="CL334" i="4"/>
  <c r="CM1405" i="4"/>
  <c r="CN1405" i="4"/>
  <c r="CK1336" i="4"/>
  <c r="CL1336" i="4"/>
  <c r="CL198" i="4"/>
  <c r="CK198" i="4"/>
  <c r="CM993" i="4"/>
  <c r="CN993" i="4"/>
  <c r="CM677" i="4"/>
  <c r="CN677" i="4"/>
  <c r="CM1177" i="4"/>
  <c r="CN1177" i="4"/>
  <c r="CS1178" i="4"/>
  <c r="CR1178" i="4"/>
  <c r="CN1043" i="4"/>
  <c r="CM1043" i="4"/>
  <c r="CR1042" i="4"/>
  <c r="CS1042" i="4"/>
  <c r="CM280" i="4"/>
  <c r="CN280" i="4"/>
  <c r="CR280" i="4"/>
  <c r="CS280" i="4"/>
  <c r="CN543" i="4"/>
  <c r="CM543" i="4"/>
  <c r="CT365" i="4"/>
  <c r="CU365" i="4"/>
  <c r="CT1223" i="4"/>
  <c r="CU1223" i="4"/>
  <c r="CK228" i="4"/>
  <c r="CL228" i="4"/>
  <c r="CR227" i="4"/>
  <c r="CS227" i="4"/>
  <c r="CT228" i="4"/>
  <c r="CU228" i="4"/>
  <c r="CM244" i="4"/>
  <c r="CN244" i="4"/>
  <c r="CK1312" i="4"/>
  <c r="CL1312" i="4"/>
  <c r="CM1312" i="4"/>
  <c r="CN1312" i="4"/>
  <c r="CM802" i="4"/>
  <c r="CN802" i="4"/>
  <c r="CR693" i="4"/>
  <c r="CS693" i="4"/>
  <c r="CK901" i="4"/>
  <c r="CL901" i="4"/>
  <c r="CU903" i="4"/>
  <c r="CT903" i="4"/>
  <c r="CR1367" i="4"/>
  <c r="CS1367" i="4"/>
  <c r="CK339" i="4"/>
  <c r="CL339" i="4"/>
  <c r="CU1295" i="4"/>
  <c r="CT1295" i="4"/>
  <c r="CK684" i="4"/>
  <c r="CL684" i="4"/>
  <c r="CM845" i="4"/>
  <c r="CN845" i="4"/>
  <c r="CT845" i="4"/>
  <c r="CU845" i="4"/>
  <c r="CM195" i="4"/>
  <c r="CN195" i="4"/>
  <c r="CT193" i="4"/>
  <c r="CU193" i="4"/>
  <c r="CK994" i="4"/>
  <c r="CL994" i="4"/>
  <c r="CT115" i="4"/>
  <c r="CU115" i="4"/>
  <c r="CR66" i="4"/>
  <c r="CS66" i="4"/>
  <c r="CR1175" i="4"/>
  <c r="CS1175" i="4"/>
  <c r="CK1039" i="4"/>
  <c r="CL1039" i="4"/>
  <c r="CR1040" i="4"/>
  <c r="CS1040" i="4"/>
  <c r="CU277" i="4"/>
  <c r="CT277" i="4"/>
  <c r="CK833" i="4"/>
  <c r="CL833" i="4"/>
  <c r="CR834" i="4"/>
  <c r="CS834" i="4"/>
  <c r="CK1220" i="4"/>
  <c r="CL1220" i="4"/>
  <c r="CT1219" i="4"/>
  <c r="CU1219" i="4"/>
  <c r="CT421" i="4"/>
  <c r="CU421" i="4"/>
  <c r="CR240" i="4"/>
  <c r="CS240" i="4"/>
  <c r="CN983" i="4"/>
  <c r="CM983" i="4"/>
  <c r="CK466" i="4"/>
  <c r="CL466" i="4"/>
  <c r="CR990" i="4"/>
  <c r="CS990" i="4"/>
  <c r="CL1000" i="4"/>
  <c r="CK1000" i="4"/>
  <c r="CR1002" i="4"/>
  <c r="CS1002" i="4"/>
  <c r="CL183" i="4"/>
  <c r="CK183" i="4"/>
  <c r="CT1282" i="4"/>
  <c r="CU1282" i="4"/>
  <c r="CN548" i="4"/>
  <c r="CM548" i="4"/>
  <c r="CM549" i="4"/>
  <c r="CN549" i="4"/>
  <c r="CL755" i="4"/>
  <c r="CK755" i="4"/>
  <c r="CR785" i="4"/>
  <c r="CS785" i="4"/>
  <c r="CM342" i="4"/>
  <c r="CN342" i="4"/>
  <c r="CK564" i="4"/>
  <c r="CL564" i="4"/>
  <c r="CR689" i="4"/>
  <c r="CS689" i="4"/>
  <c r="CK311" i="4"/>
  <c r="CL311" i="4"/>
  <c r="CR310" i="4"/>
  <c r="CS310" i="4"/>
  <c r="CN483" i="4"/>
  <c r="CM483" i="4"/>
  <c r="CM653" i="4"/>
  <c r="CN653" i="4"/>
  <c r="CK189" i="4"/>
  <c r="CL189" i="4"/>
  <c r="CL997" i="4"/>
  <c r="CK997" i="4"/>
  <c r="CT122" i="4"/>
  <c r="CU122" i="4"/>
  <c r="CR1172" i="4"/>
  <c r="CS1172" i="4"/>
  <c r="CT1050" i="4"/>
  <c r="CU1050" i="4"/>
  <c r="CM1155" i="4"/>
  <c r="CN1155" i="4"/>
  <c r="CK823" i="4"/>
  <c r="CL823" i="4"/>
  <c r="CN1101" i="4"/>
  <c r="CM1101" i="4"/>
  <c r="CK360" i="4"/>
  <c r="CL360" i="4"/>
  <c r="CM1228" i="4"/>
  <c r="CN1228" i="4"/>
  <c r="CR1228" i="4"/>
  <c r="CS1228" i="4"/>
  <c r="CM965" i="4"/>
  <c r="CN965" i="4"/>
  <c r="CL391" i="4"/>
  <c r="CK391" i="4"/>
  <c r="CM780" i="4"/>
  <c r="CN780" i="4"/>
  <c r="CT780" i="4"/>
  <c r="CU780" i="4"/>
  <c r="CM571" i="4"/>
  <c r="CN571" i="4"/>
  <c r="CM1297" i="4"/>
  <c r="CN1297" i="4"/>
  <c r="CT1411" i="4"/>
  <c r="CU1411" i="4"/>
  <c r="CM569" i="4"/>
  <c r="CN569" i="4"/>
  <c r="CM840" i="4"/>
  <c r="CN840" i="4"/>
  <c r="CN154" i="4"/>
  <c r="CM154" i="4"/>
  <c r="CM649" i="4"/>
  <c r="CN649" i="4"/>
  <c r="CT1123" i="4"/>
  <c r="CU1123" i="4"/>
  <c r="CK191" i="4"/>
  <c r="CL191" i="4"/>
  <c r="CR1144" i="4"/>
  <c r="CS1144" i="4"/>
  <c r="CS118" i="4"/>
  <c r="CR118" i="4"/>
  <c r="CK63" i="4"/>
  <c r="CL63" i="4"/>
  <c r="CT21" i="4"/>
  <c r="CU21" i="4"/>
  <c r="CR773" i="4"/>
  <c r="CS773" i="4"/>
  <c r="CS1106" i="4"/>
  <c r="CR1106" i="4"/>
  <c r="CT260" i="4"/>
  <c r="CU260" i="4"/>
  <c r="CK1214" i="4"/>
  <c r="CL1214" i="4"/>
  <c r="CT1214" i="4"/>
  <c r="CU1214" i="4"/>
  <c r="CN48" i="4"/>
  <c r="CM48" i="4"/>
  <c r="CM132" i="4"/>
  <c r="CN132" i="4"/>
  <c r="CR132" i="4"/>
  <c r="CS132" i="4"/>
  <c r="CT1285" i="4"/>
  <c r="CU1285" i="4"/>
  <c r="CL1341" i="4"/>
  <c r="CK1341" i="4"/>
  <c r="CK551" i="4"/>
  <c r="CL551" i="4"/>
  <c r="CT552" i="4"/>
  <c r="CU552" i="4"/>
  <c r="CK528" i="4"/>
  <c r="CL528" i="4"/>
  <c r="CT528" i="4"/>
  <c r="CU528" i="4"/>
  <c r="CL578" i="4"/>
  <c r="CK578" i="4"/>
  <c r="CR577" i="4"/>
  <c r="CS577" i="4"/>
  <c r="CT408" i="4"/>
  <c r="CU408" i="4"/>
  <c r="CS157" i="4"/>
  <c r="CR157" i="4"/>
  <c r="CN479" i="4"/>
  <c r="CM479" i="4"/>
  <c r="CT79" i="4"/>
  <c r="CU79" i="4"/>
  <c r="CN1249" i="4"/>
  <c r="CM1249" i="4"/>
  <c r="CR1250" i="4"/>
  <c r="CS1250" i="4"/>
  <c r="CR856" i="4"/>
  <c r="CS856" i="4"/>
  <c r="CK55" i="4"/>
  <c r="CL55" i="4"/>
  <c r="CR56" i="4"/>
  <c r="CS56" i="4"/>
  <c r="CN204" i="4"/>
  <c r="CM204" i="4"/>
  <c r="CT22" i="4"/>
  <c r="CU22" i="4"/>
  <c r="CM765" i="4"/>
  <c r="CN765" i="4"/>
  <c r="CU763" i="4"/>
  <c r="CT763" i="4"/>
  <c r="CR831" i="4"/>
  <c r="CS831" i="4"/>
  <c r="CK505" i="4"/>
  <c r="CL505" i="4"/>
  <c r="CT1207" i="4"/>
  <c r="CU1207" i="4"/>
  <c r="CK102" i="4"/>
  <c r="CL102" i="4"/>
  <c r="CS45" i="4"/>
  <c r="CR45" i="4"/>
  <c r="CM521" i="4"/>
  <c r="CN521" i="4"/>
  <c r="CR520" i="4"/>
  <c r="CS520" i="4"/>
  <c r="CN775" i="4"/>
  <c r="CM775" i="4"/>
  <c r="CK164" i="4"/>
  <c r="CL164" i="4"/>
  <c r="CT1291" i="4"/>
  <c r="CU1291" i="4"/>
  <c r="CK1421" i="4"/>
  <c r="CL1421" i="4"/>
  <c r="CT1420" i="4"/>
  <c r="CU1420" i="4"/>
  <c r="CR1422" i="4"/>
  <c r="CS1422" i="4"/>
  <c r="CK410" i="4"/>
  <c r="CL410" i="4"/>
  <c r="CR411" i="4"/>
  <c r="CS411" i="4"/>
  <c r="CL476" i="4"/>
  <c r="CK476" i="4"/>
  <c r="CS477" i="4"/>
  <c r="CR477" i="4"/>
  <c r="CS452" i="4"/>
  <c r="CR452" i="4"/>
  <c r="CM1245" i="4"/>
  <c r="CN1245" i="4"/>
  <c r="CU199" i="4"/>
  <c r="CT199" i="4"/>
  <c r="CL32" i="4"/>
  <c r="CK32" i="4"/>
  <c r="CM770" i="4"/>
  <c r="CN770" i="4"/>
  <c r="CR499" i="4"/>
  <c r="CS499" i="4"/>
  <c r="CS1114" i="4"/>
  <c r="CR1114" i="4"/>
  <c r="CM1184" i="4"/>
  <c r="CN1184" i="4"/>
  <c r="CT1185" i="4"/>
  <c r="CU1185" i="4"/>
  <c r="CL92" i="4"/>
  <c r="CK92" i="4"/>
  <c r="CM54" i="4"/>
  <c r="CN54" i="4"/>
  <c r="CS53" i="4"/>
  <c r="CR53" i="4"/>
  <c r="CM465" i="4"/>
  <c r="CN465" i="4"/>
  <c r="CT463" i="4"/>
  <c r="CU463" i="4"/>
  <c r="CT931" i="4"/>
  <c r="CU931" i="4"/>
  <c r="CN666" i="4"/>
  <c r="CM666" i="4"/>
  <c r="CK394" i="4"/>
  <c r="CL394" i="4"/>
  <c r="CT395" i="4"/>
  <c r="CU395" i="4"/>
  <c r="CR166" i="4"/>
  <c r="CS166" i="4"/>
  <c r="CM1419" i="4"/>
  <c r="CN1419" i="4"/>
  <c r="CK640" i="4"/>
  <c r="CL640" i="4"/>
  <c r="CK1086" i="4"/>
  <c r="CL1086" i="4"/>
  <c r="CR1085" i="4"/>
  <c r="CS1085" i="4"/>
  <c r="CM162" i="4"/>
  <c r="CN162" i="4"/>
  <c r="CK891" i="4"/>
  <c r="CL891" i="4"/>
  <c r="CR1135" i="4"/>
  <c r="CS1135" i="4"/>
  <c r="CT460" i="4"/>
  <c r="CU460" i="4"/>
  <c r="CK1326" i="4"/>
  <c r="CL1326" i="4"/>
  <c r="CT1325" i="4"/>
  <c r="CU1325" i="4"/>
  <c r="CT1326" i="4"/>
  <c r="CU1326" i="4"/>
  <c r="CM205" i="4"/>
  <c r="CN205" i="4"/>
  <c r="CT25" i="4"/>
  <c r="CU25" i="4"/>
  <c r="CT1238" i="4"/>
  <c r="CU1238" i="4"/>
  <c r="CK1388" i="4"/>
  <c r="CL1388" i="4"/>
  <c r="CU1387" i="4"/>
  <c r="CT1387" i="4"/>
  <c r="CK1211" i="4"/>
  <c r="CL1211" i="4"/>
  <c r="CT1211" i="4"/>
  <c r="CU1211" i="4"/>
  <c r="CK1112" i="4"/>
  <c r="CL1112" i="4"/>
  <c r="CT1111" i="4"/>
  <c r="CU1111" i="4"/>
  <c r="CM234" i="4"/>
  <c r="CN234" i="4"/>
  <c r="CU233" i="4"/>
  <c r="CT233" i="4"/>
  <c r="CM1186" i="4"/>
  <c r="CN1186" i="4"/>
  <c r="CT1187" i="4"/>
  <c r="CU1187" i="4"/>
  <c r="CU1013" i="4"/>
  <c r="CT1013" i="4"/>
  <c r="CL49" i="4"/>
  <c r="CK49" i="4"/>
  <c r="CM51" i="4"/>
  <c r="CN51" i="4"/>
  <c r="CR51" i="4"/>
  <c r="CS51" i="4"/>
  <c r="CK655" i="4"/>
  <c r="CL655" i="4"/>
  <c r="CT633" i="4"/>
  <c r="CU633" i="4"/>
  <c r="CR1031" i="4"/>
  <c r="CS1031" i="4"/>
  <c r="CU430" i="4"/>
  <c r="CT430" i="4"/>
  <c r="CK147" i="4"/>
  <c r="CL147" i="4"/>
  <c r="CM107" i="4"/>
  <c r="CN107" i="4"/>
  <c r="CT106" i="4"/>
  <c r="CU106" i="4"/>
  <c r="CN388" i="4"/>
  <c r="CM388" i="4"/>
  <c r="CN972" i="4"/>
  <c r="CM972" i="4"/>
  <c r="CM179" i="4"/>
  <c r="CN179" i="4"/>
  <c r="CS179" i="4"/>
  <c r="CR179" i="4"/>
  <c r="CM1427" i="4"/>
  <c r="CN1427" i="4"/>
  <c r="CS759" i="4"/>
  <c r="CR759" i="4"/>
  <c r="CS513" i="4"/>
  <c r="CR513" i="4"/>
  <c r="CR795" i="4"/>
  <c r="CS795" i="4"/>
  <c r="CS397" i="4"/>
  <c r="CR397" i="4"/>
  <c r="CK1300" i="4"/>
  <c r="CL1300" i="4"/>
  <c r="CK1302" i="4"/>
  <c r="CL1302" i="4"/>
  <c r="CN710" i="4"/>
  <c r="CM710" i="4"/>
  <c r="CR710" i="4"/>
  <c r="CS710" i="4"/>
  <c r="CT1077" i="4"/>
  <c r="CU1077" i="4"/>
  <c r="CM429" i="4"/>
  <c r="CN429" i="4"/>
  <c r="CR148" i="4"/>
  <c r="CS148" i="4"/>
  <c r="CK885" i="4"/>
  <c r="CL885" i="4"/>
  <c r="CM1139" i="4"/>
  <c r="CN1139" i="4"/>
  <c r="CR1139" i="4"/>
  <c r="CS1139" i="4"/>
  <c r="CM609" i="4"/>
  <c r="CN609" i="4"/>
  <c r="CK1055" i="4"/>
  <c r="CL1055" i="4"/>
  <c r="CN1319" i="4"/>
  <c r="CM1319" i="4"/>
  <c r="CR1318" i="4"/>
  <c r="CS1318" i="4"/>
  <c r="CT1149" i="4"/>
  <c r="CU1149" i="4"/>
  <c r="CM37" i="4"/>
  <c r="CN37" i="4"/>
  <c r="CM1429" i="4"/>
  <c r="CN1429" i="4"/>
  <c r="CR1431" i="4"/>
  <c r="CS1431" i="4"/>
  <c r="CT1397" i="4"/>
  <c r="CU1397" i="4"/>
  <c r="CK1118" i="4"/>
  <c r="CL1118" i="4"/>
  <c r="CR1119" i="4"/>
  <c r="CS1119" i="4"/>
  <c r="CK95" i="4"/>
  <c r="CL95" i="4"/>
  <c r="CR96" i="4"/>
  <c r="CS96" i="4"/>
  <c r="CS935" i="4"/>
  <c r="CR935" i="4"/>
  <c r="CL217" i="4"/>
  <c r="CK217" i="4"/>
  <c r="CT217" i="4"/>
  <c r="CU217" i="4"/>
  <c r="CM593" i="4"/>
  <c r="CN593" i="4"/>
  <c r="CS735" i="4"/>
  <c r="CR735" i="4"/>
  <c r="CM877" i="4"/>
  <c r="CN877" i="4"/>
  <c r="CR879" i="4"/>
  <c r="CS879" i="4"/>
  <c r="CN134" i="4"/>
  <c r="CM134" i="4"/>
  <c r="CM1068" i="4"/>
  <c r="CN1068" i="4"/>
  <c r="CR1066" i="4"/>
  <c r="CS1066" i="4"/>
  <c r="CK1347" i="4"/>
  <c r="CL1347" i="4"/>
  <c r="CR221" i="4"/>
  <c r="CS221" i="4"/>
  <c r="CM732" i="4"/>
  <c r="CN732" i="4"/>
  <c r="CK353" i="4"/>
  <c r="CL353" i="4"/>
  <c r="CR353" i="4"/>
  <c r="CS353" i="4"/>
  <c r="CM867" i="4"/>
  <c r="CN867" i="4"/>
  <c r="CU714" i="4"/>
  <c r="CT714" i="4"/>
  <c r="CR1078" i="4"/>
  <c r="CS1078" i="4"/>
  <c r="CS434" i="4"/>
  <c r="CR434" i="4"/>
  <c r="CM888" i="4"/>
  <c r="CN888" i="4"/>
  <c r="CR1141" i="4"/>
  <c r="CS1141" i="4"/>
  <c r="CK105" i="4"/>
  <c r="CL105" i="4"/>
  <c r="CS105" i="4"/>
  <c r="CR105" i="4"/>
  <c r="CK674" i="4"/>
  <c r="CL674" i="4"/>
  <c r="CR673" i="4"/>
  <c r="CS673" i="4"/>
  <c r="CR1058" i="4"/>
  <c r="CS1058" i="4"/>
  <c r="CS385" i="4"/>
  <c r="CR385" i="4"/>
  <c r="CR1322" i="4"/>
  <c r="CS1322" i="4"/>
  <c r="CM910" i="4"/>
  <c r="CN910" i="4"/>
  <c r="CT1432" i="4"/>
  <c r="CU1432" i="4"/>
  <c r="CR1235" i="4"/>
  <c r="CS1235" i="4"/>
  <c r="CL1392" i="4"/>
  <c r="CK1392" i="4"/>
  <c r="CR1390" i="4"/>
  <c r="CS1390" i="4"/>
  <c r="CK1189" i="4"/>
  <c r="CL1189" i="4"/>
  <c r="CM1385" i="4"/>
  <c r="CN1385" i="4"/>
  <c r="CK517" i="4"/>
  <c r="CL517" i="4"/>
  <c r="CK942" i="4"/>
  <c r="CL942" i="4"/>
  <c r="CM1255" i="4"/>
  <c r="CN1255" i="4"/>
  <c r="CT894" i="4"/>
  <c r="CU894" i="4"/>
  <c r="CT1060" i="4"/>
  <c r="CU1060" i="4"/>
  <c r="CM919" i="4"/>
  <c r="CN919" i="4"/>
  <c r="CR920" i="4"/>
  <c r="CS920" i="4"/>
  <c r="CM534" i="4"/>
  <c r="CN534" i="4"/>
  <c r="CR724" i="4"/>
  <c r="CS724" i="4"/>
  <c r="CM11" i="4"/>
  <c r="CN11" i="4"/>
  <c r="CT11" i="4"/>
  <c r="CU11" i="4"/>
  <c r="CN706" i="4"/>
  <c r="CM706" i="4"/>
  <c r="CU707" i="4"/>
  <c r="CT707" i="4"/>
  <c r="CM1036" i="4"/>
  <c r="CN1036" i="4"/>
  <c r="CR1443" i="4"/>
  <c r="CS1443" i="4"/>
  <c r="CR378" i="4"/>
  <c r="CS378" i="4"/>
  <c r="CK738" i="4"/>
  <c r="CL738" i="4"/>
  <c r="CK588" i="4"/>
  <c r="CL588" i="4"/>
  <c r="CK110" i="4"/>
  <c r="CL110" i="4"/>
  <c r="CM611" i="4"/>
  <c r="CN611" i="4"/>
  <c r="CT612" i="4"/>
  <c r="CU612" i="4"/>
  <c r="CL73" i="4"/>
  <c r="CK73" i="4"/>
  <c r="CK1053" i="4"/>
  <c r="CL1053" i="4"/>
  <c r="CK875" i="4"/>
  <c r="CL875" i="4"/>
  <c r="CT875" i="4"/>
  <c r="CU875" i="4"/>
  <c r="CR975" i="4"/>
  <c r="CS975" i="4"/>
  <c r="CU184" i="4"/>
  <c r="CT184" i="4"/>
  <c r="CR127" i="4"/>
  <c r="CS127" i="4"/>
  <c r="CT1074" i="4"/>
  <c r="CU1074" i="4"/>
  <c r="CL760" i="4"/>
  <c r="CK760" i="4"/>
  <c r="CM1375" i="4"/>
  <c r="CN1375" i="4"/>
  <c r="CU1376" i="4"/>
  <c r="CT1376" i="4"/>
  <c r="CK929" i="4"/>
  <c r="CL929" i="4"/>
  <c r="CR215" i="4"/>
  <c r="CS215" i="4"/>
  <c r="CN722" i="4"/>
  <c r="CM722" i="4"/>
  <c r="CR722" i="4"/>
  <c r="CS722" i="4"/>
  <c r="CL1258" i="4"/>
  <c r="CK1258" i="4"/>
  <c r="CM1260" i="4"/>
  <c r="CN1260" i="4"/>
  <c r="CM14" i="4"/>
  <c r="CN14" i="4"/>
  <c r="CU15" i="4"/>
  <c r="CT15" i="4"/>
  <c r="CK253" i="4"/>
  <c r="CL253" i="4"/>
  <c r="CK744" i="4"/>
  <c r="CL744" i="4"/>
  <c r="CM1033" i="4"/>
  <c r="CN1033" i="4"/>
  <c r="CT1033" i="4"/>
  <c r="CU1033" i="4"/>
  <c r="CR496" i="4"/>
  <c r="CS496" i="4"/>
  <c r="CR498" i="4"/>
  <c r="CS498" i="4"/>
  <c r="CU583" i="4"/>
  <c r="CT583" i="4"/>
  <c r="CT112" i="4"/>
  <c r="CU112" i="4"/>
  <c r="CN949" i="4"/>
  <c r="CM949" i="4"/>
  <c r="CT951" i="4"/>
  <c r="CU951" i="4"/>
  <c r="CK752" i="4"/>
  <c r="CL752" i="4"/>
  <c r="CR752" i="4"/>
  <c r="CS752" i="4"/>
  <c r="CR815" i="4"/>
  <c r="CS815" i="4"/>
  <c r="CT718" i="4"/>
  <c r="CU718" i="4"/>
  <c r="CL257" i="4"/>
  <c r="CK257" i="4"/>
  <c r="CR490" i="4"/>
  <c r="CS490" i="4"/>
  <c r="CK667" i="4"/>
  <c r="CL667" i="4"/>
  <c r="CK450" i="4"/>
  <c r="CL450" i="4"/>
  <c r="CK822" i="4"/>
  <c r="CL822" i="4"/>
  <c r="CM595" i="4"/>
  <c r="CN595" i="4"/>
  <c r="CM286" i="4"/>
  <c r="CN286" i="4"/>
  <c r="CL715" i="4"/>
  <c r="CK715" i="4"/>
  <c r="CU717" i="4"/>
  <c r="CT717" i="4"/>
  <c r="CM1399" i="4"/>
  <c r="CN1399" i="4"/>
  <c r="CK323" i="4"/>
  <c r="CL323" i="4"/>
  <c r="CL247" i="4"/>
  <c r="CK247" i="4"/>
  <c r="CT369" i="4"/>
  <c r="CU369" i="4"/>
  <c r="CM493" i="4"/>
  <c r="CN493" i="4"/>
  <c r="CN76" i="4"/>
  <c r="CM76" i="4"/>
  <c r="CS77" i="4"/>
  <c r="CR77" i="4"/>
  <c r="CR848" i="4"/>
  <c r="CS848" i="4"/>
  <c r="CN947" i="4"/>
  <c r="CM947" i="4"/>
  <c r="CR948" i="4"/>
  <c r="CS948" i="4"/>
  <c r="CM880" i="4"/>
  <c r="CN880" i="4"/>
  <c r="CM443" i="4"/>
  <c r="CN443" i="4"/>
  <c r="CN1165" i="4"/>
  <c r="CM1165" i="4"/>
  <c r="CR1166" i="4"/>
  <c r="CS1166" i="4"/>
  <c r="CK345" i="4"/>
  <c r="CL345" i="4"/>
  <c r="CT1279" i="4"/>
  <c r="CU1279" i="4"/>
  <c r="CT1342" i="4"/>
  <c r="CU1342" i="4"/>
  <c r="CR789" i="4"/>
  <c r="CS789" i="4"/>
  <c r="CU599" i="4"/>
  <c r="CT599" i="4"/>
  <c r="CM292" i="4"/>
  <c r="CN292" i="4"/>
  <c r="CR293" i="4"/>
  <c r="CS293" i="4"/>
  <c r="CM1410" i="4"/>
  <c r="CN1410" i="4"/>
  <c r="CL328" i="4"/>
  <c r="CK328" i="4"/>
  <c r="CM251" i="4"/>
  <c r="CN251" i="4"/>
  <c r="CK1203" i="4"/>
  <c r="CL1203" i="4"/>
  <c r="CL1334" i="4"/>
  <c r="CK1334" i="4"/>
  <c r="CR371" i="4"/>
  <c r="CS371" i="4"/>
  <c r="CK852" i="4"/>
  <c r="CL852" i="4"/>
  <c r="CK953" i="4"/>
  <c r="CL953" i="4"/>
  <c r="CR274" i="4"/>
  <c r="CS274" i="4"/>
  <c r="CK539" i="4"/>
  <c r="CL539" i="4"/>
  <c r="CK1270" i="4"/>
  <c r="CL1270" i="4"/>
  <c r="CT1270" i="4"/>
  <c r="CU1270" i="4"/>
  <c r="CM1170" i="4"/>
  <c r="CN1170" i="4"/>
  <c r="CK349" i="4"/>
  <c r="CL349" i="4"/>
  <c r="CR351" i="4"/>
  <c r="CS351" i="4"/>
  <c r="CK621" i="4"/>
  <c r="CL621" i="4"/>
  <c r="CT415" i="4"/>
  <c r="CU415" i="4"/>
  <c r="CM1092" i="4"/>
  <c r="CN1092" i="4"/>
  <c r="CK791" i="4"/>
  <c r="CL791" i="4"/>
  <c r="CR809" i="4"/>
  <c r="CS809" i="4"/>
  <c r="CM1017" i="4"/>
  <c r="CN1017" i="4"/>
  <c r="CR855" i="4"/>
  <c r="CS855" i="4"/>
  <c r="CM1304" i="4"/>
  <c r="CN1304" i="4"/>
  <c r="CR1355" i="4"/>
  <c r="CS1355" i="4"/>
  <c r="CR1314" i="4"/>
  <c r="CS1314" i="4"/>
  <c r="CN1295" i="4"/>
  <c r="CM1295" i="4"/>
  <c r="CT644" i="4"/>
  <c r="CU644" i="4"/>
  <c r="CK1358" i="4"/>
  <c r="CL1358" i="4"/>
  <c r="CN1220" i="4"/>
  <c r="CM1220" i="4"/>
  <c r="CK806" i="4"/>
  <c r="CL806" i="4"/>
  <c r="CT1002" i="4"/>
  <c r="CU1002" i="4"/>
  <c r="CT548" i="4"/>
  <c r="CU548" i="4"/>
  <c r="CM1435" i="4"/>
  <c r="CN1435" i="4"/>
  <c r="CT311" i="4"/>
  <c r="CU311" i="4"/>
  <c r="CR1101" i="4"/>
  <c r="CS1101" i="4"/>
  <c r="CR359" i="4"/>
  <c r="CS359" i="4"/>
  <c r="CK780" i="4"/>
  <c r="CL780" i="4"/>
  <c r="CT1298" i="4"/>
  <c r="CU1298" i="4"/>
  <c r="CT569" i="4"/>
  <c r="CU569" i="4"/>
  <c r="CK154" i="4"/>
  <c r="CL154" i="4"/>
  <c r="CN1144" i="4"/>
  <c r="CM1144" i="4"/>
  <c r="CT118" i="4"/>
  <c r="CU118" i="4"/>
  <c r="CR1180" i="4"/>
  <c r="CS1180" i="4"/>
  <c r="CN1107" i="4"/>
  <c r="CM1107" i="4"/>
  <c r="CM566" i="4"/>
  <c r="CN566" i="4"/>
  <c r="CR1008" i="4"/>
  <c r="CS1008" i="4"/>
  <c r="CM776" i="4"/>
  <c r="CN776" i="4"/>
  <c r="CK151" i="4"/>
  <c r="CL151" i="4"/>
  <c r="CK854" i="4"/>
  <c r="CL854" i="4"/>
  <c r="CK230" i="4"/>
  <c r="CL230" i="4"/>
  <c r="CN1015" i="4"/>
  <c r="CM1015" i="4"/>
  <c r="CR1016" i="4"/>
  <c r="CS1016" i="4"/>
  <c r="CL1402" i="4"/>
  <c r="CK1402" i="4"/>
  <c r="CK1197" i="4"/>
  <c r="CL1197" i="4"/>
  <c r="CT1328" i="4"/>
  <c r="CU1328" i="4"/>
  <c r="CT375" i="4"/>
  <c r="CU375" i="4"/>
  <c r="CM671" i="4"/>
  <c r="CN671" i="4"/>
  <c r="CK630" i="4"/>
  <c r="CL630" i="4"/>
  <c r="CU241" i="4"/>
  <c r="CT241" i="4"/>
  <c r="CK991" i="4"/>
  <c r="CL991" i="4"/>
  <c r="CM338" i="4"/>
  <c r="CN338" i="4"/>
  <c r="CS1132" i="4"/>
  <c r="CR1132" i="4"/>
  <c r="CS996" i="4"/>
  <c r="CR996" i="4"/>
  <c r="CK1017" i="4"/>
  <c r="CL1017" i="4"/>
  <c r="CR316" i="4"/>
  <c r="CS316" i="4"/>
  <c r="CK88" i="4"/>
  <c r="CL88" i="4"/>
  <c r="CT1445" i="4"/>
  <c r="CU1445" i="4"/>
  <c r="CN537" i="4"/>
  <c r="CM537" i="4"/>
  <c r="CT1162" i="4"/>
  <c r="CU1162" i="4"/>
  <c r="CS242" i="4"/>
  <c r="CR242" i="4"/>
  <c r="CR798" i="4"/>
  <c r="CS798" i="4"/>
  <c r="CM1363" i="4"/>
  <c r="CN1363" i="4"/>
  <c r="CM308" i="4"/>
  <c r="CN308" i="4"/>
  <c r="CN1204" i="4"/>
  <c r="CM1204" i="4"/>
  <c r="CK992" i="4"/>
  <c r="CL992" i="4"/>
  <c r="CR380" i="4"/>
  <c r="CS380" i="4"/>
  <c r="CN959" i="4"/>
  <c r="CM959" i="4"/>
  <c r="CM1098" i="4"/>
  <c r="CN1098" i="4"/>
  <c r="CS1312" i="4"/>
  <c r="CR1312" i="4"/>
  <c r="CS582" i="4"/>
  <c r="CR582" i="4"/>
  <c r="CL605" i="4"/>
  <c r="CK605" i="4"/>
  <c r="CK331" i="4"/>
  <c r="CL331" i="4"/>
  <c r="CS1403" i="4"/>
  <c r="CR1403" i="4"/>
  <c r="CT1195" i="4"/>
  <c r="CU1195" i="4"/>
  <c r="CR1445" i="4"/>
  <c r="CS1445" i="4"/>
  <c r="CT373" i="4"/>
  <c r="CU373" i="4"/>
  <c r="CU1360" i="4"/>
  <c r="CT1360" i="4"/>
  <c r="CR604" i="4"/>
  <c r="CS604" i="4"/>
  <c r="CR331" i="4"/>
  <c r="CS331" i="4"/>
  <c r="CT1403" i="4"/>
  <c r="CU1403" i="4"/>
  <c r="CT325" i="4"/>
  <c r="CU325" i="4"/>
  <c r="CS317" i="4"/>
  <c r="CR317" i="4"/>
  <c r="CK1196" i="4"/>
  <c r="CL1196" i="4"/>
  <c r="CT1197" i="4"/>
  <c r="CU1197" i="4"/>
  <c r="CK1445" i="4"/>
  <c r="CL1445" i="4"/>
  <c r="CR1446" i="4"/>
  <c r="CS1446" i="4"/>
  <c r="CM672" i="4"/>
  <c r="CN672" i="4"/>
  <c r="CN72" i="4"/>
  <c r="CM72" i="4"/>
  <c r="CU855" i="4"/>
  <c r="CT855" i="4"/>
  <c r="CK1045" i="4"/>
  <c r="CL1045" i="4"/>
  <c r="CT535" i="4"/>
  <c r="CU535" i="4"/>
  <c r="CK1275" i="4"/>
  <c r="CL1275" i="4"/>
  <c r="CR1163" i="4"/>
  <c r="CS1163" i="4"/>
  <c r="CK1227" i="4"/>
  <c r="CL1227" i="4"/>
  <c r="CU1227" i="4"/>
  <c r="CT1227" i="4"/>
  <c r="CK224" i="4"/>
  <c r="CL224" i="4"/>
  <c r="CT1003" i="4"/>
  <c r="CU1003" i="4"/>
  <c r="CK798" i="4"/>
  <c r="CL798" i="4"/>
  <c r="CM986" i="4"/>
  <c r="CN986" i="4"/>
  <c r="CT987" i="4"/>
  <c r="CU987" i="4"/>
  <c r="CN801" i="4"/>
  <c r="CM801" i="4"/>
  <c r="CS801" i="4"/>
  <c r="CR801" i="4"/>
  <c r="CK601" i="4"/>
  <c r="CL601" i="4"/>
  <c r="CK335" i="4"/>
  <c r="CL335" i="4"/>
  <c r="CT336" i="4"/>
  <c r="CU336" i="4"/>
  <c r="CU1406" i="4"/>
  <c r="CT1406" i="4"/>
  <c r="CN1337" i="4"/>
  <c r="CM1337" i="4"/>
  <c r="CT1338" i="4"/>
  <c r="CU1338" i="4"/>
  <c r="CT993" i="4"/>
  <c r="CU993" i="4"/>
  <c r="CM379" i="4"/>
  <c r="CN379" i="4"/>
  <c r="CT381" i="4"/>
  <c r="CU381" i="4"/>
  <c r="CS622" i="4"/>
  <c r="CR622" i="4"/>
  <c r="CM426" i="4"/>
  <c r="CN426" i="4"/>
  <c r="CR1096" i="4"/>
  <c r="CS1096" i="4"/>
  <c r="CR802" i="4"/>
  <c r="CS802" i="4"/>
  <c r="CK693" i="4"/>
  <c r="CL693" i="4"/>
  <c r="CT693" i="4"/>
  <c r="CU693" i="4"/>
  <c r="CN901" i="4"/>
  <c r="CM901" i="4"/>
  <c r="CK580" i="4"/>
  <c r="CL580" i="4"/>
  <c r="CK1296" i="4"/>
  <c r="CL1296" i="4"/>
  <c r="CR1020" i="4"/>
  <c r="CS1020" i="4"/>
  <c r="CM1199" i="4"/>
  <c r="CN1199" i="4"/>
  <c r="CK644" i="4"/>
  <c r="CL644" i="4"/>
  <c r="CU995" i="4"/>
  <c r="CT995" i="4"/>
  <c r="CK1359" i="4"/>
  <c r="CL1359" i="4"/>
  <c r="CR1358" i="4"/>
  <c r="CS1358" i="4"/>
  <c r="CR1359" i="4"/>
  <c r="CS1359" i="4"/>
  <c r="CL65" i="4"/>
  <c r="CK65" i="4"/>
  <c r="CT66" i="4"/>
  <c r="CU66" i="4"/>
  <c r="CR1156" i="4"/>
  <c r="CS1156" i="4"/>
  <c r="CU1158" i="4"/>
  <c r="CT1158" i="4"/>
  <c r="CK834" i="4"/>
  <c r="CL834" i="4"/>
  <c r="CR832" i="4"/>
  <c r="CS832" i="4"/>
  <c r="CT834" i="4"/>
  <c r="CU834" i="4"/>
  <c r="CN356" i="4"/>
  <c r="CM356" i="4"/>
  <c r="CR423" i="4"/>
  <c r="CS423" i="4"/>
  <c r="CL240" i="4"/>
  <c r="CK240" i="4"/>
  <c r="CN982" i="4"/>
  <c r="CM982" i="4"/>
  <c r="CT982" i="4"/>
  <c r="CU982" i="4"/>
  <c r="CN466" i="4"/>
  <c r="CM466" i="4"/>
  <c r="CS988" i="4"/>
  <c r="CR988" i="4"/>
  <c r="CU990" i="4"/>
  <c r="CT990" i="4"/>
  <c r="CM1001" i="4"/>
  <c r="CN1001" i="4"/>
  <c r="CM347" i="4"/>
  <c r="CN347" i="4"/>
  <c r="CT346" i="4"/>
  <c r="CU346" i="4"/>
  <c r="CK1283" i="4"/>
  <c r="CL1283" i="4"/>
  <c r="CK547" i="4"/>
  <c r="CL547" i="4"/>
  <c r="CS741" i="4"/>
  <c r="CR741" i="4"/>
  <c r="CR1435" i="4"/>
  <c r="CS1435" i="4"/>
  <c r="CK872" i="4"/>
  <c r="CL872" i="4"/>
  <c r="CR873" i="4"/>
  <c r="CS873" i="4"/>
  <c r="CN784" i="4"/>
  <c r="CM784" i="4"/>
  <c r="CU785" i="4"/>
  <c r="CT785" i="4"/>
  <c r="CK1372" i="4"/>
  <c r="CL1372" i="4"/>
  <c r="CK1374" i="4"/>
  <c r="CL1374" i="4"/>
  <c r="CK689" i="4"/>
  <c r="CL689" i="4"/>
  <c r="CT689" i="4"/>
  <c r="CU689" i="4"/>
  <c r="CS835" i="4"/>
  <c r="CR835" i="4"/>
  <c r="CM311" i="4"/>
  <c r="CN311" i="4"/>
  <c r="CT1247" i="4"/>
  <c r="CU1247" i="4"/>
  <c r="CK59" i="4"/>
  <c r="CL59" i="4"/>
  <c r="CR59" i="4"/>
  <c r="CS59" i="4"/>
  <c r="CT383" i="4"/>
  <c r="CU383" i="4"/>
  <c r="CR1173" i="4"/>
  <c r="CS1173" i="4"/>
  <c r="CR766" i="4"/>
  <c r="CS766" i="4"/>
  <c r="CR823" i="4"/>
  <c r="CS823" i="4"/>
  <c r="CM1100" i="4"/>
  <c r="CN1100" i="4"/>
  <c r="CM360" i="4"/>
  <c r="CN360" i="4"/>
  <c r="CK1229" i="4"/>
  <c r="CL1229" i="4"/>
  <c r="CS393" i="4"/>
  <c r="CR393" i="4"/>
  <c r="CL976" i="4"/>
  <c r="CK976" i="4"/>
  <c r="CR1298" i="4"/>
  <c r="CS1298" i="4"/>
  <c r="CR569" i="4"/>
  <c r="CS569" i="4"/>
  <c r="CN685" i="4"/>
  <c r="CM685" i="4"/>
  <c r="CN839" i="4"/>
  <c r="CM839" i="4"/>
  <c r="CR840" i="4"/>
  <c r="CS840" i="4"/>
  <c r="CK651" i="4"/>
  <c r="CL651" i="4"/>
  <c r="CR650" i="4"/>
  <c r="CS650" i="4"/>
  <c r="CK1145" i="4"/>
  <c r="CL1145" i="4"/>
  <c r="CT1144" i="4"/>
  <c r="CU1144" i="4"/>
  <c r="CM1254" i="4"/>
  <c r="CN1254" i="4"/>
  <c r="CT119" i="4"/>
  <c r="CU119" i="4"/>
  <c r="CS63" i="4"/>
  <c r="CR63" i="4"/>
  <c r="CT63" i="4"/>
  <c r="CU63" i="4"/>
  <c r="CN20" i="4"/>
  <c r="CM20" i="4"/>
  <c r="CR19" i="4"/>
  <c r="CS19" i="4"/>
  <c r="CU773" i="4"/>
  <c r="CT773" i="4"/>
  <c r="CK1106" i="4"/>
  <c r="CL1106" i="4"/>
  <c r="CT1106" i="4"/>
  <c r="CU1106" i="4"/>
  <c r="CK48" i="4"/>
  <c r="CL48" i="4"/>
  <c r="CR471" i="4"/>
  <c r="CS471" i="4"/>
  <c r="CM696" i="4"/>
  <c r="CN696" i="4"/>
  <c r="CL980" i="4"/>
  <c r="CK980" i="4"/>
  <c r="CU1287" i="4"/>
  <c r="CT1287" i="4"/>
  <c r="CN552" i="4"/>
  <c r="CM552" i="4"/>
  <c r="CU550" i="4"/>
  <c r="CT550" i="4"/>
  <c r="CM527" i="4"/>
  <c r="CN527" i="4"/>
  <c r="CT577" i="4"/>
  <c r="CU577" i="4"/>
  <c r="CM1416" i="4"/>
  <c r="CN1416" i="4"/>
  <c r="CS679" i="4"/>
  <c r="CR679" i="4"/>
  <c r="CN480" i="4"/>
  <c r="CM480" i="4"/>
  <c r="CM646" i="4"/>
  <c r="CN646" i="4"/>
  <c r="CT646" i="4"/>
  <c r="CU646" i="4"/>
  <c r="CK457" i="4"/>
  <c r="CL457" i="4"/>
  <c r="CR457" i="4"/>
  <c r="CS457" i="4"/>
  <c r="CS458" i="4"/>
  <c r="CR458" i="4"/>
  <c r="CT1250" i="4"/>
  <c r="CU1250" i="4"/>
  <c r="CK124" i="4"/>
  <c r="CL124" i="4"/>
  <c r="CK858" i="4"/>
  <c r="CL858" i="4"/>
  <c r="CU56" i="4"/>
  <c r="CT56" i="4"/>
  <c r="CS41" i="4"/>
  <c r="CR41" i="4"/>
  <c r="CK23" i="4"/>
  <c r="CL23" i="4"/>
  <c r="CK830" i="4"/>
  <c r="CL830" i="4"/>
  <c r="CR830" i="4"/>
  <c r="CS830" i="4"/>
  <c r="CM1104" i="4"/>
  <c r="CN1104" i="4"/>
  <c r="CL1104" i="4"/>
  <c r="CK1104" i="4"/>
  <c r="CM507" i="4"/>
  <c r="CN507" i="4"/>
  <c r="CS507" i="4"/>
  <c r="CR507" i="4"/>
  <c r="CK100" i="4"/>
  <c r="CL100" i="4"/>
  <c r="CT520" i="4"/>
  <c r="CU520" i="4"/>
  <c r="CS661" i="4"/>
  <c r="CR661" i="4"/>
  <c r="CL776" i="4"/>
  <c r="CK776" i="4"/>
  <c r="CM529" i="4"/>
  <c r="CN529" i="4"/>
  <c r="CN164" i="4"/>
  <c r="CM164" i="4"/>
  <c r="CS165" i="4"/>
  <c r="CR165" i="4"/>
  <c r="CR1421" i="4"/>
  <c r="CS1421" i="4"/>
  <c r="CT1422" i="4"/>
  <c r="CU1422" i="4"/>
  <c r="CN559" i="4"/>
  <c r="CM559" i="4"/>
  <c r="CR1083" i="4"/>
  <c r="CS1083" i="4"/>
  <c r="CT477" i="4"/>
  <c r="CU477" i="4"/>
  <c r="CN1315" i="4"/>
  <c r="CM1315" i="4"/>
  <c r="CN32" i="4"/>
  <c r="CM32" i="4"/>
  <c r="CR32" i="4"/>
  <c r="CS32" i="4"/>
  <c r="CL771" i="4"/>
  <c r="CK771" i="4"/>
  <c r="CT1395" i="4"/>
  <c r="CU1395" i="4"/>
  <c r="CN463" i="4"/>
  <c r="CM463" i="4"/>
  <c r="CK395" i="4"/>
  <c r="CL395" i="4"/>
  <c r="CR394" i="4"/>
  <c r="CS394" i="4"/>
  <c r="CK641" i="4"/>
  <c r="CL641" i="4"/>
  <c r="CM1086" i="4"/>
  <c r="CN1086" i="4"/>
  <c r="CT1135" i="4"/>
  <c r="CU1135" i="4"/>
  <c r="CK462" i="4"/>
  <c r="CL462" i="4"/>
  <c r="CN85" i="4"/>
  <c r="CM85" i="4"/>
  <c r="CT1324" i="4"/>
  <c r="CU1324" i="4"/>
  <c r="CU207" i="4"/>
  <c r="CT207" i="4"/>
  <c r="CK34" i="4"/>
  <c r="CL34" i="4"/>
  <c r="CR35" i="4"/>
  <c r="CS35" i="4"/>
  <c r="CR1389" i="4"/>
  <c r="CS1389" i="4"/>
  <c r="CK504" i="4"/>
  <c r="CL504" i="4"/>
  <c r="CS232" i="4"/>
  <c r="CR232" i="4"/>
  <c r="CM99" i="4"/>
  <c r="CN99" i="4"/>
  <c r="CS939" i="4"/>
  <c r="CR939" i="4"/>
  <c r="CT657" i="4"/>
  <c r="CU657" i="4"/>
  <c r="CL1031" i="4"/>
  <c r="CK1031" i="4"/>
  <c r="CK300" i="4"/>
  <c r="CL300" i="4"/>
  <c r="CK430" i="4"/>
  <c r="CL430" i="4"/>
  <c r="CM145" i="4"/>
  <c r="CN145" i="4"/>
  <c r="CK108" i="4"/>
  <c r="CL108" i="4"/>
  <c r="CK1152" i="4"/>
  <c r="CL1152" i="4"/>
  <c r="CR1151" i="4"/>
  <c r="CS1151" i="4"/>
  <c r="CL970" i="4"/>
  <c r="CK970" i="4"/>
  <c r="CM180" i="4"/>
  <c r="CN180" i="4"/>
  <c r="CU179" i="4"/>
  <c r="CT179" i="4"/>
  <c r="CT180" i="4"/>
  <c r="CU180" i="4"/>
  <c r="CM908" i="4"/>
  <c r="CN908" i="4"/>
  <c r="CR1064" i="4"/>
  <c r="CS1064" i="4"/>
  <c r="CU759" i="4"/>
  <c r="CT759" i="4"/>
  <c r="CM904" i="4"/>
  <c r="CN904" i="4"/>
  <c r="CK511" i="4"/>
  <c r="CL511" i="4"/>
  <c r="CS512" i="4"/>
  <c r="CR512" i="4"/>
  <c r="CT793" i="4"/>
  <c r="CU793" i="4"/>
  <c r="CT1300" i="4"/>
  <c r="CU1300" i="4"/>
  <c r="CU710" i="4"/>
  <c r="CT710" i="4"/>
  <c r="CR412" i="4"/>
  <c r="CS412" i="4"/>
  <c r="CL429" i="4"/>
  <c r="CK429" i="4"/>
  <c r="CR428" i="4"/>
  <c r="CS428" i="4"/>
  <c r="CT884" i="4"/>
  <c r="CU884" i="4"/>
  <c r="CK608" i="4"/>
  <c r="CL608" i="4"/>
  <c r="CR1149" i="4"/>
  <c r="CS1149" i="4"/>
  <c r="CK38" i="4"/>
  <c r="CL38" i="4"/>
  <c r="CR39" i="4"/>
  <c r="CS39" i="4"/>
  <c r="CK917" i="4"/>
  <c r="CL917" i="4"/>
  <c r="CK1431" i="4"/>
  <c r="CL1431" i="4"/>
  <c r="CN1398" i="4"/>
  <c r="CM1398" i="4"/>
  <c r="CN508" i="4"/>
  <c r="CM508" i="4"/>
  <c r="CN1119" i="4"/>
  <c r="CM1119" i="4"/>
  <c r="CT1117" i="4"/>
  <c r="CU1117" i="4"/>
  <c r="CT1192" i="4"/>
  <c r="CU1192" i="4"/>
  <c r="CN96" i="4"/>
  <c r="CM96" i="4"/>
  <c r="CT922" i="4"/>
  <c r="CU922" i="4"/>
  <c r="CR934" i="4"/>
  <c r="CS934" i="4"/>
  <c r="CT658" i="4"/>
  <c r="CU658" i="4"/>
  <c r="CR1231" i="4"/>
  <c r="CS1231" i="4"/>
  <c r="CT735" i="4"/>
  <c r="CU735" i="4"/>
  <c r="CT877" i="4"/>
  <c r="CU877" i="4"/>
  <c r="CL134" i="4"/>
  <c r="CK134" i="4"/>
  <c r="CR220" i="4"/>
  <c r="CS220" i="4"/>
  <c r="CR290" i="4"/>
  <c r="CS290" i="4"/>
  <c r="CT732" i="4"/>
  <c r="CU732" i="4"/>
  <c r="CT353" i="4"/>
  <c r="CU353" i="4"/>
  <c r="CL213" i="4"/>
  <c r="CK213" i="4"/>
  <c r="CR213" i="4"/>
  <c r="CS213" i="4"/>
  <c r="CK401" i="4"/>
  <c r="CL401" i="4"/>
  <c r="CN169" i="4"/>
  <c r="CM169" i="4"/>
  <c r="CM17" i="4"/>
  <c r="CN17" i="4"/>
  <c r="CS18" i="4"/>
  <c r="CR18" i="4"/>
  <c r="CT304" i="4"/>
  <c r="CU304" i="4"/>
  <c r="CM435" i="4"/>
  <c r="CN435" i="4"/>
  <c r="CT434" i="4"/>
  <c r="CU434" i="4"/>
  <c r="CK139" i="4"/>
  <c r="CL139" i="4"/>
  <c r="CM886" i="4"/>
  <c r="CN886" i="4"/>
  <c r="CK887" i="4"/>
  <c r="CL887" i="4"/>
  <c r="CR888" i="4"/>
  <c r="CS888" i="4"/>
  <c r="CT1141" i="4"/>
  <c r="CU1141" i="4"/>
  <c r="CT105" i="4"/>
  <c r="CU105" i="4"/>
  <c r="CT673" i="4"/>
  <c r="CU673" i="4"/>
  <c r="CK615" i="4"/>
  <c r="CL615" i="4"/>
  <c r="CK1058" i="4"/>
  <c r="CL1058" i="4"/>
  <c r="CT1058" i="4"/>
  <c r="CU1058" i="4"/>
  <c r="CT385" i="4"/>
  <c r="CU385" i="4"/>
  <c r="CS175" i="4"/>
  <c r="CR175" i="4"/>
  <c r="CM1235" i="4"/>
  <c r="CN1235" i="4"/>
  <c r="CT1234" i="4"/>
  <c r="CU1234" i="4"/>
  <c r="CM1289" i="4"/>
  <c r="CN1289" i="4"/>
  <c r="CR1386" i="4"/>
  <c r="CS1386" i="4"/>
  <c r="CR518" i="4"/>
  <c r="CS518" i="4"/>
  <c r="CM942" i="4"/>
  <c r="CN942" i="4"/>
  <c r="CR7" i="4"/>
  <c r="CS7" i="4"/>
  <c r="CK1062" i="4"/>
  <c r="CL1062" i="4"/>
  <c r="CM864" i="4"/>
  <c r="CN864" i="4"/>
  <c r="CT920" i="4"/>
  <c r="CU920" i="4"/>
  <c r="CM724" i="4"/>
  <c r="CN724" i="4"/>
  <c r="CT724" i="4"/>
  <c r="CU724" i="4"/>
  <c r="CK707" i="4"/>
  <c r="CL707" i="4"/>
  <c r="CR707" i="4"/>
  <c r="CS707" i="4"/>
  <c r="CU708" i="4"/>
  <c r="CT708" i="4"/>
  <c r="CT747" i="4"/>
  <c r="CU747" i="4"/>
  <c r="CS1036" i="4"/>
  <c r="CR1036" i="4"/>
  <c r="CK438" i="4"/>
  <c r="CL438" i="4"/>
  <c r="CR437" i="4"/>
  <c r="CS437" i="4"/>
  <c r="CR438" i="4"/>
  <c r="CS438" i="4"/>
  <c r="CK144" i="4"/>
  <c r="CL144" i="4"/>
  <c r="CT376" i="4"/>
  <c r="CU376" i="4"/>
  <c r="CM586" i="4"/>
  <c r="CN586" i="4"/>
  <c r="CR588" i="4"/>
  <c r="CS588" i="4"/>
  <c r="CN109" i="4"/>
  <c r="CM109" i="4"/>
  <c r="CL612" i="4"/>
  <c r="CK612" i="4"/>
  <c r="CM875" i="4"/>
  <c r="CN875" i="4"/>
  <c r="CS439" i="4"/>
  <c r="CR439" i="4"/>
  <c r="CN974" i="4"/>
  <c r="CM974" i="4"/>
  <c r="CM184" i="4"/>
  <c r="CN184" i="4"/>
  <c r="CR186" i="4"/>
  <c r="CS186" i="4"/>
  <c r="CR762" i="4"/>
  <c r="CS762" i="4"/>
  <c r="CR860" i="4"/>
  <c r="CS860" i="4"/>
  <c r="CK897" i="4"/>
  <c r="CL897" i="4"/>
  <c r="CN554" i="4"/>
  <c r="CM554" i="4"/>
  <c r="CN215" i="4"/>
  <c r="CM215" i="4"/>
  <c r="CU216" i="4"/>
  <c r="CT216" i="4"/>
  <c r="CR285" i="4"/>
  <c r="CS285" i="4"/>
  <c r="CT722" i="4"/>
  <c r="CU722" i="4"/>
  <c r="CK1260" i="4"/>
  <c r="CL1260" i="4"/>
  <c r="CS1258" i="4"/>
  <c r="CR1258" i="4"/>
  <c r="CR15" i="4"/>
  <c r="CS15" i="4"/>
  <c r="CL498" i="4"/>
  <c r="CK498" i="4"/>
  <c r="CT498" i="4"/>
  <c r="CU498" i="4"/>
  <c r="CK584" i="4"/>
  <c r="CL584" i="4"/>
  <c r="CM950" i="4"/>
  <c r="CN950" i="4"/>
  <c r="CK1378" i="4"/>
  <c r="CL1378" i="4"/>
  <c r="CM815" i="4"/>
  <c r="CN815" i="4"/>
  <c r="CS719" i="4"/>
  <c r="CR719" i="4"/>
  <c r="CL320" i="4"/>
  <c r="CK320" i="4"/>
  <c r="CU490" i="4"/>
  <c r="CT490" i="4"/>
  <c r="CM820" i="4"/>
  <c r="CN820" i="4"/>
  <c r="CL716" i="4"/>
  <c r="CK716" i="4"/>
  <c r="CU716" i="4"/>
  <c r="CT716" i="4"/>
  <c r="CK322" i="4"/>
  <c r="CL322" i="4"/>
  <c r="CR324" i="4"/>
  <c r="CS324" i="4"/>
  <c r="CL77" i="4"/>
  <c r="CK77" i="4"/>
  <c r="CT77" i="4"/>
  <c r="CU77" i="4"/>
  <c r="CS545" i="4"/>
  <c r="CR545" i="4"/>
  <c r="CT1277" i="4"/>
  <c r="CU1277" i="4"/>
  <c r="CM345" i="4"/>
  <c r="CN345" i="4"/>
  <c r="CK137" i="4"/>
  <c r="CL137" i="4"/>
  <c r="CM1281" i="4"/>
  <c r="CN1281" i="4"/>
  <c r="CS1280" i="4"/>
  <c r="CR1280" i="4"/>
  <c r="CM789" i="4"/>
  <c r="CN789" i="4"/>
  <c r="CU789" i="4"/>
  <c r="CT789" i="4"/>
  <c r="CL698" i="4"/>
  <c r="CK698" i="4"/>
  <c r="CR819" i="4"/>
  <c r="CS819" i="4"/>
  <c r="CK557" i="4"/>
  <c r="CL557" i="4"/>
  <c r="CT598" i="4"/>
  <c r="CU598" i="4"/>
  <c r="CR1022" i="4"/>
  <c r="CS1022" i="4"/>
  <c r="CN328" i="4"/>
  <c r="CM328" i="4"/>
  <c r="CS329" i="4"/>
  <c r="CR329" i="4"/>
  <c r="CM252" i="4"/>
  <c r="CN252" i="4"/>
  <c r="CM1203" i="4"/>
  <c r="CN1203" i="4"/>
  <c r="CR1438" i="4"/>
  <c r="CS1438" i="4"/>
  <c r="CS487" i="4"/>
  <c r="CR487" i="4"/>
  <c r="CL68" i="4"/>
  <c r="CK68" i="4"/>
  <c r="CM274" i="4"/>
  <c r="CN274" i="4"/>
  <c r="CT540" i="4"/>
  <c r="CU540" i="4"/>
  <c r="CM1270" i="4"/>
  <c r="CN1270" i="4"/>
  <c r="CK1169" i="4"/>
  <c r="CL1169" i="4"/>
  <c r="CN350" i="4"/>
  <c r="CM350" i="4"/>
  <c r="CS350" i="4"/>
  <c r="CR350" i="4"/>
  <c r="CK362" i="4"/>
  <c r="CL362" i="4"/>
  <c r="CN621" i="4"/>
  <c r="CM621" i="4"/>
  <c r="CR416" i="4"/>
  <c r="CS416" i="4"/>
  <c r="CM790" i="4"/>
  <c r="CN790" i="4"/>
  <c r="CT792" i="4"/>
  <c r="CU792" i="4"/>
  <c r="CK813" i="4"/>
  <c r="CL813" i="4"/>
  <c r="CR808" i="4"/>
  <c r="CS808" i="4"/>
  <c r="CU809" i="4"/>
  <c r="CT809" i="4"/>
  <c r="CN1267" i="4"/>
  <c r="CM1267" i="4"/>
  <c r="CK1217" i="4"/>
  <c r="CL1217" i="4"/>
  <c r="CU1216" i="4"/>
  <c r="CT1216" i="4"/>
  <c r="CS1116" i="4"/>
  <c r="CR1116" i="4"/>
  <c r="CM1185" i="4"/>
  <c r="CN1185" i="4"/>
  <c r="CM1010" i="4"/>
  <c r="CN1010" i="4"/>
  <c r="CK52" i="4"/>
  <c r="CL52" i="4"/>
  <c r="CR52" i="4"/>
  <c r="CS52" i="4"/>
  <c r="CK1418" i="4"/>
  <c r="CL1418" i="4"/>
  <c r="CR1418" i="4"/>
  <c r="CS1418" i="4"/>
  <c r="CR1419" i="4"/>
  <c r="CS1419" i="4"/>
  <c r="CN1085" i="4"/>
  <c r="CM1085" i="4"/>
  <c r="CT891" i="4"/>
  <c r="CU891" i="4"/>
  <c r="CL1135" i="4"/>
  <c r="CK1135" i="4"/>
  <c r="CM462" i="4"/>
  <c r="CN462" i="4"/>
  <c r="CT461" i="4"/>
  <c r="CU461" i="4"/>
  <c r="CN86" i="4"/>
  <c r="CM86" i="4"/>
  <c r="CT87" i="4"/>
  <c r="CU87" i="4"/>
  <c r="CK206" i="4"/>
  <c r="CL206" i="4"/>
  <c r="CS206" i="4"/>
  <c r="CR206" i="4"/>
  <c r="CN36" i="4"/>
  <c r="CM36" i="4"/>
  <c r="CT35" i="4"/>
  <c r="CU35" i="4"/>
  <c r="CR27" i="4"/>
  <c r="CS27" i="4"/>
  <c r="CK1423" i="4"/>
  <c r="CL1423" i="4"/>
  <c r="CM1212" i="4"/>
  <c r="CN1212" i="4"/>
  <c r="CK234" i="4"/>
  <c r="CL234" i="4"/>
  <c r="CS234" i="4"/>
  <c r="CR234" i="4"/>
  <c r="CT1186" i="4"/>
  <c r="CU1186" i="4"/>
  <c r="CR1012" i="4"/>
  <c r="CS1012" i="4"/>
  <c r="CM49" i="4"/>
  <c r="CN49" i="4"/>
  <c r="CT51" i="4"/>
  <c r="CU51" i="4"/>
  <c r="CM298" i="4"/>
  <c r="CN298" i="4"/>
  <c r="CN430" i="4"/>
  <c r="CM430" i="4"/>
  <c r="CU431" i="4"/>
  <c r="CT431" i="4"/>
  <c r="CR108" i="4"/>
  <c r="CS108" i="4"/>
  <c r="CK617" i="4"/>
  <c r="CL617" i="4"/>
  <c r="CR616" i="4"/>
  <c r="CS616" i="4"/>
  <c r="CR390" i="4"/>
  <c r="CS390" i="4"/>
  <c r="CR1150" i="4"/>
  <c r="CS1150" i="4"/>
  <c r="CS180" i="4"/>
  <c r="CR180" i="4"/>
  <c r="CL1063" i="4"/>
  <c r="CK1063" i="4"/>
  <c r="CT1064" i="4"/>
  <c r="CU1064" i="4"/>
  <c r="CM759" i="4"/>
  <c r="CN759" i="4"/>
  <c r="CM905" i="4"/>
  <c r="CN905" i="4"/>
  <c r="CT1381" i="4"/>
  <c r="CU1381" i="4"/>
  <c r="CL512" i="4"/>
  <c r="CK512" i="4"/>
  <c r="CT512" i="4"/>
  <c r="CU512" i="4"/>
  <c r="CK1159" i="4"/>
  <c r="CL1159" i="4"/>
  <c r="CT795" i="4"/>
  <c r="CU795" i="4"/>
  <c r="CM173" i="4"/>
  <c r="CN173" i="4"/>
  <c r="CS172" i="4"/>
  <c r="CR172" i="4"/>
  <c r="CR174" i="4"/>
  <c r="CS174" i="4"/>
  <c r="CK710" i="4"/>
  <c r="CL710" i="4"/>
  <c r="CT709" i="4"/>
  <c r="CU709" i="4"/>
  <c r="CL634" i="4"/>
  <c r="CK634" i="4"/>
  <c r="CK412" i="4"/>
  <c r="CL412" i="4"/>
  <c r="CT412" i="4"/>
  <c r="CU412" i="4"/>
  <c r="CT413" i="4"/>
  <c r="CU413" i="4"/>
  <c r="CM428" i="4"/>
  <c r="CN428" i="4"/>
  <c r="CR427" i="4"/>
  <c r="CS427" i="4"/>
  <c r="CL150" i="4"/>
  <c r="CK150" i="4"/>
  <c r="CK1140" i="4"/>
  <c r="CL1140" i="4"/>
  <c r="CR1055" i="4"/>
  <c r="CS1055" i="4"/>
  <c r="CT1320" i="4"/>
  <c r="CU1320" i="4"/>
  <c r="CN1149" i="4"/>
  <c r="CM1149" i="4"/>
  <c r="CL37" i="4"/>
  <c r="CK37" i="4"/>
  <c r="CM917" i="4"/>
  <c r="CN917" i="4"/>
  <c r="CL1430" i="4"/>
  <c r="CK1430" i="4"/>
  <c r="CR1240" i="4"/>
  <c r="CS1240" i="4"/>
  <c r="CS1117" i="4"/>
  <c r="CR1117" i="4"/>
  <c r="CT94" i="4"/>
  <c r="CU94" i="4"/>
  <c r="CK922" i="4"/>
  <c r="CL922" i="4"/>
  <c r="CN516" i="4"/>
  <c r="CM516" i="4"/>
  <c r="CK658" i="4"/>
  <c r="CL658" i="4"/>
  <c r="CN660" i="4"/>
  <c r="CM660" i="4"/>
  <c r="CM705" i="4"/>
  <c r="CN705" i="4"/>
  <c r="CR703" i="4"/>
  <c r="CS703" i="4"/>
  <c r="CM1231" i="4"/>
  <c r="CN1231" i="4"/>
  <c r="CM735" i="4"/>
  <c r="CN735" i="4"/>
  <c r="CK878" i="4"/>
  <c r="CL878" i="4"/>
  <c r="CR878" i="4"/>
  <c r="CS878" i="4"/>
  <c r="CK967" i="4"/>
  <c r="CL967" i="4"/>
  <c r="CN1346" i="4"/>
  <c r="CM1346" i="4"/>
  <c r="CT1347" i="4"/>
  <c r="CU1347" i="4"/>
  <c r="CM898" i="4"/>
  <c r="CN898" i="4"/>
  <c r="CT899" i="4"/>
  <c r="CU899" i="4"/>
  <c r="CK222" i="4"/>
  <c r="CL222" i="4"/>
  <c r="CT221" i="4"/>
  <c r="CU221" i="4"/>
  <c r="CT290" i="4"/>
  <c r="CU290" i="4"/>
  <c r="CK1027" i="4"/>
  <c r="CL1027" i="4"/>
  <c r="CL731" i="4"/>
  <c r="CK731" i="4"/>
  <c r="CK352" i="4"/>
  <c r="CL352" i="4"/>
  <c r="CM212" i="4"/>
  <c r="CN212" i="4"/>
  <c r="CT213" i="4"/>
  <c r="CU213" i="4"/>
  <c r="CM523" i="4"/>
  <c r="CN523" i="4"/>
  <c r="CN170" i="4"/>
  <c r="CM170" i="4"/>
  <c r="CT18" i="4"/>
  <c r="CU18" i="4"/>
  <c r="CT1079" i="4"/>
  <c r="CU1079" i="4"/>
  <c r="CM306" i="4"/>
  <c r="CN306" i="4"/>
  <c r="CM139" i="4"/>
  <c r="CN139" i="4"/>
  <c r="CK1141" i="4"/>
  <c r="CL1141" i="4"/>
  <c r="CM673" i="4"/>
  <c r="CN673" i="4"/>
  <c r="CM613" i="4"/>
  <c r="CN613" i="4"/>
  <c r="CM615" i="4"/>
  <c r="CN615" i="4"/>
  <c r="CK386" i="4"/>
  <c r="CL386" i="4"/>
  <c r="CT1323" i="4"/>
  <c r="CU1323" i="4"/>
  <c r="CL177" i="4"/>
  <c r="CK177" i="4"/>
  <c r="CR911" i="4"/>
  <c r="CS911" i="4"/>
  <c r="CM1432" i="4"/>
  <c r="CN1432" i="4"/>
  <c r="CK1236" i="4"/>
  <c r="CL1236" i="4"/>
  <c r="CR1189" i="4"/>
  <c r="CS1189" i="4"/>
  <c r="CL1386" i="4"/>
  <c r="CK1386" i="4"/>
  <c r="CT518" i="4"/>
  <c r="CU518" i="4"/>
  <c r="CK1256" i="4"/>
  <c r="CL1256" i="4"/>
  <c r="CR1257" i="4"/>
  <c r="CS1257" i="4"/>
  <c r="CT7" i="4"/>
  <c r="CU7" i="4"/>
  <c r="CR893" i="4"/>
  <c r="CS893" i="4"/>
  <c r="CT1061" i="4"/>
  <c r="CU1061" i="4"/>
  <c r="CR12" i="4"/>
  <c r="CS12" i="4"/>
  <c r="CT1036" i="4"/>
  <c r="CU1036" i="4"/>
  <c r="CN301" i="4"/>
  <c r="CM301" i="4"/>
  <c r="CL436" i="4"/>
  <c r="CK436" i="4"/>
  <c r="CT1441" i="4"/>
  <c r="CU1441" i="4"/>
  <c r="CM143" i="4"/>
  <c r="CN143" i="4"/>
  <c r="CT144" i="4"/>
  <c r="CU144" i="4"/>
  <c r="CM378" i="4"/>
  <c r="CN378" i="4"/>
  <c r="CM612" i="4"/>
  <c r="CN612" i="4"/>
  <c r="CM73" i="4"/>
  <c r="CN73" i="4"/>
  <c r="CS74" i="4"/>
  <c r="CR74" i="4"/>
  <c r="CK1052" i="4"/>
  <c r="CL1052" i="4"/>
  <c r="CT874" i="4"/>
  <c r="CU874" i="4"/>
  <c r="CT439" i="4"/>
  <c r="CU439" i="4"/>
  <c r="CK974" i="4"/>
  <c r="CL974" i="4"/>
  <c r="CU186" i="4"/>
  <c r="CT186" i="4"/>
  <c r="CM760" i="4"/>
  <c r="CN760" i="4"/>
  <c r="CT555" i="4"/>
  <c r="CU555" i="4"/>
  <c r="CM214" i="4"/>
  <c r="CN214" i="4"/>
  <c r="CS214" i="4"/>
  <c r="CR214" i="4"/>
  <c r="CK721" i="4"/>
  <c r="CL721" i="4"/>
  <c r="CT1258" i="4"/>
  <c r="CU1258" i="4"/>
  <c r="CM15" i="4"/>
  <c r="CN15" i="4"/>
  <c r="CM744" i="4"/>
  <c r="CN744" i="4"/>
  <c r="CT742" i="4"/>
  <c r="CU742" i="4"/>
  <c r="CL1034" i="4"/>
  <c r="CK1034" i="4"/>
  <c r="CN498" i="4"/>
  <c r="CM498" i="4"/>
  <c r="CM583" i="4"/>
  <c r="CN583" i="4"/>
  <c r="CR584" i="4"/>
  <c r="CS584" i="4"/>
  <c r="CK445" i="4"/>
  <c r="CL445" i="4"/>
  <c r="CK447" i="4"/>
  <c r="CL447" i="4"/>
  <c r="CL816" i="4"/>
  <c r="CK816" i="4"/>
  <c r="CR258" i="4"/>
  <c r="CS258" i="4"/>
  <c r="CS669" i="4"/>
  <c r="CR669" i="4"/>
  <c r="CK943" i="4"/>
  <c r="CL943" i="4"/>
  <c r="CT944" i="4"/>
  <c r="CU944" i="4"/>
  <c r="CK748" i="4"/>
  <c r="CL748" i="4"/>
  <c r="CM749" i="4"/>
  <c r="CN749" i="4"/>
  <c r="CK369" i="4"/>
  <c r="CL369" i="4"/>
  <c r="CT495" i="4"/>
  <c r="CU495" i="4"/>
  <c r="CR847" i="4"/>
  <c r="CS847" i="4"/>
  <c r="CR881" i="4"/>
  <c r="CS881" i="4"/>
  <c r="CM442" i="4"/>
  <c r="CN442" i="4"/>
  <c r="CN546" i="4"/>
  <c r="CM546" i="4"/>
  <c r="CU545" i="4"/>
  <c r="CT545" i="4"/>
  <c r="CM1278" i="4"/>
  <c r="CN1278" i="4"/>
  <c r="CR1277" i="4"/>
  <c r="CS1277" i="4"/>
  <c r="CN1279" i="4"/>
  <c r="CM1279" i="4"/>
  <c r="CT1281" i="4"/>
  <c r="CU1281" i="4"/>
  <c r="CS1344" i="4"/>
  <c r="CR1344" i="4"/>
  <c r="CR1087" i="4"/>
  <c r="CS1087" i="4"/>
  <c r="CS787" i="4"/>
  <c r="CR787" i="4"/>
  <c r="CM819" i="4"/>
  <c r="CN819" i="4"/>
  <c r="CN556" i="4"/>
  <c r="CM556" i="4"/>
  <c r="CM557" i="4"/>
  <c r="CN557" i="4"/>
  <c r="CT556" i="4"/>
  <c r="CU556" i="4"/>
  <c r="CR558" i="4"/>
  <c r="CS558" i="4"/>
  <c r="CR599" i="4"/>
  <c r="CS599" i="4"/>
  <c r="CT294" i="4"/>
  <c r="CU294" i="4"/>
  <c r="CM1021" i="4"/>
  <c r="CN1021" i="4"/>
  <c r="CT329" i="4"/>
  <c r="CU329" i="4"/>
  <c r="CR250" i="4"/>
  <c r="CS250" i="4"/>
  <c r="CM1333" i="4"/>
  <c r="CN1333" i="4"/>
  <c r="CR1333" i="4"/>
  <c r="CS1333" i="4"/>
  <c r="CK1438" i="4"/>
  <c r="CL1438" i="4"/>
  <c r="CT1439" i="4"/>
  <c r="CU1439" i="4"/>
  <c r="CK372" i="4"/>
  <c r="CL372" i="4"/>
  <c r="CM488" i="4"/>
  <c r="CN488" i="4"/>
  <c r="CK67" i="4"/>
  <c r="CL67" i="4"/>
  <c r="CK851" i="4"/>
  <c r="CL851" i="4"/>
  <c r="CR850" i="4"/>
  <c r="CS850" i="4"/>
  <c r="CR953" i="4"/>
  <c r="CS953" i="4"/>
  <c r="CR349" i="4"/>
  <c r="CS349" i="4"/>
  <c r="CU350" i="4"/>
  <c r="CT350" i="4"/>
  <c r="CK361" i="4"/>
  <c r="CL361" i="4"/>
  <c r="CT362" i="4"/>
  <c r="CU362" i="4"/>
  <c r="CT416" i="4"/>
  <c r="CU416" i="4"/>
  <c r="CK1090" i="4"/>
  <c r="CL1090" i="4"/>
  <c r="CR791" i="4"/>
  <c r="CS791" i="4"/>
  <c r="CR792" i="4"/>
  <c r="CS792" i="4"/>
  <c r="CM811" i="4"/>
  <c r="CN811" i="4"/>
  <c r="CK810" i="4"/>
  <c r="CL810" i="4"/>
  <c r="CR1267" i="4"/>
  <c r="CS1267" i="4"/>
  <c r="CR1019" i="4"/>
  <c r="CS1019" i="4"/>
  <c r="CK1069" i="4"/>
  <c r="CL1069" i="4"/>
  <c r="CL652" i="4"/>
  <c r="CK652" i="4"/>
  <c r="CR977" i="4"/>
  <c r="CS977" i="4"/>
  <c r="CN551" i="4"/>
  <c r="CM551" i="4"/>
  <c r="CK1008" i="4"/>
  <c r="CL1008" i="4"/>
  <c r="CK520" i="4"/>
  <c r="CL520" i="4"/>
  <c r="CK165" i="4"/>
  <c r="CL165" i="4"/>
  <c r="CK1422" i="4"/>
  <c r="CL1422" i="4"/>
  <c r="CU560" i="4"/>
  <c r="CT560" i="4"/>
  <c r="CM411" i="4"/>
  <c r="CN411" i="4"/>
  <c r="CK453" i="4"/>
  <c r="CL453" i="4"/>
  <c r="CT452" i="4"/>
  <c r="CU452" i="4"/>
  <c r="CN1244" i="4"/>
  <c r="CM1244" i="4"/>
  <c r="CK1316" i="4"/>
  <c r="CL1316" i="4"/>
  <c r="CT33" i="4"/>
  <c r="CU33" i="4"/>
  <c r="CM771" i="4"/>
  <c r="CN771" i="4"/>
  <c r="CM1395" i="4"/>
  <c r="CN1395" i="4"/>
  <c r="CS500" i="4"/>
  <c r="CR500" i="4"/>
  <c r="CM1217" i="4"/>
  <c r="CN1217" i="4"/>
  <c r="CS1218" i="4"/>
  <c r="CR1218" i="4"/>
  <c r="CN52" i="4"/>
  <c r="CM52" i="4"/>
  <c r="CR396" i="4"/>
  <c r="CS396" i="4"/>
  <c r="CT1419" i="4"/>
  <c r="CU1419" i="4"/>
  <c r="CM640" i="4"/>
  <c r="CN640" i="4"/>
  <c r="CR641" i="4"/>
  <c r="CS641" i="4"/>
  <c r="CN404" i="4"/>
  <c r="CM404" i="4"/>
  <c r="CT160" i="4"/>
  <c r="CU160" i="4"/>
  <c r="CM891" i="4"/>
  <c r="CN891" i="4"/>
  <c r="CS1136" i="4"/>
  <c r="CR1136" i="4"/>
  <c r="CN460" i="4"/>
  <c r="CM460" i="4"/>
  <c r="CK86" i="4"/>
  <c r="CL86" i="4"/>
  <c r="CR1325" i="4"/>
  <c r="CS1325" i="4"/>
  <c r="CU206" i="4"/>
  <c r="CT206" i="4"/>
  <c r="CT27" i="4"/>
  <c r="CU27" i="4"/>
  <c r="CM1238" i="4"/>
  <c r="CN1238" i="4"/>
  <c r="CK1387" i="4"/>
  <c r="CL1387" i="4"/>
  <c r="CU504" i="4"/>
  <c r="CT504" i="4"/>
  <c r="CM1211" i="4"/>
  <c r="CN1211" i="4"/>
  <c r="CT1212" i="4"/>
  <c r="CU1212" i="4"/>
  <c r="CS1112" i="4"/>
  <c r="CR1112" i="4"/>
  <c r="CN1014" i="4"/>
  <c r="CM1014" i="4"/>
  <c r="CS49" i="4"/>
  <c r="CR49" i="4"/>
  <c r="CL656" i="4"/>
  <c r="CK656" i="4"/>
  <c r="CK633" i="4"/>
  <c r="CL633" i="4"/>
  <c r="CM1030" i="4"/>
  <c r="CN1030" i="4"/>
  <c r="CM299" i="4"/>
  <c r="CN299" i="4"/>
  <c r="CK431" i="4"/>
  <c r="CL431" i="4"/>
  <c r="CK145" i="4"/>
  <c r="CL145" i="4"/>
  <c r="CR147" i="4"/>
  <c r="CS147" i="4"/>
  <c r="CT108" i="4"/>
  <c r="CU108" i="4"/>
  <c r="CR618" i="4"/>
  <c r="CS618" i="4"/>
  <c r="CR1152" i="4"/>
  <c r="CS1152" i="4"/>
  <c r="CL1428" i="4"/>
  <c r="CK1428" i="4"/>
  <c r="CM1064" i="4"/>
  <c r="CN1064" i="4"/>
  <c r="CK905" i="4"/>
  <c r="CL905" i="4"/>
  <c r="CM1383" i="4"/>
  <c r="CN1383" i="4"/>
  <c r="CN512" i="4"/>
  <c r="CM512" i="4"/>
  <c r="CT1159" i="4"/>
  <c r="CU1159" i="4"/>
  <c r="CL795" i="4"/>
  <c r="CK795" i="4"/>
  <c r="CT173" i="4"/>
  <c r="CU173" i="4"/>
  <c r="CT174" i="4"/>
  <c r="CU174" i="4"/>
  <c r="CM711" i="4"/>
  <c r="CN711" i="4"/>
  <c r="CM1076" i="4"/>
  <c r="CN1076" i="4"/>
  <c r="CT1075" i="4"/>
  <c r="CU1075" i="4"/>
  <c r="CK413" i="4"/>
  <c r="CL413" i="4"/>
  <c r="CK148" i="4"/>
  <c r="CL148" i="4"/>
  <c r="CK883" i="4"/>
  <c r="CL883" i="4"/>
  <c r="CT883" i="4"/>
  <c r="CU883" i="4"/>
  <c r="CU1139" i="4"/>
  <c r="CT1139" i="4"/>
  <c r="CT454" i="4"/>
  <c r="CU454" i="4"/>
  <c r="CM608" i="4"/>
  <c r="CN608" i="4"/>
  <c r="CM1320" i="4"/>
  <c r="CN1320" i="4"/>
  <c r="CS1320" i="4"/>
  <c r="CR1320" i="4"/>
  <c r="CL208" i="4"/>
  <c r="CK208" i="4"/>
  <c r="CR209" i="4"/>
  <c r="CS209" i="4"/>
  <c r="CK916" i="4"/>
  <c r="CL916" i="4"/>
  <c r="CR1430" i="4"/>
  <c r="CS1430" i="4"/>
  <c r="CT1240" i="4"/>
  <c r="CU1240" i="4"/>
  <c r="CK1397" i="4"/>
  <c r="CL1397" i="4"/>
  <c r="CR1396" i="4"/>
  <c r="CS1396" i="4"/>
  <c r="CK1119" i="4"/>
  <c r="CL1119" i="4"/>
  <c r="CS1118" i="4"/>
  <c r="CR1118" i="4"/>
  <c r="CT1194" i="4"/>
  <c r="CU1194" i="4"/>
  <c r="CM923" i="4"/>
  <c r="CN923" i="4"/>
  <c r="CR922" i="4"/>
  <c r="CS922" i="4"/>
  <c r="CU514" i="4"/>
  <c r="CT514" i="4"/>
  <c r="CM934" i="4"/>
  <c r="CN934" i="4"/>
  <c r="CK660" i="4"/>
  <c r="CL660" i="4"/>
  <c r="CM218" i="4"/>
  <c r="CN218" i="4"/>
  <c r="CK593" i="4"/>
  <c r="CL593" i="4"/>
  <c r="CK1231" i="4"/>
  <c r="CL1231" i="4"/>
  <c r="CR1232" i="4"/>
  <c r="CS1232" i="4"/>
  <c r="CL735" i="4"/>
  <c r="CK735" i="4"/>
  <c r="CM878" i="4"/>
  <c r="CN878" i="4"/>
  <c r="CT878" i="4"/>
  <c r="CU878" i="4"/>
  <c r="CR134" i="4"/>
  <c r="CS134" i="4"/>
  <c r="CK1066" i="4"/>
  <c r="CL1066" i="4"/>
  <c r="CS1068" i="4"/>
  <c r="CR1068" i="4"/>
  <c r="CK899" i="4"/>
  <c r="CL899" i="4"/>
  <c r="CT900" i="4"/>
  <c r="CU900" i="4"/>
  <c r="CT898" i="4"/>
  <c r="CU898" i="4"/>
  <c r="CN222" i="4"/>
  <c r="CM222" i="4"/>
  <c r="CN524" i="4"/>
  <c r="CM524" i="4"/>
  <c r="CR523" i="4"/>
  <c r="CS523" i="4"/>
  <c r="CR400" i="4"/>
  <c r="CS400" i="4"/>
  <c r="CR402" i="4"/>
  <c r="CS402" i="4"/>
  <c r="CT169" i="4"/>
  <c r="CU169" i="4"/>
  <c r="CK18" i="4"/>
  <c r="CL18" i="4"/>
  <c r="CR16" i="4"/>
  <c r="CS16" i="4"/>
  <c r="CK713" i="4"/>
  <c r="CL713" i="4"/>
  <c r="CK637" i="4"/>
  <c r="CL637" i="4"/>
  <c r="CL1080" i="4"/>
  <c r="CK1080" i="4"/>
  <c r="CN304" i="4"/>
  <c r="CM304" i="4"/>
  <c r="CR887" i="4"/>
  <c r="CS887" i="4"/>
  <c r="CM105" i="4"/>
  <c r="CN105" i="4"/>
  <c r="CM675" i="4"/>
  <c r="CN675" i="4"/>
  <c r="CT1321" i="4"/>
  <c r="CU1321" i="4"/>
  <c r="CM177" i="4"/>
  <c r="CN177" i="4"/>
  <c r="CK910" i="4"/>
  <c r="CL910" i="4"/>
  <c r="CM1434" i="4"/>
  <c r="CN1434" i="4"/>
  <c r="CK1289" i="4"/>
  <c r="CL1289" i="4"/>
  <c r="CR1289" i="4"/>
  <c r="CS1289" i="4"/>
  <c r="CN1384" i="4"/>
  <c r="CM1384" i="4"/>
  <c r="CT1386" i="4"/>
  <c r="CU1386" i="4"/>
  <c r="CN519" i="4"/>
  <c r="CM519" i="4"/>
  <c r="CK1257" i="4"/>
  <c r="CL1257" i="4"/>
  <c r="CU1257" i="4"/>
  <c r="CT1257" i="4"/>
  <c r="CM7" i="4"/>
  <c r="CN7" i="4"/>
  <c r="CR892" i="4"/>
  <c r="CS892" i="4"/>
  <c r="CK921" i="4"/>
  <c r="CL921" i="4"/>
  <c r="CR921" i="4"/>
  <c r="CS921" i="4"/>
  <c r="CK533" i="4"/>
  <c r="CL533" i="4"/>
  <c r="CN12" i="4"/>
  <c r="CM12" i="4"/>
  <c r="CU12" i="4"/>
  <c r="CT12" i="4"/>
  <c r="CM1037" i="4"/>
  <c r="CN1037" i="4"/>
  <c r="CR301" i="4"/>
  <c r="CS301" i="4"/>
  <c r="CN436" i="4"/>
  <c r="CM436" i="4"/>
  <c r="CR377" i="4"/>
  <c r="CS377" i="4"/>
  <c r="CR109" i="4"/>
  <c r="CS109" i="4"/>
  <c r="CR974" i="4"/>
  <c r="CS974" i="4"/>
  <c r="CM914" i="4"/>
  <c r="CN914" i="4"/>
  <c r="CK127" i="4"/>
  <c r="CL127" i="4"/>
  <c r="CK1349" i="4"/>
  <c r="CL1349" i="4"/>
  <c r="CK859" i="4"/>
  <c r="CL859" i="4"/>
  <c r="CR861" i="4"/>
  <c r="CS861" i="4"/>
  <c r="CK1376" i="4"/>
  <c r="CL1376" i="4"/>
  <c r="CM555" i="4"/>
  <c r="CN555" i="4"/>
  <c r="CT215" i="4"/>
  <c r="CU215" i="4"/>
  <c r="CM285" i="4"/>
  <c r="CN285" i="4"/>
  <c r="CK722" i="4"/>
  <c r="CL722" i="4"/>
  <c r="CK14" i="4"/>
  <c r="CL14" i="4"/>
  <c r="CS254" i="4"/>
  <c r="CR254" i="4"/>
  <c r="CS1035" i="4"/>
  <c r="CR1035" i="4"/>
  <c r="CN295" i="4"/>
  <c r="CM295" i="4"/>
  <c r="CM497" i="4"/>
  <c r="CN497" i="4"/>
  <c r="CU496" i="4"/>
  <c r="CT496" i="4"/>
  <c r="CU584" i="4"/>
  <c r="CT584" i="4"/>
  <c r="CK950" i="4"/>
  <c r="CL950" i="4"/>
  <c r="CS751" i="4"/>
  <c r="CR751" i="4"/>
  <c r="CT752" i="4"/>
  <c r="CU752" i="4"/>
  <c r="CT258" i="4"/>
  <c r="CU258" i="4"/>
  <c r="CK595" i="4"/>
  <c r="CL595" i="4"/>
  <c r="CM288" i="4"/>
  <c r="CN288" i="4"/>
  <c r="CR286" i="4"/>
  <c r="CS286" i="4"/>
  <c r="CM716" i="4"/>
  <c r="CN716" i="4"/>
  <c r="CN323" i="4"/>
  <c r="CM323" i="4"/>
  <c r="CR248" i="4"/>
  <c r="CS248" i="4"/>
  <c r="CR841" i="4"/>
  <c r="CS841" i="4"/>
  <c r="CR750" i="4"/>
  <c r="CS750" i="4"/>
  <c r="CR1330" i="4"/>
  <c r="CS1330" i="4"/>
  <c r="CK494" i="4"/>
  <c r="CL494" i="4"/>
  <c r="CT493" i="4"/>
  <c r="CU493" i="4"/>
  <c r="CS727" i="4"/>
  <c r="CR727" i="4"/>
  <c r="CM77" i="4"/>
  <c r="CN77" i="4"/>
  <c r="CL948" i="4"/>
  <c r="CK948" i="4"/>
  <c r="CU948" i="4"/>
  <c r="CT948" i="4"/>
  <c r="CT881" i="4"/>
  <c r="CU881" i="4"/>
  <c r="CN544" i="4"/>
  <c r="CM544" i="4"/>
  <c r="CT1276" i="4"/>
  <c r="CU1276" i="4"/>
  <c r="CT1166" i="4"/>
  <c r="CU1166" i="4"/>
  <c r="CR136" i="4"/>
  <c r="CS136" i="4"/>
  <c r="CR1281" i="4"/>
  <c r="CS1281" i="4"/>
  <c r="CK1344" i="4"/>
  <c r="CL1344" i="4"/>
  <c r="CT558" i="4"/>
  <c r="CU558" i="4"/>
  <c r="CK598" i="4"/>
  <c r="CL598" i="4"/>
  <c r="CN294" i="4"/>
  <c r="CM294" i="4"/>
  <c r="CK1022" i="4"/>
  <c r="CL1022" i="4"/>
  <c r="CM1408" i="4"/>
  <c r="CN1408" i="4"/>
  <c r="CN329" i="4"/>
  <c r="CM329" i="4"/>
  <c r="CK250" i="4"/>
  <c r="CL250" i="4"/>
  <c r="CN1334" i="4"/>
  <c r="CM1334" i="4"/>
  <c r="CT1335" i="4"/>
  <c r="CU1335" i="4"/>
  <c r="CM372" i="4"/>
  <c r="CN372" i="4"/>
  <c r="CR488" i="4"/>
  <c r="CS488" i="4"/>
  <c r="CM1352" i="4"/>
  <c r="CN1352" i="4"/>
  <c r="CN850" i="4"/>
  <c r="CM850" i="4"/>
  <c r="CM852" i="4"/>
  <c r="CN852" i="4"/>
  <c r="CT953" i="4"/>
  <c r="CU953" i="4"/>
  <c r="CT275" i="4"/>
  <c r="CU275" i="4"/>
  <c r="CN540" i="4"/>
  <c r="CM540" i="4"/>
  <c r="CN1271" i="4"/>
  <c r="CM1271" i="4"/>
  <c r="CT1272" i="4"/>
  <c r="CU1272" i="4"/>
  <c r="CN361" i="4"/>
  <c r="CM361" i="4"/>
  <c r="CR620" i="4"/>
  <c r="CS620" i="4"/>
  <c r="CN416" i="4"/>
  <c r="CM416" i="4"/>
  <c r="CM792" i="4"/>
  <c r="CN792" i="4"/>
  <c r="CK1268" i="4"/>
  <c r="CL1268" i="4"/>
  <c r="E17" i="3"/>
  <c r="BP19" i="1" l="1"/>
  <c r="BO19" i="1" s="1"/>
  <c r="D19" i="1" s="1"/>
  <c r="E15" i="3" s="1"/>
  <c r="E16" i="3"/>
  <c r="BP22" i="1" l="1"/>
  <c r="BO22" i="1" s="1"/>
  <c r="BP23" i="1" l="1"/>
  <c r="BO23" i="1" s="1"/>
  <c r="BP15" i="1"/>
  <c r="BO15" i="1" s="1"/>
  <c r="D15" i="1" l="1"/>
  <c r="BP17" i="1" s="1"/>
  <c r="BO17" i="1" s="1"/>
  <c r="CA15" i="1" l="1"/>
  <c r="D17" i="1"/>
  <c r="D16" i="1" s="1"/>
  <c r="D14" i="3"/>
  <c r="E10" i="1"/>
  <c r="E15" i="1"/>
  <c r="BP24" i="1"/>
  <c r="BO24" i="1" s="1"/>
  <c r="D24" i="1" s="1"/>
  <c r="CA10" i="1" l="1"/>
  <c r="CA24" i="1" l="1"/>
  <c r="E24" i="1" l="1"/>
  <c r="BP16" i="1" l="1"/>
  <c r="BO16" i="1" s="1"/>
  <c r="BP18" i="1"/>
  <c r="BO18" i="1" s="1"/>
  <c r="D15" i="3" l="1"/>
  <c r="BP13" i="1" l="1"/>
  <c r="BO13" i="1" s="1"/>
  <c r="BP14" i="1"/>
  <c r="BO14" i="1" s="1"/>
  <c r="D14" i="1" s="1"/>
  <c r="E8" i="1"/>
  <c r="CA8" i="1"/>
  <c r="D13" i="1" l="1"/>
  <c r="D12" i="1" s="1"/>
  <c r="E14" i="1"/>
  <c r="BP29" i="1"/>
  <c r="BO29" i="1" s="1"/>
  <c r="E13" i="1" l="1"/>
  <c r="BP21" i="1"/>
  <c r="BO21" i="1" s="1"/>
  <c r="CA13" i="1"/>
  <c r="CA14" i="1"/>
  <c r="E12" i="1" l="1"/>
  <c r="CA12" i="1"/>
  <c r="D21" i="1" l="1"/>
  <c r="E21" i="1" l="1"/>
  <c r="CA21" i="1"/>
  <c r="BP26" i="1"/>
  <c r="BO26" i="1" s="1"/>
  <c r="D26" i="1" s="1"/>
  <c r="D19" i="3" s="1"/>
  <c r="E26" i="1" l="1"/>
  <c r="CA26" i="1"/>
  <c r="E11" i="1"/>
  <c r="CA11" i="1"/>
  <c r="D18" i="3" l="1"/>
  <c r="BP34" i="1" l="1"/>
  <c r="BO34" i="1" s="1"/>
  <c r="E19" i="1" l="1"/>
  <c r="BP20" i="1"/>
  <c r="BO20" i="1" s="1"/>
  <c r="BP25" i="1"/>
  <c r="BO25" i="1" s="1"/>
  <c r="D25" i="1" s="1"/>
  <c r="BP30" i="1"/>
  <c r="BO30" i="1" s="1"/>
  <c r="D30" i="1" s="1"/>
  <c r="CA19" i="1"/>
  <c r="D20" i="1" l="1"/>
  <c r="E30" i="1"/>
  <c r="E25" i="1"/>
  <c r="D18" i="1" l="1"/>
  <c r="E18" i="1" s="1"/>
  <c r="D16" i="3"/>
  <c r="CA25" i="1"/>
  <c r="E20" i="1"/>
  <c r="CA20" i="1"/>
  <c r="BP27" i="1"/>
  <c r="BO27" i="1" s="1"/>
  <c r="D27" i="1" s="1"/>
  <c r="D20" i="3" s="1"/>
  <c r="D23" i="3"/>
  <c r="CA30" i="1"/>
  <c r="BP31" i="1"/>
  <c r="BO31" i="1" s="1"/>
  <c r="D31" i="1" s="1"/>
  <c r="E17" i="1"/>
  <c r="CA17" i="1"/>
  <c r="D22" i="3"/>
  <c r="E27" i="1" l="1"/>
  <c r="E31" i="1"/>
  <c r="CA18" i="1"/>
  <c r="D17" i="3"/>
  <c r="E16" i="1"/>
  <c r="CA16" i="1"/>
  <c r="CA31" i="1" l="1"/>
  <c r="BP28" i="1"/>
  <c r="BO28" i="1" s="1"/>
  <c r="CA27" i="1"/>
  <c r="D28" i="1" l="1"/>
  <c r="E28" i="1" s="1"/>
  <c r="D23" i="1" l="1"/>
  <c r="E23" i="1" s="1"/>
  <c r="D21" i="3"/>
  <c r="BP33" i="1"/>
  <c r="BO33" i="1" s="1"/>
  <c r="D33" i="1" s="1"/>
  <c r="BP32" i="1"/>
  <c r="BO32" i="1" s="1"/>
  <c r="CA28" i="1"/>
  <c r="D32" i="1" l="1"/>
  <c r="CA23" i="1"/>
  <c r="E33" i="1"/>
  <c r="D29" i="1" l="1"/>
  <c r="D22" i="1" s="1"/>
  <c r="D24" i="3"/>
  <c r="D25" i="3"/>
  <c r="BP35" i="1"/>
  <c r="BO35" i="1" s="1"/>
  <c r="D35" i="1" s="1"/>
  <c r="CA32" i="1"/>
  <c r="CA33" i="1"/>
  <c r="E32" i="1"/>
  <c r="E29" i="1" l="1"/>
  <c r="D34" i="1"/>
  <c r="D7" i="1" s="1"/>
  <c r="D7" i="4" s="1"/>
  <c r="E22" i="1"/>
  <c r="CA29" i="1"/>
  <c r="E35" i="1"/>
  <c r="I7" i="4" l="1"/>
  <c r="G7" i="4"/>
  <c r="CA35" i="1"/>
  <c r="D6" i="3"/>
  <c r="BK6" i="1"/>
  <c r="B1" i="4"/>
  <c r="CA22" i="1"/>
  <c r="E34" i="1"/>
  <c r="H7" i="4" l="1"/>
  <c r="P7" i="4" s="1"/>
  <c r="H8" i="4"/>
  <c r="M7" i="4"/>
  <c r="K7" i="4"/>
  <c r="O7" i="4"/>
  <c r="R7" i="4"/>
  <c r="N7" i="4"/>
  <c r="S7" i="4"/>
  <c r="T7" i="4" s="1"/>
  <c r="D26" i="3"/>
  <c r="CA34" i="1"/>
  <c r="BC17" i="4"/>
  <c r="BC26" i="4"/>
  <c r="BC12" i="4"/>
  <c r="BC22" i="4"/>
  <c r="BC20" i="4"/>
  <c r="BC14" i="4"/>
  <c r="BC21" i="4"/>
  <c r="BC19" i="4"/>
  <c r="BC9" i="4"/>
  <c r="J3" i="4"/>
  <c r="K3" i="4" s="1"/>
  <c r="BC13" i="4"/>
  <c r="BC25" i="4"/>
  <c r="BC8" i="4"/>
  <c r="BC7" i="4"/>
  <c r="BC11" i="4"/>
  <c r="BC29" i="4"/>
  <c r="BC24" i="4"/>
  <c r="BC18" i="4"/>
  <c r="BC15" i="4"/>
  <c r="BC10" i="4"/>
  <c r="BC30" i="4"/>
  <c r="BC27" i="4"/>
  <c r="BC31" i="4"/>
  <c r="BC16" i="4"/>
  <c r="BC23" i="4"/>
  <c r="BC28" i="4"/>
  <c r="L7" i="4" l="1"/>
  <c r="P8" i="4"/>
  <c r="N8" i="4"/>
  <c r="H5" i="1"/>
  <c r="D7" i="3" s="1"/>
  <c r="CA7" i="1"/>
  <c r="E7" i="1"/>
  <c r="BL6" i="1"/>
  <c r="BM6" i="1" s="1"/>
  <c r="J6" i="1" s="1"/>
  <c r="K6" i="1" l="1"/>
  <c r="J16" i="1" s="1"/>
  <c r="J30" i="1" l="1"/>
  <c r="J19" i="1"/>
  <c r="J10" i="1"/>
  <c r="J13" i="1"/>
  <c r="J8" i="1"/>
  <c r="J28" i="1"/>
  <c r="J15" i="1"/>
  <c r="J31" i="1"/>
  <c r="J17" i="1"/>
  <c r="J22" i="1"/>
  <c r="J27" i="1"/>
  <c r="J35" i="1"/>
  <c r="J29" i="1"/>
  <c r="J33" i="1"/>
  <c r="J32" i="1"/>
  <c r="J14" i="1"/>
  <c r="J11" i="1"/>
  <c r="J26" i="1"/>
  <c r="J23" i="1"/>
  <c r="J18" i="1"/>
  <c r="J7" i="1"/>
  <c r="J21" i="1"/>
  <c r="L6" i="1"/>
  <c r="K18" i="1" s="1"/>
  <c r="J24" i="1"/>
  <c r="J25" i="1"/>
  <c r="J9" i="1"/>
  <c r="J12" i="1"/>
  <c r="J34" i="1"/>
  <c r="J20" i="1"/>
  <c r="K12" i="1" l="1"/>
  <c r="K14" i="1"/>
  <c r="K24" i="1"/>
  <c r="K33" i="1"/>
  <c r="K29" i="1"/>
  <c r="K15" i="1"/>
  <c r="K28" i="1"/>
  <c r="K25" i="1"/>
  <c r="K10" i="1"/>
  <c r="K21" i="1"/>
  <c r="K13" i="1"/>
  <c r="K32" i="1"/>
  <c r="K19" i="1"/>
  <c r="K8" i="1"/>
  <c r="K16" i="1"/>
  <c r="K7" i="1"/>
  <c r="K20" i="1"/>
  <c r="K34" i="1"/>
  <c r="K31" i="1"/>
  <c r="K35" i="1"/>
  <c r="K27" i="1"/>
  <c r="K17" i="1"/>
  <c r="K30" i="1"/>
  <c r="K11" i="1"/>
  <c r="K22" i="1"/>
  <c r="K23" i="1"/>
  <c r="M6" i="1"/>
  <c r="L21" i="1" s="1"/>
  <c r="K26" i="1"/>
  <c r="K9" i="1"/>
  <c r="L33" i="1" l="1"/>
  <c r="L16" i="1"/>
  <c r="L27" i="1"/>
  <c r="L24" i="1"/>
  <c r="L26" i="1"/>
  <c r="L32" i="1"/>
  <c r="L22" i="1"/>
  <c r="L29" i="1"/>
  <c r="L31" i="1"/>
  <c r="L18" i="1"/>
  <c r="L10" i="1"/>
  <c r="L28" i="1"/>
  <c r="L30" i="1"/>
  <c r="L19" i="1"/>
  <c r="L34" i="1"/>
  <c r="L7" i="1"/>
  <c r="L15" i="1"/>
  <c r="L9" i="1"/>
  <c r="L35" i="1"/>
  <c r="N6" i="1"/>
  <c r="M24" i="1" s="1"/>
  <c r="L12" i="1"/>
  <c r="L13" i="1"/>
  <c r="L17" i="1"/>
  <c r="L14" i="1"/>
  <c r="L25" i="1"/>
  <c r="L11" i="1"/>
  <c r="L20" i="1"/>
  <c r="L23" i="1"/>
  <c r="L8" i="1"/>
  <c r="M31" i="1" l="1"/>
  <c r="M23" i="1"/>
  <c r="M10" i="1"/>
  <c r="M20" i="1"/>
  <c r="M33" i="1"/>
  <c r="M12" i="1"/>
  <c r="M26" i="1"/>
  <c r="M28" i="1"/>
  <c r="M16" i="1"/>
  <c r="M35" i="1"/>
  <c r="M32" i="1"/>
  <c r="M7" i="1"/>
  <c r="M25" i="1"/>
  <c r="M17" i="1"/>
  <c r="M9" i="1"/>
  <c r="M14" i="1"/>
  <c r="M19" i="1"/>
  <c r="M29" i="1"/>
  <c r="M15" i="1"/>
  <c r="M21" i="1"/>
  <c r="M34" i="1"/>
  <c r="M22" i="1"/>
  <c r="M11" i="1"/>
  <c r="M27" i="1"/>
  <c r="M18" i="1"/>
  <c r="O6" i="1"/>
  <c r="N15" i="1" s="1"/>
  <c r="M8" i="1"/>
  <c r="M13" i="1"/>
  <c r="M30" i="1"/>
  <c r="N10" i="1" l="1"/>
  <c r="N30" i="1"/>
  <c r="N26" i="1"/>
  <c r="N24" i="1"/>
  <c r="N29" i="1"/>
  <c r="N28" i="1"/>
  <c r="N13" i="1"/>
  <c r="N9" i="1"/>
  <c r="N8" i="1"/>
  <c r="N23" i="1"/>
  <c r="N11" i="1"/>
  <c r="N21" i="1"/>
  <c r="N25" i="1"/>
  <c r="N19" i="1"/>
  <c r="N18" i="1"/>
  <c r="N27" i="1"/>
  <c r="N12" i="1"/>
  <c r="N20" i="1"/>
  <c r="N22" i="1"/>
  <c r="N32" i="1"/>
  <c r="N14" i="1"/>
  <c r="N34" i="1"/>
  <c r="N16" i="1"/>
  <c r="N7" i="1"/>
  <c r="N33" i="1"/>
  <c r="N35" i="1"/>
  <c r="P6" i="1"/>
  <c r="O8" i="1" s="1"/>
  <c r="N31" i="1"/>
  <c r="N17" i="1"/>
  <c r="O21" i="1" l="1"/>
  <c r="O27" i="1"/>
  <c r="O18" i="1"/>
  <c r="O10" i="1"/>
  <c r="O22" i="1"/>
  <c r="O31" i="1"/>
  <c r="O20" i="1"/>
  <c r="O32" i="1"/>
  <c r="O28" i="1"/>
  <c r="O23" i="1"/>
  <c r="O16" i="1"/>
  <c r="O33" i="1"/>
  <c r="O34" i="1"/>
  <c r="O14" i="1"/>
  <c r="O12" i="1"/>
  <c r="O24" i="1"/>
  <c r="O9" i="1"/>
  <c r="O15" i="1"/>
  <c r="O13" i="1"/>
  <c r="O17" i="1"/>
  <c r="O29" i="1"/>
  <c r="O30" i="1"/>
  <c r="O11" i="1"/>
  <c r="O25" i="1"/>
  <c r="O26" i="1"/>
  <c r="O19" i="1"/>
  <c r="Q6" i="1"/>
  <c r="P22" i="1" s="1"/>
  <c r="O35" i="1"/>
  <c r="O7" i="1"/>
  <c r="P23" i="1" l="1"/>
  <c r="P25" i="1"/>
  <c r="P7" i="1"/>
  <c r="P35" i="1"/>
  <c r="P26" i="1"/>
  <c r="P20" i="1"/>
  <c r="P16" i="1"/>
  <c r="P10" i="1"/>
  <c r="P34" i="1"/>
  <c r="P13" i="1"/>
  <c r="P9" i="1"/>
  <c r="P18" i="1"/>
  <c r="P11" i="1"/>
  <c r="P24" i="1"/>
  <c r="P12" i="1"/>
  <c r="P19" i="1"/>
  <c r="P30" i="1"/>
  <c r="P28" i="1"/>
  <c r="P17" i="1"/>
  <c r="P32" i="1"/>
  <c r="P33" i="1"/>
  <c r="P27" i="1"/>
  <c r="P29" i="1"/>
  <c r="P14" i="1"/>
  <c r="P21" i="1"/>
  <c r="P31" i="1"/>
  <c r="P15" i="1"/>
  <c r="R6" i="1"/>
  <c r="Q34" i="1" s="1"/>
  <c r="P8" i="1"/>
  <c r="Q22" i="1" l="1"/>
  <c r="Q15" i="1"/>
  <c r="Q9" i="1"/>
  <c r="Q11" i="1"/>
  <c r="Q20" i="1"/>
  <c r="Q32" i="1"/>
  <c r="Q25" i="1"/>
  <c r="Q8" i="1"/>
  <c r="Q31" i="1"/>
  <c r="Q10" i="1"/>
  <c r="Q21" i="1"/>
  <c r="Q29" i="1"/>
  <c r="Q35" i="1"/>
  <c r="Q14" i="1"/>
  <c r="Q30" i="1"/>
  <c r="Q24" i="1"/>
  <c r="Q7" i="1"/>
  <c r="Q17" i="1"/>
  <c r="Q27" i="1"/>
  <c r="Q13" i="1"/>
  <c r="Q28" i="1"/>
  <c r="Q16" i="1"/>
  <c r="Q18" i="1"/>
  <c r="S6" i="1"/>
  <c r="R31" i="1" s="1"/>
  <c r="Q19" i="1"/>
  <c r="Q33" i="1"/>
  <c r="Q12" i="1"/>
  <c r="Q23" i="1"/>
  <c r="Q26" i="1"/>
  <c r="R35" i="1" l="1"/>
  <c r="R32" i="1"/>
  <c r="R12" i="1"/>
  <c r="R20" i="1"/>
  <c r="R18" i="1"/>
  <c r="R25" i="1"/>
  <c r="R34" i="1"/>
  <c r="R10" i="1"/>
  <c r="R8" i="1"/>
  <c r="R33" i="1"/>
  <c r="R28" i="1"/>
  <c r="R7" i="1"/>
  <c r="R22" i="1"/>
  <c r="R11" i="1"/>
  <c r="T6" i="1"/>
  <c r="S23" i="1" s="1"/>
  <c r="R21" i="1"/>
  <c r="R15" i="1"/>
  <c r="R16" i="1"/>
  <c r="R26" i="1"/>
  <c r="R19" i="1"/>
  <c r="R24" i="1"/>
  <c r="R27" i="1"/>
  <c r="R29" i="1"/>
  <c r="R17" i="1"/>
  <c r="R23" i="1"/>
  <c r="R14" i="1"/>
  <c r="R9" i="1"/>
  <c r="R30" i="1"/>
  <c r="R13" i="1"/>
  <c r="S20" i="1" l="1"/>
  <c r="S25" i="1"/>
  <c r="S32" i="1"/>
  <c r="S31" i="1"/>
  <c r="S19" i="1"/>
  <c r="S10" i="1"/>
  <c r="S30" i="1"/>
  <c r="S14" i="1"/>
  <c r="S12" i="1"/>
  <c r="S18" i="1"/>
  <c r="S8" i="1"/>
  <c r="S11" i="1"/>
  <c r="S9" i="1"/>
  <c r="S27" i="1"/>
  <c r="S35" i="1"/>
  <c r="S33" i="1"/>
  <c r="S24" i="1"/>
  <c r="S29" i="1"/>
  <c r="S26" i="1"/>
  <c r="S22" i="1"/>
  <c r="S28" i="1"/>
  <c r="S17" i="1"/>
  <c r="S16" i="1"/>
  <c r="S21" i="1"/>
  <c r="S7" i="1"/>
  <c r="S15" i="1"/>
  <c r="U6" i="1"/>
  <c r="T9" i="1" s="1"/>
  <c r="S13" i="1"/>
  <c r="S34" i="1"/>
  <c r="T17" i="1" l="1"/>
  <c r="T15" i="1"/>
  <c r="T25" i="1"/>
  <c r="T30" i="1"/>
  <c r="T19" i="1"/>
  <c r="T32" i="1"/>
  <c r="T13" i="1"/>
  <c r="T23" i="1"/>
  <c r="T22" i="1"/>
  <c r="T14" i="1"/>
  <c r="T20" i="1"/>
  <c r="T11" i="1"/>
  <c r="T33" i="1"/>
  <c r="T27" i="1"/>
  <c r="T8" i="1"/>
  <c r="T24" i="1"/>
  <c r="T18" i="1"/>
  <c r="T29" i="1"/>
  <c r="T28" i="1"/>
  <c r="T35" i="1"/>
  <c r="T12" i="1"/>
  <c r="T10" i="1"/>
  <c r="V6" i="1"/>
  <c r="U14" i="1" s="1"/>
  <c r="U17" i="1"/>
  <c r="U21" i="1"/>
  <c r="T34" i="1"/>
  <c r="T7" i="1"/>
  <c r="T16" i="1"/>
  <c r="T31" i="1"/>
  <c r="T21" i="1"/>
  <c r="T26" i="1"/>
  <c r="U27" i="1" l="1"/>
  <c r="U23" i="1"/>
  <c r="U15" i="1"/>
  <c r="U19" i="1"/>
  <c r="U30" i="1"/>
  <c r="U18" i="1"/>
  <c r="U32" i="1"/>
  <c r="U13" i="1"/>
  <c r="U8" i="1"/>
  <c r="U12" i="1"/>
  <c r="U35" i="1"/>
  <c r="U28" i="1"/>
  <c r="U9" i="1"/>
  <c r="U20" i="1"/>
  <c r="U29" i="1"/>
  <c r="U33" i="1"/>
  <c r="U11" i="1"/>
  <c r="U25" i="1"/>
  <c r="U10" i="1"/>
  <c r="U26" i="1"/>
  <c r="U7" i="1"/>
  <c r="U31" i="1"/>
  <c r="U16" i="1"/>
  <c r="U22" i="1"/>
  <c r="W6" i="1"/>
  <c r="V19" i="1" s="1"/>
  <c r="V16" i="1"/>
  <c r="V31" i="1"/>
  <c r="V33" i="1"/>
  <c r="V35" i="1"/>
  <c r="V29" i="1"/>
  <c r="U24" i="1"/>
  <c r="U34" i="1"/>
  <c r="V34" i="1" l="1"/>
  <c r="V13" i="1"/>
  <c r="V30" i="1"/>
  <c r="V27" i="1"/>
  <c r="V32" i="1"/>
  <c r="V11" i="1"/>
  <c r="V18" i="1"/>
  <c r="V23" i="1"/>
  <c r="V24" i="1"/>
  <c r="V15" i="1"/>
  <c r="V9" i="1"/>
  <c r="V25" i="1"/>
  <c r="V17" i="1"/>
  <c r="V22" i="1"/>
  <c r="V12" i="1"/>
  <c r="V28" i="1"/>
  <c r="V10" i="1"/>
  <c r="V7" i="1"/>
  <c r="V20" i="1"/>
  <c r="V26" i="1"/>
  <c r="V21" i="1"/>
  <c r="V14" i="1"/>
  <c r="V8" i="1"/>
  <c r="X6" i="1"/>
  <c r="W21" i="1" s="1"/>
  <c r="W23" i="1" l="1"/>
  <c r="W19" i="1"/>
  <c r="W32" i="1"/>
  <c r="W12" i="1"/>
  <c r="W9" i="1"/>
  <c r="W33" i="1"/>
  <c r="W31" i="1"/>
  <c r="W15" i="1"/>
  <c r="W24" i="1"/>
  <c r="W13" i="1"/>
  <c r="W27" i="1"/>
  <c r="W18" i="1"/>
  <c r="W10" i="1"/>
  <c r="W16" i="1"/>
  <c r="W34" i="1"/>
  <c r="W8" i="1"/>
  <c r="W11" i="1"/>
  <c r="W28" i="1"/>
  <c r="W7" i="1"/>
  <c r="W22" i="1"/>
  <c r="W26" i="1"/>
  <c r="W14" i="1"/>
  <c r="W35" i="1"/>
  <c r="W25" i="1"/>
  <c r="W20" i="1"/>
  <c r="W17" i="1"/>
  <c r="W29" i="1"/>
  <c r="Y6" i="1"/>
  <c r="X27" i="1" s="1"/>
  <c r="W30" i="1"/>
  <c r="X21" i="1" l="1"/>
  <c r="X15" i="1"/>
  <c r="X14" i="1"/>
  <c r="X23" i="1"/>
  <c r="X34" i="1"/>
  <c r="X28" i="1"/>
  <c r="X29" i="1"/>
  <c r="X31" i="1"/>
  <c r="X26" i="1"/>
  <c r="X24" i="1"/>
  <c r="X32" i="1"/>
  <c r="X18" i="1"/>
  <c r="X10" i="1"/>
  <c r="X22" i="1"/>
  <c r="X12" i="1"/>
  <c r="X20" i="1"/>
  <c r="X33" i="1"/>
  <c r="X11" i="1"/>
  <c r="X7" i="1"/>
  <c r="X30" i="1"/>
  <c r="X25" i="1"/>
  <c r="X19" i="1"/>
  <c r="X8" i="1"/>
  <c r="X9" i="1"/>
  <c r="X16" i="1"/>
  <c r="X17" i="1"/>
  <c r="X35" i="1"/>
  <c r="X13" i="1"/>
  <c r="Z6" i="1"/>
  <c r="Y34" i="1" s="1"/>
  <c r="Y31" i="1" l="1"/>
  <c r="Y23" i="1"/>
  <c r="Y7" i="1"/>
  <c r="Y22" i="1"/>
  <c r="Y25" i="1"/>
  <c r="Y26" i="1"/>
  <c r="Y10" i="1"/>
  <c r="Y11" i="1"/>
  <c r="Y14" i="1"/>
  <c r="Y13" i="1"/>
  <c r="Y29" i="1"/>
  <c r="Y9" i="1"/>
  <c r="Y20" i="1"/>
  <c r="Y24" i="1"/>
  <c r="Y21" i="1"/>
  <c r="Y27" i="1"/>
  <c r="AA6" i="1"/>
  <c r="Z30" i="1" s="1"/>
  <c r="Z22" i="1"/>
  <c r="Z19" i="1"/>
  <c r="Z12" i="1"/>
  <c r="Z28" i="1"/>
  <c r="Z31" i="1"/>
  <c r="Z35" i="1"/>
  <c r="Z27" i="1"/>
  <c r="Z15" i="1"/>
  <c r="Y28" i="1"/>
  <c r="Y30" i="1"/>
  <c r="Y32" i="1"/>
  <c r="Y8" i="1"/>
  <c r="Y16" i="1"/>
  <c r="Y33" i="1"/>
  <c r="Y12" i="1"/>
  <c r="Y18" i="1"/>
  <c r="Y19" i="1"/>
  <c r="Y35" i="1"/>
  <c r="Y15" i="1"/>
  <c r="Y17" i="1"/>
  <c r="Z7" i="1" l="1"/>
  <c r="Z14" i="1"/>
  <c r="Z34" i="1"/>
  <c r="Z16" i="1"/>
  <c r="Z10" i="1"/>
  <c r="Z33" i="1"/>
  <c r="Z26" i="1"/>
  <c r="Z17" i="1"/>
  <c r="AB6" i="1"/>
  <c r="AA20" i="1" s="1"/>
  <c r="Z11" i="1"/>
  <c r="Z20" i="1"/>
  <c r="Z23" i="1"/>
  <c r="Z21" i="1"/>
  <c r="Z9" i="1"/>
  <c r="Z18" i="1"/>
  <c r="Z24" i="1"/>
  <c r="Z13" i="1"/>
  <c r="Z25" i="1"/>
  <c r="Z29" i="1"/>
  <c r="Z8" i="1"/>
  <c r="Z32" i="1"/>
  <c r="AA14" i="1" l="1"/>
  <c r="AA35" i="1"/>
  <c r="AA23" i="1"/>
  <c r="AA16" i="1"/>
  <c r="AA7" i="1"/>
  <c r="AA32" i="1"/>
  <c r="AA13" i="1"/>
  <c r="AA33" i="1"/>
  <c r="AA28" i="1"/>
  <c r="AA31" i="1"/>
  <c r="AA11" i="1"/>
  <c r="AA24" i="1"/>
  <c r="AA15" i="1"/>
  <c r="AA25" i="1"/>
  <c r="AA21" i="1"/>
  <c r="AA12" i="1"/>
  <c r="AA29" i="1"/>
  <c r="AA10" i="1"/>
  <c r="AA9" i="1"/>
  <c r="AA17" i="1"/>
  <c r="AA30" i="1"/>
  <c r="AA19" i="1"/>
  <c r="AC6" i="1"/>
  <c r="AB35" i="1" s="1"/>
  <c r="AA34" i="1"/>
  <c r="AA22" i="1"/>
  <c r="AA8" i="1"/>
  <c r="AA18" i="1"/>
  <c r="AA26" i="1"/>
  <c r="AA27" i="1"/>
  <c r="AB21" i="1" l="1"/>
  <c r="AB16" i="1"/>
  <c r="AB15" i="1"/>
  <c r="AB13" i="1"/>
  <c r="AB33" i="1"/>
  <c r="AB20" i="1"/>
  <c r="AB31" i="1"/>
  <c r="AB29" i="1"/>
  <c r="AB24" i="1"/>
  <c r="AB17" i="1"/>
  <c r="AB8" i="1"/>
  <c r="AB22" i="1"/>
  <c r="AB30" i="1"/>
  <c r="AB12" i="1"/>
  <c r="AB23" i="1"/>
  <c r="AB19" i="1"/>
  <c r="AB14" i="1"/>
  <c r="AB18" i="1"/>
  <c r="AB25" i="1"/>
  <c r="AB9" i="1"/>
  <c r="AB7" i="1"/>
  <c r="AB10" i="1"/>
  <c r="AB34" i="1"/>
  <c r="AB11" i="1"/>
  <c r="AD6" i="1"/>
  <c r="AC19" i="1" s="1"/>
  <c r="AB26" i="1"/>
  <c r="AB28" i="1"/>
  <c r="AB27" i="1"/>
  <c r="AB32" i="1"/>
  <c r="AC31" i="1" l="1"/>
  <c r="AC9" i="1"/>
  <c r="AC17" i="1"/>
  <c r="AC28" i="1"/>
  <c r="AC10" i="1"/>
  <c r="AC29" i="1"/>
  <c r="AC12" i="1"/>
  <c r="AC24" i="1"/>
  <c r="AC14" i="1"/>
  <c r="AC11" i="1"/>
  <c r="AC16" i="1"/>
  <c r="AC26" i="1"/>
  <c r="AC25" i="1"/>
  <c r="AC15" i="1"/>
  <c r="AC34" i="1"/>
  <c r="AC8" i="1"/>
  <c r="AC35" i="1"/>
  <c r="AC27" i="1"/>
  <c r="AC20" i="1"/>
  <c r="AE6" i="1"/>
  <c r="AD28" i="1" s="1"/>
  <c r="AC7" i="1"/>
  <c r="AC23" i="1"/>
  <c r="AC33" i="1"/>
  <c r="AC30" i="1"/>
  <c r="AC32" i="1"/>
  <c r="AC13" i="1"/>
  <c r="AC18" i="1"/>
  <c r="AC21" i="1"/>
  <c r="AC22" i="1"/>
  <c r="AD13" i="1" l="1"/>
  <c r="AD18" i="1"/>
  <c r="AD24" i="1"/>
  <c r="AD33" i="1"/>
  <c r="AD23" i="1"/>
  <c r="AD34" i="1"/>
  <c r="AD26" i="1"/>
  <c r="AD30" i="1"/>
  <c r="AD22" i="1"/>
  <c r="AD7" i="1"/>
  <c r="AD19" i="1"/>
  <c r="AD14" i="1"/>
  <c r="AD29" i="1"/>
  <c r="AD11" i="1"/>
  <c r="AD17" i="1"/>
  <c r="AD20" i="1"/>
  <c r="AF6" i="1"/>
  <c r="AE11" i="1" s="1"/>
  <c r="AD15" i="1"/>
  <c r="AD27" i="1"/>
  <c r="AD31" i="1"/>
  <c r="AD32" i="1"/>
  <c r="AD10" i="1"/>
  <c r="AD16" i="1"/>
  <c r="AD12" i="1"/>
  <c r="AD25" i="1"/>
  <c r="AD21" i="1"/>
  <c r="AD35" i="1"/>
  <c r="AD9" i="1"/>
  <c r="AD8" i="1"/>
  <c r="AE19" i="1" l="1"/>
  <c r="AE27" i="1"/>
  <c r="AE18" i="1"/>
  <c r="AE17" i="1"/>
  <c r="AE8" i="1"/>
  <c r="AE25" i="1"/>
  <c r="AE9" i="1"/>
  <c r="AE24" i="1"/>
  <c r="AE31" i="1"/>
  <c r="AE29" i="1"/>
  <c r="AE33" i="1"/>
  <c r="AE22" i="1"/>
  <c r="AE13" i="1"/>
  <c r="AE32" i="1"/>
  <c r="AE15" i="1"/>
  <c r="AE23" i="1"/>
  <c r="AE28" i="1"/>
  <c r="AE10" i="1"/>
  <c r="AE16" i="1"/>
  <c r="AE26" i="1"/>
  <c r="AG6" i="1"/>
  <c r="AF15" i="1" s="1"/>
  <c r="AE30" i="1"/>
  <c r="AE34" i="1"/>
  <c r="AE14" i="1"/>
  <c r="AE12" i="1"/>
  <c r="AE7" i="1"/>
  <c r="AE20" i="1"/>
  <c r="AE35" i="1"/>
  <c r="AE21" i="1"/>
  <c r="AF8" i="1" l="1"/>
  <c r="AF31" i="1"/>
  <c r="AF35" i="1"/>
  <c r="AF10" i="1"/>
  <c r="AF28" i="1"/>
  <c r="AF29" i="1"/>
  <c r="AF23" i="1"/>
  <c r="AF30" i="1"/>
  <c r="AF17" i="1"/>
  <c r="AF11" i="1"/>
  <c r="AF7" i="1"/>
  <c r="AF32" i="1"/>
  <c r="AF26" i="1"/>
  <c r="AF34" i="1"/>
  <c r="AF24" i="1"/>
  <c r="AF20" i="1"/>
  <c r="AF18" i="1"/>
  <c r="AF14" i="1"/>
  <c r="AF9" i="1"/>
  <c r="AF21" i="1"/>
  <c r="AF12" i="1"/>
  <c r="AF27" i="1"/>
  <c r="AF33" i="1"/>
  <c r="AF19" i="1"/>
  <c r="AF22" i="1"/>
  <c r="AF13" i="1"/>
  <c r="AH6" i="1"/>
  <c r="AG23" i="1" s="1"/>
  <c r="AF25" i="1"/>
  <c r="AF16" i="1"/>
  <c r="AG24" i="1" l="1"/>
  <c r="AG32" i="1"/>
  <c r="AG31" i="1"/>
  <c r="AG27" i="1"/>
  <c r="AG16" i="1"/>
  <c r="AG11" i="1"/>
  <c r="AG33" i="1"/>
  <c r="AG29" i="1"/>
  <c r="AG9" i="1"/>
  <c r="AG30" i="1"/>
  <c r="AG19" i="1"/>
  <c r="AG25" i="1"/>
  <c r="AG17" i="1"/>
  <c r="AG12" i="1"/>
  <c r="AG8" i="1"/>
  <c r="AG10" i="1"/>
  <c r="AG13" i="1"/>
  <c r="AG26" i="1"/>
  <c r="AG28" i="1"/>
  <c r="AI6" i="1"/>
  <c r="AH19" i="1" s="1"/>
  <c r="AH24" i="1"/>
  <c r="AG22" i="1"/>
  <c r="AG20" i="1"/>
  <c r="AG18" i="1"/>
  <c r="AG21" i="1"/>
  <c r="AG34" i="1"/>
  <c r="AG15" i="1"/>
  <c r="AG35" i="1"/>
  <c r="AG7" i="1"/>
  <c r="AG14" i="1"/>
  <c r="AH21" i="1" l="1"/>
  <c r="AH33" i="1"/>
  <c r="AH27" i="1"/>
  <c r="AH16" i="1"/>
  <c r="AH14" i="1"/>
  <c r="AH22" i="1"/>
  <c r="AH18" i="1"/>
  <c r="AH35" i="1"/>
  <c r="AH15" i="1"/>
  <c r="AH11" i="1"/>
  <c r="AJ6" i="1"/>
  <c r="AI31" i="1" s="1"/>
  <c r="AI33" i="1"/>
  <c r="AH7" i="1"/>
  <c r="AH32" i="1"/>
  <c r="AH12" i="1"/>
  <c r="AH20" i="1"/>
  <c r="AH28" i="1"/>
  <c r="AH8" i="1"/>
  <c r="AH10" i="1"/>
  <c r="AH26" i="1"/>
  <c r="AH13" i="1"/>
  <c r="AH29" i="1"/>
  <c r="AH17" i="1"/>
  <c r="AH31" i="1"/>
  <c r="AH23" i="1"/>
  <c r="AH25" i="1"/>
  <c r="AH9" i="1"/>
  <c r="AH30" i="1"/>
  <c r="AH34" i="1"/>
  <c r="E13" i="3"/>
  <c r="F13" i="3"/>
  <c r="AI26" i="1" l="1"/>
  <c r="AI19" i="1"/>
  <c r="AI17" i="1"/>
  <c r="AI20" i="1"/>
  <c r="AI29" i="1"/>
  <c r="AI28" i="1"/>
  <c r="AI21" i="1"/>
  <c r="AI9" i="1"/>
  <c r="AI34" i="1"/>
  <c r="AI25" i="1"/>
  <c r="AI35" i="1"/>
  <c r="AI18" i="1"/>
  <c r="AI27" i="1"/>
  <c r="AI8" i="1"/>
  <c r="AI12" i="1"/>
  <c r="AI10" i="1"/>
  <c r="AI13" i="1"/>
  <c r="AI22" i="1"/>
  <c r="AI14" i="1"/>
  <c r="AI32" i="1"/>
  <c r="AI11" i="1"/>
  <c r="AI23" i="1"/>
  <c r="AI7" i="1"/>
  <c r="AI16" i="1"/>
  <c r="AK6" i="1"/>
  <c r="AJ24" i="1" s="1"/>
  <c r="AI24" i="1"/>
  <c r="AI15" i="1"/>
  <c r="AI30" i="1"/>
  <c r="AJ9" i="1" l="1"/>
  <c r="AJ27" i="1"/>
  <c r="AJ31" i="1"/>
  <c r="AJ34" i="1"/>
  <c r="AJ7" i="1"/>
  <c r="AJ25" i="1"/>
  <c r="AJ22" i="1"/>
  <c r="AJ23" i="1"/>
  <c r="AJ29" i="1"/>
  <c r="AJ16" i="1"/>
  <c r="AJ14" i="1"/>
  <c r="AJ8" i="1"/>
  <c r="AJ11" i="1"/>
  <c r="AJ10" i="1"/>
  <c r="AJ13" i="1"/>
  <c r="AJ30" i="1"/>
  <c r="AJ20" i="1"/>
  <c r="AL6" i="1"/>
  <c r="AK18" i="1" s="1"/>
  <c r="AK26" i="1"/>
  <c r="AK22" i="1"/>
  <c r="AJ28" i="1"/>
  <c r="AJ33" i="1"/>
  <c r="AJ15" i="1"/>
  <c r="AJ19" i="1"/>
  <c r="AJ26" i="1"/>
  <c r="AJ12" i="1"/>
  <c r="AJ32" i="1"/>
  <c r="AJ17" i="1"/>
  <c r="AJ35" i="1"/>
  <c r="AJ21" i="1"/>
  <c r="AJ18" i="1"/>
  <c r="AK21" i="1" l="1"/>
  <c r="AK14" i="1"/>
  <c r="AK32" i="1"/>
  <c r="AK30" i="1"/>
  <c r="AK10" i="1"/>
  <c r="AK9" i="1"/>
  <c r="AK17" i="1"/>
  <c r="AK20" i="1"/>
  <c r="AK35" i="1"/>
  <c r="AM6" i="1"/>
  <c r="AL22" i="1" s="1"/>
  <c r="AK29" i="1"/>
  <c r="AK33" i="1"/>
  <c r="AK16" i="1"/>
  <c r="AK27" i="1"/>
  <c r="AK25" i="1"/>
  <c r="AK15" i="1"/>
  <c r="AK12" i="1"/>
  <c r="AK23" i="1"/>
  <c r="AK28" i="1"/>
  <c r="AK34" i="1"/>
  <c r="AK7" i="1"/>
  <c r="AK19" i="1"/>
  <c r="AK13" i="1"/>
  <c r="AK24" i="1"/>
  <c r="AK31" i="1"/>
  <c r="AK11" i="1"/>
  <c r="AK8" i="1"/>
  <c r="AL27" i="1" l="1"/>
  <c r="AL29" i="1"/>
  <c r="AL15" i="1"/>
  <c r="AL14" i="1"/>
  <c r="AL20" i="1"/>
  <c r="AL18" i="1"/>
  <c r="AL23" i="1"/>
  <c r="AL16" i="1"/>
  <c r="AL10" i="1"/>
  <c r="AL32" i="1"/>
  <c r="AL12" i="1"/>
  <c r="AL35" i="1"/>
  <c r="AL24" i="1"/>
  <c r="AL17" i="1"/>
  <c r="AL13" i="1"/>
  <c r="AL25" i="1"/>
  <c r="AL28" i="1"/>
  <c r="AL30" i="1"/>
  <c r="AL19" i="1"/>
  <c r="AL26" i="1"/>
  <c r="AL7" i="1"/>
  <c r="AL31" i="1"/>
  <c r="AL8" i="1"/>
  <c r="AN6" i="1"/>
  <c r="AL33" i="1"/>
  <c r="AL34" i="1"/>
  <c r="AL11" i="1"/>
  <c r="AL9" i="1"/>
  <c r="AL21" i="1"/>
  <c r="AM27" i="1" l="1"/>
  <c r="AO6" i="1"/>
  <c r="AN9" i="1" s="1"/>
  <c r="AN33" i="1"/>
  <c r="AN16" i="1"/>
  <c r="AN31" i="1"/>
  <c r="AN34" i="1"/>
  <c r="AN24" i="1"/>
  <c r="AN11" i="1"/>
  <c r="AN7" i="1"/>
  <c r="AN25" i="1"/>
  <c r="AN21" i="1"/>
  <c r="AN18" i="1"/>
  <c r="AN17" i="1"/>
  <c r="AN14" i="1"/>
  <c r="AN32" i="1"/>
  <c r="AN13" i="1"/>
  <c r="AM12" i="1"/>
  <c r="AM7" i="1"/>
  <c r="AM34" i="1"/>
  <c r="AM22" i="1"/>
  <c r="AM26" i="1"/>
  <c r="AM8" i="1"/>
  <c r="AM32" i="1"/>
  <c r="AM25" i="1"/>
  <c r="AM28" i="1"/>
  <c r="AM10" i="1"/>
  <c r="AM16" i="1"/>
  <c r="AM9" i="1"/>
  <c r="AM33" i="1"/>
  <c r="AM30" i="1"/>
  <c r="AM35" i="1"/>
  <c r="AM29" i="1"/>
  <c r="AM24" i="1"/>
  <c r="AM31" i="1"/>
  <c r="AM18" i="1"/>
  <c r="AM11" i="1"/>
  <c r="AM17" i="1"/>
  <c r="AM13" i="1"/>
  <c r="AM20" i="1"/>
  <c r="AM23" i="1"/>
  <c r="AM21" i="1"/>
  <c r="AM19" i="1"/>
  <c r="AM15" i="1"/>
  <c r="AM14" i="1"/>
  <c r="AN26" i="1" l="1"/>
  <c r="AN29" i="1"/>
  <c r="AN28" i="1"/>
  <c r="AN23" i="1"/>
  <c r="AN20" i="1"/>
  <c r="AN35" i="1"/>
  <c r="AN12" i="1"/>
  <c r="AN30" i="1"/>
  <c r="AN27" i="1"/>
  <c r="AN22" i="1"/>
  <c r="AN15" i="1"/>
  <c r="AN8" i="1"/>
  <c r="AN10" i="1"/>
  <c r="AP6" i="1"/>
  <c r="AO7" i="1" s="1"/>
  <c r="AN19" i="1"/>
  <c r="AO33" i="1" l="1"/>
  <c r="AO29" i="1"/>
  <c r="AO25" i="1"/>
  <c r="AO16" i="1"/>
  <c r="AO26" i="1"/>
  <c r="AO35" i="1"/>
  <c r="AQ6" i="1"/>
  <c r="AP26" i="1" s="1"/>
  <c r="AP33" i="1"/>
  <c r="AP27" i="1"/>
  <c r="AP17" i="1"/>
  <c r="AP28" i="1"/>
  <c r="AP19" i="1"/>
  <c r="AO23" i="1"/>
  <c r="AO24" i="1"/>
  <c r="AO21" i="1"/>
  <c r="AO32" i="1"/>
  <c r="AO13" i="1"/>
  <c r="AO8" i="1"/>
  <c r="AO15" i="1"/>
  <c r="AO31" i="1"/>
  <c r="AO20" i="1"/>
  <c r="AO14" i="1"/>
  <c r="AO30" i="1"/>
  <c r="AO27" i="1"/>
  <c r="AO9" i="1"/>
  <c r="AO12" i="1"/>
  <c r="AO11" i="1"/>
  <c r="AO19" i="1"/>
  <c r="AO17" i="1"/>
  <c r="AO22" i="1"/>
  <c r="AO34" i="1"/>
  <c r="AO18" i="1"/>
  <c r="AO10" i="1"/>
  <c r="AO28" i="1"/>
  <c r="AP10" i="1" l="1"/>
  <c r="AP21" i="1"/>
  <c r="AP18" i="1"/>
  <c r="AP25" i="1"/>
  <c r="AP32" i="1"/>
  <c r="AP20" i="1"/>
  <c r="AP30" i="1"/>
  <c r="AP31" i="1"/>
  <c r="AP23" i="1"/>
  <c r="AP13" i="1"/>
  <c r="AP16" i="1"/>
  <c r="AP34" i="1"/>
  <c r="AP7" i="1"/>
  <c r="AP15" i="1"/>
  <c r="AP29" i="1"/>
  <c r="AP8" i="1"/>
  <c r="AP24" i="1"/>
  <c r="AP35" i="1"/>
  <c r="AP11" i="1"/>
  <c r="AP9" i="1"/>
  <c r="AP14" i="1"/>
  <c r="AP12" i="1"/>
  <c r="AR6" i="1"/>
  <c r="AQ7" i="1" s="1"/>
  <c r="AP22" i="1"/>
  <c r="AQ26" i="1" l="1"/>
  <c r="AQ32" i="1"/>
  <c r="AQ22" i="1"/>
  <c r="AQ17" i="1"/>
  <c r="AQ15" i="1"/>
  <c r="AQ30" i="1"/>
  <c r="AQ13" i="1"/>
  <c r="AQ24" i="1"/>
  <c r="AQ20" i="1"/>
  <c r="AQ18" i="1"/>
  <c r="AQ9" i="1"/>
  <c r="AQ27" i="1"/>
  <c r="AQ25" i="1"/>
  <c r="AQ31" i="1"/>
  <c r="AQ14" i="1"/>
  <c r="AQ23" i="1"/>
  <c r="AQ11" i="1"/>
  <c r="AQ34" i="1"/>
  <c r="AQ19" i="1"/>
  <c r="AQ10" i="1"/>
  <c r="AQ12" i="1"/>
  <c r="AS6" i="1"/>
  <c r="AR11" i="1" s="1"/>
  <c r="AQ29" i="1"/>
  <c r="AQ21" i="1"/>
  <c r="AQ16" i="1"/>
  <c r="AQ35" i="1"/>
  <c r="AQ28" i="1"/>
  <c r="AQ8" i="1"/>
  <c r="AQ33" i="1"/>
  <c r="E14" i="3"/>
  <c r="F14" i="3"/>
  <c r="D5" i="3" s="1"/>
  <c r="AR13" i="1" l="1"/>
  <c r="AR15" i="1"/>
  <c r="AR7" i="1"/>
  <c r="AR35" i="1"/>
  <c r="AR34" i="1"/>
  <c r="AR9" i="1"/>
  <c r="AR24" i="1"/>
  <c r="AR32" i="1"/>
  <c r="AR33" i="1"/>
  <c r="AR22" i="1"/>
  <c r="AR25" i="1"/>
  <c r="AR12" i="1"/>
  <c r="AR29" i="1"/>
  <c r="AR18" i="1"/>
  <c r="AR19" i="1"/>
  <c r="AR20" i="1"/>
  <c r="AR16" i="1"/>
  <c r="AR23" i="1"/>
  <c r="AR27" i="1"/>
  <c r="AR31" i="1"/>
  <c r="AR21" i="1"/>
  <c r="AR30" i="1"/>
  <c r="AR14" i="1"/>
  <c r="AR10" i="1"/>
  <c r="AR28" i="1"/>
  <c r="AR8" i="1"/>
  <c r="AR26" i="1"/>
  <c r="AR17" i="1"/>
  <c r="AT6" i="1"/>
  <c r="AS16" i="1" s="1"/>
  <c r="AS10" i="1" l="1"/>
  <c r="AS12" i="1"/>
  <c r="AS15" i="1"/>
  <c r="AS20" i="1"/>
  <c r="AS34" i="1"/>
  <c r="AS8" i="1"/>
  <c r="AS11" i="1"/>
  <c r="AS9" i="1"/>
  <c r="AS23" i="1"/>
  <c r="AS30" i="1"/>
  <c r="AS24" i="1"/>
  <c r="AS19" i="1"/>
  <c r="AS14" i="1"/>
  <c r="AS17" i="1"/>
  <c r="AS28" i="1"/>
  <c r="AS21" i="1"/>
  <c r="AS31" i="1"/>
  <c r="AS7" i="1"/>
  <c r="AS26" i="1"/>
  <c r="AS13" i="1"/>
  <c r="AU6" i="1"/>
  <c r="AT16" i="1" s="1"/>
  <c r="AS27" i="1"/>
  <c r="AS22" i="1"/>
  <c r="AS29" i="1"/>
  <c r="AS33" i="1"/>
  <c r="AS18" i="1"/>
  <c r="AS32" i="1"/>
  <c r="AS35" i="1"/>
  <c r="AS25" i="1"/>
  <c r="AT15" i="1" l="1"/>
  <c r="AT20" i="1"/>
  <c r="AT34" i="1"/>
  <c r="AT32" i="1"/>
  <c r="AT8" i="1"/>
  <c r="AT30" i="1"/>
  <c r="AT18" i="1"/>
  <c r="AT13" i="1"/>
  <c r="AT31" i="1"/>
  <c r="AT33" i="1"/>
  <c r="AT11" i="1"/>
  <c r="AT28" i="1"/>
  <c r="AT25" i="1"/>
  <c r="AT17" i="1"/>
  <c r="AT26" i="1"/>
  <c r="AV6" i="1"/>
  <c r="AU14" i="1" s="1"/>
  <c r="AT29" i="1"/>
  <c r="AT10" i="1"/>
  <c r="AT24" i="1"/>
  <c r="AT27" i="1"/>
  <c r="AT35" i="1"/>
  <c r="AT19" i="1"/>
  <c r="AT22" i="1"/>
  <c r="AT21" i="1"/>
  <c r="AT14" i="1"/>
  <c r="AT7" i="1"/>
  <c r="AT9" i="1"/>
  <c r="AT12" i="1"/>
  <c r="AT23" i="1"/>
  <c r="AU13" i="1" l="1"/>
  <c r="AU24" i="1"/>
  <c r="AU8" i="1"/>
  <c r="AU21" i="1"/>
  <c r="AU27" i="1"/>
  <c r="AU23" i="1"/>
  <c r="AU11" i="1"/>
  <c r="AU31" i="1"/>
  <c r="AU34" i="1"/>
  <c r="AU20" i="1"/>
  <c r="AU33" i="1"/>
  <c r="AU32" i="1"/>
  <c r="AU28" i="1"/>
  <c r="AU12" i="1"/>
  <c r="AU17" i="1"/>
  <c r="AU26" i="1"/>
  <c r="AU22" i="1"/>
  <c r="AU10" i="1"/>
  <c r="AU15" i="1"/>
  <c r="AU25" i="1"/>
  <c r="AU18" i="1"/>
  <c r="AU35" i="1"/>
  <c r="AW6" i="1"/>
  <c r="AV18" i="1" s="1"/>
  <c r="AU7" i="1"/>
  <c r="AU19" i="1"/>
  <c r="AU30" i="1"/>
  <c r="AU16" i="1"/>
  <c r="AU29" i="1"/>
  <c r="AU9" i="1"/>
  <c r="AV7" i="1" l="1"/>
  <c r="AV28" i="1"/>
  <c r="AV30" i="1"/>
  <c r="AV24" i="1"/>
  <c r="AV21" i="1"/>
  <c r="AV27" i="1"/>
  <c r="AV11" i="1"/>
  <c r="AV19" i="1"/>
  <c r="AV8" i="1"/>
  <c r="AV34" i="1"/>
  <c r="AV35" i="1"/>
  <c r="AV25" i="1"/>
  <c r="AV20" i="1"/>
  <c r="AV13" i="1"/>
  <c r="AV29" i="1"/>
  <c r="AV14" i="1"/>
  <c r="AV32" i="1"/>
  <c r="AV22" i="1"/>
  <c r="AV10" i="1"/>
  <c r="AV31" i="1"/>
  <c r="AV9" i="1"/>
  <c r="AV23" i="1"/>
  <c r="AV12" i="1"/>
  <c r="AV26" i="1"/>
  <c r="AX6" i="1"/>
  <c r="AW11" i="1" s="1"/>
  <c r="AV17" i="1"/>
  <c r="AV16" i="1"/>
  <c r="AV33" i="1"/>
  <c r="AV15" i="1"/>
  <c r="AW30" i="1" l="1"/>
  <c r="AW19" i="1"/>
  <c r="AW26" i="1"/>
  <c r="AW10" i="1"/>
  <c r="AW27" i="1"/>
  <c r="AW22" i="1"/>
  <c r="AW8" i="1"/>
  <c r="AW25" i="1"/>
  <c r="AW28" i="1"/>
  <c r="AW20" i="1"/>
  <c r="AW34" i="1"/>
  <c r="AW23" i="1"/>
  <c r="AW7" i="1"/>
  <c r="AY6" i="1"/>
  <c r="AX28" i="1" s="1"/>
  <c r="AW9" i="1"/>
  <c r="AW32" i="1"/>
  <c r="AW24" i="1"/>
  <c r="AW29" i="1"/>
  <c r="AW33" i="1"/>
  <c r="AW18" i="1"/>
  <c r="AW12" i="1"/>
  <c r="AW31" i="1"/>
  <c r="AW14" i="1"/>
  <c r="AW15" i="1"/>
  <c r="AW35" i="1"/>
  <c r="AW17" i="1"/>
  <c r="AW21" i="1"/>
  <c r="AW13" i="1"/>
  <c r="AW16" i="1"/>
  <c r="AX26" i="1" l="1"/>
  <c r="AX19" i="1"/>
  <c r="AX10" i="1"/>
  <c r="AX8" i="1"/>
  <c r="AX23" i="1"/>
  <c r="AX17" i="1"/>
  <c r="AX12" i="1"/>
  <c r="AX34" i="1"/>
  <c r="AX29" i="1"/>
  <c r="AX20" i="1"/>
  <c r="AX33" i="1"/>
  <c r="AX7" i="1"/>
  <c r="AX18" i="1"/>
  <c r="AX9" i="1"/>
  <c r="AX16" i="1"/>
  <c r="AX27" i="1"/>
  <c r="AX11" i="1"/>
  <c r="AX31" i="1"/>
  <c r="AX21" i="1"/>
  <c r="AX22" i="1"/>
  <c r="AX13" i="1"/>
  <c r="AX14" i="1"/>
  <c r="AX24" i="1"/>
  <c r="AX30" i="1"/>
  <c r="AX15" i="1"/>
  <c r="AX25" i="1"/>
  <c r="AX32" i="1"/>
  <c r="AX35" i="1"/>
  <c r="AZ6" i="1"/>
  <c r="AY8" i="1" s="1"/>
  <c r="AY34" i="1" l="1"/>
  <c r="AY15" i="1"/>
  <c r="AY16" i="1"/>
  <c r="AY25" i="1"/>
  <c r="AY7" i="1"/>
  <c r="AY30" i="1"/>
  <c r="AY26" i="1"/>
  <c r="AY17" i="1"/>
  <c r="AY20" i="1"/>
  <c r="AY29" i="1"/>
  <c r="AY24" i="1"/>
  <c r="AY33" i="1"/>
  <c r="AY22" i="1"/>
  <c r="AY32" i="1"/>
  <c r="AY21" i="1"/>
  <c r="AY11" i="1"/>
  <c r="AY28" i="1"/>
  <c r="AY14" i="1"/>
  <c r="AY12" i="1"/>
  <c r="AY9" i="1"/>
  <c r="AY31" i="1"/>
  <c r="AY35" i="1"/>
  <c r="AY27" i="1"/>
  <c r="AY13" i="1"/>
  <c r="AY23" i="1"/>
  <c r="AY10" i="1"/>
  <c r="AY19" i="1"/>
  <c r="BA6" i="1"/>
  <c r="AZ24" i="1" s="1"/>
  <c r="AY18" i="1"/>
  <c r="AZ33" i="1" l="1"/>
  <c r="AZ8" i="1"/>
  <c r="AZ21" i="1"/>
  <c r="AZ12" i="1"/>
  <c r="AZ31" i="1"/>
  <c r="AZ11" i="1"/>
  <c r="AZ27" i="1"/>
  <c r="AZ19" i="1"/>
  <c r="AZ16" i="1"/>
  <c r="AZ35" i="1"/>
  <c r="AZ32" i="1"/>
  <c r="AZ17" i="1"/>
  <c r="AZ18" i="1"/>
  <c r="AZ14" i="1"/>
  <c r="AZ22" i="1"/>
  <c r="AZ23" i="1"/>
  <c r="AZ30" i="1"/>
  <c r="AZ7" i="1"/>
  <c r="AZ20" i="1"/>
  <c r="AZ10" i="1"/>
  <c r="AZ26" i="1"/>
  <c r="AZ25" i="1"/>
  <c r="BB6" i="1"/>
  <c r="BA17" i="1" s="1"/>
  <c r="AZ13" i="1"/>
  <c r="AZ29" i="1"/>
  <c r="AZ34" i="1"/>
  <c r="AZ9" i="1"/>
  <c r="AZ15" i="1"/>
  <c r="AZ28" i="1"/>
  <c r="BA33" i="1" l="1"/>
  <c r="BA7" i="1"/>
  <c r="BA28" i="1"/>
  <c r="BA8" i="1"/>
  <c r="BA34" i="1"/>
  <c r="BA26" i="1"/>
  <c r="BA14" i="1"/>
  <c r="BA21" i="1"/>
  <c r="BA10" i="1"/>
  <c r="BA30" i="1"/>
  <c r="BA31" i="1"/>
  <c r="BA19" i="1"/>
  <c r="BA23" i="1"/>
  <c r="BA9" i="1"/>
  <c r="BA18" i="1"/>
  <c r="BA20" i="1"/>
  <c r="BA24" i="1"/>
  <c r="BA35" i="1"/>
  <c r="BA15" i="1"/>
  <c r="BA25" i="1"/>
  <c r="BA12" i="1"/>
  <c r="BA11" i="1"/>
  <c r="BA13" i="1"/>
  <c r="BA22" i="1"/>
  <c r="BA32" i="1"/>
  <c r="BA16" i="1"/>
  <c r="BA29" i="1"/>
  <c r="BA27" i="1"/>
  <c r="BC6" i="1"/>
  <c r="BB18" i="1" s="1"/>
  <c r="BD6" i="1" l="1"/>
  <c r="BC15" i="1" s="1"/>
  <c r="BC24" i="1"/>
  <c r="BC29" i="1"/>
  <c r="BB24" i="1"/>
  <c r="BB10" i="1"/>
  <c r="BB27" i="1"/>
  <c r="BB19" i="1"/>
  <c r="BB22" i="1"/>
  <c r="BB12" i="1"/>
  <c r="BB20" i="1"/>
  <c r="BB7" i="1"/>
  <c r="BB34" i="1"/>
  <c r="BB14" i="1"/>
  <c r="BB16" i="1"/>
  <c r="BB11" i="1"/>
  <c r="BB33" i="1"/>
  <c r="BB32" i="1"/>
  <c r="BB35" i="1"/>
  <c r="BB15" i="1"/>
  <c r="BB8" i="1"/>
  <c r="BB26" i="1"/>
  <c r="BB13" i="1"/>
  <c r="BB31" i="1"/>
  <c r="BB25" i="1"/>
  <c r="BB30" i="1"/>
  <c r="BB23" i="1"/>
  <c r="BB9" i="1"/>
  <c r="BB17" i="1"/>
  <c r="BB21" i="1"/>
  <c r="BB28" i="1"/>
  <c r="BB29" i="1"/>
  <c r="BC10" i="1" l="1"/>
  <c r="BC12" i="1"/>
  <c r="BC14" i="1"/>
  <c r="BC23" i="1"/>
  <c r="BC31" i="1"/>
  <c r="BC20" i="1"/>
  <c r="BC22" i="1"/>
  <c r="BC8" i="1"/>
  <c r="BC27" i="1"/>
  <c r="BC17" i="1"/>
  <c r="BC18" i="1"/>
  <c r="BC26" i="1"/>
  <c r="BC28" i="1"/>
  <c r="BC19" i="1"/>
  <c r="BC7" i="1"/>
  <c r="BC21" i="1"/>
  <c r="BC33" i="1"/>
  <c r="BC9" i="1"/>
  <c r="BC25" i="1"/>
  <c r="BC16" i="1"/>
  <c r="BC32" i="1"/>
  <c r="BC35" i="1"/>
  <c r="BC34" i="1"/>
  <c r="BC30" i="1"/>
  <c r="BC13" i="1"/>
  <c r="BC11" i="1"/>
  <c r="BE6" i="1"/>
  <c r="BD34" i="1" s="1"/>
  <c r="BD28" i="1"/>
  <c r="BD18" i="1" l="1"/>
  <c r="BD9" i="1"/>
  <c r="BD20" i="1"/>
  <c r="BD29" i="1"/>
  <c r="BD24" i="1"/>
  <c r="BD32" i="1"/>
  <c r="BD10" i="1"/>
  <c r="BD12" i="1"/>
  <c r="BD11" i="1"/>
  <c r="BD22" i="1"/>
  <c r="BD17" i="1"/>
  <c r="BD27" i="1"/>
  <c r="BD21" i="1"/>
  <c r="BD16" i="1"/>
  <c r="BD19" i="1"/>
  <c r="BD23" i="1"/>
  <c r="BD35" i="1"/>
  <c r="BD33" i="1"/>
  <c r="BD13" i="1"/>
  <c r="BD8" i="1"/>
  <c r="BD30" i="1"/>
  <c r="BD31" i="1"/>
  <c r="BD25" i="1"/>
  <c r="BF6" i="1"/>
  <c r="BE9" i="1" s="1"/>
  <c r="BD26" i="1"/>
  <c r="BD15" i="1"/>
  <c r="BD14" i="1"/>
  <c r="BD7" i="1"/>
  <c r="BE29" i="1" l="1"/>
  <c r="BE8" i="1"/>
  <c r="BE21" i="1"/>
  <c r="BE10" i="1"/>
  <c r="BE28" i="1"/>
  <c r="BE22" i="1"/>
  <c r="BE15" i="1"/>
  <c r="BE27" i="1"/>
  <c r="BE30" i="1"/>
  <c r="BE25" i="1"/>
  <c r="BE11" i="1"/>
  <c r="BE20" i="1"/>
  <c r="BE12" i="1"/>
  <c r="BE16" i="1"/>
  <c r="BE31" i="1"/>
  <c r="BE19" i="1"/>
  <c r="BE33" i="1"/>
  <c r="BE24" i="1"/>
  <c r="BE14" i="1"/>
  <c r="BE23" i="1"/>
  <c r="BE34" i="1"/>
  <c r="BE35" i="1"/>
  <c r="E2" i="4"/>
  <c r="BE18" i="1"/>
  <c r="BE13" i="1"/>
  <c r="BE26" i="1"/>
  <c r="BE32" i="1"/>
  <c r="BE17" i="1"/>
  <c r="BE7" i="1"/>
  <c r="F3" i="4" l="1"/>
  <c r="G3" i="4" s="1"/>
  <c r="F32" i="1"/>
  <c r="F31" i="1"/>
  <c r="F26" i="1"/>
  <c r="F10" i="1"/>
  <c r="F23" i="1"/>
  <c r="F19" i="1"/>
  <c r="F33" i="1"/>
  <c r="F34" i="1"/>
  <c r="F18" i="1"/>
  <c r="F24" i="1"/>
  <c r="F14" i="1"/>
  <c r="F15" i="1"/>
  <c r="F16" i="1"/>
  <c r="F20" i="1"/>
  <c r="F28" i="1"/>
  <c r="F13" i="1"/>
  <c r="F11" i="1"/>
  <c r="F21" i="1"/>
  <c r="F25" i="1"/>
  <c r="F30" i="1"/>
  <c r="F29" i="1"/>
  <c r="F27" i="1"/>
  <c r="F9" i="1"/>
  <c r="F12" i="1"/>
  <c r="F35" i="1"/>
  <c r="F17" i="1"/>
  <c r="F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Sanifoam</author>
  </authors>
  <commentList>
    <comment ref="H4" authorId="0" shapeId="0" xr:uid="{00000000-0006-0000-0000-000001000000}">
      <text>
        <r>
          <rPr>
            <sz val="11"/>
            <color theme="1"/>
            <rFont val="Calibri"/>
            <family val="2"/>
            <charset val="1"/>
          </rPr>
          <t>Project start date (input). A task without predecessor and without a typed Start begins here (+ Lag).</t>
        </r>
      </text>
    </comment>
    <comment ref="P4" authorId="0" shapeId="0" xr:uid="{00000000-0006-0000-0000-000002000000}">
      <text>
        <r>
          <rPr>
            <sz val="11"/>
            <color theme="1"/>
            <rFont val="Calibri"/>
            <family val="2"/>
            <charset val="1"/>
          </rPr>
          <t>Choose Day, Week, Month or Year in the blue cell - the Gantt columns and arrows follow.</t>
        </r>
      </text>
    </comment>
    <comment ref="Y4" authorId="0" shapeId="0" xr:uid="{00000000-0006-0000-0000-000003000000}">
      <text>
        <r>
          <rPr>
            <sz val="11"/>
            <color theme="1"/>
            <rFont val="Calibri"/>
            <family val="2"/>
            <charset val="1"/>
          </rPr>
          <t>Moves the Gantt window to the right by this many periods (days / weeks / months / years). Drag the scroll bars (next to this cell and under the Gantt) or type a number.</t>
        </r>
      </text>
    </comment>
    <comment ref="A6" authorId="0" shapeId="0" xr:uid="{00000000-0006-0000-0000-000004000000}">
      <text>
        <r>
          <rPr>
            <sz val="11"/>
            <color theme="1"/>
            <rFont val="Calibri"/>
            <family val="2"/>
            <charset val="1"/>
          </rPr>
          <t>WBS number (text). The hierarchy follows it: a row that has sub-numbers (e.g. 1.8 with 1.8.1) automatically becomes a summary row.</t>
        </r>
      </text>
    </comment>
    <comment ref="C6" authorId="0" shapeId="0" xr:uid="{00000000-0006-0000-0000-000005000000}">
      <text>
        <r>
          <rPr>
            <sz val="11"/>
            <color theme="1"/>
            <rFont val="Calibri"/>
            <family val="2"/>
            <charset val="1"/>
          </rPr>
          <t>Calculated like MS Project: next working day after the latest predecessor finish (+ Lag). You may type a date here - the finish and all linked tasks follow it.</t>
        </r>
      </text>
    </comment>
    <comment ref="D6" authorId="0" shapeId="0" xr:uid="{00000000-0006-0000-0000-000006000000}">
      <text>
        <r>
          <rPr>
            <sz val="11"/>
            <color theme="1"/>
            <rFont val="Calibri"/>
            <family val="2"/>
            <charset val="1"/>
          </rPr>
          <t>Calculated: Start + Days. You may type a date here - all linked tasks move to the next working day after it.</t>
        </r>
      </text>
    </comment>
    <comment ref="G6" authorId="0" shapeId="0" xr:uid="{00000000-0006-0000-0000-000007000000}">
      <text>
        <r>
          <rPr>
            <sz val="11"/>
            <color theme="1"/>
            <rFont val="Calibri"/>
            <family val="2"/>
            <charset val="1"/>
          </rPr>
          <t>Predecessor WBS no. - up to 4, separated by ; or , (e.g. 1.3.2; 1.4.4).</t>
        </r>
      </text>
    </comment>
    <comment ref="H6" authorId="0" shapeId="0" xr:uid="{00000000-0006-0000-0000-000008000000}">
      <text>
        <r>
          <rPr>
            <sz val="11"/>
            <color theme="1"/>
            <rFont val="Calibri"/>
            <family val="2"/>
            <charset val="1"/>
          </rPr>
          <t>Lag in working days after the predecessors (negative = overlap). Grey = not used because Start was typed.</t>
        </r>
      </text>
    </comment>
    <comment ref="I6" authorId="0" shapeId="0" xr:uid="{00000000-0006-0000-0000-000009000000}">
      <text>
        <r>
          <rPr>
            <sz val="11"/>
            <color theme="1"/>
            <rFont val="Calibri"/>
            <family val="2"/>
            <charset val="1"/>
          </rPr>
          <t>Working days of the task (0 = milestone). Change it to extend/shorten the task - linked tasks follow. Grey = not used because Finish was typed.</t>
        </r>
      </text>
    </comment>
    <comment ref="BG6" authorId="0" shapeId="0" xr:uid="{00000000-0006-0000-0000-00000A000000}">
      <text>
        <r>
          <rPr>
            <sz val="11"/>
            <color theme="1"/>
            <rFont val="Calibri"/>
            <family val="2"/>
            <charset val="1"/>
          </rPr>
          <t>Mark with x to show the task on the Milestone Status sheet. Responsible and Remarks are shown there too.</t>
        </r>
      </text>
    </comment>
  </commentList>
</comments>
</file>

<file path=xl/sharedStrings.xml><?xml version="1.0" encoding="utf-8"?>
<sst xmlns="http://schemas.openxmlformats.org/spreadsheetml/2006/main" count="180" uniqueCount="155">
  <si>
    <t>Sanifoam ®</t>
  </si>
  <si>
    <t>PROJECT PLAN — GANTT CHART</t>
  </si>
  <si>
    <t>Doc. No</t>
  </si>
  <si>
    <t>PL130</t>
  </si>
  <si>
    <t>Rev. No</t>
  </si>
  <si>
    <t>Report Date</t>
  </si>
  <si>
    <t>Project Code</t>
  </si>
  <si>
    <t>Customer</t>
  </si>
  <si>
    <t>Start</t>
  </si>
  <si>
    <t>Timescale</t>
  </si>
  <si>
    <t>Week</t>
  </si>
  <si>
    <t>Scroll</t>
  </si>
  <si>
    <t>Project Manager</t>
  </si>
  <si>
    <t>Sponsor</t>
  </si>
  <si>
    <t>Finish</t>
  </si>
  <si>
    <t>View from</t>
  </si>
  <si>
    <t>WBS</t>
  </si>
  <si>
    <t>Task Name</t>
  </si>
  <si>
    <t>Duration</t>
  </si>
  <si>
    <t>Progress</t>
  </si>
  <si>
    <t>Pred.</t>
  </si>
  <si>
    <t>Lag</t>
  </si>
  <si>
    <t>Days</t>
  </si>
  <si>
    <t>Report</t>
  </si>
  <si>
    <t>Responsible</t>
  </si>
  <si>
    <t>Remarks (status sheet)</t>
  </si>
  <si>
    <t>1</t>
  </si>
  <si>
    <t>Legend:</t>
  </si>
  <si>
    <t>Completed (100%) / completed part of a bar (Progress)</t>
  </si>
  <si>
    <t>Phase / summary item</t>
  </si>
  <si>
    <t>Planned</t>
  </si>
  <si>
    <t>Main project item</t>
  </si>
  <si>
    <t>◆ Milestone (Start = Finish)</t>
  </si>
  <si>
    <t>──►</t>
  </si>
  <si>
    <t>Dependency arrow: from the predecessor bar (Pred.) to the linked task — moves with the dates</t>
  </si>
  <si>
    <t>┆</t>
  </si>
  <si>
    <t>Today (red dashed line; today is also marked red in the date header)</t>
  </si>
  <si>
    <t>Note: Scheduling works like MS Project - a linked task starts on the next working day after its latest predecessor finishes (+ Lag) and lasts "Days" working days.</t>
  </si>
  <si>
    <t>With macros enabled, typing a date in Start or Finish is converted into Lag / Days, so the task stays linked and every successor and the Gantt move with it. Delete a typed date to return to the calculated one.</t>
  </si>
  <si>
    <t>Without macros a typed date stays fixed (orange; the unused Lag/Days turn grey). Red Start = earlier than the predecessors allow. Pred.: up to 4, separated by ; or , (e.g. 1.3.2; 1.3.3).</t>
  </si>
  <si>
    <t>Timescale (T4): Day / Week / Month / Year; View from (T5): optional first date; Scroll (AC4) or the scroll bars (row 4 and under the Gantt) move the view. Print / PDF: one landscape page with the whole plan (with macros the timescale is switched for printing and restored afterwards).</t>
  </si>
  <si>
    <t>Report / Responsible / Remarks (columns BG:BI, right of the Gantt): rows marked x appear automatically on the 'Milestone Status' sheet. With macros an x fills Responsible (from the parent phase) and Remarks (status, dates, predecessors) automatically - grey text = automatic and always up to date; type over it to use your own text. Button 'Export PDF' saves the Gantt as a one-page landscape PDF.</t>
  </si>
  <si>
    <t>Add a task: right-click a row number inside the list &gt; Insert - formulas and Gantt fill in automatically (Lag 0 / Days 1). Level follows the WBS number (1.3.2 with 1.3.2.1 below it = summary row).</t>
  </si>
  <si>
    <t>Progress: the completed part of each bar is green (e.g. 30% = first 30% of the bar). Summary rows calculate their progress from their tasks, weighted by working days (a typed value overrides it).</t>
  </si>
  <si>
    <t>Sheet 'Gantt Chart' shows the same plan as a chart with task labels.</t>
  </si>
  <si>
    <t>Arrows drop from the end of each predecessor (Pred.) and point into the start of its linked task. The chart follows the 'Gantt' sheet automatically.</t>
  </si>
  <si>
    <t>Completed</t>
  </si>
  <si>
    <t>Main item</t>
  </si>
  <si>
    <t>Phase</t>
  </si>
  <si>
    <t>Dependency →</t>
  </si>
  <si>
    <t>◆</t>
  </si>
  <si>
    <t>◆ Milestone</t>
  </si>
  <si>
    <t>Report date</t>
  </si>
  <si>
    <t>Overall status</t>
  </si>
  <si>
    <t>Milestones completed</t>
  </si>
  <si>
    <t>Planned changeover (SOP)</t>
  </si>
  <si>
    <t>Planned completion</t>
  </si>
  <si>
    <t>Open issues / risks</t>
  </si>
  <si>
    <t>No</t>
  </si>
  <si>
    <t>Milestone / Task</t>
  </si>
  <si>
    <t>Planned Date</t>
  </si>
  <si>
    <t>Actual Date</t>
  </si>
  <si>
    <t>Status</t>
  </si>
  <si>
    <t>Open Actions / Remarks</t>
  </si>
  <si>
    <t>The list is built automatically from the Gantt: every row marked "x" in column Report (Gantt!BG) appears here with its planned date, status (from Progress), Responsible and Remarks (automatic text when the Gantt cell is empty).</t>
  </si>
  <si>
    <t>T0 (chart start, Monday)</t>
  </si>
  <si>
    <t>today</t>
  </si>
  <si>
    <t>N (task rows)</t>
  </si>
  <si>
    <t>today column</t>
  </si>
  <si>
    <t>row offset</t>
  </si>
  <si>
    <t>x overlay</t>
  </si>
  <si>
    <t>x chart</t>
  </si>
  <si>
    <t>arrow step (days)</t>
  </si>
  <si>
    <t>y overlay</t>
  </si>
  <si>
    <t>y chart</t>
  </si>
  <si>
    <t>#N/A values are intentional: they hide unused chart points.</t>
  </si>
  <si>
    <t>i</t>
  </si>
  <si>
    <t>valid</t>
  </si>
  <si>
    <t>start</t>
  </si>
  <si>
    <t>finish+1</t>
  </si>
  <si>
    <t>kind</t>
  </si>
  <si>
    <t>progress</t>
  </si>
  <si>
    <t>milestone</t>
  </si>
  <si>
    <t>x0</t>
  </si>
  <si>
    <t>len</t>
  </si>
  <si>
    <t>y</t>
  </si>
  <si>
    <t>X done</t>
  </si>
  <si>
    <t>X main</t>
  </si>
  <si>
    <t>X phase</t>
  </si>
  <si>
    <t>X planned</t>
  </si>
  <si>
    <t>X milestone</t>
  </si>
  <si>
    <t>X label</t>
  </si>
  <si>
    <t>label</t>
  </si>
  <si>
    <t>X progress</t>
  </si>
  <si>
    <t>len progress</t>
  </si>
  <si>
    <t>len rest</t>
  </si>
  <si>
    <t>slot</t>
  </si>
  <si>
    <t>task i</t>
  </si>
  <si>
    <t>pred #</t>
  </si>
  <si>
    <t>task ok</t>
  </si>
  <si>
    <t>pred row</t>
  </si>
  <si>
    <t>link ok</t>
  </si>
  <si>
    <t>pred i</t>
  </si>
  <si>
    <t>xs</t>
  </si>
  <si>
    <t>xe</t>
  </si>
  <si>
    <t>p ms</t>
  </si>
  <si>
    <t>dn</t>
  </si>
  <si>
    <t>mode</t>
  </si>
  <si>
    <t>xv</t>
  </si>
  <si>
    <t>y edge</t>
  </si>
  <si>
    <t>xa</t>
  </si>
  <si>
    <t>yb</t>
  </si>
  <si>
    <t>xb</t>
  </si>
  <si>
    <t>x1</t>
  </si>
  <si>
    <t>y1</t>
  </si>
  <si>
    <t>xt1</t>
  </si>
  <si>
    <t>yt1</t>
  </si>
  <si>
    <t>x2</t>
  </si>
  <si>
    <t>y2</t>
  </si>
  <si>
    <t>xt2</t>
  </si>
  <si>
    <t>yt2</t>
  </si>
  <si>
    <t>x3</t>
  </si>
  <si>
    <t>y3</t>
  </si>
  <si>
    <t>xt3</t>
  </si>
  <si>
    <t>yt3</t>
  </si>
  <si>
    <t>head x</t>
  </si>
  <si>
    <t>head y</t>
  </si>
  <si>
    <t>X date</t>
  </si>
  <si>
    <t>Y date</t>
  </si>
  <si>
    <t>date</t>
  </si>
  <si>
    <t>cs</t>
  </si>
  <si>
    <t>cf</t>
  </si>
  <si>
    <t>pred ms</t>
  </si>
  <si>
    <t>succ ms</t>
  </si>
  <si>
    <t>y succ</t>
  </si>
  <si>
    <t>y pred</t>
  </si>
  <si>
    <t>x start</t>
  </si>
  <si>
    <t>x end</t>
  </si>
  <si>
    <t>x vert</t>
  </si>
  <si>
    <t>gc X</t>
  </si>
  <si>
    <t>gc Y</t>
  </si>
  <si>
    <t>gc X+</t>
  </si>
  <si>
    <t>gc X-</t>
  </si>
  <si>
    <t>gc Y+</t>
  </si>
  <si>
    <t>gc Y-</t>
  </si>
  <si>
    <t>ov X</t>
  </si>
  <si>
    <t>ov Y</t>
  </si>
  <si>
    <t>ov X+</t>
  </si>
  <si>
    <t>ov X-</t>
  </si>
  <si>
    <t>ov Y+</t>
  </si>
  <si>
    <t>ov Y-</t>
  </si>
  <si>
    <t>Project</t>
  </si>
  <si>
    <t>1.1</t>
  </si>
  <si>
    <t>Task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</si>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</sst>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"/>
    <numFmt numFmtId="165" formatCode=";;;@"/>
    <numFmt numFmtId="166" formatCode="dd\.mm\.yyyy"/>
    <numFmt numFmtId="167" formatCode=";;;"/>
  </numFmts>
  <fonts count="25" x14ac:knownFonts="1">
    <font>
      <sz val="11"/>
      <color theme="1"/>
      <name val="Calibri"/>
      <family val="2"/>
      <charset val="1"/>
    </font>
    <font>
      <b/>
      <sz val="13"/>
      <color rgb="FF305496"/>
      <name val="Arial"/>
      <charset val="1"/>
    </font>
    <font>
      <b/>
      <sz val="16"/>
      <color rgb="FF1F1F1F"/>
      <name val="Arial"/>
      <charset val="1"/>
    </font>
    <font>
      <b/>
      <sz val="9"/>
      <name val="Arial"/>
      <charset val="1"/>
    </font>
    <font>
      <sz val="9"/>
      <name val="Arial"/>
      <charset val="1"/>
    </font>
    <font>
      <b/>
      <sz val="10"/>
      <color rgb="FF595959"/>
      <name val="Arial"/>
      <charset val="1"/>
    </font>
    <font>
      <b/>
      <sz val="9"/>
      <color rgb="FF305496"/>
      <name val="Arial"/>
      <charset val="1"/>
    </font>
    <font>
      <sz val="9"/>
      <color rgb="FF000000"/>
      <name val="Arial"/>
      <charset val="1"/>
    </font>
    <font>
      <b/>
      <sz val="9"/>
      <color rgb="FFFFFFFF"/>
      <name val="Arial"/>
      <charset val="1"/>
    </font>
    <font>
      <b/>
      <sz val="7"/>
      <color rgb="FFFFFFFF"/>
      <name val="Arial"/>
      <charset val="1"/>
    </font>
    <font>
      <i/>
      <sz val="9"/>
      <color rgb="FF595959"/>
      <name val="Arial"/>
      <charset val="1"/>
    </font>
    <font>
      <b/>
      <sz val="9"/>
      <color rgb="FF000000"/>
      <name val="Arial"/>
    </font>
    <font>
      <b/>
      <sz val="9"/>
      <color rgb="FF0000FF"/>
      <name val="Arial"/>
    </font>
    <font>
      <b/>
      <sz val="10"/>
      <color rgb="FFC55A11"/>
      <name val="Arial"/>
    </font>
    <font>
      <b/>
      <sz val="11"/>
      <color rgb="FFFF0000"/>
      <name val="Arial"/>
    </font>
    <font>
      <b/>
      <sz val="14"/>
      <color rgb="FF1F1F1F"/>
      <name val="Arial"/>
    </font>
    <font>
      <b/>
      <sz val="10"/>
      <color rgb="FF595959"/>
      <name val="Arial"/>
    </font>
    <font>
      <b/>
      <sz val="9"/>
      <color rgb="FF305496"/>
      <name val="Arial"/>
    </font>
    <font>
      <sz val="9"/>
      <name val="Arial"/>
    </font>
    <font>
      <b/>
      <sz val="9"/>
      <name val="Arial"/>
    </font>
    <font>
      <b/>
      <sz val="9"/>
      <color rgb="FFFFFFFF"/>
      <name val="Arial"/>
    </font>
    <font>
      <i/>
      <sz val="8"/>
      <color rgb="FF595959"/>
      <name val="Arial"/>
    </font>
    <font>
      <i/>
      <sz val="9"/>
      <color rgb="FF595959"/>
      <name val="Arial"/>
    </font>
    <font>
      <b/>
      <sz val="10"/>
      <color rgb="FF1F3864"/>
      <name val="Arial"/>
    </font>
    <font>
      <b/>
      <sz val="9"/>
      <color rgb="FF000000"/>
      <name val="Arial"/>
      <family val="2"/>
      <charset val="162"/>
    </font>
  </fonts>
  <fills count="16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305496"/>
        <bgColor rgb="FF1F3864"/>
      </patternFill>
    </fill>
    <fill>
      <patternFill patternType="solid">
        <fgColor rgb="FFFFFFFF"/>
        <bgColor rgb="FFF2F2F2"/>
      </patternFill>
    </fill>
    <fill>
      <patternFill patternType="solid">
        <fgColor rgb="FF2E7D32"/>
        <bgColor rgb="FF008000"/>
      </patternFill>
    </fill>
    <fill>
      <patternFill patternType="solid">
        <fgColor rgb="FF5B7BB4"/>
        <bgColor rgb="FF1E88E5"/>
      </patternFill>
    </fill>
    <fill>
      <patternFill patternType="solid">
        <fgColor rgb="FF1E88E5"/>
        <bgColor rgb="FF0066CC"/>
      </patternFill>
    </fill>
    <fill>
      <patternFill patternType="solid">
        <fgColor rgb="FF1F3864"/>
        <bgColor rgb="FF305496"/>
      </patternFill>
    </fill>
    <fill>
      <patternFill patternType="solid">
        <fgColor rgb="FFF2F2F2"/>
      </patternFill>
    </fill>
    <fill>
      <patternFill patternType="solid">
        <fgColor rgb="FF305496"/>
      </patternFill>
    </fill>
    <fill>
      <patternFill patternType="solid">
        <fgColor rgb="FF2E7D32"/>
      </patternFill>
    </fill>
    <fill>
      <patternFill patternType="solid">
        <fgColor rgb="FF1F3864"/>
      </patternFill>
    </fill>
    <fill>
      <patternFill patternType="solid">
        <fgColor rgb="FF5B7BB4"/>
      </patternFill>
    </fill>
    <fill>
      <patternFill patternType="solid">
        <fgColor rgb="FF1E88E5"/>
      </patternFill>
    </fill>
    <fill>
      <patternFill patternType="solid">
        <fgColor rgb="FFC55A11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6" fillId="2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left" vertical="center"/>
    </xf>
    <xf numFmtId="164" fontId="7" fillId="4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9" fontId="7" fillId="4" borderId="1" xfId="0" applyNumberFormat="1" applyFont="1" applyFill="1" applyBorder="1" applyAlignment="1">
      <alignment horizontal="center" vertical="center"/>
    </xf>
    <xf numFmtId="165" fontId="3" fillId="4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0" fillId="5" borderId="1" xfId="0" applyFill="1" applyBorder="1"/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10" fillId="0" borderId="0" xfId="0" applyFont="1"/>
    <xf numFmtId="0" fontId="6" fillId="2" borderId="1" xfId="0" applyFont="1" applyFill="1" applyBorder="1" applyAlignment="1">
      <alignment horizontal="left" vertical="center" wrapText="1"/>
    </xf>
    <xf numFmtId="167" fontId="0" fillId="0" borderId="0" xfId="0" applyNumberFormat="1"/>
    <xf numFmtId="49" fontId="7" fillId="4" borderId="1" xfId="0" applyNumberFormat="1" applyFont="1" applyFill="1" applyBorder="1" applyAlignment="1">
      <alignment horizontal="left" vertical="center"/>
    </xf>
    <xf numFmtId="49" fontId="7" fillId="4" borderId="1" xfId="0" applyNumberFormat="1" applyFont="1" applyFill="1" applyBorder="1" applyAlignment="1">
      <alignment horizontal="left" vertical="center" shrinkToFit="1"/>
    </xf>
    <xf numFmtId="1" fontId="7" fillId="4" borderId="1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164" fontId="9" fillId="3" borderId="1" xfId="0" applyNumberFormat="1" applyFont="1" applyFill="1" applyBorder="1" applyAlignment="1">
      <alignment horizontal="center" vertical="center" textRotation="90"/>
    </xf>
    <xf numFmtId="0" fontId="15" fillId="0" borderId="0" xfId="0" applyFont="1"/>
    <xf numFmtId="0" fontId="16" fillId="0" borderId="0" xfId="0" applyFont="1"/>
    <xf numFmtId="0" fontId="20" fillId="10" borderId="5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166" fontId="18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21" fillId="0" borderId="0" xfId="0" applyFont="1"/>
    <xf numFmtId="0" fontId="22" fillId="0" borderId="0" xfId="0" applyFont="1"/>
    <xf numFmtId="0" fontId="0" fillId="11" borderId="0" xfId="0" applyFill="1"/>
    <xf numFmtId="0" fontId="18" fillId="0" borderId="0" xfId="0" applyFont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3" fillId="0" borderId="0" xfId="0" applyFont="1" applyAlignment="1">
      <alignment horizontal="center"/>
    </xf>
    <xf numFmtId="166" fontId="0" fillId="0" borderId="0" xfId="0" applyNumberFormat="1"/>
    <xf numFmtId="164" fontId="0" fillId="0" borderId="0" xfId="0" applyNumberFormat="1"/>
    <xf numFmtId="0" fontId="4" fillId="0" borderId="1" xfId="0" quotePrefix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1" fillId="0" borderId="0" xfId="0" applyFont="1" applyAlignment="1">
      <alignment horizontal="center" vertical="center" wrapText="1"/>
    </xf>
    <xf numFmtId="0" fontId="0" fillId="0" borderId="0" xfId="0"/>
    <xf numFmtId="166" fontId="11" fillId="0" borderId="1" xfId="0" applyNumberFormat="1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166" fontId="12" fillId="0" borderId="1" xfId="0" applyNumberFormat="1" applyFont="1" applyBorder="1" applyAlignment="1">
      <alignment horizontal="center" vertical="center"/>
    </xf>
    <xf numFmtId="1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7" fillId="9" borderId="5" xfId="0" applyFont="1" applyFill="1" applyBorder="1" applyAlignment="1">
      <alignment horizontal="left" vertical="center"/>
    </xf>
    <xf numFmtId="0" fontId="0" fillId="0" borderId="6" xfId="0" applyBorder="1"/>
    <xf numFmtId="0" fontId="18" fillId="0" borderId="5" xfId="0" applyFont="1" applyBorder="1" applyAlignment="1">
      <alignment horizontal="left" vertical="center" wrapText="1"/>
    </xf>
    <xf numFmtId="0" fontId="0" fillId="0" borderId="7" xfId="0" applyBorder="1"/>
    <xf numFmtId="0" fontId="19" fillId="0" borderId="5" xfId="0" applyFont="1" applyBorder="1" applyAlignment="1">
      <alignment horizontal="left" vertical="center" wrapText="1"/>
    </xf>
    <xf numFmtId="166" fontId="18" fillId="0" borderId="5" xfId="0" applyNumberFormat="1" applyFont="1" applyBorder="1" applyAlignment="1">
      <alignment horizontal="left" vertical="center" wrapText="1"/>
    </xf>
  </cellXfs>
  <cellStyles count="1">
    <cellStyle name="Normal" xfId="0" builtinId="0"/>
  </cellStyles>
  <dxfs count="33">
    <dxf>
      <font>
        <b/>
        <color rgb="FF1F3864"/>
      </font>
      <fill>
        <patternFill patternType="solid">
          <bgColor rgb="FFDEE6F2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/>
        <color rgb="FF7F6000"/>
      </font>
      <fill>
        <patternFill patternType="solid">
          <bgColor rgb="FFFFF2CC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/>
        <color rgb="FF2E7D32"/>
      </font>
      <fill>
        <patternFill patternType="solid">
          <bgColor rgb="FFE2F0D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bgColor rgb="FFF2F2F2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numFmt numFmtId="13" formatCode="0%"/>
    </dxf>
    <dxf>
      <numFmt numFmtId="168" formatCode="&quot;      &quot;@"/>
    </dxf>
    <dxf>
      <numFmt numFmtId="169" formatCode="&quot;            &quot;@"/>
    </dxf>
    <dxf>
      <font>
        <b/>
        <color rgb="FF1F3864"/>
      </font>
      <numFmt numFmtId="170" formatCode="&quot;   &quot;@"/>
      <fill>
        <patternFill>
          <bgColor rgb="FFDEE6F2"/>
        </patternFill>
      </fill>
    </dxf>
    <dxf>
      <font>
        <b/>
        <color rgb="FF1F3864"/>
      </font>
      <numFmt numFmtId="168" formatCode="&quot;      &quot;@"/>
      <fill>
        <patternFill>
          <bgColor rgb="FFDEE6F2"/>
        </patternFill>
      </fill>
    </dxf>
    <dxf>
      <font>
        <b/>
        <color rgb="FF1F3864"/>
      </font>
      <fill>
        <patternFill>
          <bgColor rgb="FFDEE6F2"/>
        </patternFill>
      </fill>
    </dxf>
    <dxf>
      <font>
        <b/>
        <color rgb="FF1F3864"/>
      </font>
      <fill>
        <patternFill>
          <bgColor rgb="FFDEE6F2"/>
        </patternFill>
      </fill>
    </dxf>
    <dxf>
      <font>
        <color rgb="FFBFBFBF"/>
      </font>
    </dxf>
    <dxf>
      <font>
        <color rgb="FFBFBFBF"/>
      </font>
    </dxf>
    <dxf>
      <font>
        <b/>
        <i/>
        <color rgb="FFC55A11"/>
      </font>
    </dxf>
    <dxf>
      <font>
        <color rgb="FF0000FF"/>
      </font>
    </dxf>
    <dxf>
      <font>
        <b/>
        <color rgb="FFFFFFFF"/>
      </font>
      <fill>
        <patternFill>
          <bgColor rgb="FFC00000"/>
        </patternFill>
      </fill>
    </dxf>
    <dxf>
      <fill>
        <patternFill>
          <bgColor rgb="FFF2F2F2"/>
        </patternFill>
      </fill>
    </dxf>
    <dxf>
      <fill>
        <patternFill>
          <bgColor rgb="FFE0E0E0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numFmt numFmtId="171" formatCode="yyyy"/>
    </dxf>
    <dxf>
      <numFmt numFmtId="172" formatCode="mmm\ yy"/>
    </dxf>
    <dxf>
      <numFmt numFmtId="173" formatCode="dd\.mm"/>
    </dxf>
    <dxf>
      <font>
        <color rgb="FF1E88E5"/>
      </font>
      <fill>
        <patternFill>
          <bgColor rgb="FF1E88E5"/>
        </patternFill>
      </fill>
    </dxf>
    <dxf>
      <font>
        <color rgb="FF5B7BB4"/>
      </font>
      <fill>
        <patternFill>
          <bgColor rgb="FF5B7BB4"/>
        </patternFill>
      </fill>
    </dxf>
    <dxf>
      <font>
        <color rgb="FF1F3864"/>
      </font>
      <fill>
        <patternFill>
          <bgColor rgb="FF1F3864"/>
        </patternFill>
      </fill>
    </dxf>
    <dxf>
      <font>
        <color rgb="FF2E7D32"/>
      </font>
      <fill>
        <patternFill>
          <bgColor rgb="FF2E7D32"/>
        </patternFill>
      </fill>
    </dxf>
    <dxf>
      <font>
        <color rgb="FF2E7D32"/>
      </font>
      <fill>
        <patternFill>
          <bgColor rgb="FF2E7D32"/>
        </patternFill>
      </fill>
    </dxf>
    <dxf>
      <font>
        <b/>
        <color rgb="FF1F3864"/>
      </font>
    </dxf>
    <dxf>
      <fill>
        <patternFill patternType="solid">
          <fgColor rgb="FF305496"/>
          <bgColor rgb="FF305496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ill>
        <patternFill patternType="solid">
          <fgColor rgb="FF305496"/>
          <bgColor rgb="FF305496"/>
        </patternFill>
      </fill>
    </dxf>
    <dxf>
      <font>
        <i/>
        <color rgb="FF7F7F7F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595959"/>
      <rgbColor rgb="FF9999FF"/>
      <rgbColor rgb="FF993366"/>
      <rgbColor rgb="FFF2F2F2"/>
      <rgbColor rgb="FFDEE6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1E88E5"/>
      <rgbColor rgb="FF33CCCC"/>
      <rgbColor rgb="FF99CC00"/>
      <rgbColor rgb="FFFFCC00"/>
      <rgbColor rgb="FFFF9900"/>
      <rgbColor rgb="FFFF6600"/>
      <rgbColor rgb="FF5B7BB4"/>
      <rgbColor rgb="FF969696"/>
      <rgbColor rgb="FF1F3864"/>
      <rgbColor rgb="FF2E7D32"/>
      <rgbColor rgb="FF003300"/>
      <rgbColor rgb="FF333300"/>
      <rgbColor rgb="FF993300"/>
      <rgbColor rgb="FF993366"/>
      <rgbColor rgb="FF305496"/>
      <rgbColor rgb="FF1F1F1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1"/>
        <c:ser>
          <c:idx val="0"/>
          <c:order val="0"/>
          <c:tx>
            <c:v>Today</c:v>
          </c:tx>
          <c:spPr>
            <a:ln w="15875" cap="flat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ChartData!$F$3:$G$3</c:f>
              <c:numCache>
                <c:formatCode>General</c:formatCode>
                <c:ptCount val="2"/>
                <c:pt idx="0">
                  <c:v>270.89999999999998</c:v>
                </c:pt>
                <c:pt idx="1">
                  <c:v>270.89999999999998</c:v>
                </c:pt>
              </c:numCache>
            </c:numRef>
          </c:xVal>
          <c:yVal>
            <c:numRef>
              <c:f>ChartData!$F$4:$G$4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9F-409E-B3F9-DEE146D228CE}"/>
            </c:ext>
          </c:extLst>
        </c:ser>
        <c:ser>
          <c:idx val="1"/>
          <c:order val="1"/>
          <c:tx>
            <c:v>Shafts ov</c:v>
          </c:tx>
          <c:spPr>
            <a:ln>
              <a:noFill/>
              <a:prstDash val="solid"/>
            </a:ln>
          </c:spPr>
          <c:marker>
            <c:symbol val="none"/>
          </c:marker>
          <c:errBars>
            <c:errDir val="x"/>
            <c:errBarType val="both"/>
            <c:errValType val="cust"/>
            <c:noEndCap val="1"/>
            <c:plus>
              <c:numRef>
                <c:f>ChartData!$CR$7:$CR$1446</c:f>
                <c:numCache>
                  <c:formatCode>General</c:formatCode>
                  <c:ptCount val="1440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  <c:pt idx="161">
                    <c:v>0</c:v>
                  </c:pt>
                  <c:pt idx="162">
                    <c:v>0</c:v>
                  </c:pt>
                  <c:pt idx="163">
                    <c:v>0</c:v>
                  </c:pt>
                  <c:pt idx="164">
                    <c:v>0</c:v>
                  </c:pt>
                  <c:pt idx="165">
                    <c:v>0</c:v>
                  </c:pt>
                  <c:pt idx="166">
                    <c:v>0</c:v>
                  </c:pt>
                  <c:pt idx="167">
                    <c:v>0</c:v>
                  </c:pt>
                  <c:pt idx="168">
                    <c:v>0</c:v>
                  </c:pt>
                  <c:pt idx="169">
                    <c:v>0</c:v>
                  </c:pt>
                  <c:pt idx="170">
                    <c:v>0</c:v>
                  </c:pt>
                  <c:pt idx="171">
                    <c:v>0</c:v>
                  </c:pt>
                  <c:pt idx="172">
                    <c:v>0</c:v>
                  </c:pt>
                  <c:pt idx="173">
                    <c:v>0</c:v>
                  </c:pt>
                  <c:pt idx="174">
                    <c:v>0</c:v>
                  </c:pt>
                  <c:pt idx="175">
                    <c:v>0</c:v>
                  </c:pt>
                  <c:pt idx="176">
                    <c:v>0</c:v>
                  </c:pt>
                  <c:pt idx="177">
                    <c:v>0</c:v>
                  </c:pt>
                  <c:pt idx="178">
                    <c:v>0</c:v>
                  </c:pt>
                  <c:pt idx="179">
                    <c:v>0</c:v>
                  </c:pt>
                  <c:pt idx="180">
                    <c:v>0</c:v>
                  </c:pt>
                  <c:pt idx="181">
                    <c:v>0</c:v>
                  </c:pt>
                  <c:pt idx="182">
                    <c:v>0</c:v>
                  </c:pt>
                  <c:pt idx="183">
                    <c:v>0</c:v>
                  </c:pt>
                  <c:pt idx="184">
                    <c:v>0</c:v>
                  </c:pt>
                  <c:pt idx="185">
                    <c:v>0</c:v>
                  </c:pt>
                  <c:pt idx="186">
                    <c:v>0</c:v>
                  </c:pt>
                  <c:pt idx="187">
                    <c:v>0</c:v>
                  </c:pt>
                  <c:pt idx="188">
                    <c:v>0</c:v>
                  </c:pt>
                  <c:pt idx="189">
                    <c:v>0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  <c:pt idx="201">
                    <c:v>0</c:v>
                  </c:pt>
                  <c:pt idx="202">
                    <c:v>0</c:v>
                  </c:pt>
                  <c:pt idx="203">
                    <c:v>0</c:v>
                  </c:pt>
                  <c:pt idx="204">
                    <c:v>0</c:v>
                  </c:pt>
                  <c:pt idx="205">
                    <c:v>0</c:v>
                  </c:pt>
                  <c:pt idx="206">
                    <c:v>0</c:v>
                  </c:pt>
                  <c:pt idx="207">
                    <c:v>0</c:v>
                  </c:pt>
                  <c:pt idx="208">
                    <c:v>0</c:v>
                  </c:pt>
                  <c:pt idx="209">
                    <c:v>0</c:v>
                  </c:pt>
                  <c:pt idx="210">
                    <c:v>0</c:v>
                  </c:pt>
                  <c:pt idx="211">
                    <c:v>0</c:v>
                  </c:pt>
                  <c:pt idx="212">
                    <c:v>0</c:v>
                  </c:pt>
                  <c:pt idx="213">
                    <c:v>0</c:v>
                  </c:pt>
                  <c:pt idx="214">
                    <c:v>0</c:v>
                  </c:pt>
                  <c:pt idx="215">
                    <c:v>0</c:v>
                  </c:pt>
                  <c:pt idx="216">
                    <c:v>0</c:v>
                  </c:pt>
                  <c:pt idx="217">
                    <c:v>0</c:v>
                  </c:pt>
                  <c:pt idx="218">
                    <c:v>0</c:v>
                  </c:pt>
                  <c:pt idx="219">
                    <c:v>0</c:v>
                  </c:pt>
                  <c:pt idx="220">
                    <c:v>0</c:v>
                  </c:pt>
                  <c:pt idx="221">
                    <c:v>0</c:v>
                  </c:pt>
                  <c:pt idx="222">
                    <c:v>0</c:v>
                  </c:pt>
                  <c:pt idx="223">
                    <c:v>0</c:v>
                  </c:pt>
                  <c:pt idx="224">
                    <c:v>0</c:v>
                  </c:pt>
                  <c:pt idx="225">
                    <c:v>0</c:v>
                  </c:pt>
                  <c:pt idx="226">
                    <c:v>0</c:v>
                  </c:pt>
                  <c:pt idx="227">
                    <c:v>0</c:v>
                  </c:pt>
                  <c:pt idx="228">
                    <c:v>0</c:v>
                  </c:pt>
                  <c:pt idx="229">
                    <c:v>0</c:v>
                  </c:pt>
                  <c:pt idx="230">
                    <c:v>0</c:v>
                  </c:pt>
                  <c:pt idx="231">
                    <c:v>0</c:v>
                  </c:pt>
                  <c:pt idx="232">
                    <c:v>0</c:v>
                  </c:pt>
                  <c:pt idx="233">
                    <c:v>0</c:v>
                  </c:pt>
                  <c:pt idx="234">
                    <c:v>0</c:v>
                  </c:pt>
                  <c:pt idx="235">
                    <c:v>0</c:v>
                  </c:pt>
                  <c:pt idx="236">
                    <c:v>0</c:v>
                  </c:pt>
                  <c:pt idx="237">
                    <c:v>0</c:v>
                  </c:pt>
                  <c:pt idx="238">
                    <c:v>0</c:v>
                  </c:pt>
                  <c:pt idx="239">
                    <c:v>0</c:v>
                  </c:pt>
                  <c:pt idx="240">
                    <c:v>0</c:v>
                  </c:pt>
                  <c:pt idx="241">
                    <c:v>0</c:v>
                  </c:pt>
                  <c:pt idx="242">
                    <c:v>0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6">
                    <c:v>0</c:v>
                  </c:pt>
                  <c:pt idx="247">
                    <c:v>0</c:v>
                  </c:pt>
                  <c:pt idx="248">
                    <c:v>0</c:v>
                  </c:pt>
                  <c:pt idx="249">
                    <c:v>0</c:v>
                  </c:pt>
                  <c:pt idx="250">
                    <c:v>0</c:v>
                  </c:pt>
                  <c:pt idx="251">
                    <c:v>0</c:v>
                  </c:pt>
                  <c:pt idx="252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6">
                    <c:v>0</c:v>
                  </c:pt>
                  <c:pt idx="257">
                    <c:v>0</c:v>
                  </c:pt>
                  <c:pt idx="258">
                    <c:v>0</c:v>
                  </c:pt>
                  <c:pt idx="259">
                    <c:v>0</c:v>
                  </c:pt>
                  <c:pt idx="260">
                    <c:v>0</c:v>
                  </c:pt>
                  <c:pt idx="261">
                    <c:v>0</c:v>
                  </c:pt>
                  <c:pt idx="262">
                    <c:v>0</c:v>
                  </c:pt>
                  <c:pt idx="263">
                    <c:v>0</c:v>
                  </c:pt>
                  <c:pt idx="264">
                    <c:v>0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68">
                    <c:v>0</c:v>
                  </c:pt>
                  <c:pt idx="269">
                    <c:v>0</c:v>
                  </c:pt>
                  <c:pt idx="270">
                    <c:v>0</c:v>
                  </c:pt>
                  <c:pt idx="271">
                    <c:v>0</c:v>
                  </c:pt>
                  <c:pt idx="272">
                    <c:v>0</c:v>
                  </c:pt>
                  <c:pt idx="273">
                    <c:v>0</c:v>
                  </c:pt>
                  <c:pt idx="274">
                    <c:v>0</c:v>
                  </c:pt>
                  <c:pt idx="275">
                    <c:v>0</c:v>
                  </c:pt>
                  <c:pt idx="276">
                    <c:v>0</c:v>
                  </c:pt>
                  <c:pt idx="277">
                    <c:v>0</c:v>
                  </c:pt>
                  <c:pt idx="278">
                    <c:v>0</c:v>
                  </c:pt>
                  <c:pt idx="279">
                    <c:v>0</c:v>
                  </c:pt>
                  <c:pt idx="280">
                    <c:v>0</c:v>
                  </c:pt>
                  <c:pt idx="281">
                    <c:v>0</c:v>
                  </c:pt>
                  <c:pt idx="282">
                    <c:v>0</c:v>
                  </c:pt>
                  <c:pt idx="283">
                    <c:v>0</c:v>
                  </c:pt>
                  <c:pt idx="284">
                    <c:v>0</c:v>
                  </c:pt>
                  <c:pt idx="285">
                    <c:v>0</c:v>
                  </c:pt>
                  <c:pt idx="286">
                    <c:v>0</c:v>
                  </c:pt>
                  <c:pt idx="287">
                    <c:v>0</c:v>
                  </c:pt>
                  <c:pt idx="288">
                    <c:v>0</c:v>
                  </c:pt>
                  <c:pt idx="289">
                    <c:v>0</c:v>
                  </c:pt>
                  <c:pt idx="290">
                    <c:v>0</c:v>
                  </c:pt>
                  <c:pt idx="291">
                    <c:v>0</c:v>
                  </c:pt>
                  <c:pt idx="292">
                    <c:v>0</c:v>
                  </c:pt>
                  <c:pt idx="293">
                    <c:v>0</c:v>
                  </c:pt>
                  <c:pt idx="294">
                    <c:v>0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299">
                    <c:v>0</c:v>
                  </c:pt>
                  <c:pt idx="300">
                    <c:v>0</c:v>
                  </c:pt>
                  <c:pt idx="301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4">
                    <c:v>0</c:v>
                  </c:pt>
                  <c:pt idx="305">
                    <c:v>0</c:v>
                  </c:pt>
                  <c:pt idx="306">
                    <c:v>0</c:v>
                  </c:pt>
                  <c:pt idx="307">
                    <c:v>0</c:v>
                  </c:pt>
                  <c:pt idx="308">
                    <c:v>0</c:v>
                  </c:pt>
                  <c:pt idx="309">
                    <c:v>0</c:v>
                  </c:pt>
                  <c:pt idx="310">
                    <c:v>0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5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19">
                    <c:v>0</c:v>
                  </c:pt>
                  <c:pt idx="320">
                    <c:v>0</c:v>
                  </c:pt>
                  <c:pt idx="321">
                    <c:v>0</c:v>
                  </c:pt>
                  <c:pt idx="322">
                    <c:v>0</c:v>
                  </c:pt>
                  <c:pt idx="323">
                    <c:v>0</c:v>
                  </c:pt>
                  <c:pt idx="324">
                    <c:v>0</c:v>
                  </c:pt>
                  <c:pt idx="325">
                    <c:v>0</c:v>
                  </c:pt>
                  <c:pt idx="326">
                    <c:v>0</c:v>
                  </c:pt>
                  <c:pt idx="327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1">
                    <c:v>0</c:v>
                  </c:pt>
                  <c:pt idx="332">
                    <c:v>0</c:v>
                  </c:pt>
                  <c:pt idx="333">
                    <c:v>0</c:v>
                  </c:pt>
                  <c:pt idx="334">
                    <c:v>0</c:v>
                  </c:pt>
                  <c:pt idx="335">
                    <c:v>0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39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0</c:v>
                  </c:pt>
                  <c:pt idx="344">
                    <c:v>0</c:v>
                  </c:pt>
                  <c:pt idx="345">
                    <c:v>0</c:v>
                  </c:pt>
                  <c:pt idx="346">
                    <c:v>0</c:v>
                  </c:pt>
                  <c:pt idx="347">
                    <c:v>0</c:v>
                  </c:pt>
                  <c:pt idx="348">
                    <c:v>0</c:v>
                  </c:pt>
                  <c:pt idx="349">
                    <c:v>0</c:v>
                  </c:pt>
                  <c:pt idx="350">
                    <c:v>0</c:v>
                  </c:pt>
                  <c:pt idx="351">
                    <c:v>0</c:v>
                  </c:pt>
                  <c:pt idx="352">
                    <c:v>0</c:v>
                  </c:pt>
                  <c:pt idx="353">
                    <c:v>0</c:v>
                  </c:pt>
                  <c:pt idx="354">
                    <c:v>0</c:v>
                  </c:pt>
                  <c:pt idx="355">
                    <c:v>0</c:v>
                  </c:pt>
                  <c:pt idx="356">
                    <c:v>0</c:v>
                  </c:pt>
                  <c:pt idx="357">
                    <c:v>0</c:v>
                  </c:pt>
                  <c:pt idx="358">
                    <c:v>0</c:v>
                  </c:pt>
                  <c:pt idx="359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2">
                    <c:v>0</c:v>
                  </c:pt>
                  <c:pt idx="363">
                    <c:v>0</c:v>
                  </c:pt>
                  <c:pt idx="364">
                    <c:v>0</c:v>
                  </c:pt>
                  <c:pt idx="365">
                    <c:v>0</c:v>
                  </c:pt>
                  <c:pt idx="366">
                    <c:v>0</c:v>
                  </c:pt>
                  <c:pt idx="367">
                    <c:v>0</c:v>
                  </c:pt>
                  <c:pt idx="368">
                    <c:v>0</c:v>
                  </c:pt>
                  <c:pt idx="369">
                    <c:v>0</c:v>
                  </c:pt>
                  <c:pt idx="370">
                    <c:v>0</c:v>
                  </c:pt>
                  <c:pt idx="371">
                    <c:v>0</c:v>
                  </c:pt>
                  <c:pt idx="372">
                    <c:v>0</c:v>
                  </c:pt>
                  <c:pt idx="373">
                    <c:v>0</c:v>
                  </c:pt>
                  <c:pt idx="374">
                    <c:v>0</c:v>
                  </c:pt>
                  <c:pt idx="375">
                    <c:v>0</c:v>
                  </c:pt>
                  <c:pt idx="376">
                    <c:v>0</c:v>
                  </c:pt>
                  <c:pt idx="377">
                    <c:v>0</c:v>
                  </c:pt>
                  <c:pt idx="378">
                    <c:v>0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4">
                    <c:v>0</c:v>
                  </c:pt>
                  <c:pt idx="385">
                    <c:v>0</c:v>
                  </c:pt>
                  <c:pt idx="386">
                    <c:v>0</c:v>
                  </c:pt>
                  <c:pt idx="387">
                    <c:v>0</c:v>
                  </c:pt>
                  <c:pt idx="388">
                    <c:v>0</c:v>
                  </c:pt>
                  <c:pt idx="389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0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0</c:v>
                  </c:pt>
                  <c:pt idx="396">
                    <c:v>0</c:v>
                  </c:pt>
                  <c:pt idx="397">
                    <c:v>0</c:v>
                  </c:pt>
                  <c:pt idx="398">
                    <c:v>0</c:v>
                  </c:pt>
                  <c:pt idx="399">
                    <c:v>0</c:v>
                  </c:pt>
                  <c:pt idx="400">
                    <c:v>0</c:v>
                  </c:pt>
                  <c:pt idx="401">
                    <c:v>0</c:v>
                  </c:pt>
                  <c:pt idx="402">
                    <c:v>0</c:v>
                  </c:pt>
                  <c:pt idx="403">
                    <c:v>0</c:v>
                  </c:pt>
                  <c:pt idx="404">
                    <c:v>0</c:v>
                  </c:pt>
                  <c:pt idx="405">
                    <c:v>0</c:v>
                  </c:pt>
                  <c:pt idx="406">
                    <c:v>0</c:v>
                  </c:pt>
                  <c:pt idx="407">
                    <c:v>0</c:v>
                  </c:pt>
                  <c:pt idx="408">
                    <c:v>0</c:v>
                  </c:pt>
                  <c:pt idx="409">
                    <c:v>0</c:v>
                  </c:pt>
                  <c:pt idx="410">
                    <c:v>0</c:v>
                  </c:pt>
                  <c:pt idx="411">
                    <c:v>0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0</c:v>
                  </c:pt>
                  <c:pt idx="415">
                    <c:v>0</c:v>
                  </c:pt>
                  <c:pt idx="416">
                    <c:v>0</c:v>
                  </c:pt>
                  <c:pt idx="417">
                    <c:v>0</c:v>
                  </c:pt>
                  <c:pt idx="418">
                    <c:v>0</c:v>
                  </c:pt>
                  <c:pt idx="419">
                    <c:v>0</c:v>
                  </c:pt>
                  <c:pt idx="420">
                    <c:v>0</c:v>
                  </c:pt>
                  <c:pt idx="421">
                    <c:v>0</c:v>
                  </c:pt>
                  <c:pt idx="422">
                    <c:v>0</c:v>
                  </c:pt>
                  <c:pt idx="423">
                    <c:v>0</c:v>
                  </c:pt>
                  <c:pt idx="424">
                    <c:v>0</c:v>
                  </c:pt>
                  <c:pt idx="425">
                    <c:v>0</c:v>
                  </c:pt>
                  <c:pt idx="426">
                    <c:v>0</c:v>
                  </c:pt>
                  <c:pt idx="427">
                    <c:v>0</c:v>
                  </c:pt>
                  <c:pt idx="428">
                    <c:v>0</c:v>
                  </c:pt>
                  <c:pt idx="429">
                    <c:v>0</c:v>
                  </c:pt>
                  <c:pt idx="430">
                    <c:v>0</c:v>
                  </c:pt>
                  <c:pt idx="431">
                    <c:v>0</c:v>
                  </c:pt>
                  <c:pt idx="432">
                    <c:v>0</c:v>
                  </c:pt>
                  <c:pt idx="433">
                    <c:v>0</c:v>
                  </c:pt>
                  <c:pt idx="434">
                    <c:v>0</c:v>
                  </c:pt>
                  <c:pt idx="435">
                    <c:v>0</c:v>
                  </c:pt>
                  <c:pt idx="436">
                    <c:v>0</c:v>
                  </c:pt>
                  <c:pt idx="437">
                    <c:v>0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  <c:pt idx="441">
                    <c:v>0</c:v>
                  </c:pt>
                  <c:pt idx="442">
                    <c:v>0</c:v>
                  </c:pt>
                  <c:pt idx="443">
                    <c:v>0</c:v>
                  </c:pt>
                  <c:pt idx="444">
                    <c:v>0</c:v>
                  </c:pt>
                  <c:pt idx="445">
                    <c:v>0</c:v>
                  </c:pt>
                  <c:pt idx="446">
                    <c:v>0</c:v>
                  </c:pt>
                  <c:pt idx="447">
                    <c:v>0</c:v>
                  </c:pt>
                  <c:pt idx="448">
                    <c:v>0</c:v>
                  </c:pt>
                  <c:pt idx="449">
                    <c:v>0</c:v>
                  </c:pt>
                  <c:pt idx="450">
                    <c:v>0</c:v>
                  </c:pt>
                  <c:pt idx="451">
                    <c:v>0</c:v>
                  </c:pt>
                  <c:pt idx="452">
                    <c:v>0</c:v>
                  </c:pt>
                  <c:pt idx="453">
                    <c:v>0</c:v>
                  </c:pt>
                  <c:pt idx="454">
                    <c:v>0</c:v>
                  </c:pt>
                  <c:pt idx="455">
                    <c:v>0</c:v>
                  </c:pt>
                  <c:pt idx="456">
                    <c:v>0</c:v>
                  </c:pt>
                  <c:pt idx="457">
                    <c:v>0</c:v>
                  </c:pt>
                  <c:pt idx="458">
                    <c:v>0</c:v>
                  </c:pt>
                  <c:pt idx="459">
                    <c:v>0</c:v>
                  </c:pt>
                  <c:pt idx="460">
                    <c:v>0</c:v>
                  </c:pt>
                  <c:pt idx="461">
                    <c:v>0</c:v>
                  </c:pt>
                  <c:pt idx="462">
                    <c:v>0</c:v>
                  </c:pt>
                  <c:pt idx="463">
                    <c:v>0</c:v>
                  </c:pt>
                  <c:pt idx="464">
                    <c:v>0</c:v>
                  </c:pt>
                  <c:pt idx="465">
                    <c:v>0</c:v>
                  </c:pt>
                  <c:pt idx="466">
                    <c:v>0</c:v>
                  </c:pt>
                  <c:pt idx="467">
                    <c:v>0</c:v>
                  </c:pt>
                  <c:pt idx="468">
                    <c:v>0</c:v>
                  </c:pt>
                  <c:pt idx="469">
                    <c:v>0</c:v>
                  </c:pt>
                  <c:pt idx="470">
                    <c:v>0</c:v>
                  </c:pt>
                  <c:pt idx="471">
                    <c:v>0</c:v>
                  </c:pt>
                  <c:pt idx="472">
                    <c:v>0</c:v>
                  </c:pt>
                  <c:pt idx="473">
                    <c:v>0</c:v>
                  </c:pt>
                  <c:pt idx="474">
                    <c:v>0</c:v>
                  </c:pt>
                  <c:pt idx="475">
                    <c:v>0</c:v>
                  </c:pt>
                  <c:pt idx="476">
                    <c:v>0</c:v>
                  </c:pt>
                  <c:pt idx="477">
                    <c:v>0</c:v>
                  </c:pt>
                  <c:pt idx="478">
                    <c:v>0</c:v>
                  </c:pt>
                  <c:pt idx="479">
                    <c:v>0</c:v>
                  </c:pt>
                  <c:pt idx="480">
                    <c:v>0</c:v>
                  </c:pt>
                  <c:pt idx="481">
                    <c:v>0</c:v>
                  </c:pt>
                  <c:pt idx="482">
                    <c:v>0</c:v>
                  </c:pt>
                  <c:pt idx="483">
                    <c:v>0</c:v>
                  </c:pt>
                  <c:pt idx="484">
                    <c:v>0</c:v>
                  </c:pt>
                  <c:pt idx="485">
                    <c:v>0</c:v>
                  </c:pt>
                  <c:pt idx="486">
                    <c:v>0</c:v>
                  </c:pt>
                  <c:pt idx="487">
                    <c:v>0</c:v>
                  </c:pt>
                  <c:pt idx="488">
                    <c:v>0</c:v>
                  </c:pt>
                  <c:pt idx="489">
                    <c:v>0</c:v>
                  </c:pt>
                  <c:pt idx="490">
                    <c:v>0</c:v>
                  </c:pt>
                  <c:pt idx="491">
                    <c:v>0</c:v>
                  </c:pt>
                  <c:pt idx="492">
                    <c:v>0</c:v>
                  </c:pt>
                  <c:pt idx="493">
                    <c:v>0</c:v>
                  </c:pt>
                  <c:pt idx="494">
                    <c:v>0</c:v>
                  </c:pt>
                  <c:pt idx="495">
                    <c:v>0</c:v>
                  </c:pt>
                  <c:pt idx="496">
                    <c:v>0</c:v>
                  </c:pt>
                  <c:pt idx="497">
                    <c:v>0</c:v>
                  </c:pt>
                  <c:pt idx="498">
                    <c:v>0</c:v>
                  </c:pt>
                  <c:pt idx="499">
                    <c:v>0</c:v>
                  </c:pt>
                  <c:pt idx="500">
                    <c:v>0</c:v>
                  </c:pt>
                  <c:pt idx="501">
                    <c:v>0</c:v>
                  </c:pt>
                  <c:pt idx="502">
                    <c:v>0</c:v>
                  </c:pt>
                  <c:pt idx="503">
                    <c:v>0</c:v>
                  </c:pt>
                  <c:pt idx="504">
                    <c:v>0</c:v>
                  </c:pt>
                  <c:pt idx="505">
                    <c:v>0</c:v>
                  </c:pt>
                  <c:pt idx="506">
                    <c:v>0</c:v>
                  </c:pt>
                  <c:pt idx="507">
                    <c:v>0</c:v>
                  </c:pt>
                  <c:pt idx="508">
                    <c:v>0</c:v>
                  </c:pt>
                  <c:pt idx="509">
                    <c:v>0</c:v>
                  </c:pt>
                  <c:pt idx="510">
                    <c:v>0</c:v>
                  </c:pt>
                  <c:pt idx="511">
                    <c:v>0</c:v>
                  </c:pt>
                  <c:pt idx="512">
                    <c:v>0</c:v>
                  </c:pt>
                  <c:pt idx="513">
                    <c:v>0</c:v>
                  </c:pt>
                  <c:pt idx="514">
                    <c:v>0</c:v>
                  </c:pt>
                  <c:pt idx="515">
                    <c:v>0</c:v>
                  </c:pt>
                  <c:pt idx="516">
                    <c:v>0</c:v>
                  </c:pt>
                  <c:pt idx="517">
                    <c:v>0</c:v>
                  </c:pt>
                  <c:pt idx="518">
                    <c:v>0</c:v>
                  </c:pt>
                  <c:pt idx="519">
                    <c:v>0</c:v>
                  </c:pt>
                  <c:pt idx="520">
                    <c:v>0</c:v>
                  </c:pt>
                  <c:pt idx="521">
                    <c:v>0</c:v>
                  </c:pt>
                  <c:pt idx="522">
                    <c:v>0</c:v>
                  </c:pt>
                  <c:pt idx="523">
                    <c:v>0</c:v>
                  </c:pt>
                  <c:pt idx="524">
                    <c:v>0</c:v>
                  </c:pt>
                  <c:pt idx="525">
                    <c:v>0</c:v>
                  </c:pt>
                  <c:pt idx="526">
                    <c:v>0</c:v>
                  </c:pt>
                  <c:pt idx="527">
                    <c:v>0</c:v>
                  </c:pt>
                  <c:pt idx="528">
                    <c:v>0</c:v>
                  </c:pt>
                  <c:pt idx="529">
                    <c:v>0</c:v>
                  </c:pt>
                  <c:pt idx="530">
                    <c:v>0</c:v>
                  </c:pt>
                  <c:pt idx="531">
                    <c:v>0</c:v>
                  </c:pt>
                  <c:pt idx="532">
                    <c:v>0</c:v>
                  </c:pt>
                  <c:pt idx="533">
                    <c:v>0</c:v>
                  </c:pt>
                  <c:pt idx="534">
                    <c:v>0</c:v>
                  </c:pt>
                  <c:pt idx="535">
                    <c:v>0</c:v>
                  </c:pt>
                  <c:pt idx="536">
                    <c:v>0</c:v>
                  </c:pt>
                  <c:pt idx="537">
                    <c:v>0</c:v>
                  </c:pt>
                  <c:pt idx="538">
                    <c:v>0</c:v>
                  </c:pt>
                  <c:pt idx="539">
                    <c:v>0</c:v>
                  </c:pt>
                  <c:pt idx="540">
                    <c:v>0</c:v>
                  </c:pt>
                  <c:pt idx="541">
                    <c:v>0</c:v>
                  </c:pt>
                  <c:pt idx="542">
                    <c:v>0</c:v>
                  </c:pt>
                  <c:pt idx="543">
                    <c:v>0</c:v>
                  </c:pt>
                  <c:pt idx="544">
                    <c:v>0</c:v>
                  </c:pt>
                  <c:pt idx="545">
                    <c:v>0</c:v>
                  </c:pt>
                  <c:pt idx="546">
                    <c:v>0</c:v>
                  </c:pt>
                  <c:pt idx="547">
                    <c:v>0</c:v>
                  </c:pt>
                  <c:pt idx="548">
                    <c:v>0</c:v>
                  </c:pt>
                  <c:pt idx="549">
                    <c:v>0</c:v>
                  </c:pt>
                  <c:pt idx="550">
                    <c:v>0</c:v>
                  </c:pt>
                  <c:pt idx="551">
                    <c:v>0</c:v>
                  </c:pt>
                  <c:pt idx="552">
                    <c:v>0</c:v>
                  </c:pt>
                  <c:pt idx="553">
                    <c:v>0</c:v>
                  </c:pt>
                  <c:pt idx="554">
                    <c:v>0</c:v>
                  </c:pt>
                  <c:pt idx="555">
                    <c:v>0</c:v>
                  </c:pt>
                  <c:pt idx="556">
                    <c:v>0</c:v>
                  </c:pt>
                  <c:pt idx="557">
                    <c:v>0</c:v>
                  </c:pt>
                  <c:pt idx="558">
                    <c:v>0</c:v>
                  </c:pt>
                  <c:pt idx="559">
                    <c:v>0</c:v>
                  </c:pt>
                  <c:pt idx="560">
                    <c:v>0</c:v>
                  </c:pt>
                  <c:pt idx="561">
                    <c:v>0</c:v>
                  </c:pt>
                  <c:pt idx="562">
                    <c:v>0</c:v>
                  </c:pt>
                  <c:pt idx="563">
                    <c:v>0</c:v>
                  </c:pt>
                  <c:pt idx="564">
                    <c:v>0</c:v>
                  </c:pt>
                  <c:pt idx="565">
                    <c:v>0</c:v>
                  </c:pt>
                  <c:pt idx="566">
                    <c:v>0</c:v>
                  </c:pt>
                  <c:pt idx="567">
                    <c:v>0</c:v>
                  </c:pt>
                  <c:pt idx="568">
                    <c:v>0</c:v>
                  </c:pt>
                  <c:pt idx="569">
                    <c:v>0</c:v>
                  </c:pt>
                  <c:pt idx="570">
                    <c:v>0</c:v>
                  </c:pt>
                  <c:pt idx="571">
                    <c:v>0</c:v>
                  </c:pt>
                  <c:pt idx="572">
                    <c:v>0</c:v>
                  </c:pt>
                  <c:pt idx="573">
                    <c:v>0</c:v>
                  </c:pt>
                  <c:pt idx="574">
                    <c:v>0</c:v>
                  </c:pt>
                  <c:pt idx="575">
                    <c:v>0</c:v>
                  </c:pt>
                  <c:pt idx="576">
                    <c:v>0</c:v>
                  </c:pt>
                  <c:pt idx="577">
                    <c:v>0</c:v>
                  </c:pt>
                  <c:pt idx="578">
                    <c:v>0</c:v>
                  </c:pt>
                  <c:pt idx="579">
                    <c:v>0</c:v>
                  </c:pt>
                  <c:pt idx="580">
                    <c:v>0</c:v>
                  </c:pt>
                  <c:pt idx="581">
                    <c:v>0</c:v>
                  </c:pt>
                  <c:pt idx="582">
                    <c:v>0</c:v>
                  </c:pt>
                  <c:pt idx="583">
                    <c:v>0</c:v>
                  </c:pt>
                  <c:pt idx="584">
                    <c:v>0</c:v>
                  </c:pt>
                  <c:pt idx="585">
                    <c:v>0</c:v>
                  </c:pt>
                  <c:pt idx="586">
                    <c:v>0</c:v>
                  </c:pt>
                  <c:pt idx="587">
                    <c:v>0</c:v>
                  </c:pt>
                  <c:pt idx="588">
                    <c:v>0</c:v>
                  </c:pt>
                  <c:pt idx="589">
                    <c:v>0</c:v>
                  </c:pt>
                  <c:pt idx="590">
                    <c:v>0</c:v>
                  </c:pt>
                  <c:pt idx="591">
                    <c:v>0</c:v>
                  </c:pt>
                  <c:pt idx="592">
                    <c:v>0</c:v>
                  </c:pt>
                  <c:pt idx="593">
                    <c:v>0</c:v>
                  </c:pt>
                  <c:pt idx="594">
                    <c:v>0</c:v>
                  </c:pt>
                  <c:pt idx="595">
                    <c:v>0</c:v>
                  </c:pt>
                  <c:pt idx="596">
                    <c:v>0</c:v>
                  </c:pt>
                  <c:pt idx="597">
                    <c:v>0</c:v>
                  </c:pt>
                  <c:pt idx="598">
                    <c:v>0</c:v>
                  </c:pt>
                  <c:pt idx="599">
                    <c:v>0</c:v>
                  </c:pt>
                  <c:pt idx="600">
                    <c:v>0</c:v>
                  </c:pt>
                  <c:pt idx="601">
                    <c:v>0</c:v>
                  </c:pt>
                  <c:pt idx="602">
                    <c:v>0</c:v>
                  </c:pt>
                  <c:pt idx="603">
                    <c:v>0</c:v>
                  </c:pt>
                  <c:pt idx="604">
                    <c:v>0</c:v>
                  </c:pt>
                  <c:pt idx="605">
                    <c:v>0</c:v>
                  </c:pt>
                  <c:pt idx="606">
                    <c:v>0</c:v>
                  </c:pt>
                  <c:pt idx="607">
                    <c:v>0</c:v>
                  </c:pt>
                  <c:pt idx="608">
                    <c:v>0</c:v>
                  </c:pt>
                  <c:pt idx="609">
                    <c:v>0</c:v>
                  </c:pt>
                  <c:pt idx="610">
                    <c:v>0</c:v>
                  </c:pt>
                  <c:pt idx="611">
                    <c:v>0</c:v>
                  </c:pt>
                  <c:pt idx="612">
                    <c:v>0</c:v>
                  </c:pt>
                  <c:pt idx="613">
                    <c:v>0</c:v>
                  </c:pt>
                  <c:pt idx="614">
                    <c:v>0</c:v>
                  </c:pt>
                  <c:pt idx="615">
                    <c:v>0</c:v>
                  </c:pt>
                  <c:pt idx="616">
                    <c:v>0</c:v>
                  </c:pt>
                  <c:pt idx="617">
                    <c:v>0</c:v>
                  </c:pt>
                  <c:pt idx="618">
                    <c:v>0</c:v>
                  </c:pt>
                  <c:pt idx="619">
                    <c:v>0</c:v>
                  </c:pt>
                  <c:pt idx="620">
                    <c:v>0</c:v>
                  </c:pt>
                  <c:pt idx="621">
                    <c:v>0</c:v>
                  </c:pt>
                  <c:pt idx="622">
                    <c:v>0</c:v>
                  </c:pt>
                  <c:pt idx="623">
                    <c:v>0</c:v>
                  </c:pt>
                  <c:pt idx="624">
                    <c:v>0</c:v>
                  </c:pt>
                  <c:pt idx="625">
                    <c:v>0</c:v>
                  </c:pt>
                  <c:pt idx="626">
                    <c:v>0</c:v>
                  </c:pt>
                  <c:pt idx="627">
                    <c:v>0</c:v>
                  </c:pt>
                  <c:pt idx="628">
                    <c:v>0</c:v>
                  </c:pt>
                  <c:pt idx="629">
                    <c:v>0</c:v>
                  </c:pt>
                  <c:pt idx="630">
                    <c:v>0</c:v>
                  </c:pt>
                  <c:pt idx="631">
                    <c:v>0</c:v>
                  </c:pt>
                  <c:pt idx="632">
                    <c:v>0</c:v>
                  </c:pt>
                  <c:pt idx="633">
                    <c:v>0</c:v>
                  </c:pt>
                  <c:pt idx="634">
                    <c:v>0</c:v>
                  </c:pt>
                  <c:pt idx="635">
                    <c:v>0</c:v>
                  </c:pt>
                  <c:pt idx="636">
                    <c:v>0</c:v>
                  </c:pt>
                  <c:pt idx="637">
                    <c:v>0</c:v>
                  </c:pt>
                  <c:pt idx="638">
                    <c:v>0</c:v>
                  </c:pt>
                  <c:pt idx="639">
                    <c:v>0</c:v>
                  </c:pt>
                  <c:pt idx="640">
                    <c:v>0</c:v>
                  </c:pt>
                  <c:pt idx="641">
                    <c:v>0</c:v>
                  </c:pt>
                  <c:pt idx="642">
                    <c:v>0</c:v>
                  </c:pt>
                  <c:pt idx="643">
                    <c:v>0</c:v>
                  </c:pt>
                  <c:pt idx="644">
                    <c:v>0</c:v>
                  </c:pt>
                  <c:pt idx="645">
                    <c:v>0</c:v>
                  </c:pt>
                  <c:pt idx="646">
                    <c:v>0</c:v>
                  </c:pt>
                  <c:pt idx="647">
                    <c:v>0</c:v>
                  </c:pt>
                  <c:pt idx="648">
                    <c:v>0</c:v>
                  </c:pt>
                  <c:pt idx="649">
                    <c:v>0</c:v>
                  </c:pt>
                  <c:pt idx="650">
                    <c:v>0</c:v>
                  </c:pt>
                  <c:pt idx="651">
                    <c:v>0</c:v>
                  </c:pt>
                  <c:pt idx="652">
                    <c:v>0</c:v>
                  </c:pt>
                  <c:pt idx="653">
                    <c:v>0</c:v>
                  </c:pt>
                  <c:pt idx="654">
                    <c:v>0</c:v>
                  </c:pt>
                  <c:pt idx="655">
                    <c:v>0</c:v>
                  </c:pt>
                  <c:pt idx="656">
                    <c:v>0</c:v>
                  </c:pt>
                  <c:pt idx="657">
                    <c:v>0</c:v>
                  </c:pt>
                  <c:pt idx="658">
                    <c:v>0</c:v>
                  </c:pt>
                  <c:pt idx="659">
                    <c:v>0</c:v>
                  </c:pt>
                  <c:pt idx="660">
                    <c:v>0</c:v>
                  </c:pt>
                  <c:pt idx="661">
                    <c:v>0</c:v>
                  </c:pt>
                  <c:pt idx="662">
                    <c:v>0</c:v>
                  </c:pt>
                  <c:pt idx="663">
                    <c:v>0</c:v>
                  </c:pt>
                  <c:pt idx="664">
                    <c:v>0</c:v>
                  </c:pt>
                  <c:pt idx="665">
                    <c:v>0</c:v>
                  </c:pt>
                  <c:pt idx="666">
                    <c:v>0</c:v>
                  </c:pt>
                  <c:pt idx="667">
                    <c:v>0</c:v>
                  </c:pt>
                  <c:pt idx="668">
                    <c:v>0</c:v>
                  </c:pt>
                  <c:pt idx="669">
                    <c:v>0</c:v>
                  </c:pt>
                  <c:pt idx="670">
                    <c:v>0</c:v>
                  </c:pt>
                  <c:pt idx="671">
                    <c:v>0</c:v>
                  </c:pt>
                  <c:pt idx="672">
                    <c:v>0</c:v>
                  </c:pt>
                  <c:pt idx="673">
                    <c:v>0</c:v>
                  </c:pt>
                  <c:pt idx="674">
                    <c:v>0</c:v>
                  </c:pt>
                  <c:pt idx="675">
                    <c:v>0</c:v>
                  </c:pt>
                  <c:pt idx="676">
                    <c:v>0</c:v>
                  </c:pt>
                  <c:pt idx="677">
                    <c:v>0</c:v>
                  </c:pt>
                  <c:pt idx="678">
                    <c:v>0</c:v>
                  </c:pt>
                  <c:pt idx="679">
                    <c:v>0</c:v>
                  </c:pt>
                  <c:pt idx="680">
                    <c:v>0</c:v>
                  </c:pt>
                  <c:pt idx="681">
                    <c:v>0</c:v>
                  </c:pt>
                  <c:pt idx="682">
                    <c:v>0</c:v>
                  </c:pt>
                  <c:pt idx="683">
                    <c:v>0</c:v>
                  </c:pt>
                  <c:pt idx="684">
                    <c:v>0</c:v>
                  </c:pt>
                  <c:pt idx="685">
                    <c:v>0</c:v>
                  </c:pt>
                  <c:pt idx="686">
                    <c:v>0</c:v>
                  </c:pt>
                  <c:pt idx="687">
                    <c:v>0</c:v>
                  </c:pt>
                  <c:pt idx="688">
                    <c:v>0</c:v>
                  </c:pt>
                  <c:pt idx="689">
                    <c:v>0</c:v>
                  </c:pt>
                  <c:pt idx="690">
                    <c:v>0</c:v>
                  </c:pt>
                  <c:pt idx="691">
                    <c:v>0</c:v>
                  </c:pt>
                  <c:pt idx="692">
                    <c:v>0</c:v>
                  </c:pt>
                  <c:pt idx="693">
                    <c:v>0</c:v>
                  </c:pt>
                  <c:pt idx="694">
                    <c:v>0</c:v>
                  </c:pt>
                  <c:pt idx="695">
                    <c:v>0</c:v>
                  </c:pt>
                  <c:pt idx="696">
                    <c:v>0</c:v>
                  </c:pt>
                  <c:pt idx="697">
                    <c:v>0</c:v>
                  </c:pt>
                  <c:pt idx="698">
                    <c:v>0</c:v>
                  </c:pt>
                  <c:pt idx="699">
                    <c:v>0</c:v>
                  </c:pt>
                  <c:pt idx="700">
                    <c:v>0</c:v>
                  </c:pt>
                  <c:pt idx="701">
                    <c:v>0</c:v>
                  </c:pt>
                  <c:pt idx="702">
                    <c:v>0</c:v>
                  </c:pt>
                  <c:pt idx="703">
                    <c:v>0</c:v>
                  </c:pt>
                  <c:pt idx="704">
                    <c:v>0</c:v>
                  </c:pt>
                  <c:pt idx="705">
                    <c:v>0</c:v>
                  </c:pt>
                  <c:pt idx="706">
                    <c:v>0</c:v>
                  </c:pt>
                  <c:pt idx="707">
                    <c:v>0</c:v>
                  </c:pt>
                  <c:pt idx="708">
                    <c:v>0</c:v>
                  </c:pt>
                  <c:pt idx="709">
                    <c:v>0</c:v>
                  </c:pt>
                  <c:pt idx="710">
                    <c:v>0</c:v>
                  </c:pt>
                  <c:pt idx="711">
                    <c:v>0</c:v>
                  </c:pt>
                  <c:pt idx="712">
                    <c:v>0</c:v>
                  </c:pt>
                  <c:pt idx="713">
                    <c:v>0</c:v>
                  </c:pt>
                  <c:pt idx="714">
                    <c:v>0</c:v>
                  </c:pt>
                  <c:pt idx="715">
                    <c:v>0</c:v>
                  </c:pt>
                  <c:pt idx="716">
                    <c:v>0</c:v>
                  </c:pt>
                  <c:pt idx="717">
                    <c:v>0</c:v>
                  </c:pt>
                  <c:pt idx="718">
                    <c:v>0</c:v>
                  </c:pt>
                  <c:pt idx="719">
                    <c:v>0</c:v>
                  </c:pt>
                  <c:pt idx="720">
                    <c:v>0</c:v>
                  </c:pt>
                  <c:pt idx="721">
                    <c:v>0</c:v>
                  </c:pt>
                  <c:pt idx="722">
                    <c:v>0</c:v>
                  </c:pt>
                  <c:pt idx="723">
                    <c:v>0</c:v>
                  </c:pt>
                  <c:pt idx="724">
                    <c:v>0</c:v>
                  </c:pt>
                  <c:pt idx="725">
                    <c:v>0</c:v>
                  </c:pt>
                  <c:pt idx="726">
                    <c:v>0</c:v>
                  </c:pt>
                  <c:pt idx="727">
                    <c:v>0</c:v>
                  </c:pt>
                  <c:pt idx="728">
                    <c:v>0</c:v>
                  </c:pt>
                  <c:pt idx="729">
                    <c:v>0</c:v>
                  </c:pt>
                  <c:pt idx="730">
                    <c:v>0</c:v>
                  </c:pt>
                  <c:pt idx="731">
                    <c:v>0</c:v>
                  </c:pt>
                  <c:pt idx="732">
                    <c:v>0</c:v>
                  </c:pt>
                  <c:pt idx="733">
                    <c:v>0</c:v>
                  </c:pt>
                  <c:pt idx="734">
                    <c:v>0</c:v>
                  </c:pt>
                  <c:pt idx="735">
                    <c:v>0</c:v>
                  </c:pt>
                  <c:pt idx="736">
                    <c:v>0</c:v>
                  </c:pt>
                  <c:pt idx="737">
                    <c:v>0</c:v>
                  </c:pt>
                  <c:pt idx="738">
                    <c:v>0</c:v>
                  </c:pt>
                  <c:pt idx="739">
                    <c:v>0</c:v>
                  </c:pt>
                  <c:pt idx="740">
                    <c:v>0</c:v>
                  </c:pt>
                  <c:pt idx="741">
                    <c:v>0</c:v>
                  </c:pt>
                  <c:pt idx="742">
                    <c:v>0</c:v>
                  </c:pt>
                  <c:pt idx="743">
                    <c:v>0</c:v>
                  </c:pt>
                  <c:pt idx="744">
                    <c:v>0</c:v>
                  </c:pt>
                  <c:pt idx="745">
                    <c:v>0</c:v>
                  </c:pt>
                  <c:pt idx="746">
                    <c:v>0</c:v>
                  </c:pt>
                  <c:pt idx="747">
                    <c:v>0</c:v>
                  </c:pt>
                  <c:pt idx="748">
                    <c:v>0</c:v>
                  </c:pt>
                  <c:pt idx="749">
                    <c:v>0</c:v>
                  </c:pt>
                  <c:pt idx="750">
                    <c:v>0</c:v>
                  </c:pt>
                  <c:pt idx="751">
                    <c:v>0</c:v>
                  </c:pt>
                  <c:pt idx="752">
                    <c:v>0</c:v>
                  </c:pt>
                  <c:pt idx="753">
                    <c:v>0</c:v>
                  </c:pt>
                  <c:pt idx="754">
                    <c:v>0</c:v>
                  </c:pt>
                  <c:pt idx="755">
                    <c:v>0</c:v>
                  </c:pt>
                  <c:pt idx="756">
                    <c:v>0</c:v>
                  </c:pt>
                  <c:pt idx="757">
                    <c:v>0</c:v>
                  </c:pt>
                  <c:pt idx="758">
                    <c:v>0</c:v>
                  </c:pt>
                  <c:pt idx="759">
                    <c:v>0</c:v>
                  </c:pt>
                  <c:pt idx="760">
                    <c:v>0</c:v>
                  </c:pt>
                  <c:pt idx="761">
                    <c:v>0</c:v>
                  </c:pt>
                  <c:pt idx="762">
                    <c:v>0</c:v>
                  </c:pt>
                  <c:pt idx="763">
                    <c:v>0</c:v>
                  </c:pt>
                  <c:pt idx="764">
                    <c:v>0</c:v>
                  </c:pt>
                  <c:pt idx="765">
                    <c:v>0</c:v>
                  </c:pt>
                  <c:pt idx="766">
                    <c:v>0</c:v>
                  </c:pt>
                  <c:pt idx="767">
                    <c:v>0</c:v>
                  </c:pt>
                  <c:pt idx="768">
                    <c:v>0</c:v>
                  </c:pt>
                  <c:pt idx="769">
                    <c:v>0</c:v>
                  </c:pt>
                  <c:pt idx="770">
                    <c:v>0</c:v>
                  </c:pt>
                  <c:pt idx="771">
                    <c:v>0</c:v>
                  </c:pt>
                  <c:pt idx="772">
                    <c:v>0</c:v>
                  </c:pt>
                  <c:pt idx="773">
                    <c:v>0</c:v>
                  </c:pt>
                  <c:pt idx="774">
                    <c:v>0</c:v>
                  </c:pt>
                  <c:pt idx="775">
                    <c:v>0</c:v>
                  </c:pt>
                  <c:pt idx="776">
                    <c:v>0</c:v>
                  </c:pt>
                  <c:pt idx="777">
                    <c:v>0</c:v>
                  </c:pt>
                  <c:pt idx="778">
                    <c:v>0</c:v>
                  </c:pt>
                  <c:pt idx="779">
                    <c:v>0</c:v>
                  </c:pt>
                  <c:pt idx="780">
                    <c:v>0</c:v>
                  </c:pt>
                  <c:pt idx="781">
                    <c:v>0</c:v>
                  </c:pt>
                  <c:pt idx="782">
                    <c:v>0</c:v>
                  </c:pt>
                  <c:pt idx="783">
                    <c:v>0</c:v>
                  </c:pt>
                  <c:pt idx="784">
                    <c:v>0</c:v>
                  </c:pt>
                  <c:pt idx="785">
                    <c:v>0</c:v>
                  </c:pt>
                  <c:pt idx="786">
                    <c:v>0</c:v>
                  </c:pt>
                  <c:pt idx="787">
                    <c:v>0</c:v>
                  </c:pt>
                  <c:pt idx="788">
                    <c:v>0</c:v>
                  </c:pt>
                  <c:pt idx="789">
                    <c:v>0</c:v>
                  </c:pt>
                  <c:pt idx="790">
                    <c:v>0</c:v>
                  </c:pt>
                  <c:pt idx="791">
                    <c:v>0</c:v>
                  </c:pt>
                  <c:pt idx="792">
                    <c:v>0</c:v>
                  </c:pt>
                  <c:pt idx="793">
                    <c:v>0</c:v>
                  </c:pt>
                  <c:pt idx="794">
                    <c:v>0</c:v>
                  </c:pt>
                  <c:pt idx="795">
                    <c:v>0</c:v>
                  </c:pt>
                  <c:pt idx="796">
                    <c:v>0</c:v>
                  </c:pt>
                  <c:pt idx="797">
                    <c:v>0</c:v>
                  </c:pt>
                  <c:pt idx="798">
                    <c:v>0</c:v>
                  </c:pt>
                  <c:pt idx="799">
                    <c:v>0</c:v>
                  </c:pt>
                  <c:pt idx="800">
                    <c:v>0</c:v>
                  </c:pt>
                  <c:pt idx="801">
                    <c:v>0</c:v>
                  </c:pt>
                  <c:pt idx="802">
                    <c:v>0</c:v>
                  </c:pt>
                  <c:pt idx="803">
                    <c:v>0</c:v>
                  </c:pt>
                  <c:pt idx="804">
                    <c:v>0</c:v>
                  </c:pt>
                  <c:pt idx="805">
                    <c:v>0</c:v>
                  </c:pt>
                  <c:pt idx="806">
                    <c:v>0</c:v>
                  </c:pt>
                  <c:pt idx="807">
                    <c:v>0</c:v>
                  </c:pt>
                  <c:pt idx="808">
                    <c:v>0</c:v>
                  </c:pt>
                  <c:pt idx="809">
                    <c:v>0</c:v>
                  </c:pt>
                  <c:pt idx="810">
                    <c:v>0</c:v>
                  </c:pt>
                  <c:pt idx="811">
                    <c:v>0</c:v>
                  </c:pt>
                  <c:pt idx="812">
                    <c:v>0</c:v>
                  </c:pt>
                  <c:pt idx="813">
                    <c:v>0</c:v>
                  </c:pt>
                  <c:pt idx="814">
                    <c:v>0</c:v>
                  </c:pt>
                  <c:pt idx="815">
                    <c:v>0</c:v>
                  </c:pt>
                  <c:pt idx="816">
                    <c:v>0</c:v>
                  </c:pt>
                  <c:pt idx="817">
                    <c:v>0</c:v>
                  </c:pt>
                  <c:pt idx="818">
                    <c:v>0</c:v>
                  </c:pt>
                  <c:pt idx="819">
                    <c:v>0</c:v>
                  </c:pt>
                  <c:pt idx="820">
                    <c:v>0</c:v>
                  </c:pt>
                  <c:pt idx="821">
                    <c:v>0</c:v>
                  </c:pt>
                  <c:pt idx="822">
                    <c:v>0</c:v>
                  </c:pt>
                  <c:pt idx="823">
                    <c:v>0</c:v>
                  </c:pt>
                  <c:pt idx="824">
                    <c:v>0</c:v>
                  </c:pt>
                  <c:pt idx="825">
                    <c:v>0</c:v>
                  </c:pt>
                  <c:pt idx="826">
                    <c:v>0</c:v>
                  </c:pt>
                  <c:pt idx="827">
                    <c:v>0</c:v>
                  </c:pt>
                  <c:pt idx="828">
                    <c:v>0</c:v>
                  </c:pt>
                  <c:pt idx="829">
                    <c:v>0</c:v>
                  </c:pt>
                  <c:pt idx="830">
                    <c:v>0</c:v>
                  </c:pt>
                  <c:pt idx="831">
                    <c:v>0</c:v>
                  </c:pt>
                  <c:pt idx="832">
                    <c:v>0</c:v>
                  </c:pt>
                  <c:pt idx="833">
                    <c:v>0</c:v>
                  </c:pt>
                  <c:pt idx="834">
                    <c:v>0</c:v>
                  </c:pt>
                  <c:pt idx="835">
                    <c:v>0</c:v>
                  </c:pt>
                  <c:pt idx="836">
                    <c:v>0</c:v>
                  </c:pt>
                  <c:pt idx="837">
                    <c:v>0</c:v>
                  </c:pt>
                  <c:pt idx="838">
                    <c:v>0</c:v>
                  </c:pt>
                  <c:pt idx="839">
                    <c:v>0</c:v>
                  </c:pt>
                  <c:pt idx="840">
                    <c:v>0</c:v>
                  </c:pt>
                  <c:pt idx="841">
                    <c:v>0</c:v>
                  </c:pt>
                  <c:pt idx="842">
                    <c:v>0</c:v>
                  </c:pt>
                  <c:pt idx="843">
                    <c:v>0</c:v>
                  </c:pt>
                  <c:pt idx="844">
                    <c:v>0</c:v>
                  </c:pt>
                  <c:pt idx="845">
                    <c:v>0</c:v>
                  </c:pt>
                  <c:pt idx="846">
                    <c:v>0</c:v>
                  </c:pt>
                  <c:pt idx="847">
                    <c:v>0</c:v>
                  </c:pt>
                  <c:pt idx="848">
                    <c:v>0</c:v>
                  </c:pt>
                  <c:pt idx="849">
                    <c:v>0</c:v>
                  </c:pt>
                  <c:pt idx="850">
                    <c:v>0</c:v>
                  </c:pt>
                  <c:pt idx="851">
                    <c:v>0</c:v>
                  </c:pt>
                  <c:pt idx="852">
                    <c:v>0</c:v>
                  </c:pt>
                  <c:pt idx="853">
                    <c:v>0</c:v>
                  </c:pt>
                  <c:pt idx="854">
                    <c:v>0</c:v>
                  </c:pt>
                  <c:pt idx="855">
                    <c:v>0</c:v>
                  </c:pt>
                  <c:pt idx="856">
                    <c:v>0</c:v>
                  </c:pt>
                  <c:pt idx="857">
                    <c:v>0</c:v>
                  </c:pt>
                  <c:pt idx="858">
                    <c:v>0</c:v>
                  </c:pt>
                  <c:pt idx="859">
                    <c:v>0</c:v>
                  </c:pt>
                  <c:pt idx="860">
                    <c:v>0</c:v>
                  </c:pt>
                  <c:pt idx="861">
                    <c:v>0</c:v>
                  </c:pt>
                  <c:pt idx="862">
                    <c:v>0</c:v>
                  </c:pt>
                  <c:pt idx="863">
                    <c:v>0</c:v>
                  </c:pt>
                  <c:pt idx="864">
                    <c:v>0</c:v>
                  </c:pt>
                  <c:pt idx="865">
                    <c:v>0</c:v>
                  </c:pt>
                  <c:pt idx="866">
                    <c:v>0</c:v>
                  </c:pt>
                  <c:pt idx="867">
                    <c:v>0</c:v>
                  </c:pt>
                  <c:pt idx="868">
                    <c:v>0</c:v>
                  </c:pt>
                  <c:pt idx="869">
                    <c:v>0</c:v>
                  </c:pt>
                  <c:pt idx="870">
                    <c:v>0</c:v>
                  </c:pt>
                  <c:pt idx="871">
                    <c:v>0</c:v>
                  </c:pt>
                  <c:pt idx="872">
                    <c:v>0</c:v>
                  </c:pt>
                  <c:pt idx="873">
                    <c:v>0</c:v>
                  </c:pt>
                  <c:pt idx="874">
                    <c:v>0</c:v>
                  </c:pt>
                  <c:pt idx="875">
                    <c:v>0</c:v>
                  </c:pt>
                  <c:pt idx="876">
                    <c:v>0</c:v>
                  </c:pt>
                  <c:pt idx="877">
                    <c:v>0</c:v>
                  </c:pt>
                  <c:pt idx="878">
                    <c:v>0</c:v>
                  </c:pt>
                  <c:pt idx="879">
                    <c:v>0</c:v>
                  </c:pt>
                  <c:pt idx="880">
                    <c:v>0</c:v>
                  </c:pt>
                  <c:pt idx="881">
                    <c:v>0</c:v>
                  </c:pt>
                  <c:pt idx="882">
                    <c:v>0</c:v>
                  </c:pt>
                  <c:pt idx="883">
                    <c:v>0</c:v>
                  </c:pt>
                  <c:pt idx="884">
                    <c:v>0</c:v>
                  </c:pt>
                  <c:pt idx="885">
                    <c:v>0</c:v>
                  </c:pt>
                  <c:pt idx="886">
                    <c:v>0</c:v>
                  </c:pt>
                  <c:pt idx="887">
                    <c:v>0</c:v>
                  </c:pt>
                  <c:pt idx="888">
                    <c:v>0</c:v>
                  </c:pt>
                  <c:pt idx="889">
                    <c:v>0</c:v>
                  </c:pt>
                  <c:pt idx="890">
                    <c:v>0</c:v>
                  </c:pt>
                  <c:pt idx="891">
                    <c:v>0</c:v>
                  </c:pt>
                  <c:pt idx="892">
                    <c:v>0</c:v>
                  </c:pt>
                  <c:pt idx="893">
                    <c:v>0</c:v>
                  </c:pt>
                  <c:pt idx="894">
                    <c:v>0</c:v>
                  </c:pt>
                  <c:pt idx="895">
                    <c:v>0</c:v>
                  </c:pt>
                  <c:pt idx="896">
                    <c:v>0</c:v>
                  </c:pt>
                  <c:pt idx="897">
                    <c:v>0</c:v>
                  </c:pt>
                  <c:pt idx="898">
                    <c:v>0</c:v>
                  </c:pt>
                  <c:pt idx="899">
                    <c:v>0</c:v>
                  </c:pt>
                  <c:pt idx="900">
                    <c:v>0</c:v>
                  </c:pt>
                  <c:pt idx="901">
                    <c:v>0</c:v>
                  </c:pt>
                  <c:pt idx="902">
                    <c:v>0</c:v>
                  </c:pt>
                  <c:pt idx="903">
                    <c:v>0</c:v>
                  </c:pt>
                  <c:pt idx="904">
                    <c:v>0</c:v>
                  </c:pt>
                  <c:pt idx="905">
                    <c:v>0</c:v>
                  </c:pt>
                  <c:pt idx="906">
                    <c:v>0</c:v>
                  </c:pt>
                  <c:pt idx="907">
                    <c:v>0</c:v>
                  </c:pt>
                  <c:pt idx="908">
                    <c:v>0</c:v>
                  </c:pt>
                  <c:pt idx="909">
                    <c:v>0</c:v>
                  </c:pt>
                  <c:pt idx="910">
                    <c:v>0</c:v>
                  </c:pt>
                  <c:pt idx="911">
                    <c:v>0</c:v>
                  </c:pt>
                  <c:pt idx="912">
                    <c:v>0</c:v>
                  </c:pt>
                  <c:pt idx="913">
                    <c:v>0</c:v>
                  </c:pt>
                  <c:pt idx="914">
                    <c:v>0</c:v>
                  </c:pt>
                  <c:pt idx="915">
                    <c:v>0</c:v>
                  </c:pt>
                  <c:pt idx="916">
                    <c:v>0</c:v>
                  </c:pt>
                  <c:pt idx="917">
                    <c:v>0</c:v>
                  </c:pt>
                  <c:pt idx="918">
                    <c:v>0</c:v>
                  </c:pt>
                  <c:pt idx="919">
                    <c:v>0</c:v>
                  </c:pt>
                  <c:pt idx="920">
                    <c:v>0</c:v>
                  </c:pt>
                  <c:pt idx="921">
                    <c:v>0</c:v>
                  </c:pt>
                  <c:pt idx="922">
                    <c:v>0</c:v>
                  </c:pt>
                  <c:pt idx="923">
                    <c:v>0</c:v>
                  </c:pt>
                  <c:pt idx="924">
                    <c:v>0</c:v>
                  </c:pt>
                  <c:pt idx="925">
                    <c:v>0</c:v>
                  </c:pt>
                  <c:pt idx="926">
                    <c:v>0</c:v>
                  </c:pt>
                  <c:pt idx="927">
                    <c:v>0</c:v>
                  </c:pt>
                  <c:pt idx="928">
                    <c:v>0</c:v>
                  </c:pt>
                  <c:pt idx="929">
                    <c:v>0</c:v>
                  </c:pt>
                  <c:pt idx="930">
                    <c:v>0</c:v>
                  </c:pt>
                  <c:pt idx="931">
                    <c:v>0</c:v>
                  </c:pt>
                  <c:pt idx="932">
                    <c:v>0</c:v>
                  </c:pt>
                  <c:pt idx="933">
                    <c:v>0</c:v>
                  </c:pt>
                  <c:pt idx="934">
                    <c:v>0</c:v>
                  </c:pt>
                  <c:pt idx="935">
                    <c:v>0</c:v>
                  </c:pt>
                  <c:pt idx="936">
                    <c:v>0</c:v>
                  </c:pt>
                  <c:pt idx="937">
                    <c:v>0</c:v>
                  </c:pt>
                  <c:pt idx="938">
                    <c:v>0</c:v>
                  </c:pt>
                  <c:pt idx="939">
                    <c:v>0</c:v>
                  </c:pt>
                  <c:pt idx="940">
                    <c:v>0</c:v>
                  </c:pt>
                  <c:pt idx="941">
                    <c:v>0</c:v>
                  </c:pt>
                  <c:pt idx="942">
                    <c:v>0</c:v>
                  </c:pt>
                  <c:pt idx="943">
                    <c:v>0</c:v>
                  </c:pt>
                  <c:pt idx="944">
                    <c:v>0</c:v>
                  </c:pt>
                  <c:pt idx="945">
                    <c:v>0</c:v>
                  </c:pt>
                  <c:pt idx="946">
                    <c:v>0</c:v>
                  </c:pt>
                  <c:pt idx="947">
                    <c:v>0</c:v>
                  </c:pt>
                  <c:pt idx="948">
                    <c:v>0</c:v>
                  </c:pt>
                  <c:pt idx="949">
                    <c:v>0</c:v>
                  </c:pt>
                  <c:pt idx="950">
                    <c:v>0</c:v>
                  </c:pt>
                  <c:pt idx="951">
                    <c:v>0</c:v>
                  </c:pt>
                  <c:pt idx="952">
                    <c:v>0</c:v>
                  </c:pt>
                  <c:pt idx="953">
                    <c:v>0</c:v>
                  </c:pt>
                  <c:pt idx="954">
                    <c:v>0</c:v>
                  </c:pt>
                  <c:pt idx="955">
                    <c:v>0</c:v>
                  </c:pt>
                  <c:pt idx="956">
                    <c:v>0</c:v>
                  </c:pt>
                  <c:pt idx="957">
                    <c:v>0</c:v>
                  </c:pt>
                  <c:pt idx="958">
                    <c:v>0</c:v>
                  </c:pt>
                  <c:pt idx="959">
                    <c:v>0</c:v>
                  </c:pt>
                  <c:pt idx="960">
                    <c:v>0</c:v>
                  </c:pt>
                  <c:pt idx="961">
                    <c:v>0</c:v>
                  </c:pt>
                  <c:pt idx="962">
                    <c:v>0</c:v>
                  </c:pt>
                  <c:pt idx="963">
                    <c:v>0</c:v>
                  </c:pt>
                  <c:pt idx="964">
                    <c:v>0</c:v>
                  </c:pt>
                  <c:pt idx="965">
                    <c:v>0</c:v>
                  </c:pt>
                  <c:pt idx="966">
                    <c:v>0</c:v>
                  </c:pt>
                  <c:pt idx="967">
                    <c:v>0</c:v>
                  </c:pt>
                  <c:pt idx="968">
                    <c:v>0</c:v>
                  </c:pt>
                  <c:pt idx="969">
                    <c:v>0</c:v>
                  </c:pt>
                  <c:pt idx="970">
                    <c:v>0</c:v>
                  </c:pt>
                  <c:pt idx="971">
                    <c:v>0</c:v>
                  </c:pt>
                  <c:pt idx="972">
                    <c:v>0</c:v>
                  </c:pt>
                  <c:pt idx="973">
                    <c:v>0</c:v>
                  </c:pt>
                  <c:pt idx="974">
                    <c:v>0</c:v>
                  </c:pt>
                  <c:pt idx="975">
                    <c:v>0</c:v>
                  </c:pt>
                  <c:pt idx="976">
                    <c:v>0</c:v>
                  </c:pt>
                  <c:pt idx="977">
                    <c:v>0</c:v>
                  </c:pt>
                  <c:pt idx="978">
                    <c:v>0</c:v>
                  </c:pt>
                  <c:pt idx="979">
                    <c:v>0</c:v>
                  </c:pt>
                  <c:pt idx="980">
                    <c:v>0</c:v>
                  </c:pt>
                  <c:pt idx="981">
                    <c:v>0</c:v>
                  </c:pt>
                  <c:pt idx="982">
                    <c:v>0</c:v>
                  </c:pt>
                  <c:pt idx="983">
                    <c:v>0</c:v>
                  </c:pt>
                  <c:pt idx="984">
                    <c:v>0</c:v>
                  </c:pt>
                  <c:pt idx="985">
                    <c:v>0</c:v>
                  </c:pt>
                  <c:pt idx="986">
                    <c:v>0</c:v>
                  </c:pt>
                  <c:pt idx="987">
                    <c:v>0</c:v>
                  </c:pt>
                  <c:pt idx="988">
                    <c:v>0</c:v>
                  </c:pt>
                  <c:pt idx="989">
                    <c:v>0</c:v>
                  </c:pt>
                  <c:pt idx="990">
                    <c:v>0</c:v>
                  </c:pt>
                  <c:pt idx="991">
                    <c:v>0</c:v>
                  </c:pt>
                  <c:pt idx="992">
                    <c:v>0</c:v>
                  </c:pt>
                  <c:pt idx="993">
                    <c:v>0</c:v>
                  </c:pt>
                  <c:pt idx="994">
                    <c:v>0</c:v>
                  </c:pt>
                  <c:pt idx="995">
                    <c:v>0</c:v>
                  </c:pt>
                  <c:pt idx="996">
                    <c:v>0</c:v>
                  </c:pt>
                  <c:pt idx="997">
                    <c:v>0</c:v>
                  </c:pt>
                  <c:pt idx="998">
                    <c:v>0</c:v>
                  </c:pt>
                  <c:pt idx="999">
                    <c:v>0</c:v>
                  </c:pt>
                  <c:pt idx="1000">
                    <c:v>0</c:v>
                  </c:pt>
                  <c:pt idx="1001">
                    <c:v>0</c:v>
                  </c:pt>
                  <c:pt idx="1002">
                    <c:v>0</c:v>
                  </c:pt>
                  <c:pt idx="1003">
                    <c:v>0</c:v>
                  </c:pt>
                  <c:pt idx="1004">
                    <c:v>0</c:v>
                  </c:pt>
                  <c:pt idx="1005">
                    <c:v>0</c:v>
                  </c:pt>
                  <c:pt idx="1006">
                    <c:v>0</c:v>
                  </c:pt>
                  <c:pt idx="1007">
                    <c:v>0</c:v>
                  </c:pt>
                  <c:pt idx="1008">
                    <c:v>0</c:v>
                  </c:pt>
                  <c:pt idx="1009">
                    <c:v>0</c:v>
                  </c:pt>
                  <c:pt idx="1010">
                    <c:v>0</c:v>
                  </c:pt>
                  <c:pt idx="1011">
                    <c:v>0</c:v>
                  </c:pt>
                  <c:pt idx="1012">
                    <c:v>0</c:v>
                  </c:pt>
                  <c:pt idx="1013">
                    <c:v>0</c:v>
                  </c:pt>
                  <c:pt idx="1014">
                    <c:v>0</c:v>
                  </c:pt>
                  <c:pt idx="1015">
                    <c:v>0</c:v>
                  </c:pt>
                  <c:pt idx="1016">
                    <c:v>0</c:v>
                  </c:pt>
                  <c:pt idx="1017">
                    <c:v>0</c:v>
                  </c:pt>
                  <c:pt idx="1018">
                    <c:v>0</c:v>
                  </c:pt>
                  <c:pt idx="1019">
                    <c:v>0</c:v>
                  </c:pt>
                  <c:pt idx="1020">
                    <c:v>0</c:v>
                  </c:pt>
                  <c:pt idx="1021">
                    <c:v>0</c:v>
                  </c:pt>
                  <c:pt idx="1022">
                    <c:v>0</c:v>
                  </c:pt>
                  <c:pt idx="1023">
                    <c:v>0</c:v>
                  </c:pt>
                  <c:pt idx="1024">
                    <c:v>0</c:v>
                  </c:pt>
                  <c:pt idx="1025">
                    <c:v>0</c:v>
                  </c:pt>
                  <c:pt idx="1026">
                    <c:v>0</c:v>
                  </c:pt>
                  <c:pt idx="1027">
                    <c:v>0</c:v>
                  </c:pt>
                  <c:pt idx="1028">
                    <c:v>0</c:v>
                  </c:pt>
                  <c:pt idx="1029">
                    <c:v>0</c:v>
                  </c:pt>
                  <c:pt idx="1030">
                    <c:v>0</c:v>
                  </c:pt>
                  <c:pt idx="1031">
                    <c:v>0</c:v>
                  </c:pt>
                  <c:pt idx="1032">
                    <c:v>0</c:v>
                  </c:pt>
                  <c:pt idx="1033">
                    <c:v>0</c:v>
                  </c:pt>
                  <c:pt idx="1034">
                    <c:v>0</c:v>
                  </c:pt>
                  <c:pt idx="1035">
                    <c:v>0</c:v>
                  </c:pt>
                  <c:pt idx="1036">
                    <c:v>0</c:v>
                  </c:pt>
                  <c:pt idx="1037">
                    <c:v>0</c:v>
                  </c:pt>
                  <c:pt idx="1038">
                    <c:v>0</c:v>
                  </c:pt>
                  <c:pt idx="1039">
                    <c:v>0</c:v>
                  </c:pt>
                  <c:pt idx="1040">
                    <c:v>0</c:v>
                  </c:pt>
                  <c:pt idx="1041">
                    <c:v>0</c:v>
                  </c:pt>
                  <c:pt idx="1042">
                    <c:v>0</c:v>
                  </c:pt>
                  <c:pt idx="1043">
                    <c:v>0</c:v>
                  </c:pt>
                  <c:pt idx="1044">
                    <c:v>0</c:v>
                  </c:pt>
                  <c:pt idx="1045">
                    <c:v>0</c:v>
                  </c:pt>
                  <c:pt idx="1046">
                    <c:v>0</c:v>
                  </c:pt>
                  <c:pt idx="1047">
                    <c:v>0</c:v>
                  </c:pt>
                  <c:pt idx="1048">
                    <c:v>0</c:v>
                  </c:pt>
                  <c:pt idx="1049">
                    <c:v>0</c:v>
                  </c:pt>
                  <c:pt idx="1050">
                    <c:v>0</c:v>
                  </c:pt>
                  <c:pt idx="1051">
                    <c:v>0</c:v>
                  </c:pt>
                  <c:pt idx="1052">
                    <c:v>0</c:v>
                  </c:pt>
                  <c:pt idx="1053">
                    <c:v>0</c:v>
                  </c:pt>
                  <c:pt idx="1054">
                    <c:v>0</c:v>
                  </c:pt>
                  <c:pt idx="1055">
                    <c:v>0</c:v>
                  </c:pt>
                  <c:pt idx="1056">
                    <c:v>0</c:v>
                  </c:pt>
                  <c:pt idx="1057">
                    <c:v>0</c:v>
                  </c:pt>
                  <c:pt idx="1058">
                    <c:v>0</c:v>
                  </c:pt>
                  <c:pt idx="1059">
                    <c:v>0</c:v>
                  </c:pt>
                  <c:pt idx="1060">
                    <c:v>0</c:v>
                  </c:pt>
                  <c:pt idx="1061">
                    <c:v>0</c:v>
                  </c:pt>
                  <c:pt idx="1062">
                    <c:v>0</c:v>
                  </c:pt>
                  <c:pt idx="1063">
                    <c:v>0</c:v>
                  </c:pt>
                  <c:pt idx="1064">
                    <c:v>0</c:v>
                  </c:pt>
                  <c:pt idx="1065">
                    <c:v>0</c:v>
                  </c:pt>
                  <c:pt idx="1066">
                    <c:v>0</c:v>
                  </c:pt>
                  <c:pt idx="1067">
                    <c:v>0</c:v>
                  </c:pt>
                  <c:pt idx="1068">
                    <c:v>0</c:v>
                  </c:pt>
                  <c:pt idx="1069">
                    <c:v>0</c:v>
                  </c:pt>
                  <c:pt idx="1070">
                    <c:v>0</c:v>
                  </c:pt>
                  <c:pt idx="1071">
                    <c:v>0</c:v>
                  </c:pt>
                  <c:pt idx="1072">
                    <c:v>0</c:v>
                  </c:pt>
                  <c:pt idx="1073">
                    <c:v>0</c:v>
                  </c:pt>
                  <c:pt idx="1074">
                    <c:v>0</c:v>
                  </c:pt>
                  <c:pt idx="1075">
                    <c:v>0</c:v>
                  </c:pt>
                  <c:pt idx="1076">
                    <c:v>0</c:v>
                  </c:pt>
                  <c:pt idx="1077">
                    <c:v>0</c:v>
                  </c:pt>
                  <c:pt idx="1078">
                    <c:v>0</c:v>
                  </c:pt>
                  <c:pt idx="1079">
                    <c:v>0</c:v>
                  </c:pt>
                  <c:pt idx="1080">
                    <c:v>0</c:v>
                  </c:pt>
                  <c:pt idx="1081">
                    <c:v>0</c:v>
                  </c:pt>
                  <c:pt idx="1082">
                    <c:v>0</c:v>
                  </c:pt>
                  <c:pt idx="1083">
                    <c:v>0</c:v>
                  </c:pt>
                  <c:pt idx="1084">
                    <c:v>0</c:v>
                  </c:pt>
                  <c:pt idx="1085">
                    <c:v>0</c:v>
                  </c:pt>
                  <c:pt idx="1086">
                    <c:v>0</c:v>
                  </c:pt>
                  <c:pt idx="1087">
                    <c:v>0</c:v>
                  </c:pt>
                  <c:pt idx="1088">
                    <c:v>0</c:v>
                  </c:pt>
                  <c:pt idx="1089">
                    <c:v>0</c:v>
                  </c:pt>
                  <c:pt idx="1090">
                    <c:v>0</c:v>
                  </c:pt>
                  <c:pt idx="1091">
                    <c:v>0</c:v>
                  </c:pt>
                  <c:pt idx="1092">
                    <c:v>0</c:v>
                  </c:pt>
                  <c:pt idx="1093">
                    <c:v>0</c:v>
                  </c:pt>
                  <c:pt idx="1094">
                    <c:v>0</c:v>
                  </c:pt>
                  <c:pt idx="1095">
                    <c:v>0</c:v>
                  </c:pt>
                  <c:pt idx="1096">
                    <c:v>0</c:v>
                  </c:pt>
                  <c:pt idx="1097">
                    <c:v>0</c:v>
                  </c:pt>
                  <c:pt idx="1098">
                    <c:v>0</c:v>
                  </c:pt>
                  <c:pt idx="1099">
                    <c:v>0</c:v>
                  </c:pt>
                  <c:pt idx="1100">
                    <c:v>0</c:v>
                  </c:pt>
                  <c:pt idx="1101">
                    <c:v>0</c:v>
                  </c:pt>
                  <c:pt idx="1102">
                    <c:v>0</c:v>
                  </c:pt>
                  <c:pt idx="1103">
                    <c:v>0</c:v>
                  </c:pt>
                  <c:pt idx="1104">
                    <c:v>0</c:v>
                  </c:pt>
                  <c:pt idx="1105">
                    <c:v>0</c:v>
                  </c:pt>
                  <c:pt idx="1106">
                    <c:v>0</c:v>
                  </c:pt>
                  <c:pt idx="1107">
                    <c:v>0</c:v>
                  </c:pt>
                  <c:pt idx="1108">
                    <c:v>0</c:v>
                  </c:pt>
                  <c:pt idx="1109">
                    <c:v>0</c:v>
                  </c:pt>
                  <c:pt idx="1110">
                    <c:v>0</c:v>
                  </c:pt>
                  <c:pt idx="1111">
                    <c:v>0</c:v>
                  </c:pt>
                  <c:pt idx="1112">
                    <c:v>0</c:v>
                  </c:pt>
                  <c:pt idx="1113">
                    <c:v>0</c:v>
                  </c:pt>
                  <c:pt idx="1114">
                    <c:v>0</c:v>
                  </c:pt>
                  <c:pt idx="1115">
                    <c:v>0</c:v>
                  </c:pt>
                  <c:pt idx="1116">
                    <c:v>0</c:v>
                  </c:pt>
                  <c:pt idx="1117">
                    <c:v>0</c:v>
                  </c:pt>
                  <c:pt idx="1118">
                    <c:v>0</c:v>
                  </c:pt>
                  <c:pt idx="1119">
                    <c:v>0</c:v>
                  </c:pt>
                  <c:pt idx="1120">
                    <c:v>0</c:v>
                  </c:pt>
                  <c:pt idx="1121">
                    <c:v>0</c:v>
                  </c:pt>
                  <c:pt idx="1122">
                    <c:v>0</c:v>
                  </c:pt>
                  <c:pt idx="1123">
                    <c:v>0</c:v>
                  </c:pt>
                  <c:pt idx="1124">
                    <c:v>0</c:v>
                  </c:pt>
                  <c:pt idx="1125">
                    <c:v>0</c:v>
                  </c:pt>
                  <c:pt idx="1126">
                    <c:v>0</c:v>
                  </c:pt>
                  <c:pt idx="1127">
                    <c:v>0</c:v>
                  </c:pt>
                  <c:pt idx="1128">
                    <c:v>0</c:v>
                  </c:pt>
                  <c:pt idx="1129">
                    <c:v>0</c:v>
                  </c:pt>
                  <c:pt idx="1130">
                    <c:v>0</c:v>
                  </c:pt>
                  <c:pt idx="1131">
                    <c:v>0</c:v>
                  </c:pt>
                  <c:pt idx="1132">
                    <c:v>0</c:v>
                  </c:pt>
                  <c:pt idx="1133">
                    <c:v>0</c:v>
                  </c:pt>
                  <c:pt idx="1134">
                    <c:v>0</c:v>
                  </c:pt>
                  <c:pt idx="1135">
                    <c:v>0</c:v>
                  </c:pt>
                  <c:pt idx="1136">
                    <c:v>0</c:v>
                  </c:pt>
                  <c:pt idx="1137">
                    <c:v>0</c:v>
                  </c:pt>
                  <c:pt idx="1138">
                    <c:v>0</c:v>
                  </c:pt>
                  <c:pt idx="1139">
                    <c:v>0</c:v>
                  </c:pt>
                  <c:pt idx="1140">
                    <c:v>0</c:v>
                  </c:pt>
                  <c:pt idx="1141">
                    <c:v>0</c:v>
                  </c:pt>
                  <c:pt idx="1142">
                    <c:v>0</c:v>
                  </c:pt>
                  <c:pt idx="1143">
                    <c:v>0</c:v>
                  </c:pt>
                  <c:pt idx="1144">
                    <c:v>0</c:v>
                  </c:pt>
                  <c:pt idx="1145">
                    <c:v>0</c:v>
                  </c:pt>
                  <c:pt idx="1146">
                    <c:v>0</c:v>
                  </c:pt>
                  <c:pt idx="1147">
                    <c:v>0</c:v>
                  </c:pt>
                  <c:pt idx="1148">
                    <c:v>0</c:v>
                  </c:pt>
                  <c:pt idx="1149">
                    <c:v>0</c:v>
                  </c:pt>
                  <c:pt idx="1150">
                    <c:v>0</c:v>
                  </c:pt>
                  <c:pt idx="1151">
                    <c:v>0</c:v>
                  </c:pt>
                  <c:pt idx="1152">
                    <c:v>0</c:v>
                  </c:pt>
                  <c:pt idx="1153">
                    <c:v>0</c:v>
                  </c:pt>
                  <c:pt idx="1154">
                    <c:v>0</c:v>
                  </c:pt>
                  <c:pt idx="1155">
                    <c:v>0</c:v>
                  </c:pt>
                  <c:pt idx="1156">
                    <c:v>0</c:v>
                  </c:pt>
                  <c:pt idx="1157">
                    <c:v>0</c:v>
                  </c:pt>
                  <c:pt idx="1158">
                    <c:v>0</c:v>
                  </c:pt>
                  <c:pt idx="1159">
                    <c:v>0</c:v>
                  </c:pt>
                  <c:pt idx="1160">
                    <c:v>0</c:v>
                  </c:pt>
                  <c:pt idx="1161">
                    <c:v>0</c:v>
                  </c:pt>
                  <c:pt idx="1162">
                    <c:v>0</c:v>
                  </c:pt>
                  <c:pt idx="1163">
                    <c:v>0</c:v>
                  </c:pt>
                  <c:pt idx="1164">
                    <c:v>0</c:v>
                  </c:pt>
                  <c:pt idx="1165">
                    <c:v>0</c:v>
                  </c:pt>
                  <c:pt idx="1166">
                    <c:v>0</c:v>
                  </c:pt>
                  <c:pt idx="1167">
                    <c:v>0</c:v>
                  </c:pt>
                  <c:pt idx="1168">
                    <c:v>0</c:v>
                  </c:pt>
                  <c:pt idx="1169">
                    <c:v>0</c:v>
                  </c:pt>
                  <c:pt idx="1170">
                    <c:v>0</c:v>
                  </c:pt>
                  <c:pt idx="1171">
                    <c:v>0</c:v>
                  </c:pt>
                  <c:pt idx="1172">
                    <c:v>0</c:v>
                  </c:pt>
                  <c:pt idx="1173">
                    <c:v>0</c:v>
                  </c:pt>
                  <c:pt idx="1174">
                    <c:v>0</c:v>
                  </c:pt>
                  <c:pt idx="1175">
                    <c:v>0</c:v>
                  </c:pt>
                  <c:pt idx="1176">
                    <c:v>0</c:v>
                  </c:pt>
                  <c:pt idx="1177">
                    <c:v>0</c:v>
                  </c:pt>
                  <c:pt idx="1178">
                    <c:v>0</c:v>
                  </c:pt>
                  <c:pt idx="1179">
                    <c:v>0</c:v>
                  </c:pt>
                  <c:pt idx="1180">
                    <c:v>0</c:v>
                  </c:pt>
                  <c:pt idx="1181">
                    <c:v>0</c:v>
                  </c:pt>
                  <c:pt idx="1182">
                    <c:v>0</c:v>
                  </c:pt>
                  <c:pt idx="1183">
                    <c:v>0</c:v>
                  </c:pt>
                  <c:pt idx="1184">
                    <c:v>0</c:v>
                  </c:pt>
                  <c:pt idx="1185">
                    <c:v>0</c:v>
                  </c:pt>
                  <c:pt idx="1186">
                    <c:v>0</c:v>
                  </c:pt>
                  <c:pt idx="1187">
                    <c:v>0</c:v>
                  </c:pt>
                  <c:pt idx="1188">
                    <c:v>0</c:v>
                  </c:pt>
                  <c:pt idx="1189">
                    <c:v>0</c:v>
                  </c:pt>
                  <c:pt idx="1190">
                    <c:v>0</c:v>
                  </c:pt>
                  <c:pt idx="1191">
                    <c:v>0</c:v>
                  </c:pt>
                  <c:pt idx="1192">
                    <c:v>0</c:v>
                  </c:pt>
                  <c:pt idx="1193">
                    <c:v>0</c:v>
                  </c:pt>
                  <c:pt idx="1194">
                    <c:v>0</c:v>
                  </c:pt>
                  <c:pt idx="1195">
                    <c:v>0</c:v>
                  </c:pt>
                  <c:pt idx="1196">
                    <c:v>0</c:v>
                  </c:pt>
                  <c:pt idx="1197">
                    <c:v>0</c:v>
                  </c:pt>
                  <c:pt idx="1198">
                    <c:v>0</c:v>
                  </c:pt>
                  <c:pt idx="1199">
                    <c:v>0</c:v>
                  </c:pt>
                  <c:pt idx="1200">
                    <c:v>0</c:v>
                  </c:pt>
                  <c:pt idx="1201">
                    <c:v>0</c:v>
                  </c:pt>
                  <c:pt idx="1202">
                    <c:v>0</c:v>
                  </c:pt>
                  <c:pt idx="1203">
                    <c:v>0</c:v>
                  </c:pt>
                  <c:pt idx="1204">
                    <c:v>0</c:v>
                  </c:pt>
                  <c:pt idx="1205">
                    <c:v>0</c:v>
                  </c:pt>
                  <c:pt idx="1206">
                    <c:v>0</c:v>
                  </c:pt>
                  <c:pt idx="1207">
                    <c:v>0</c:v>
                  </c:pt>
                  <c:pt idx="1208">
                    <c:v>0</c:v>
                  </c:pt>
                  <c:pt idx="1209">
                    <c:v>0</c:v>
                  </c:pt>
                  <c:pt idx="1210">
                    <c:v>0</c:v>
                  </c:pt>
                  <c:pt idx="1211">
                    <c:v>0</c:v>
                  </c:pt>
                  <c:pt idx="1212">
                    <c:v>0</c:v>
                  </c:pt>
                  <c:pt idx="1213">
                    <c:v>0</c:v>
                  </c:pt>
                  <c:pt idx="1214">
                    <c:v>0</c:v>
                  </c:pt>
                  <c:pt idx="1215">
                    <c:v>0</c:v>
                  </c:pt>
                  <c:pt idx="1216">
                    <c:v>0</c:v>
                  </c:pt>
                  <c:pt idx="1217">
                    <c:v>0</c:v>
                  </c:pt>
                  <c:pt idx="1218">
                    <c:v>0</c:v>
                  </c:pt>
                  <c:pt idx="1219">
                    <c:v>0</c:v>
                  </c:pt>
                  <c:pt idx="1220">
                    <c:v>0</c:v>
                  </c:pt>
                  <c:pt idx="1221">
                    <c:v>0</c:v>
                  </c:pt>
                  <c:pt idx="1222">
                    <c:v>0</c:v>
                  </c:pt>
                  <c:pt idx="1223">
                    <c:v>0</c:v>
                  </c:pt>
                  <c:pt idx="1224">
                    <c:v>0</c:v>
                  </c:pt>
                  <c:pt idx="1225">
                    <c:v>0</c:v>
                  </c:pt>
                  <c:pt idx="1226">
                    <c:v>0</c:v>
                  </c:pt>
                  <c:pt idx="1227">
                    <c:v>0</c:v>
                  </c:pt>
                  <c:pt idx="1228">
                    <c:v>0</c:v>
                  </c:pt>
                  <c:pt idx="1229">
                    <c:v>0</c:v>
                  </c:pt>
                  <c:pt idx="1230">
                    <c:v>0</c:v>
                  </c:pt>
                  <c:pt idx="1231">
                    <c:v>0</c:v>
                  </c:pt>
                  <c:pt idx="1232">
                    <c:v>0</c:v>
                  </c:pt>
                  <c:pt idx="1233">
                    <c:v>0</c:v>
                  </c:pt>
                  <c:pt idx="1234">
                    <c:v>0</c:v>
                  </c:pt>
                  <c:pt idx="1235">
                    <c:v>0</c:v>
                  </c:pt>
                  <c:pt idx="1236">
                    <c:v>0</c:v>
                  </c:pt>
                  <c:pt idx="1237">
                    <c:v>0</c:v>
                  </c:pt>
                  <c:pt idx="1238">
                    <c:v>0</c:v>
                  </c:pt>
                  <c:pt idx="1239">
                    <c:v>0</c:v>
                  </c:pt>
                  <c:pt idx="1240">
                    <c:v>0</c:v>
                  </c:pt>
                  <c:pt idx="1241">
                    <c:v>0</c:v>
                  </c:pt>
                  <c:pt idx="1242">
                    <c:v>0</c:v>
                  </c:pt>
                  <c:pt idx="1243">
                    <c:v>0</c:v>
                  </c:pt>
                  <c:pt idx="1244">
                    <c:v>0</c:v>
                  </c:pt>
                  <c:pt idx="1245">
                    <c:v>0</c:v>
                  </c:pt>
                  <c:pt idx="1246">
                    <c:v>0</c:v>
                  </c:pt>
                  <c:pt idx="1247">
                    <c:v>0</c:v>
                  </c:pt>
                  <c:pt idx="1248">
                    <c:v>0</c:v>
                  </c:pt>
                  <c:pt idx="1249">
                    <c:v>0</c:v>
                  </c:pt>
                  <c:pt idx="1250">
                    <c:v>0</c:v>
                  </c:pt>
                  <c:pt idx="1251">
                    <c:v>0</c:v>
                  </c:pt>
                  <c:pt idx="1252">
                    <c:v>0</c:v>
                  </c:pt>
                  <c:pt idx="1253">
                    <c:v>0</c:v>
                  </c:pt>
                  <c:pt idx="1254">
                    <c:v>0</c:v>
                  </c:pt>
                  <c:pt idx="1255">
                    <c:v>0</c:v>
                  </c:pt>
                  <c:pt idx="1256">
                    <c:v>0</c:v>
                  </c:pt>
                  <c:pt idx="1257">
                    <c:v>0</c:v>
                  </c:pt>
                  <c:pt idx="1258">
                    <c:v>0</c:v>
                  </c:pt>
                  <c:pt idx="1259">
                    <c:v>0</c:v>
                  </c:pt>
                  <c:pt idx="1260">
                    <c:v>0</c:v>
                  </c:pt>
                  <c:pt idx="1261">
                    <c:v>0</c:v>
                  </c:pt>
                  <c:pt idx="1262">
                    <c:v>0</c:v>
                  </c:pt>
                  <c:pt idx="1263">
                    <c:v>0</c:v>
                  </c:pt>
                  <c:pt idx="1264">
                    <c:v>0</c:v>
                  </c:pt>
                  <c:pt idx="1265">
                    <c:v>0</c:v>
                  </c:pt>
                  <c:pt idx="1266">
                    <c:v>0</c:v>
                  </c:pt>
                  <c:pt idx="1267">
                    <c:v>0</c:v>
                  </c:pt>
                  <c:pt idx="1268">
                    <c:v>0</c:v>
                  </c:pt>
                  <c:pt idx="1269">
                    <c:v>0</c:v>
                  </c:pt>
                  <c:pt idx="1270">
                    <c:v>0</c:v>
                  </c:pt>
                  <c:pt idx="1271">
                    <c:v>0</c:v>
                  </c:pt>
                  <c:pt idx="1272">
                    <c:v>0</c:v>
                  </c:pt>
                  <c:pt idx="1273">
                    <c:v>0</c:v>
                  </c:pt>
                  <c:pt idx="1274">
                    <c:v>0</c:v>
                  </c:pt>
                  <c:pt idx="1275">
                    <c:v>0</c:v>
                  </c:pt>
                  <c:pt idx="1276">
                    <c:v>0</c:v>
                  </c:pt>
                  <c:pt idx="1277">
                    <c:v>0</c:v>
                  </c:pt>
                  <c:pt idx="1278">
                    <c:v>0</c:v>
                  </c:pt>
                  <c:pt idx="1279">
                    <c:v>0</c:v>
                  </c:pt>
                  <c:pt idx="1280">
                    <c:v>0</c:v>
                  </c:pt>
                  <c:pt idx="1281">
                    <c:v>0</c:v>
                  </c:pt>
                  <c:pt idx="1282">
                    <c:v>0</c:v>
                  </c:pt>
                  <c:pt idx="1283">
                    <c:v>0</c:v>
                  </c:pt>
                  <c:pt idx="1284">
                    <c:v>0</c:v>
                  </c:pt>
                  <c:pt idx="1285">
                    <c:v>0</c:v>
                  </c:pt>
                  <c:pt idx="1286">
                    <c:v>0</c:v>
                  </c:pt>
                  <c:pt idx="1287">
                    <c:v>0</c:v>
                  </c:pt>
                  <c:pt idx="1288">
                    <c:v>0</c:v>
                  </c:pt>
                  <c:pt idx="1289">
                    <c:v>0</c:v>
                  </c:pt>
                  <c:pt idx="1290">
                    <c:v>0</c:v>
                  </c:pt>
                  <c:pt idx="1291">
                    <c:v>0</c:v>
                  </c:pt>
                  <c:pt idx="1292">
                    <c:v>0</c:v>
                  </c:pt>
                  <c:pt idx="1293">
                    <c:v>0</c:v>
                  </c:pt>
                  <c:pt idx="1294">
                    <c:v>0</c:v>
                  </c:pt>
                  <c:pt idx="1295">
                    <c:v>0</c:v>
                  </c:pt>
                  <c:pt idx="1296">
                    <c:v>0</c:v>
                  </c:pt>
                  <c:pt idx="1297">
                    <c:v>0</c:v>
                  </c:pt>
                  <c:pt idx="1298">
                    <c:v>0</c:v>
                  </c:pt>
                  <c:pt idx="1299">
                    <c:v>0</c:v>
                  </c:pt>
                  <c:pt idx="1300">
                    <c:v>0</c:v>
                  </c:pt>
                  <c:pt idx="1301">
                    <c:v>0</c:v>
                  </c:pt>
                  <c:pt idx="1302">
                    <c:v>0</c:v>
                  </c:pt>
                  <c:pt idx="1303">
                    <c:v>0</c:v>
                  </c:pt>
                  <c:pt idx="1304">
                    <c:v>0</c:v>
                  </c:pt>
                  <c:pt idx="1305">
                    <c:v>0</c:v>
                  </c:pt>
                  <c:pt idx="1306">
                    <c:v>0</c:v>
                  </c:pt>
                  <c:pt idx="1307">
                    <c:v>0</c:v>
                  </c:pt>
                  <c:pt idx="1308">
                    <c:v>0</c:v>
                  </c:pt>
                  <c:pt idx="1309">
                    <c:v>0</c:v>
                  </c:pt>
                  <c:pt idx="1310">
                    <c:v>0</c:v>
                  </c:pt>
                  <c:pt idx="1311">
                    <c:v>0</c:v>
                  </c:pt>
                  <c:pt idx="1312">
                    <c:v>0</c:v>
                  </c:pt>
                  <c:pt idx="1313">
                    <c:v>0</c:v>
                  </c:pt>
                  <c:pt idx="1314">
                    <c:v>0</c:v>
                  </c:pt>
                  <c:pt idx="1315">
                    <c:v>0</c:v>
                  </c:pt>
                  <c:pt idx="1316">
                    <c:v>0</c:v>
                  </c:pt>
                  <c:pt idx="1317">
                    <c:v>0</c:v>
                  </c:pt>
                  <c:pt idx="1318">
                    <c:v>0</c:v>
                  </c:pt>
                  <c:pt idx="1319">
                    <c:v>0</c:v>
                  </c:pt>
                  <c:pt idx="1320">
                    <c:v>0</c:v>
                  </c:pt>
                  <c:pt idx="1321">
                    <c:v>0</c:v>
                  </c:pt>
                  <c:pt idx="1322">
                    <c:v>0</c:v>
                  </c:pt>
                  <c:pt idx="1323">
                    <c:v>0</c:v>
                  </c:pt>
                  <c:pt idx="1324">
                    <c:v>0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0</c:v>
                  </c:pt>
                  <c:pt idx="1329">
                    <c:v>0</c:v>
                  </c:pt>
                  <c:pt idx="1330">
                    <c:v>0</c:v>
                  </c:pt>
                  <c:pt idx="1331">
                    <c:v>0</c:v>
                  </c:pt>
                  <c:pt idx="1332">
                    <c:v>0</c:v>
                  </c:pt>
                  <c:pt idx="1333">
                    <c:v>0</c:v>
                  </c:pt>
                  <c:pt idx="1334">
                    <c:v>0</c:v>
                  </c:pt>
                  <c:pt idx="1335">
                    <c:v>0</c:v>
                  </c:pt>
                  <c:pt idx="1336">
                    <c:v>0</c:v>
                  </c:pt>
                  <c:pt idx="1337">
                    <c:v>0</c:v>
                  </c:pt>
                  <c:pt idx="1338">
                    <c:v>0</c:v>
                  </c:pt>
                  <c:pt idx="1339">
                    <c:v>0</c:v>
                  </c:pt>
                  <c:pt idx="1340">
                    <c:v>0</c:v>
                  </c:pt>
                  <c:pt idx="1341">
                    <c:v>0</c:v>
                  </c:pt>
                  <c:pt idx="1342">
                    <c:v>0</c:v>
                  </c:pt>
                  <c:pt idx="1343">
                    <c:v>0</c:v>
                  </c:pt>
                  <c:pt idx="1344">
                    <c:v>0</c:v>
                  </c:pt>
                  <c:pt idx="1345">
                    <c:v>0</c:v>
                  </c:pt>
                  <c:pt idx="1346">
                    <c:v>0</c:v>
                  </c:pt>
                  <c:pt idx="1347">
                    <c:v>0</c:v>
                  </c:pt>
                  <c:pt idx="1348">
                    <c:v>0</c:v>
                  </c:pt>
                  <c:pt idx="1349">
                    <c:v>0</c:v>
                  </c:pt>
                  <c:pt idx="1350">
                    <c:v>0</c:v>
                  </c:pt>
                  <c:pt idx="1351">
                    <c:v>0</c:v>
                  </c:pt>
                  <c:pt idx="1352">
                    <c:v>0</c:v>
                  </c:pt>
                  <c:pt idx="1353">
                    <c:v>0</c:v>
                  </c:pt>
                  <c:pt idx="1354">
                    <c:v>0</c:v>
                  </c:pt>
                  <c:pt idx="1355">
                    <c:v>0</c:v>
                  </c:pt>
                  <c:pt idx="1356">
                    <c:v>0</c:v>
                  </c:pt>
                  <c:pt idx="1357">
                    <c:v>0</c:v>
                  </c:pt>
                  <c:pt idx="1358">
                    <c:v>0</c:v>
                  </c:pt>
                  <c:pt idx="1359">
                    <c:v>0</c:v>
                  </c:pt>
                  <c:pt idx="1360">
                    <c:v>0</c:v>
                  </c:pt>
                  <c:pt idx="1361">
                    <c:v>0</c:v>
                  </c:pt>
                  <c:pt idx="1362">
                    <c:v>0</c:v>
                  </c:pt>
                  <c:pt idx="1363">
                    <c:v>0</c:v>
                  </c:pt>
                  <c:pt idx="1364">
                    <c:v>0</c:v>
                  </c:pt>
                  <c:pt idx="1365">
                    <c:v>0</c:v>
                  </c:pt>
                  <c:pt idx="1366">
                    <c:v>0</c:v>
                  </c:pt>
                  <c:pt idx="1367">
                    <c:v>0</c:v>
                  </c:pt>
                  <c:pt idx="1368">
                    <c:v>0</c:v>
                  </c:pt>
                  <c:pt idx="1369">
                    <c:v>0</c:v>
                  </c:pt>
                  <c:pt idx="1370">
                    <c:v>0</c:v>
                  </c:pt>
                  <c:pt idx="1371">
                    <c:v>0</c:v>
                  </c:pt>
                  <c:pt idx="1372">
                    <c:v>0</c:v>
                  </c:pt>
                  <c:pt idx="1373">
                    <c:v>0</c:v>
                  </c:pt>
                  <c:pt idx="1374">
                    <c:v>0</c:v>
                  </c:pt>
                  <c:pt idx="1375">
                    <c:v>0</c:v>
                  </c:pt>
                  <c:pt idx="1376">
                    <c:v>0</c:v>
                  </c:pt>
                  <c:pt idx="1377">
                    <c:v>0</c:v>
                  </c:pt>
                  <c:pt idx="1378">
                    <c:v>0</c:v>
                  </c:pt>
                  <c:pt idx="1379">
                    <c:v>0</c:v>
                  </c:pt>
                  <c:pt idx="1380">
                    <c:v>0</c:v>
                  </c:pt>
                  <c:pt idx="1381">
                    <c:v>0</c:v>
                  </c:pt>
                  <c:pt idx="1382">
                    <c:v>0</c:v>
                  </c:pt>
                  <c:pt idx="1383">
                    <c:v>0</c:v>
                  </c:pt>
                  <c:pt idx="1384">
                    <c:v>0</c:v>
                  </c:pt>
                  <c:pt idx="1385">
                    <c:v>0</c:v>
                  </c:pt>
                  <c:pt idx="1386">
                    <c:v>0</c:v>
                  </c:pt>
                  <c:pt idx="1387">
                    <c:v>0</c:v>
                  </c:pt>
                  <c:pt idx="1388">
                    <c:v>0</c:v>
                  </c:pt>
                  <c:pt idx="1389">
                    <c:v>0</c:v>
                  </c:pt>
                  <c:pt idx="1390">
                    <c:v>0</c:v>
                  </c:pt>
                  <c:pt idx="1391">
                    <c:v>0</c:v>
                  </c:pt>
                  <c:pt idx="1392">
                    <c:v>0</c:v>
                  </c:pt>
                  <c:pt idx="1393">
                    <c:v>0</c:v>
                  </c:pt>
                  <c:pt idx="1394">
                    <c:v>0</c:v>
                  </c:pt>
                  <c:pt idx="1395">
                    <c:v>0</c:v>
                  </c:pt>
                  <c:pt idx="1396">
                    <c:v>0</c:v>
                  </c:pt>
                  <c:pt idx="1397">
                    <c:v>0</c:v>
                  </c:pt>
                  <c:pt idx="1398">
                    <c:v>0</c:v>
                  </c:pt>
                  <c:pt idx="1399">
                    <c:v>0</c:v>
                  </c:pt>
                  <c:pt idx="1400">
                    <c:v>0</c:v>
                  </c:pt>
                  <c:pt idx="1401">
                    <c:v>0</c:v>
                  </c:pt>
                  <c:pt idx="1402">
                    <c:v>0</c:v>
                  </c:pt>
                  <c:pt idx="1403">
                    <c:v>0</c:v>
                  </c:pt>
                  <c:pt idx="1404">
                    <c:v>0</c:v>
                  </c:pt>
                  <c:pt idx="1405">
                    <c:v>0</c:v>
                  </c:pt>
                  <c:pt idx="1406">
                    <c:v>0</c:v>
                  </c:pt>
                  <c:pt idx="1407">
                    <c:v>0</c:v>
                  </c:pt>
                  <c:pt idx="1408">
                    <c:v>0</c:v>
                  </c:pt>
                  <c:pt idx="1409">
                    <c:v>0</c:v>
                  </c:pt>
                  <c:pt idx="1410">
                    <c:v>0</c:v>
                  </c:pt>
                  <c:pt idx="1411">
                    <c:v>0</c:v>
                  </c:pt>
                  <c:pt idx="1412">
                    <c:v>0</c:v>
                  </c:pt>
                  <c:pt idx="1413">
                    <c:v>0</c:v>
                  </c:pt>
                  <c:pt idx="1414">
                    <c:v>0</c:v>
                  </c:pt>
                  <c:pt idx="1415">
                    <c:v>0</c:v>
                  </c:pt>
                  <c:pt idx="1416">
                    <c:v>0</c:v>
                  </c:pt>
                  <c:pt idx="1417">
                    <c:v>0</c:v>
                  </c:pt>
                  <c:pt idx="1418">
                    <c:v>0</c:v>
                  </c:pt>
                  <c:pt idx="1419">
                    <c:v>0</c:v>
                  </c:pt>
                  <c:pt idx="1420">
                    <c:v>0</c:v>
                  </c:pt>
                  <c:pt idx="1421">
                    <c:v>0</c:v>
                  </c:pt>
                  <c:pt idx="1422">
                    <c:v>0</c:v>
                  </c:pt>
                  <c:pt idx="1423">
                    <c:v>0</c:v>
                  </c:pt>
                  <c:pt idx="1424">
                    <c:v>0</c:v>
                  </c:pt>
                  <c:pt idx="1425">
                    <c:v>0</c:v>
                  </c:pt>
                  <c:pt idx="1426">
                    <c:v>0</c:v>
                  </c:pt>
                  <c:pt idx="1427">
                    <c:v>0</c:v>
                  </c:pt>
                  <c:pt idx="1428">
                    <c:v>0</c:v>
                  </c:pt>
                  <c:pt idx="1429">
                    <c:v>0</c:v>
                  </c:pt>
                  <c:pt idx="1430">
                    <c:v>0</c:v>
                  </c:pt>
                  <c:pt idx="1431">
                    <c:v>0</c:v>
                  </c:pt>
                  <c:pt idx="1432">
                    <c:v>0</c:v>
                  </c:pt>
                  <c:pt idx="1433">
                    <c:v>0</c:v>
                  </c:pt>
                  <c:pt idx="1434">
                    <c:v>0</c:v>
                  </c:pt>
                  <c:pt idx="1435">
                    <c:v>0</c:v>
                  </c:pt>
                  <c:pt idx="1436">
                    <c:v>0</c:v>
                  </c:pt>
                  <c:pt idx="1437">
                    <c:v>0</c:v>
                  </c:pt>
                  <c:pt idx="1438">
                    <c:v>0</c:v>
                  </c:pt>
                  <c:pt idx="1439">
                    <c:v>0</c:v>
                  </c:pt>
                </c:numCache>
              </c:numRef>
            </c:plus>
            <c:minus>
              <c:numRef>
                <c:f>ChartData!$CS$7:$CS$1446</c:f>
                <c:numCache>
                  <c:formatCode>General</c:formatCode>
                  <c:ptCount val="1440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  <c:pt idx="161">
                    <c:v>0</c:v>
                  </c:pt>
                  <c:pt idx="162">
                    <c:v>0</c:v>
                  </c:pt>
                  <c:pt idx="163">
                    <c:v>0</c:v>
                  </c:pt>
                  <c:pt idx="164">
                    <c:v>0</c:v>
                  </c:pt>
                  <c:pt idx="165">
                    <c:v>0</c:v>
                  </c:pt>
                  <c:pt idx="166">
                    <c:v>0</c:v>
                  </c:pt>
                  <c:pt idx="167">
                    <c:v>0</c:v>
                  </c:pt>
                  <c:pt idx="168">
                    <c:v>0</c:v>
                  </c:pt>
                  <c:pt idx="169">
                    <c:v>0</c:v>
                  </c:pt>
                  <c:pt idx="170">
                    <c:v>0</c:v>
                  </c:pt>
                  <c:pt idx="171">
                    <c:v>0</c:v>
                  </c:pt>
                  <c:pt idx="172">
                    <c:v>0</c:v>
                  </c:pt>
                  <c:pt idx="173">
                    <c:v>0</c:v>
                  </c:pt>
                  <c:pt idx="174">
                    <c:v>0</c:v>
                  </c:pt>
                  <c:pt idx="175">
                    <c:v>0</c:v>
                  </c:pt>
                  <c:pt idx="176">
                    <c:v>0</c:v>
                  </c:pt>
                  <c:pt idx="177">
                    <c:v>0</c:v>
                  </c:pt>
                  <c:pt idx="178">
                    <c:v>0</c:v>
                  </c:pt>
                  <c:pt idx="179">
                    <c:v>0</c:v>
                  </c:pt>
                  <c:pt idx="180">
                    <c:v>0</c:v>
                  </c:pt>
                  <c:pt idx="181">
                    <c:v>0</c:v>
                  </c:pt>
                  <c:pt idx="182">
                    <c:v>0</c:v>
                  </c:pt>
                  <c:pt idx="183">
                    <c:v>0</c:v>
                  </c:pt>
                  <c:pt idx="184">
                    <c:v>0</c:v>
                  </c:pt>
                  <c:pt idx="185">
                    <c:v>0</c:v>
                  </c:pt>
                  <c:pt idx="186">
                    <c:v>0</c:v>
                  </c:pt>
                  <c:pt idx="187">
                    <c:v>0</c:v>
                  </c:pt>
                  <c:pt idx="188">
                    <c:v>0</c:v>
                  </c:pt>
                  <c:pt idx="189">
                    <c:v>0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  <c:pt idx="201">
                    <c:v>0</c:v>
                  </c:pt>
                  <c:pt idx="202">
                    <c:v>0</c:v>
                  </c:pt>
                  <c:pt idx="203">
                    <c:v>0</c:v>
                  </c:pt>
                  <c:pt idx="204">
                    <c:v>0</c:v>
                  </c:pt>
                  <c:pt idx="205">
                    <c:v>0</c:v>
                  </c:pt>
                  <c:pt idx="206">
                    <c:v>0</c:v>
                  </c:pt>
                  <c:pt idx="207">
                    <c:v>0</c:v>
                  </c:pt>
                  <c:pt idx="208">
                    <c:v>0</c:v>
                  </c:pt>
                  <c:pt idx="209">
                    <c:v>0</c:v>
                  </c:pt>
                  <c:pt idx="210">
                    <c:v>0</c:v>
                  </c:pt>
                  <c:pt idx="211">
                    <c:v>0</c:v>
                  </c:pt>
                  <c:pt idx="212">
                    <c:v>0</c:v>
                  </c:pt>
                  <c:pt idx="213">
                    <c:v>0</c:v>
                  </c:pt>
                  <c:pt idx="214">
                    <c:v>0</c:v>
                  </c:pt>
                  <c:pt idx="215">
                    <c:v>0</c:v>
                  </c:pt>
                  <c:pt idx="216">
                    <c:v>0</c:v>
                  </c:pt>
                  <c:pt idx="217">
                    <c:v>0</c:v>
                  </c:pt>
                  <c:pt idx="218">
                    <c:v>0</c:v>
                  </c:pt>
                  <c:pt idx="219">
                    <c:v>0</c:v>
                  </c:pt>
                  <c:pt idx="220">
                    <c:v>0</c:v>
                  </c:pt>
                  <c:pt idx="221">
                    <c:v>0</c:v>
                  </c:pt>
                  <c:pt idx="222">
                    <c:v>0</c:v>
                  </c:pt>
                  <c:pt idx="223">
                    <c:v>0</c:v>
                  </c:pt>
                  <c:pt idx="224">
                    <c:v>0</c:v>
                  </c:pt>
                  <c:pt idx="225">
                    <c:v>0</c:v>
                  </c:pt>
                  <c:pt idx="226">
                    <c:v>0</c:v>
                  </c:pt>
                  <c:pt idx="227">
                    <c:v>0</c:v>
                  </c:pt>
                  <c:pt idx="228">
                    <c:v>0</c:v>
                  </c:pt>
                  <c:pt idx="229">
                    <c:v>0</c:v>
                  </c:pt>
                  <c:pt idx="230">
                    <c:v>0</c:v>
                  </c:pt>
                  <c:pt idx="231">
                    <c:v>0</c:v>
                  </c:pt>
                  <c:pt idx="232">
                    <c:v>0</c:v>
                  </c:pt>
                  <c:pt idx="233">
                    <c:v>0</c:v>
                  </c:pt>
                  <c:pt idx="234">
                    <c:v>0</c:v>
                  </c:pt>
                  <c:pt idx="235">
                    <c:v>0</c:v>
                  </c:pt>
                  <c:pt idx="236">
                    <c:v>0</c:v>
                  </c:pt>
                  <c:pt idx="237">
                    <c:v>0</c:v>
                  </c:pt>
                  <c:pt idx="238">
                    <c:v>0</c:v>
                  </c:pt>
                  <c:pt idx="239">
                    <c:v>0</c:v>
                  </c:pt>
                  <c:pt idx="240">
                    <c:v>0</c:v>
                  </c:pt>
                  <c:pt idx="241">
                    <c:v>0</c:v>
                  </c:pt>
                  <c:pt idx="242">
                    <c:v>0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6">
                    <c:v>0</c:v>
                  </c:pt>
                  <c:pt idx="247">
                    <c:v>0</c:v>
                  </c:pt>
                  <c:pt idx="248">
                    <c:v>0</c:v>
                  </c:pt>
                  <c:pt idx="249">
                    <c:v>0</c:v>
                  </c:pt>
                  <c:pt idx="250">
                    <c:v>0</c:v>
                  </c:pt>
                  <c:pt idx="251">
                    <c:v>0</c:v>
                  </c:pt>
                  <c:pt idx="252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6">
                    <c:v>0</c:v>
                  </c:pt>
                  <c:pt idx="257">
                    <c:v>0</c:v>
                  </c:pt>
                  <c:pt idx="258">
                    <c:v>0</c:v>
                  </c:pt>
                  <c:pt idx="259">
                    <c:v>0</c:v>
                  </c:pt>
                  <c:pt idx="260">
                    <c:v>0</c:v>
                  </c:pt>
                  <c:pt idx="261">
                    <c:v>0</c:v>
                  </c:pt>
                  <c:pt idx="262">
                    <c:v>0</c:v>
                  </c:pt>
                  <c:pt idx="263">
                    <c:v>0</c:v>
                  </c:pt>
                  <c:pt idx="264">
                    <c:v>0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68">
                    <c:v>0</c:v>
                  </c:pt>
                  <c:pt idx="269">
                    <c:v>0</c:v>
                  </c:pt>
                  <c:pt idx="270">
                    <c:v>0</c:v>
                  </c:pt>
                  <c:pt idx="271">
                    <c:v>0</c:v>
                  </c:pt>
                  <c:pt idx="272">
                    <c:v>0</c:v>
                  </c:pt>
                  <c:pt idx="273">
                    <c:v>0</c:v>
                  </c:pt>
                  <c:pt idx="274">
                    <c:v>0</c:v>
                  </c:pt>
                  <c:pt idx="275">
                    <c:v>0</c:v>
                  </c:pt>
                  <c:pt idx="276">
                    <c:v>0</c:v>
                  </c:pt>
                  <c:pt idx="277">
                    <c:v>0</c:v>
                  </c:pt>
                  <c:pt idx="278">
                    <c:v>0</c:v>
                  </c:pt>
                  <c:pt idx="279">
                    <c:v>0</c:v>
                  </c:pt>
                  <c:pt idx="280">
                    <c:v>0</c:v>
                  </c:pt>
                  <c:pt idx="281">
                    <c:v>0</c:v>
                  </c:pt>
                  <c:pt idx="282">
                    <c:v>0</c:v>
                  </c:pt>
                  <c:pt idx="283">
                    <c:v>0</c:v>
                  </c:pt>
                  <c:pt idx="284">
                    <c:v>0</c:v>
                  </c:pt>
                  <c:pt idx="285">
                    <c:v>0</c:v>
                  </c:pt>
                  <c:pt idx="286">
                    <c:v>0</c:v>
                  </c:pt>
                  <c:pt idx="287">
                    <c:v>0</c:v>
                  </c:pt>
                  <c:pt idx="288">
                    <c:v>0</c:v>
                  </c:pt>
                  <c:pt idx="289">
                    <c:v>0</c:v>
                  </c:pt>
                  <c:pt idx="290">
                    <c:v>0</c:v>
                  </c:pt>
                  <c:pt idx="291">
                    <c:v>0</c:v>
                  </c:pt>
                  <c:pt idx="292">
                    <c:v>0</c:v>
                  </c:pt>
                  <c:pt idx="293">
                    <c:v>0</c:v>
                  </c:pt>
                  <c:pt idx="294">
                    <c:v>0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299">
                    <c:v>0</c:v>
                  </c:pt>
                  <c:pt idx="300">
                    <c:v>0</c:v>
                  </c:pt>
                  <c:pt idx="301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4">
                    <c:v>0</c:v>
                  </c:pt>
                  <c:pt idx="305">
                    <c:v>0</c:v>
                  </c:pt>
                  <c:pt idx="306">
                    <c:v>0</c:v>
                  </c:pt>
                  <c:pt idx="307">
                    <c:v>0</c:v>
                  </c:pt>
                  <c:pt idx="308">
                    <c:v>0</c:v>
                  </c:pt>
                  <c:pt idx="309">
                    <c:v>0</c:v>
                  </c:pt>
                  <c:pt idx="310">
                    <c:v>0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5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19">
                    <c:v>0</c:v>
                  </c:pt>
                  <c:pt idx="320">
                    <c:v>0</c:v>
                  </c:pt>
                  <c:pt idx="321">
                    <c:v>0</c:v>
                  </c:pt>
                  <c:pt idx="322">
                    <c:v>0</c:v>
                  </c:pt>
                  <c:pt idx="323">
                    <c:v>0</c:v>
                  </c:pt>
                  <c:pt idx="324">
                    <c:v>0</c:v>
                  </c:pt>
                  <c:pt idx="325">
                    <c:v>0</c:v>
                  </c:pt>
                  <c:pt idx="326">
                    <c:v>0</c:v>
                  </c:pt>
                  <c:pt idx="327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1">
                    <c:v>0</c:v>
                  </c:pt>
                  <c:pt idx="332">
                    <c:v>0</c:v>
                  </c:pt>
                  <c:pt idx="333">
                    <c:v>0</c:v>
                  </c:pt>
                  <c:pt idx="334">
                    <c:v>0</c:v>
                  </c:pt>
                  <c:pt idx="335">
                    <c:v>0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39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0</c:v>
                  </c:pt>
                  <c:pt idx="344">
                    <c:v>0</c:v>
                  </c:pt>
                  <c:pt idx="345">
                    <c:v>0</c:v>
                  </c:pt>
                  <c:pt idx="346">
                    <c:v>0</c:v>
                  </c:pt>
                  <c:pt idx="347">
                    <c:v>0</c:v>
                  </c:pt>
                  <c:pt idx="348">
                    <c:v>0</c:v>
                  </c:pt>
                  <c:pt idx="349">
                    <c:v>0</c:v>
                  </c:pt>
                  <c:pt idx="350">
                    <c:v>0</c:v>
                  </c:pt>
                  <c:pt idx="351">
                    <c:v>0</c:v>
                  </c:pt>
                  <c:pt idx="352">
                    <c:v>0</c:v>
                  </c:pt>
                  <c:pt idx="353">
                    <c:v>0</c:v>
                  </c:pt>
                  <c:pt idx="354">
                    <c:v>0</c:v>
                  </c:pt>
                  <c:pt idx="355">
                    <c:v>0</c:v>
                  </c:pt>
                  <c:pt idx="356">
                    <c:v>0</c:v>
                  </c:pt>
                  <c:pt idx="357">
                    <c:v>0</c:v>
                  </c:pt>
                  <c:pt idx="358">
                    <c:v>0</c:v>
                  </c:pt>
                  <c:pt idx="359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2">
                    <c:v>0</c:v>
                  </c:pt>
                  <c:pt idx="363">
                    <c:v>0</c:v>
                  </c:pt>
                  <c:pt idx="364">
                    <c:v>0</c:v>
                  </c:pt>
                  <c:pt idx="365">
                    <c:v>0</c:v>
                  </c:pt>
                  <c:pt idx="366">
                    <c:v>0</c:v>
                  </c:pt>
                  <c:pt idx="367">
                    <c:v>0</c:v>
                  </c:pt>
                  <c:pt idx="368">
                    <c:v>0</c:v>
                  </c:pt>
                  <c:pt idx="369">
                    <c:v>0</c:v>
                  </c:pt>
                  <c:pt idx="370">
                    <c:v>0</c:v>
                  </c:pt>
                  <c:pt idx="371">
                    <c:v>0</c:v>
                  </c:pt>
                  <c:pt idx="372">
                    <c:v>0</c:v>
                  </c:pt>
                  <c:pt idx="373">
                    <c:v>0</c:v>
                  </c:pt>
                  <c:pt idx="374">
                    <c:v>0</c:v>
                  </c:pt>
                  <c:pt idx="375">
                    <c:v>0</c:v>
                  </c:pt>
                  <c:pt idx="376">
                    <c:v>0</c:v>
                  </c:pt>
                  <c:pt idx="377">
                    <c:v>0</c:v>
                  </c:pt>
                  <c:pt idx="378">
                    <c:v>0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4">
                    <c:v>0</c:v>
                  </c:pt>
                  <c:pt idx="385">
                    <c:v>0</c:v>
                  </c:pt>
                  <c:pt idx="386">
                    <c:v>0</c:v>
                  </c:pt>
                  <c:pt idx="387">
                    <c:v>0</c:v>
                  </c:pt>
                  <c:pt idx="388">
                    <c:v>0</c:v>
                  </c:pt>
                  <c:pt idx="389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0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0</c:v>
                  </c:pt>
                  <c:pt idx="396">
                    <c:v>0</c:v>
                  </c:pt>
                  <c:pt idx="397">
                    <c:v>0</c:v>
                  </c:pt>
                  <c:pt idx="398">
                    <c:v>0</c:v>
                  </c:pt>
                  <c:pt idx="399">
                    <c:v>0</c:v>
                  </c:pt>
                  <c:pt idx="400">
                    <c:v>0</c:v>
                  </c:pt>
                  <c:pt idx="401">
                    <c:v>0</c:v>
                  </c:pt>
                  <c:pt idx="402">
                    <c:v>0</c:v>
                  </c:pt>
                  <c:pt idx="403">
                    <c:v>0</c:v>
                  </c:pt>
                  <c:pt idx="404">
                    <c:v>0</c:v>
                  </c:pt>
                  <c:pt idx="405">
                    <c:v>0</c:v>
                  </c:pt>
                  <c:pt idx="406">
                    <c:v>0</c:v>
                  </c:pt>
                  <c:pt idx="407">
                    <c:v>0</c:v>
                  </c:pt>
                  <c:pt idx="408">
                    <c:v>0</c:v>
                  </c:pt>
                  <c:pt idx="409">
                    <c:v>0</c:v>
                  </c:pt>
                  <c:pt idx="410">
                    <c:v>0</c:v>
                  </c:pt>
                  <c:pt idx="411">
                    <c:v>0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0</c:v>
                  </c:pt>
                  <c:pt idx="415">
                    <c:v>0</c:v>
                  </c:pt>
                  <c:pt idx="416">
                    <c:v>0</c:v>
                  </c:pt>
                  <c:pt idx="417">
                    <c:v>0</c:v>
                  </c:pt>
                  <c:pt idx="418">
                    <c:v>0</c:v>
                  </c:pt>
                  <c:pt idx="419">
                    <c:v>0</c:v>
                  </c:pt>
                  <c:pt idx="420">
                    <c:v>0</c:v>
                  </c:pt>
                  <c:pt idx="421">
                    <c:v>0</c:v>
                  </c:pt>
                  <c:pt idx="422">
                    <c:v>0</c:v>
                  </c:pt>
                  <c:pt idx="423">
                    <c:v>0</c:v>
                  </c:pt>
                  <c:pt idx="424">
                    <c:v>0</c:v>
                  </c:pt>
                  <c:pt idx="425">
                    <c:v>0</c:v>
                  </c:pt>
                  <c:pt idx="426">
                    <c:v>0</c:v>
                  </c:pt>
                  <c:pt idx="427">
                    <c:v>0</c:v>
                  </c:pt>
                  <c:pt idx="428">
                    <c:v>0</c:v>
                  </c:pt>
                  <c:pt idx="429">
                    <c:v>0</c:v>
                  </c:pt>
                  <c:pt idx="430">
                    <c:v>0</c:v>
                  </c:pt>
                  <c:pt idx="431">
                    <c:v>0</c:v>
                  </c:pt>
                  <c:pt idx="432">
                    <c:v>0</c:v>
                  </c:pt>
                  <c:pt idx="433">
                    <c:v>0</c:v>
                  </c:pt>
                  <c:pt idx="434">
                    <c:v>0</c:v>
                  </c:pt>
                  <c:pt idx="435">
                    <c:v>0</c:v>
                  </c:pt>
                  <c:pt idx="436">
                    <c:v>0</c:v>
                  </c:pt>
                  <c:pt idx="437">
                    <c:v>0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  <c:pt idx="441">
                    <c:v>0</c:v>
                  </c:pt>
                  <c:pt idx="442">
                    <c:v>0</c:v>
                  </c:pt>
                  <c:pt idx="443">
                    <c:v>0</c:v>
                  </c:pt>
                  <c:pt idx="444">
                    <c:v>0</c:v>
                  </c:pt>
                  <c:pt idx="445">
                    <c:v>0</c:v>
                  </c:pt>
                  <c:pt idx="446">
                    <c:v>0</c:v>
                  </c:pt>
                  <c:pt idx="447">
                    <c:v>0</c:v>
                  </c:pt>
                  <c:pt idx="448">
                    <c:v>0</c:v>
                  </c:pt>
                  <c:pt idx="449">
                    <c:v>0</c:v>
                  </c:pt>
                  <c:pt idx="450">
                    <c:v>0</c:v>
                  </c:pt>
                  <c:pt idx="451">
                    <c:v>0</c:v>
                  </c:pt>
                  <c:pt idx="452">
                    <c:v>0</c:v>
                  </c:pt>
                  <c:pt idx="453">
                    <c:v>0</c:v>
                  </c:pt>
                  <c:pt idx="454">
                    <c:v>0</c:v>
                  </c:pt>
                  <c:pt idx="455">
                    <c:v>0</c:v>
                  </c:pt>
                  <c:pt idx="456">
                    <c:v>0</c:v>
                  </c:pt>
                  <c:pt idx="457">
                    <c:v>0</c:v>
                  </c:pt>
                  <c:pt idx="458">
                    <c:v>0</c:v>
                  </c:pt>
                  <c:pt idx="459">
                    <c:v>0</c:v>
                  </c:pt>
                  <c:pt idx="460">
                    <c:v>0</c:v>
                  </c:pt>
                  <c:pt idx="461">
                    <c:v>0</c:v>
                  </c:pt>
                  <c:pt idx="462">
                    <c:v>0</c:v>
                  </c:pt>
                  <c:pt idx="463">
                    <c:v>0</c:v>
                  </c:pt>
                  <c:pt idx="464">
                    <c:v>0</c:v>
                  </c:pt>
                  <c:pt idx="465">
                    <c:v>0</c:v>
                  </c:pt>
                  <c:pt idx="466">
                    <c:v>0</c:v>
                  </c:pt>
                  <c:pt idx="467">
                    <c:v>0</c:v>
                  </c:pt>
                  <c:pt idx="468">
                    <c:v>0</c:v>
                  </c:pt>
                  <c:pt idx="469">
                    <c:v>0</c:v>
                  </c:pt>
                  <c:pt idx="470">
                    <c:v>0</c:v>
                  </c:pt>
                  <c:pt idx="471">
                    <c:v>0</c:v>
                  </c:pt>
                  <c:pt idx="472">
                    <c:v>0</c:v>
                  </c:pt>
                  <c:pt idx="473">
                    <c:v>0</c:v>
                  </c:pt>
                  <c:pt idx="474">
                    <c:v>0</c:v>
                  </c:pt>
                  <c:pt idx="475">
                    <c:v>0</c:v>
                  </c:pt>
                  <c:pt idx="476">
                    <c:v>0</c:v>
                  </c:pt>
                  <c:pt idx="477">
                    <c:v>0</c:v>
                  </c:pt>
                  <c:pt idx="478">
                    <c:v>0</c:v>
                  </c:pt>
                  <c:pt idx="479">
                    <c:v>0</c:v>
                  </c:pt>
                  <c:pt idx="480">
                    <c:v>0</c:v>
                  </c:pt>
                  <c:pt idx="481">
                    <c:v>0</c:v>
                  </c:pt>
                  <c:pt idx="482">
                    <c:v>0</c:v>
                  </c:pt>
                  <c:pt idx="483">
                    <c:v>0</c:v>
                  </c:pt>
                  <c:pt idx="484">
                    <c:v>0</c:v>
                  </c:pt>
                  <c:pt idx="485">
                    <c:v>0</c:v>
                  </c:pt>
                  <c:pt idx="486">
                    <c:v>0</c:v>
                  </c:pt>
                  <c:pt idx="487">
                    <c:v>0</c:v>
                  </c:pt>
                  <c:pt idx="488">
                    <c:v>0</c:v>
                  </c:pt>
                  <c:pt idx="489">
                    <c:v>0</c:v>
                  </c:pt>
                  <c:pt idx="490">
                    <c:v>0</c:v>
                  </c:pt>
                  <c:pt idx="491">
                    <c:v>0</c:v>
                  </c:pt>
                  <c:pt idx="492">
                    <c:v>0</c:v>
                  </c:pt>
                  <c:pt idx="493">
                    <c:v>0</c:v>
                  </c:pt>
                  <c:pt idx="494">
                    <c:v>0</c:v>
                  </c:pt>
                  <c:pt idx="495">
                    <c:v>0</c:v>
                  </c:pt>
                  <c:pt idx="496">
                    <c:v>0</c:v>
                  </c:pt>
                  <c:pt idx="497">
                    <c:v>0</c:v>
                  </c:pt>
                  <c:pt idx="498">
                    <c:v>0</c:v>
                  </c:pt>
                  <c:pt idx="499">
                    <c:v>0</c:v>
                  </c:pt>
                  <c:pt idx="500">
                    <c:v>0</c:v>
                  </c:pt>
                  <c:pt idx="501">
                    <c:v>0</c:v>
                  </c:pt>
                  <c:pt idx="502">
                    <c:v>0</c:v>
                  </c:pt>
                  <c:pt idx="503">
                    <c:v>0</c:v>
                  </c:pt>
                  <c:pt idx="504">
                    <c:v>0</c:v>
                  </c:pt>
                  <c:pt idx="505">
                    <c:v>0</c:v>
                  </c:pt>
                  <c:pt idx="506">
                    <c:v>0</c:v>
                  </c:pt>
                  <c:pt idx="507">
                    <c:v>0</c:v>
                  </c:pt>
                  <c:pt idx="508">
                    <c:v>0</c:v>
                  </c:pt>
                  <c:pt idx="509">
                    <c:v>0</c:v>
                  </c:pt>
                  <c:pt idx="510">
                    <c:v>0</c:v>
                  </c:pt>
                  <c:pt idx="511">
                    <c:v>0</c:v>
                  </c:pt>
                  <c:pt idx="512">
                    <c:v>0</c:v>
                  </c:pt>
                  <c:pt idx="513">
                    <c:v>0</c:v>
                  </c:pt>
                  <c:pt idx="514">
                    <c:v>0</c:v>
                  </c:pt>
                  <c:pt idx="515">
                    <c:v>0</c:v>
                  </c:pt>
                  <c:pt idx="516">
                    <c:v>0</c:v>
                  </c:pt>
                  <c:pt idx="517">
                    <c:v>0</c:v>
                  </c:pt>
                  <c:pt idx="518">
                    <c:v>0</c:v>
                  </c:pt>
                  <c:pt idx="519">
                    <c:v>0</c:v>
                  </c:pt>
                  <c:pt idx="520">
                    <c:v>0</c:v>
                  </c:pt>
                  <c:pt idx="521">
                    <c:v>0</c:v>
                  </c:pt>
                  <c:pt idx="522">
                    <c:v>0</c:v>
                  </c:pt>
                  <c:pt idx="523">
                    <c:v>0</c:v>
                  </c:pt>
                  <c:pt idx="524">
                    <c:v>0</c:v>
                  </c:pt>
                  <c:pt idx="525">
                    <c:v>0</c:v>
                  </c:pt>
                  <c:pt idx="526">
                    <c:v>0</c:v>
                  </c:pt>
                  <c:pt idx="527">
                    <c:v>0</c:v>
                  </c:pt>
                  <c:pt idx="528">
                    <c:v>0</c:v>
                  </c:pt>
                  <c:pt idx="529">
                    <c:v>0</c:v>
                  </c:pt>
                  <c:pt idx="530">
                    <c:v>0</c:v>
                  </c:pt>
                  <c:pt idx="531">
                    <c:v>0</c:v>
                  </c:pt>
                  <c:pt idx="532">
                    <c:v>0</c:v>
                  </c:pt>
                  <c:pt idx="533">
                    <c:v>0</c:v>
                  </c:pt>
                  <c:pt idx="534">
                    <c:v>0</c:v>
                  </c:pt>
                  <c:pt idx="535">
                    <c:v>0</c:v>
                  </c:pt>
                  <c:pt idx="536">
                    <c:v>0</c:v>
                  </c:pt>
                  <c:pt idx="537">
                    <c:v>0</c:v>
                  </c:pt>
                  <c:pt idx="538">
                    <c:v>0</c:v>
                  </c:pt>
                  <c:pt idx="539">
                    <c:v>0</c:v>
                  </c:pt>
                  <c:pt idx="540">
                    <c:v>0</c:v>
                  </c:pt>
                  <c:pt idx="541">
                    <c:v>0</c:v>
                  </c:pt>
                  <c:pt idx="542">
                    <c:v>0</c:v>
                  </c:pt>
                  <c:pt idx="543">
                    <c:v>0</c:v>
                  </c:pt>
                  <c:pt idx="544">
                    <c:v>0</c:v>
                  </c:pt>
                  <c:pt idx="545">
                    <c:v>0</c:v>
                  </c:pt>
                  <c:pt idx="546">
                    <c:v>0</c:v>
                  </c:pt>
                  <c:pt idx="547">
                    <c:v>0</c:v>
                  </c:pt>
                  <c:pt idx="548">
                    <c:v>0</c:v>
                  </c:pt>
                  <c:pt idx="549">
                    <c:v>0</c:v>
                  </c:pt>
                  <c:pt idx="550">
                    <c:v>0</c:v>
                  </c:pt>
                  <c:pt idx="551">
                    <c:v>0</c:v>
                  </c:pt>
                  <c:pt idx="552">
                    <c:v>0</c:v>
                  </c:pt>
                  <c:pt idx="553">
                    <c:v>0</c:v>
                  </c:pt>
                  <c:pt idx="554">
                    <c:v>0</c:v>
                  </c:pt>
                  <c:pt idx="555">
                    <c:v>0</c:v>
                  </c:pt>
                  <c:pt idx="556">
                    <c:v>0</c:v>
                  </c:pt>
                  <c:pt idx="557">
                    <c:v>0</c:v>
                  </c:pt>
                  <c:pt idx="558">
                    <c:v>0</c:v>
                  </c:pt>
                  <c:pt idx="559">
                    <c:v>0</c:v>
                  </c:pt>
                  <c:pt idx="560">
                    <c:v>0</c:v>
                  </c:pt>
                  <c:pt idx="561">
                    <c:v>0</c:v>
                  </c:pt>
                  <c:pt idx="562">
                    <c:v>0</c:v>
                  </c:pt>
                  <c:pt idx="563">
                    <c:v>0</c:v>
                  </c:pt>
                  <c:pt idx="564">
                    <c:v>0</c:v>
                  </c:pt>
                  <c:pt idx="565">
                    <c:v>0</c:v>
                  </c:pt>
                  <c:pt idx="566">
                    <c:v>0</c:v>
                  </c:pt>
                  <c:pt idx="567">
                    <c:v>0</c:v>
                  </c:pt>
                  <c:pt idx="568">
                    <c:v>0</c:v>
                  </c:pt>
                  <c:pt idx="569">
                    <c:v>0</c:v>
                  </c:pt>
                  <c:pt idx="570">
                    <c:v>0</c:v>
                  </c:pt>
                  <c:pt idx="571">
                    <c:v>0</c:v>
                  </c:pt>
                  <c:pt idx="572">
                    <c:v>0</c:v>
                  </c:pt>
                  <c:pt idx="573">
                    <c:v>0</c:v>
                  </c:pt>
                  <c:pt idx="574">
                    <c:v>0</c:v>
                  </c:pt>
                  <c:pt idx="575">
                    <c:v>0</c:v>
                  </c:pt>
                  <c:pt idx="576">
                    <c:v>0</c:v>
                  </c:pt>
                  <c:pt idx="577">
                    <c:v>0</c:v>
                  </c:pt>
                  <c:pt idx="578">
                    <c:v>0</c:v>
                  </c:pt>
                  <c:pt idx="579">
                    <c:v>0</c:v>
                  </c:pt>
                  <c:pt idx="580">
                    <c:v>0</c:v>
                  </c:pt>
                  <c:pt idx="581">
                    <c:v>0</c:v>
                  </c:pt>
                  <c:pt idx="582">
                    <c:v>0</c:v>
                  </c:pt>
                  <c:pt idx="583">
                    <c:v>0</c:v>
                  </c:pt>
                  <c:pt idx="584">
                    <c:v>0</c:v>
                  </c:pt>
                  <c:pt idx="585">
                    <c:v>0</c:v>
                  </c:pt>
                  <c:pt idx="586">
                    <c:v>0</c:v>
                  </c:pt>
                  <c:pt idx="587">
                    <c:v>0</c:v>
                  </c:pt>
                  <c:pt idx="588">
                    <c:v>0</c:v>
                  </c:pt>
                  <c:pt idx="589">
                    <c:v>0</c:v>
                  </c:pt>
                  <c:pt idx="590">
                    <c:v>0</c:v>
                  </c:pt>
                  <c:pt idx="591">
                    <c:v>0</c:v>
                  </c:pt>
                  <c:pt idx="592">
                    <c:v>0</c:v>
                  </c:pt>
                  <c:pt idx="593">
                    <c:v>0</c:v>
                  </c:pt>
                  <c:pt idx="594">
                    <c:v>0</c:v>
                  </c:pt>
                  <c:pt idx="595">
                    <c:v>0</c:v>
                  </c:pt>
                  <c:pt idx="596">
                    <c:v>0</c:v>
                  </c:pt>
                  <c:pt idx="597">
                    <c:v>0</c:v>
                  </c:pt>
                  <c:pt idx="598">
                    <c:v>0</c:v>
                  </c:pt>
                  <c:pt idx="599">
                    <c:v>0</c:v>
                  </c:pt>
                  <c:pt idx="600">
                    <c:v>0</c:v>
                  </c:pt>
                  <c:pt idx="601">
                    <c:v>0</c:v>
                  </c:pt>
                  <c:pt idx="602">
                    <c:v>0</c:v>
                  </c:pt>
                  <c:pt idx="603">
                    <c:v>0</c:v>
                  </c:pt>
                  <c:pt idx="604">
                    <c:v>0</c:v>
                  </c:pt>
                  <c:pt idx="605">
                    <c:v>0</c:v>
                  </c:pt>
                  <c:pt idx="606">
                    <c:v>0</c:v>
                  </c:pt>
                  <c:pt idx="607">
                    <c:v>0</c:v>
                  </c:pt>
                  <c:pt idx="608">
                    <c:v>0</c:v>
                  </c:pt>
                  <c:pt idx="609">
                    <c:v>0</c:v>
                  </c:pt>
                  <c:pt idx="610">
                    <c:v>0</c:v>
                  </c:pt>
                  <c:pt idx="611">
                    <c:v>0</c:v>
                  </c:pt>
                  <c:pt idx="612">
                    <c:v>0</c:v>
                  </c:pt>
                  <c:pt idx="613">
                    <c:v>0</c:v>
                  </c:pt>
                  <c:pt idx="614">
                    <c:v>0</c:v>
                  </c:pt>
                  <c:pt idx="615">
                    <c:v>0</c:v>
                  </c:pt>
                  <c:pt idx="616">
                    <c:v>0</c:v>
                  </c:pt>
                  <c:pt idx="617">
                    <c:v>0</c:v>
                  </c:pt>
                  <c:pt idx="618">
                    <c:v>0</c:v>
                  </c:pt>
                  <c:pt idx="619">
                    <c:v>0</c:v>
                  </c:pt>
                  <c:pt idx="620">
                    <c:v>0</c:v>
                  </c:pt>
                  <c:pt idx="621">
                    <c:v>0</c:v>
                  </c:pt>
                  <c:pt idx="622">
                    <c:v>0</c:v>
                  </c:pt>
                  <c:pt idx="623">
                    <c:v>0</c:v>
                  </c:pt>
                  <c:pt idx="624">
                    <c:v>0</c:v>
                  </c:pt>
                  <c:pt idx="625">
                    <c:v>0</c:v>
                  </c:pt>
                  <c:pt idx="626">
                    <c:v>0</c:v>
                  </c:pt>
                  <c:pt idx="627">
                    <c:v>0</c:v>
                  </c:pt>
                  <c:pt idx="628">
                    <c:v>0</c:v>
                  </c:pt>
                  <c:pt idx="629">
                    <c:v>0</c:v>
                  </c:pt>
                  <c:pt idx="630">
                    <c:v>0</c:v>
                  </c:pt>
                  <c:pt idx="631">
                    <c:v>0</c:v>
                  </c:pt>
                  <c:pt idx="632">
                    <c:v>0</c:v>
                  </c:pt>
                  <c:pt idx="633">
                    <c:v>0</c:v>
                  </c:pt>
                  <c:pt idx="634">
                    <c:v>0</c:v>
                  </c:pt>
                  <c:pt idx="635">
                    <c:v>0</c:v>
                  </c:pt>
                  <c:pt idx="636">
                    <c:v>0</c:v>
                  </c:pt>
                  <c:pt idx="637">
                    <c:v>0</c:v>
                  </c:pt>
                  <c:pt idx="638">
                    <c:v>0</c:v>
                  </c:pt>
                  <c:pt idx="639">
                    <c:v>0</c:v>
                  </c:pt>
                  <c:pt idx="640">
                    <c:v>0</c:v>
                  </c:pt>
                  <c:pt idx="641">
                    <c:v>0</c:v>
                  </c:pt>
                  <c:pt idx="642">
                    <c:v>0</c:v>
                  </c:pt>
                  <c:pt idx="643">
                    <c:v>0</c:v>
                  </c:pt>
                  <c:pt idx="644">
                    <c:v>0</c:v>
                  </c:pt>
                  <c:pt idx="645">
                    <c:v>0</c:v>
                  </c:pt>
                  <c:pt idx="646">
                    <c:v>0</c:v>
                  </c:pt>
                  <c:pt idx="647">
                    <c:v>0</c:v>
                  </c:pt>
                  <c:pt idx="648">
                    <c:v>0</c:v>
                  </c:pt>
                  <c:pt idx="649">
                    <c:v>0</c:v>
                  </c:pt>
                  <c:pt idx="650">
                    <c:v>0</c:v>
                  </c:pt>
                  <c:pt idx="651">
                    <c:v>0</c:v>
                  </c:pt>
                  <c:pt idx="652">
                    <c:v>0</c:v>
                  </c:pt>
                  <c:pt idx="653">
                    <c:v>0</c:v>
                  </c:pt>
                  <c:pt idx="654">
                    <c:v>0</c:v>
                  </c:pt>
                  <c:pt idx="655">
                    <c:v>0</c:v>
                  </c:pt>
                  <c:pt idx="656">
                    <c:v>0</c:v>
                  </c:pt>
                  <c:pt idx="657">
                    <c:v>0</c:v>
                  </c:pt>
                  <c:pt idx="658">
                    <c:v>0</c:v>
                  </c:pt>
                  <c:pt idx="659">
                    <c:v>0</c:v>
                  </c:pt>
                  <c:pt idx="660">
                    <c:v>0</c:v>
                  </c:pt>
                  <c:pt idx="661">
                    <c:v>0</c:v>
                  </c:pt>
                  <c:pt idx="662">
                    <c:v>0</c:v>
                  </c:pt>
                  <c:pt idx="663">
                    <c:v>0</c:v>
                  </c:pt>
                  <c:pt idx="664">
                    <c:v>0</c:v>
                  </c:pt>
                  <c:pt idx="665">
                    <c:v>0</c:v>
                  </c:pt>
                  <c:pt idx="666">
                    <c:v>0</c:v>
                  </c:pt>
                  <c:pt idx="667">
                    <c:v>0</c:v>
                  </c:pt>
                  <c:pt idx="668">
                    <c:v>0</c:v>
                  </c:pt>
                  <c:pt idx="669">
                    <c:v>0</c:v>
                  </c:pt>
                  <c:pt idx="670">
                    <c:v>0</c:v>
                  </c:pt>
                  <c:pt idx="671">
                    <c:v>0</c:v>
                  </c:pt>
                  <c:pt idx="672">
                    <c:v>0</c:v>
                  </c:pt>
                  <c:pt idx="673">
                    <c:v>0</c:v>
                  </c:pt>
                  <c:pt idx="674">
                    <c:v>0</c:v>
                  </c:pt>
                  <c:pt idx="675">
                    <c:v>0</c:v>
                  </c:pt>
                  <c:pt idx="676">
                    <c:v>0</c:v>
                  </c:pt>
                  <c:pt idx="677">
                    <c:v>0</c:v>
                  </c:pt>
                  <c:pt idx="678">
                    <c:v>0</c:v>
                  </c:pt>
                  <c:pt idx="679">
                    <c:v>0</c:v>
                  </c:pt>
                  <c:pt idx="680">
                    <c:v>0</c:v>
                  </c:pt>
                  <c:pt idx="681">
                    <c:v>0</c:v>
                  </c:pt>
                  <c:pt idx="682">
                    <c:v>0</c:v>
                  </c:pt>
                  <c:pt idx="683">
                    <c:v>0</c:v>
                  </c:pt>
                  <c:pt idx="684">
                    <c:v>0</c:v>
                  </c:pt>
                  <c:pt idx="685">
                    <c:v>0</c:v>
                  </c:pt>
                  <c:pt idx="686">
                    <c:v>0</c:v>
                  </c:pt>
                  <c:pt idx="687">
                    <c:v>0</c:v>
                  </c:pt>
                  <c:pt idx="688">
                    <c:v>0</c:v>
                  </c:pt>
                  <c:pt idx="689">
                    <c:v>0</c:v>
                  </c:pt>
                  <c:pt idx="690">
                    <c:v>0</c:v>
                  </c:pt>
                  <c:pt idx="691">
                    <c:v>0</c:v>
                  </c:pt>
                  <c:pt idx="692">
                    <c:v>0</c:v>
                  </c:pt>
                  <c:pt idx="693">
                    <c:v>0</c:v>
                  </c:pt>
                  <c:pt idx="694">
                    <c:v>0</c:v>
                  </c:pt>
                  <c:pt idx="695">
                    <c:v>0</c:v>
                  </c:pt>
                  <c:pt idx="696">
                    <c:v>0</c:v>
                  </c:pt>
                  <c:pt idx="697">
                    <c:v>0</c:v>
                  </c:pt>
                  <c:pt idx="698">
                    <c:v>0</c:v>
                  </c:pt>
                  <c:pt idx="699">
                    <c:v>0</c:v>
                  </c:pt>
                  <c:pt idx="700">
                    <c:v>0</c:v>
                  </c:pt>
                  <c:pt idx="701">
                    <c:v>0</c:v>
                  </c:pt>
                  <c:pt idx="702">
                    <c:v>0</c:v>
                  </c:pt>
                  <c:pt idx="703">
                    <c:v>0</c:v>
                  </c:pt>
                  <c:pt idx="704">
                    <c:v>0</c:v>
                  </c:pt>
                  <c:pt idx="705">
                    <c:v>0</c:v>
                  </c:pt>
                  <c:pt idx="706">
                    <c:v>0</c:v>
                  </c:pt>
                  <c:pt idx="707">
                    <c:v>0</c:v>
                  </c:pt>
                  <c:pt idx="708">
                    <c:v>0</c:v>
                  </c:pt>
                  <c:pt idx="709">
                    <c:v>0</c:v>
                  </c:pt>
                  <c:pt idx="710">
                    <c:v>0</c:v>
                  </c:pt>
                  <c:pt idx="711">
                    <c:v>0</c:v>
                  </c:pt>
                  <c:pt idx="712">
                    <c:v>0</c:v>
                  </c:pt>
                  <c:pt idx="713">
                    <c:v>0</c:v>
                  </c:pt>
                  <c:pt idx="714">
                    <c:v>0</c:v>
                  </c:pt>
                  <c:pt idx="715">
                    <c:v>0</c:v>
                  </c:pt>
                  <c:pt idx="716">
                    <c:v>0</c:v>
                  </c:pt>
                  <c:pt idx="717">
                    <c:v>0</c:v>
                  </c:pt>
                  <c:pt idx="718">
                    <c:v>0</c:v>
                  </c:pt>
                  <c:pt idx="719">
                    <c:v>0</c:v>
                  </c:pt>
                  <c:pt idx="720">
                    <c:v>0</c:v>
                  </c:pt>
                  <c:pt idx="721">
                    <c:v>0</c:v>
                  </c:pt>
                  <c:pt idx="722">
                    <c:v>0</c:v>
                  </c:pt>
                  <c:pt idx="723">
                    <c:v>0</c:v>
                  </c:pt>
                  <c:pt idx="724">
                    <c:v>0</c:v>
                  </c:pt>
                  <c:pt idx="725">
                    <c:v>0</c:v>
                  </c:pt>
                  <c:pt idx="726">
                    <c:v>0</c:v>
                  </c:pt>
                  <c:pt idx="727">
                    <c:v>0</c:v>
                  </c:pt>
                  <c:pt idx="728">
                    <c:v>0</c:v>
                  </c:pt>
                  <c:pt idx="729">
                    <c:v>0</c:v>
                  </c:pt>
                  <c:pt idx="730">
                    <c:v>0</c:v>
                  </c:pt>
                  <c:pt idx="731">
                    <c:v>0</c:v>
                  </c:pt>
                  <c:pt idx="732">
                    <c:v>0</c:v>
                  </c:pt>
                  <c:pt idx="733">
                    <c:v>0</c:v>
                  </c:pt>
                  <c:pt idx="734">
                    <c:v>0</c:v>
                  </c:pt>
                  <c:pt idx="735">
                    <c:v>0</c:v>
                  </c:pt>
                  <c:pt idx="736">
                    <c:v>0</c:v>
                  </c:pt>
                  <c:pt idx="737">
                    <c:v>0</c:v>
                  </c:pt>
                  <c:pt idx="738">
                    <c:v>0</c:v>
                  </c:pt>
                  <c:pt idx="739">
                    <c:v>0</c:v>
                  </c:pt>
                  <c:pt idx="740">
                    <c:v>0</c:v>
                  </c:pt>
                  <c:pt idx="741">
                    <c:v>0</c:v>
                  </c:pt>
                  <c:pt idx="742">
                    <c:v>0</c:v>
                  </c:pt>
                  <c:pt idx="743">
                    <c:v>0</c:v>
                  </c:pt>
                  <c:pt idx="744">
                    <c:v>0</c:v>
                  </c:pt>
                  <c:pt idx="745">
                    <c:v>0</c:v>
                  </c:pt>
                  <c:pt idx="746">
                    <c:v>0</c:v>
                  </c:pt>
                  <c:pt idx="747">
                    <c:v>0</c:v>
                  </c:pt>
                  <c:pt idx="748">
                    <c:v>0</c:v>
                  </c:pt>
                  <c:pt idx="749">
                    <c:v>0</c:v>
                  </c:pt>
                  <c:pt idx="750">
                    <c:v>0</c:v>
                  </c:pt>
                  <c:pt idx="751">
                    <c:v>0</c:v>
                  </c:pt>
                  <c:pt idx="752">
                    <c:v>0</c:v>
                  </c:pt>
                  <c:pt idx="753">
                    <c:v>0</c:v>
                  </c:pt>
                  <c:pt idx="754">
                    <c:v>0</c:v>
                  </c:pt>
                  <c:pt idx="755">
                    <c:v>0</c:v>
                  </c:pt>
                  <c:pt idx="756">
                    <c:v>0</c:v>
                  </c:pt>
                  <c:pt idx="757">
                    <c:v>0</c:v>
                  </c:pt>
                  <c:pt idx="758">
                    <c:v>0</c:v>
                  </c:pt>
                  <c:pt idx="759">
                    <c:v>0</c:v>
                  </c:pt>
                  <c:pt idx="760">
                    <c:v>0</c:v>
                  </c:pt>
                  <c:pt idx="761">
                    <c:v>0</c:v>
                  </c:pt>
                  <c:pt idx="762">
                    <c:v>0</c:v>
                  </c:pt>
                  <c:pt idx="763">
                    <c:v>0</c:v>
                  </c:pt>
                  <c:pt idx="764">
                    <c:v>0</c:v>
                  </c:pt>
                  <c:pt idx="765">
                    <c:v>0</c:v>
                  </c:pt>
                  <c:pt idx="766">
                    <c:v>0</c:v>
                  </c:pt>
                  <c:pt idx="767">
                    <c:v>0</c:v>
                  </c:pt>
                  <c:pt idx="768">
                    <c:v>0</c:v>
                  </c:pt>
                  <c:pt idx="769">
                    <c:v>0</c:v>
                  </c:pt>
                  <c:pt idx="770">
                    <c:v>0</c:v>
                  </c:pt>
                  <c:pt idx="771">
                    <c:v>0</c:v>
                  </c:pt>
                  <c:pt idx="772">
                    <c:v>0</c:v>
                  </c:pt>
                  <c:pt idx="773">
                    <c:v>0</c:v>
                  </c:pt>
                  <c:pt idx="774">
                    <c:v>0</c:v>
                  </c:pt>
                  <c:pt idx="775">
                    <c:v>0</c:v>
                  </c:pt>
                  <c:pt idx="776">
                    <c:v>0</c:v>
                  </c:pt>
                  <c:pt idx="777">
                    <c:v>0</c:v>
                  </c:pt>
                  <c:pt idx="778">
                    <c:v>0</c:v>
                  </c:pt>
                  <c:pt idx="779">
                    <c:v>0</c:v>
                  </c:pt>
                  <c:pt idx="780">
                    <c:v>0</c:v>
                  </c:pt>
                  <c:pt idx="781">
                    <c:v>0</c:v>
                  </c:pt>
                  <c:pt idx="782">
                    <c:v>0</c:v>
                  </c:pt>
                  <c:pt idx="783">
                    <c:v>0</c:v>
                  </c:pt>
                  <c:pt idx="784">
                    <c:v>0</c:v>
                  </c:pt>
                  <c:pt idx="785">
                    <c:v>0</c:v>
                  </c:pt>
                  <c:pt idx="786">
                    <c:v>0</c:v>
                  </c:pt>
                  <c:pt idx="787">
                    <c:v>0</c:v>
                  </c:pt>
                  <c:pt idx="788">
                    <c:v>0</c:v>
                  </c:pt>
                  <c:pt idx="789">
                    <c:v>0</c:v>
                  </c:pt>
                  <c:pt idx="790">
                    <c:v>0</c:v>
                  </c:pt>
                  <c:pt idx="791">
                    <c:v>0</c:v>
                  </c:pt>
                  <c:pt idx="792">
                    <c:v>0</c:v>
                  </c:pt>
                  <c:pt idx="793">
                    <c:v>0</c:v>
                  </c:pt>
                  <c:pt idx="794">
                    <c:v>0</c:v>
                  </c:pt>
                  <c:pt idx="795">
                    <c:v>0</c:v>
                  </c:pt>
                  <c:pt idx="796">
                    <c:v>0</c:v>
                  </c:pt>
                  <c:pt idx="797">
                    <c:v>0</c:v>
                  </c:pt>
                  <c:pt idx="798">
                    <c:v>0</c:v>
                  </c:pt>
                  <c:pt idx="799">
                    <c:v>0</c:v>
                  </c:pt>
                  <c:pt idx="800">
                    <c:v>0</c:v>
                  </c:pt>
                  <c:pt idx="801">
                    <c:v>0</c:v>
                  </c:pt>
                  <c:pt idx="802">
                    <c:v>0</c:v>
                  </c:pt>
                  <c:pt idx="803">
                    <c:v>0</c:v>
                  </c:pt>
                  <c:pt idx="804">
                    <c:v>0</c:v>
                  </c:pt>
                  <c:pt idx="805">
                    <c:v>0</c:v>
                  </c:pt>
                  <c:pt idx="806">
                    <c:v>0</c:v>
                  </c:pt>
                  <c:pt idx="807">
                    <c:v>0</c:v>
                  </c:pt>
                  <c:pt idx="808">
                    <c:v>0</c:v>
                  </c:pt>
                  <c:pt idx="809">
                    <c:v>0</c:v>
                  </c:pt>
                  <c:pt idx="810">
                    <c:v>0</c:v>
                  </c:pt>
                  <c:pt idx="811">
                    <c:v>0</c:v>
                  </c:pt>
                  <c:pt idx="812">
                    <c:v>0</c:v>
                  </c:pt>
                  <c:pt idx="813">
                    <c:v>0</c:v>
                  </c:pt>
                  <c:pt idx="814">
                    <c:v>0</c:v>
                  </c:pt>
                  <c:pt idx="815">
                    <c:v>0</c:v>
                  </c:pt>
                  <c:pt idx="816">
                    <c:v>0</c:v>
                  </c:pt>
                  <c:pt idx="817">
                    <c:v>0</c:v>
                  </c:pt>
                  <c:pt idx="818">
                    <c:v>0</c:v>
                  </c:pt>
                  <c:pt idx="819">
                    <c:v>0</c:v>
                  </c:pt>
                  <c:pt idx="820">
                    <c:v>0</c:v>
                  </c:pt>
                  <c:pt idx="821">
                    <c:v>0</c:v>
                  </c:pt>
                  <c:pt idx="822">
                    <c:v>0</c:v>
                  </c:pt>
                  <c:pt idx="823">
                    <c:v>0</c:v>
                  </c:pt>
                  <c:pt idx="824">
                    <c:v>0</c:v>
                  </c:pt>
                  <c:pt idx="825">
                    <c:v>0</c:v>
                  </c:pt>
                  <c:pt idx="826">
                    <c:v>0</c:v>
                  </c:pt>
                  <c:pt idx="827">
                    <c:v>0</c:v>
                  </c:pt>
                  <c:pt idx="828">
                    <c:v>0</c:v>
                  </c:pt>
                  <c:pt idx="829">
                    <c:v>0</c:v>
                  </c:pt>
                  <c:pt idx="830">
                    <c:v>0</c:v>
                  </c:pt>
                  <c:pt idx="831">
                    <c:v>0</c:v>
                  </c:pt>
                  <c:pt idx="832">
                    <c:v>0</c:v>
                  </c:pt>
                  <c:pt idx="833">
                    <c:v>0</c:v>
                  </c:pt>
                  <c:pt idx="834">
                    <c:v>0</c:v>
                  </c:pt>
                  <c:pt idx="835">
                    <c:v>0</c:v>
                  </c:pt>
                  <c:pt idx="836">
                    <c:v>0</c:v>
                  </c:pt>
                  <c:pt idx="837">
                    <c:v>0</c:v>
                  </c:pt>
                  <c:pt idx="838">
                    <c:v>0</c:v>
                  </c:pt>
                  <c:pt idx="839">
                    <c:v>0</c:v>
                  </c:pt>
                  <c:pt idx="840">
                    <c:v>0</c:v>
                  </c:pt>
                  <c:pt idx="841">
                    <c:v>0</c:v>
                  </c:pt>
                  <c:pt idx="842">
                    <c:v>0</c:v>
                  </c:pt>
                  <c:pt idx="843">
                    <c:v>0</c:v>
                  </c:pt>
                  <c:pt idx="844">
                    <c:v>0</c:v>
                  </c:pt>
                  <c:pt idx="845">
                    <c:v>0</c:v>
                  </c:pt>
                  <c:pt idx="846">
                    <c:v>0</c:v>
                  </c:pt>
                  <c:pt idx="847">
                    <c:v>0</c:v>
                  </c:pt>
                  <c:pt idx="848">
                    <c:v>0</c:v>
                  </c:pt>
                  <c:pt idx="849">
                    <c:v>0</c:v>
                  </c:pt>
                  <c:pt idx="850">
                    <c:v>0</c:v>
                  </c:pt>
                  <c:pt idx="851">
                    <c:v>0</c:v>
                  </c:pt>
                  <c:pt idx="852">
                    <c:v>0</c:v>
                  </c:pt>
                  <c:pt idx="853">
                    <c:v>0</c:v>
                  </c:pt>
                  <c:pt idx="854">
                    <c:v>0</c:v>
                  </c:pt>
                  <c:pt idx="855">
                    <c:v>0</c:v>
                  </c:pt>
                  <c:pt idx="856">
                    <c:v>0</c:v>
                  </c:pt>
                  <c:pt idx="857">
                    <c:v>0</c:v>
                  </c:pt>
                  <c:pt idx="858">
                    <c:v>0</c:v>
                  </c:pt>
                  <c:pt idx="859">
                    <c:v>0</c:v>
                  </c:pt>
                  <c:pt idx="860">
                    <c:v>0</c:v>
                  </c:pt>
                  <c:pt idx="861">
                    <c:v>0</c:v>
                  </c:pt>
                  <c:pt idx="862">
                    <c:v>0</c:v>
                  </c:pt>
                  <c:pt idx="863">
                    <c:v>0</c:v>
                  </c:pt>
                  <c:pt idx="864">
                    <c:v>0</c:v>
                  </c:pt>
                  <c:pt idx="865">
                    <c:v>0</c:v>
                  </c:pt>
                  <c:pt idx="866">
                    <c:v>0</c:v>
                  </c:pt>
                  <c:pt idx="867">
                    <c:v>0</c:v>
                  </c:pt>
                  <c:pt idx="868">
                    <c:v>0</c:v>
                  </c:pt>
                  <c:pt idx="869">
                    <c:v>0</c:v>
                  </c:pt>
                  <c:pt idx="870">
                    <c:v>0</c:v>
                  </c:pt>
                  <c:pt idx="871">
                    <c:v>0</c:v>
                  </c:pt>
                  <c:pt idx="872">
                    <c:v>0</c:v>
                  </c:pt>
                  <c:pt idx="873">
                    <c:v>0</c:v>
                  </c:pt>
                  <c:pt idx="874">
                    <c:v>0</c:v>
                  </c:pt>
                  <c:pt idx="875">
                    <c:v>0</c:v>
                  </c:pt>
                  <c:pt idx="876">
                    <c:v>0</c:v>
                  </c:pt>
                  <c:pt idx="877">
                    <c:v>0</c:v>
                  </c:pt>
                  <c:pt idx="878">
                    <c:v>0</c:v>
                  </c:pt>
                  <c:pt idx="879">
                    <c:v>0</c:v>
                  </c:pt>
                  <c:pt idx="880">
                    <c:v>0</c:v>
                  </c:pt>
                  <c:pt idx="881">
                    <c:v>0</c:v>
                  </c:pt>
                  <c:pt idx="882">
                    <c:v>0</c:v>
                  </c:pt>
                  <c:pt idx="883">
                    <c:v>0</c:v>
                  </c:pt>
                  <c:pt idx="884">
                    <c:v>0</c:v>
                  </c:pt>
                  <c:pt idx="885">
                    <c:v>0</c:v>
                  </c:pt>
                  <c:pt idx="886">
                    <c:v>0</c:v>
                  </c:pt>
                  <c:pt idx="887">
                    <c:v>0</c:v>
                  </c:pt>
                  <c:pt idx="888">
                    <c:v>0</c:v>
                  </c:pt>
                  <c:pt idx="889">
                    <c:v>0</c:v>
                  </c:pt>
                  <c:pt idx="890">
                    <c:v>0</c:v>
                  </c:pt>
                  <c:pt idx="891">
                    <c:v>0</c:v>
                  </c:pt>
                  <c:pt idx="892">
                    <c:v>0</c:v>
                  </c:pt>
                  <c:pt idx="893">
                    <c:v>0</c:v>
                  </c:pt>
                  <c:pt idx="894">
                    <c:v>0</c:v>
                  </c:pt>
                  <c:pt idx="895">
                    <c:v>0</c:v>
                  </c:pt>
                  <c:pt idx="896">
                    <c:v>0</c:v>
                  </c:pt>
                  <c:pt idx="897">
                    <c:v>0</c:v>
                  </c:pt>
                  <c:pt idx="898">
                    <c:v>0</c:v>
                  </c:pt>
                  <c:pt idx="899">
                    <c:v>0</c:v>
                  </c:pt>
                  <c:pt idx="900">
                    <c:v>0</c:v>
                  </c:pt>
                  <c:pt idx="901">
                    <c:v>0</c:v>
                  </c:pt>
                  <c:pt idx="902">
                    <c:v>0</c:v>
                  </c:pt>
                  <c:pt idx="903">
                    <c:v>0</c:v>
                  </c:pt>
                  <c:pt idx="904">
                    <c:v>0</c:v>
                  </c:pt>
                  <c:pt idx="905">
                    <c:v>0</c:v>
                  </c:pt>
                  <c:pt idx="906">
                    <c:v>0</c:v>
                  </c:pt>
                  <c:pt idx="907">
                    <c:v>0</c:v>
                  </c:pt>
                  <c:pt idx="908">
                    <c:v>0</c:v>
                  </c:pt>
                  <c:pt idx="909">
                    <c:v>0</c:v>
                  </c:pt>
                  <c:pt idx="910">
                    <c:v>0</c:v>
                  </c:pt>
                  <c:pt idx="911">
                    <c:v>0</c:v>
                  </c:pt>
                  <c:pt idx="912">
                    <c:v>0</c:v>
                  </c:pt>
                  <c:pt idx="913">
                    <c:v>0</c:v>
                  </c:pt>
                  <c:pt idx="914">
                    <c:v>0</c:v>
                  </c:pt>
                  <c:pt idx="915">
                    <c:v>0</c:v>
                  </c:pt>
                  <c:pt idx="916">
                    <c:v>0</c:v>
                  </c:pt>
                  <c:pt idx="917">
                    <c:v>0</c:v>
                  </c:pt>
                  <c:pt idx="918">
                    <c:v>0</c:v>
                  </c:pt>
                  <c:pt idx="919">
                    <c:v>0</c:v>
                  </c:pt>
                  <c:pt idx="920">
                    <c:v>0</c:v>
                  </c:pt>
                  <c:pt idx="921">
                    <c:v>0</c:v>
                  </c:pt>
                  <c:pt idx="922">
                    <c:v>0</c:v>
                  </c:pt>
                  <c:pt idx="923">
                    <c:v>0</c:v>
                  </c:pt>
                  <c:pt idx="924">
                    <c:v>0</c:v>
                  </c:pt>
                  <c:pt idx="925">
                    <c:v>0</c:v>
                  </c:pt>
                  <c:pt idx="926">
                    <c:v>0</c:v>
                  </c:pt>
                  <c:pt idx="927">
                    <c:v>0</c:v>
                  </c:pt>
                  <c:pt idx="928">
                    <c:v>0</c:v>
                  </c:pt>
                  <c:pt idx="929">
                    <c:v>0</c:v>
                  </c:pt>
                  <c:pt idx="930">
                    <c:v>0</c:v>
                  </c:pt>
                  <c:pt idx="931">
                    <c:v>0</c:v>
                  </c:pt>
                  <c:pt idx="932">
                    <c:v>0</c:v>
                  </c:pt>
                  <c:pt idx="933">
                    <c:v>0</c:v>
                  </c:pt>
                  <c:pt idx="934">
                    <c:v>0</c:v>
                  </c:pt>
                  <c:pt idx="935">
                    <c:v>0</c:v>
                  </c:pt>
                  <c:pt idx="936">
                    <c:v>0</c:v>
                  </c:pt>
                  <c:pt idx="937">
                    <c:v>0</c:v>
                  </c:pt>
                  <c:pt idx="938">
                    <c:v>0</c:v>
                  </c:pt>
                  <c:pt idx="939">
                    <c:v>0</c:v>
                  </c:pt>
                  <c:pt idx="940">
                    <c:v>0</c:v>
                  </c:pt>
                  <c:pt idx="941">
                    <c:v>0</c:v>
                  </c:pt>
                  <c:pt idx="942">
                    <c:v>0</c:v>
                  </c:pt>
                  <c:pt idx="943">
                    <c:v>0</c:v>
                  </c:pt>
                  <c:pt idx="944">
                    <c:v>0</c:v>
                  </c:pt>
                  <c:pt idx="945">
                    <c:v>0</c:v>
                  </c:pt>
                  <c:pt idx="946">
                    <c:v>0</c:v>
                  </c:pt>
                  <c:pt idx="947">
                    <c:v>0</c:v>
                  </c:pt>
                  <c:pt idx="948">
                    <c:v>0</c:v>
                  </c:pt>
                  <c:pt idx="949">
                    <c:v>0</c:v>
                  </c:pt>
                  <c:pt idx="950">
                    <c:v>0</c:v>
                  </c:pt>
                  <c:pt idx="951">
                    <c:v>0</c:v>
                  </c:pt>
                  <c:pt idx="952">
                    <c:v>0</c:v>
                  </c:pt>
                  <c:pt idx="953">
                    <c:v>0</c:v>
                  </c:pt>
                  <c:pt idx="954">
                    <c:v>0</c:v>
                  </c:pt>
                  <c:pt idx="955">
                    <c:v>0</c:v>
                  </c:pt>
                  <c:pt idx="956">
                    <c:v>0</c:v>
                  </c:pt>
                  <c:pt idx="957">
                    <c:v>0</c:v>
                  </c:pt>
                  <c:pt idx="958">
                    <c:v>0</c:v>
                  </c:pt>
                  <c:pt idx="959">
                    <c:v>0</c:v>
                  </c:pt>
                  <c:pt idx="960">
                    <c:v>0</c:v>
                  </c:pt>
                  <c:pt idx="961">
                    <c:v>0</c:v>
                  </c:pt>
                  <c:pt idx="962">
                    <c:v>0</c:v>
                  </c:pt>
                  <c:pt idx="963">
                    <c:v>0</c:v>
                  </c:pt>
                  <c:pt idx="964">
                    <c:v>0</c:v>
                  </c:pt>
                  <c:pt idx="965">
                    <c:v>0</c:v>
                  </c:pt>
                  <c:pt idx="966">
                    <c:v>0</c:v>
                  </c:pt>
                  <c:pt idx="967">
                    <c:v>0</c:v>
                  </c:pt>
                  <c:pt idx="968">
                    <c:v>0</c:v>
                  </c:pt>
                  <c:pt idx="969">
                    <c:v>0</c:v>
                  </c:pt>
                  <c:pt idx="970">
                    <c:v>0</c:v>
                  </c:pt>
                  <c:pt idx="971">
                    <c:v>0</c:v>
                  </c:pt>
                  <c:pt idx="972">
                    <c:v>0</c:v>
                  </c:pt>
                  <c:pt idx="973">
                    <c:v>0</c:v>
                  </c:pt>
                  <c:pt idx="974">
                    <c:v>0</c:v>
                  </c:pt>
                  <c:pt idx="975">
                    <c:v>0</c:v>
                  </c:pt>
                  <c:pt idx="976">
                    <c:v>0</c:v>
                  </c:pt>
                  <c:pt idx="977">
                    <c:v>0</c:v>
                  </c:pt>
                  <c:pt idx="978">
                    <c:v>0</c:v>
                  </c:pt>
                  <c:pt idx="979">
                    <c:v>0</c:v>
                  </c:pt>
                  <c:pt idx="980">
                    <c:v>0</c:v>
                  </c:pt>
                  <c:pt idx="981">
                    <c:v>0</c:v>
                  </c:pt>
                  <c:pt idx="982">
                    <c:v>0</c:v>
                  </c:pt>
                  <c:pt idx="983">
                    <c:v>0</c:v>
                  </c:pt>
                  <c:pt idx="984">
                    <c:v>0</c:v>
                  </c:pt>
                  <c:pt idx="985">
                    <c:v>0</c:v>
                  </c:pt>
                  <c:pt idx="986">
                    <c:v>0</c:v>
                  </c:pt>
                  <c:pt idx="987">
                    <c:v>0</c:v>
                  </c:pt>
                  <c:pt idx="988">
                    <c:v>0</c:v>
                  </c:pt>
                  <c:pt idx="989">
                    <c:v>0</c:v>
                  </c:pt>
                  <c:pt idx="990">
                    <c:v>0</c:v>
                  </c:pt>
                  <c:pt idx="991">
                    <c:v>0</c:v>
                  </c:pt>
                  <c:pt idx="992">
                    <c:v>0</c:v>
                  </c:pt>
                  <c:pt idx="993">
                    <c:v>0</c:v>
                  </c:pt>
                  <c:pt idx="994">
                    <c:v>0</c:v>
                  </c:pt>
                  <c:pt idx="995">
                    <c:v>0</c:v>
                  </c:pt>
                  <c:pt idx="996">
                    <c:v>0</c:v>
                  </c:pt>
                  <c:pt idx="997">
                    <c:v>0</c:v>
                  </c:pt>
                  <c:pt idx="998">
                    <c:v>0</c:v>
                  </c:pt>
                  <c:pt idx="999">
                    <c:v>0</c:v>
                  </c:pt>
                  <c:pt idx="1000">
                    <c:v>0</c:v>
                  </c:pt>
                  <c:pt idx="1001">
                    <c:v>0</c:v>
                  </c:pt>
                  <c:pt idx="1002">
                    <c:v>0</c:v>
                  </c:pt>
                  <c:pt idx="1003">
                    <c:v>0</c:v>
                  </c:pt>
                  <c:pt idx="1004">
                    <c:v>0</c:v>
                  </c:pt>
                  <c:pt idx="1005">
                    <c:v>0</c:v>
                  </c:pt>
                  <c:pt idx="1006">
                    <c:v>0</c:v>
                  </c:pt>
                  <c:pt idx="1007">
                    <c:v>0</c:v>
                  </c:pt>
                  <c:pt idx="1008">
                    <c:v>0</c:v>
                  </c:pt>
                  <c:pt idx="1009">
                    <c:v>0</c:v>
                  </c:pt>
                  <c:pt idx="1010">
                    <c:v>0</c:v>
                  </c:pt>
                  <c:pt idx="1011">
                    <c:v>0</c:v>
                  </c:pt>
                  <c:pt idx="1012">
                    <c:v>0</c:v>
                  </c:pt>
                  <c:pt idx="1013">
                    <c:v>0</c:v>
                  </c:pt>
                  <c:pt idx="1014">
                    <c:v>0</c:v>
                  </c:pt>
                  <c:pt idx="1015">
                    <c:v>0</c:v>
                  </c:pt>
                  <c:pt idx="1016">
                    <c:v>0</c:v>
                  </c:pt>
                  <c:pt idx="1017">
                    <c:v>0</c:v>
                  </c:pt>
                  <c:pt idx="1018">
                    <c:v>0</c:v>
                  </c:pt>
                  <c:pt idx="1019">
                    <c:v>0</c:v>
                  </c:pt>
                  <c:pt idx="1020">
                    <c:v>0</c:v>
                  </c:pt>
                  <c:pt idx="1021">
                    <c:v>0</c:v>
                  </c:pt>
                  <c:pt idx="1022">
                    <c:v>0</c:v>
                  </c:pt>
                  <c:pt idx="1023">
                    <c:v>0</c:v>
                  </c:pt>
                  <c:pt idx="1024">
                    <c:v>0</c:v>
                  </c:pt>
                  <c:pt idx="1025">
                    <c:v>0</c:v>
                  </c:pt>
                  <c:pt idx="1026">
                    <c:v>0</c:v>
                  </c:pt>
                  <c:pt idx="1027">
                    <c:v>0</c:v>
                  </c:pt>
                  <c:pt idx="1028">
                    <c:v>0</c:v>
                  </c:pt>
                  <c:pt idx="1029">
                    <c:v>0</c:v>
                  </c:pt>
                  <c:pt idx="1030">
                    <c:v>0</c:v>
                  </c:pt>
                  <c:pt idx="1031">
                    <c:v>0</c:v>
                  </c:pt>
                  <c:pt idx="1032">
                    <c:v>0</c:v>
                  </c:pt>
                  <c:pt idx="1033">
                    <c:v>0</c:v>
                  </c:pt>
                  <c:pt idx="1034">
                    <c:v>0</c:v>
                  </c:pt>
                  <c:pt idx="1035">
                    <c:v>0</c:v>
                  </c:pt>
                  <c:pt idx="1036">
                    <c:v>0</c:v>
                  </c:pt>
                  <c:pt idx="1037">
                    <c:v>0</c:v>
                  </c:pt>
                  <c:pt idx="1038">
                    <c:v>0</c:v>
                  </c:pt>
                  <c:pt idx="1039">
                    <c:v>0</c:v>
                  </c:pt>
                  <c:pt idx="1040">
                    <c:v>0</c:v>
                  </c:pt>
                  <c:pt idx="1041">
                    <c:v>0</c:v>
                  </c:pt>
                  <c:pt idx="1042">
                    <c:v>0</c:v>
                  </c:pt>
                  <c:pt idx="1043">
                    <c:v>0</c:v>
                  </c:pt>
                  <c:pt idx="1044">
                    <c:v>0</c:v>
                  </c:pt>
                  <c:pt idx="1045">
                    <c:v>0</c:v>
                  </c:pt>
                  <c:pt idx="1046">
                    <c:v>0</c:v>
                  </c:pt>
                  <c:pt idx="1047">
                    <c:v>0</c:v>
                  </c:pt>
                  <c:pt idx="1048">
                    <c:v>0</c:v>
                  </c:pt>
                  <c:pt idx="1049">
                    <c:v>0</c:v>
                  </c:pt>
                  <c:pt idx="1050">
                    <c:v>0</c:v>
                  </c:pt>
                  <c:pt idx="1051">
                    <c:v>0</c:v>
                  </c:pt>
                  <c:pt idx="1052">
                    <c:v>0</c:v>
                  </c:pt>
                  <c:pt idx="1053">
                    <c:v>0</c:v>
                  </c:pt>
                  <c:pt idx="1054">
                    <c:v>0</c:v>
                  </c:pt>
                  <c:pt idx="1055">
                    <c:v>0</c:v>
                  </c:pt>
                  <c:pt idx="1056">
                    <c:v>0</c:v>
                  </c:pt>
                  <c:pt idx="1057">
                    <c:v>0</c:v>
                  </c:pt>
                  <c:pt idx="1058">
                    <c:v>0</c:v>
                  </c:pt>
                  <c:pt idx="1059">
                    <c:v>0</c:v>
                  </c:pt>
                  <c:pt idx="1060">
                    <c:v>0</c:v>
                  </c:pt>
                  <c:pt idx="1061">
                    <c:v>0</c:v>
                  </c:pt>
                  <c:pt idx="1062">
                    <c:v>0</c:v>
                  </c:pt>
                  <c:pt idx="1063">
                    <c:v>0</c:v>
                  </c:pt>
                  <c:pt idx="1064">
                    <c:v>0</c:v>
                  </c:pt>
                  <c:pt idx="1065">
                    <c:v>0</c:v>
                  </c:pt>
                  <c:pt idx="1066">
                    <c:v>0</c:v>
                  </c:pt>
                  <c:pt idx="1067">
                    <c:v>0</c:v>
                  </c:pt>
                  <c:pt idx="1068">
                    <c:v>0</c:v>
                  </c:pt>
                  <c:pt idx="1069">
                    <c:v>0</c:v>
                  </c:pt>
                  <c:pt idx="1070">
                    <c:v>0</c:v>
                  </c:pt>
                  <c:pt idx="1071">
                    <c:v>0</c:v>
                  </c:pt>
                  <c:pt idx="1072">
                    <c:v>0</c:v>
                  </c:pt>
                  <c:pt idx="1073">
                    <c:v>0</c:v>
                  </c:pt>
                  <c:pt idx="1074">
                    <c:v>0</c:v>
                  </c:pt>
                  <c:pt idx="1075">
                    <c:v>0</c:v>
                  </c:pt>
                  <c:pt idx="1076">
                    <c:v>0</c:v>
                  </c:pt>
                  <c:pt idx="1077">
                    <c:v>0</c:v>
                  </c:pt>
                  <c:pt idx="1078">
                    <c:v>0</c:v>
                  </c:pt>
                  <c:pt idx="1079">
                    <c:v>0</c:v>
                  </c:pt>
                  <c:pt idx="1080">
                    <c:v>0</c:v>
                  </c:pt>
                  <c:pt idx="1081">
                    <c:v>0</c:v>
                  </c:pt>
                  <c:pt idx="1082">
                    <c:v>0</c:v>
                  </c:pt>
                  <c:pt idx="1083">
                    <c:v>0</c:v>
                  </c:pt>
                  <c:pt idx="1084">
                    <c:v>0</c:v>
                  </c:pt>
                  <c:pt idx="1085">
                    <c:v>0</c:v>
                  </c:pt>
                  <c:pt idx="1086">
                    <c:v>0</c:v>
                  </c:pt>
                  <c:pt idx="1087">
                    <c:v>0</c:v>
                  </c:pt>
                  <c:pt idx="1088">
                    <c:v>0</c:v>
                  </c:pt>
                  <c:pt idx="1089">
                    <c:v>0</c:v>
                  </c:pt>
                  <c:pt idx="1090">
                    <c:v>0</c:v>
                  </c:pt>
                  <c:pt idx="1091">
                    <c:v>0</c:v>
                  </c:pt>
                  <c:pt idx="1092">
                    <c:v>0</c:v>
                  </c:pt>
                  <c:pt idx="1093">
                    <c:v>0</c:v>
                  </c:pt>
                  <c:pt idx="1094">
                    <c:v>0</c:v>
                  </c:pt>
                  <c:pt idx="1095">
                    <c:v>0</c:v>
                  </c:pt>
                  <c:pt idx="1096">
                    <c:v>0</c:v>
                  </c:pt>
                  <c:pt idx="1097">
                    <c:v>0</c:v>
                  </c:pt>
                  <c:pt idx="1098">
                    <c:v>0</c:v>
                  </c:pt>
                  <c:pt idx="1099">
                    <c:v>0</c:v>
                  </c:pt>
                  <c:pt idx="1100">
                    <c:v>0</c:v>
                  </c:pt>
                  <c:pt idx="1101">
                    <c:v>0</c:v>
                  </c:pt>
                  <c:pt idx="1102">
                    <c:v>0</c:v>
                  </c:pt>
                  <c:pt idx="1103">
                    <c:v>0</c:v>
                  </c:pt>
                  <c:pt idx="1104">
                    <c:v>0</c:v>
                  </c:pt>
                  <c:pt idx="1105">
                    <c:v>0</c:v>
                  </c:pt>
                  <c:pt idx="1106">
                    <c:v>0</c:v>
                  </c:pt>
                  <c:pt idx="1107">
                    <c:v>0</c:v>
                  </c:pt>
                  <c:pt idx="1108">
                    <c:v>0</c:v>
                  </c:pt>
                  <c:pt idx="1109">
                    <c:v>0</c:v>
                  </c:pt>
                  <c:pt idx="1110">
                    <c:v>0</c:v>
                  </c:pt>
                  <c:pt idx="1111">
                    <c:v>0</c:v>
                  </c:pt>
                  <c:pt idx="1112">
                    <c:v>0</c:v>
                  </c:pt>
                  <c:pt idx="1113">
                    <c:v>0</c:v>
                  </c:pt>
                  <c:pt idx="1114">
                    <c:v>0</c:v>
                  </c:pt>
                  <c:pt idx="1115">
                    <c:v>0</c:v>
                  </c:pt>
                  <c:pt idx="1116">
                    <c:v>0</c:v>
                  </c:pt>
                  <c:pt idx="1117">
                    <c:v>0</c:v>
                  </c:pt>
                  <c:pt idx="1118">
                    <c:v>0</c:v>
                  </c:pt>
                  <c:pt idx="1119">
                    <c:v>0</c:v>
                  </c:pt>
                  <c:pt idx="1120">
                    <c:v>0</c:v>
                  </c:pt>
                  <c:pt idx="1121">
                    <c:v>0</c:v>
                  </c:pt>
                  <c:pt idx="1122">
                    <c:v>0</c:v>
                  </c:pt>
                  <c:pt idx="1123">
                    <c:v>0</c:v>
                  </c:pt>
                  <c:pt idx="1124">
                    <c:v>0</c:v>
                  </c:pt>
                  <c:pt idx="1125">
                    <c:v>0</c:v>
                  </c:pt>
                  <c:pt idx="1126">
                    <c:v>0</c:v>
                  </c:pt>
                  <c:pt idx="1127">
                    <c:v>0</c:v>
                  </c:pt>
                  <c:pt idx="1128">
                    <c:v>0</c:v>
                  </c:pt>
                  <c:pt idx="1129">
                    <c:v>0</c:v>
                  </c:pt>
                  <c:pt idx="1130">
                    <c:v>0</c:v>
                  </c:pt>
                  <c:pt idx="1131">
                    <c:v>0</c:v>
                  </c:pt>
                  <c:pt idx="1132">
                    <c:v>0</c:v>
                  </c:pt>
                  <c:pt idx="1133">
                    <c:v>0</c:v>
                  </c:pt>
                  <c:pt idx="1134">
                    <c:v>0</c:v>
                  </c:pt>
                  <c:pt idx="1135">
                    <c:v>0</c:v>
                  </c:pt>
                  <c:pt idx="1136">
                    <c:v>0</c:v>
                  </c:pt>
                  <c:pt idx="1137">
                    <c:v>0</c:v>
                  </c:pt>
                  <c:pt idx="1138">
                    <c:v>0</c:v>
                  </c:pt>
                  <c:pt idx="1139">
                    <c:v>0</c:v>
                  </c:pt>
                  <c:pt idx="1140">
                    <c:v>0</c:v>
                  </c:pt>
                  <c:pt idx="1141">
                    <c:v>0</c:v>
                  </c:pt>
                  <c:pt idx="1142">
                    <c:v>0</c:v>
                  </c:pt>
                  <c:pt idx="1143">
                    <c:v>0</c:v>
                  </c:pt>
                  <c:pt idx="1144">
                    <c:v>0</c:v>
                  </c:pt>
                  <c:pt idx="1145">
                    <c:v>0</c:v>
                  </c:pt>
                  <c:pt idx="1146">
                    <c:v>0</c:v>
                  </c:pt>
                  <c:pt idx="1147">
                    <c:v>0</c:v>
                  </c:pt>
                  <c:pt idx="1148">
                    <c:v>0</c:v>
                  </c:pt>
                  <c:pt idx="1149">
                    <c:v>0</c:v>
                  </c:pt>
                  <c:pt idx="1150">
                    <c:v>0</c:v>
                  </c:pt>
                  <c:pt idx="1151">
                    <c:v>0</c:v>
                  </c:pt>
                  <c:pt idx="1152">
                    <c:v>0</c:v>
                  </c:pt>
                  <c:pt idx="1153">
                    <c:v>0</c:v>
                  </c:pt>
                  <c:pt idx="1154">
                    <c:v>0</c:v>
                  </c:pt>
                  <c:pt idx="1155">
                    <c:v>0</c:v>
                  </c:pt>
                  <c:pt idx="1156">
                    <c:v>0</c:v>
                  </c:pt>
                  <c:pt idx="1157">
                    <c:v>0</c:v>
                  </c:pt>
                  <c:pt idx="1158">
                    <c:v>0</c:v>
                  </c:pt>
                  <c:pt idx="1159">
                    <c:v>0</c:v>
                  </c:pt>
                  <c:pt idx="1160">
                    <c:v>0</c:v>
                  </c:pt>
                  <c:pt idx="1161">
                    <c:v>0</c:v>
                  </c:pt>
                  <c:pt idx="1162">
                    <c:v>0</c:v>
                  </c:pt>
                  <c:pt idx="1163">
                    <c:v>0</c:v>
                  </c:pt>
                  <c:pt idx="1164">
                    <c:v>0</c:v>
                  </c:pt>
                  <c:pt idx="1165">
                    <c:v>0</c:v>
                  </c:pt>
                  <c:pt idx="1166">
                    <c:v>0</c:v>
                  </c:pt>
                  <c:pt idx="1167">
                    <c:v>0</c:v>
                  </c:pt>
                  <c:pt idx="1168">
                    <c:v>0</c:v>
                  </c:pt>
                  <c:pt idx="1169">
                    <c:v>0</c:v>
                  </c:pt>
                  <c:pt idx="1170">
                    <c:v>0</c:v>
                  </c:pt>
                  <c:pt idx="1171">
                    <c:v>0</c:v>
                  </c:pt>
                  <c:pt idx="1172">
                    <c:v>0</c:v>
                  </c:pt>
                  <c:pt idx="1173">
                    <c:v>0</c:v>
                  </c:pt>
                  <c:pt idx="1174">
                    <c:v>0</c:v>
                  </c:pt>
                  <c:pt idx="1175">
                    <c:v>0</c:v>
                  </c:pt>
                  <c:pt idx="1176">
                    <c:v>0</c:v>
                  </c:pt>
                  <c:pt idx="1177">
                    <c:v>0</c:v>
                  </c:pt>
                  <c:pt idx="1178">
                    <c:v>0</c:v>
                  </c:pt>
                  <c:pt idx="1179">
                    <c:v>0</c:v>
                  </c:pt>
                  <c:pt idx="1180">
                    <c:v>0</c:v>
                  </c:pt>
                  <c:pt idx="1181">
                    <c:v>0</c:v>
                  </c:pt>
                  <c:pt idx="1182">
                    <c:v>0</c:v>
                  </c:pt>
                  <c:pt idx="1183">
                    <c:v>0</c:v>
                  </c:pt>
                  <c:pt idx="1184">
                    <c:v>0</c:v>
                  </c:pt>
                  <c:pt idx="1185">
                    <c:v>0</c:v>
                  </c:pt>
                  <c:pt idx="1186">
                    <c:v>0</c:v>
                  </c:pt>
                  <c:pt idx="1187">
                    <c:v>0</c:v>
                  </c:pt>
                  <c:pt idx="1188">
                    <c:v>0</c:v>
                  </c:pt>
                  <c:pt idx="1189">
                    <c:v>0</c:v>
                  </c:pt>
                  <c:pt idx="1190">
                    <c:v>0</c:v>
                  </c:pt>
                  <c:pt idx="1191">
                    <c:v>0</c:v>
                  </c:pt>
                  <c:pt idx="1192">
                    <c:v>0</c:v>
                  </c:pt>
                  <c:pt idx="1193">
                    <c:v>0</c:v>
                  </c:pt>
                  <c:pt idx="1194">
                    <c:v>0</c:v>
                  </c:pt>
                  <c:pt idx="1195">
                    <c:v>0</c:v>
                  </c:pt>
                  <c:pt idx="1196">
                    <c:v>0</c:v>
                  </c:pt>
                  <c:pt idx="1197">
                    <c:v>0</c:v>
                  </c:pt>
                  <c:pt idx="1198">
                    <c:v>0</c:v>
                  </c:pt>
                  <c:pt idx="1199">
                    <c:v>0</c:v>
                  </c:pt>
                  <c:pt idx="1200">
                    <c:v>0</c:v>
                  </c:pt>
                  <c:pt idx="1201">
                    <c:v>0</c:v>
                  </c:pt>
                  <c:pt idx="1202">
                    <c:v>0</c:v>
                  </c:pt>
                  <c:pt idx="1203">
                    <c:v>0</c:v>
                  </c:pt>
                  <c:pt idx="1204">
                    <c:v>0</c:v>
                  </c:pt>
                  <c:pt idx="1205">
                    <c:v>0</c:v>
                  </c:pt>
                  <c:pt idx="1206">
                    <c:v>0</c:v>
                  </c:pt>
                  <c:pt idx="1207">
                    <c:v>0</c:v>
                  </c:pt>
                  <c:pt idx="1208">
                    <c:v>0</c:v>
                  </c:pt>
                  <c:pt idx="1209">
                    <c:v>0</c:v>
                  </c:pt>
                  <c:pt idx="1210">
                    <c:v>0</c:v>
                  </c:pt>
                  <c:pt idx="1211">
                    <c:v>0</c:v>
                  </c:pt>
                  <c:pt idx="1212">
                    <c:v>0</c:v>
                  </c:pt>
                  <c:pt idx="1213">
                    <c:v>0</c:v>
                  </c:pt>
                  <c:pt idx="1214">
                    <c:v>0</c:v>
                  </c:pt>
                  <c:pt idx="1215">
                    <c:v>0</c:v>
                  </c:pt>
                  <c:pt idx="1216">
                    <c:v>0</c:v>
                  </c:pt>
                  <c:pt idx="1217">
                    <c:v>0</c:v>
                  </c:pt>
                  <c:pt idx="1218">
                    <c:v>0</c:v>
                  </c:pt>
                  <c:pt idx="1219">
                    <c:v>0</c:v>
                  </c:pt>
                  <c:pt idx="1220">
                    <c:v>0</c:v>
                  </c:pt>
                  <c:pt idx="1221">
                    <c:v>0</c:v>
                  </c:pt>
                  <c:pt idx="1222">
                    <c:v>0</c:v>
                  </c:pt>
                  <c:pt idx="1223">
                    <c:v>0</c:v>
                  </c:pt>
                  <c:pt idx="1224">
                    <c:v>0</c:v>
                  </c:pt>
                  <c:pt idx="1225">
                    <c:v>0</c:v>
                  </c:pt>
                  <c:pt idx="1226">
                    <c:v>0</c:v>
                  </c:pt>
                  <c:pt idx="1227">
                    <c:v>0</c:v>
                  </c:pt>
                  <c:pt idx="1228">
                    <c:v>0</c:v>
                  </c:pt>
                  <c:pt idx="1229">
                    <c:v>0</c:v>
                  </c:pt>
                  <c:pt idx="1230">
                    <c:v>0</c:v>
                  </c:pt>
                  <c:pt idx="1231">
                    <c:v>0</c:v>
                  </c:pt>
                  <c:pt idx="1232">
                    <c:v>0</c:v>
                  </c:pt>
                  <c:pt idx="1233">
                    <c:v>0</c:v>
                  </c:pt>
                  <c:pt idx="1234">
                    <c:v>0</c:v>
                  </c:pt>
                  <c:pt idx="1235">
                    <c:v>0</c:v>
                  </c:pt>
                  <c:pt idx="1236">
                    <c:v>0</c:v>
                  </c:pt>
                  <c:pt idx="1237">
                    <c:v>0</c:v>
                  </c:pt>
                  <c:pt idx="1238">
                    <c:v>0</c:v>
                  </c:pt>
                  <c:pt idx="1239">
                    <c:v>0</c:v>
                  </c:pt>
                  <c:pt idx="1240">
                    <c:v>0</c:v>
                  </c:pt>
                  <c:pt idx="1241">
                    <c:v>0</c:v>
                  </c:pt>
                  <c:pt idx="1242">
                    <c:v>0</c:v>
                  </c:pt>
                  <c:pt idx="1243">
                    <c:v>0</c:v>
                  </c:pt>
                  <c:pt idx="1244">
                    <c:v>0</c:v>
                  </c:pt>
                  <c:pt idx="1245">
                    <c:v>0</c:v>
                  </c:pt>
                  <c:pt idx="1246">
                    <c:v>0</c:v>
                  </c:pt>
                  <c:pt idx="1247">
                    <c:v>0</c:v>
                  </c:pt>
                  <c:pt idx="1248">
                    <c:v>0</c:v>
                  </c:pt>
                  <c:pt idx="1249">
                    <c:v>0</c:v>
                  </c:pt>
                  <c:pt idx="1250">
                    <c:v>0</c:v>
                  </c:pt>
                  <c:pt idx="1251">
                    <c:v>0</c:v>
                  </c:pt>
                  <c:pt idx="1252">
                    <c:v>0</c:v>
                  </c:pt>
                  <c:pt idx="1253">
                    <c:v>0</c:v>
                  </c:pt>
                  <c:pt idx="1254">
                    <c:v>0</c:v>
                  </c:pt>
                  <c:pt idx="1255">
                    <c:v>0</c:v>
                  </c:pt>
                  <c:pt idx="1256">
                    <c:v>0</c:v>
                  </c:pt>
                  <c:pt idx="1257">
                    <c:v>0</c:v>
                  </c:pt>
                  <c:pt idx="1258">
                    <c:v>0</c:v>
                  </c:pt>
                  <c:pt idx="1259">
                    <c:v>0</c:v>
                  </c:pt>
                  <c:pt idx="1260">
                    <c:v>0</c:v>
                  </c:pt>
                  <c:pt idx="1261">
                    <c:v>0</c:v>
                  </c:pt>
                  <c:pt idx="1262">
                    <c:v>0</c:v>
                  </c:pt>
                  <c:pt idx="1263">
                    <c:v>0</c:v>
                  </c:pt>
                  <c:pt idx="1264">
                    <c:v>0</c:v>
                  </c:pt>
                  <c:pt idx="1265">
                    <c:v>0</c:v>
                  </c:pt>
                  <c:pt idx="1266">
                    <c:v>0</c:v>
                  </c:pt>
                  <c:pt idx="1267">
                    <c:v>0</c:v>
                  </c:pt>
                  <c:pt idx="1268">
                    <c:v>0</c:v>
                  </c:pt>
                  <c:pt idx="1269">
                    <c:v>0</c:v>
                  </c:pt>
                  <c:pt idx="1270">
                    <c:v>0</c:v>
                  </c:pt>
                  <c:pt idx="1271">
                    <c:v>0</c:v>
                  </c:pt>
                  <c:pt idx="1272">
                    <c:v>0</c:v>
                  </c:pt>
                  <c:pt idx="1273">
                    <c:v>0</c:v>
                  </c:pt>
                  <c:pt idx="1274">
                    <c:v>0</c:v>
                  </c:pt>
                  <c:pt idx="1275">
                    <c:v>0</c:v>
                  </c:pt>
                  <c:pt idx="1276">
                    <c:v>0</c:v>
                  </c:pt>
                  <c:pt idx="1277">
                    <c:v>0</c:v>
                  </c:pt>
                  <c:pt idx="1278">
                    <c:v>0</c:v>
                  </c:pt>
                  <c:pt idx="1279">
                    <c:v>0</c:v>
                  </c:pt>
                  <c:pt idx="1280">
                    <c:v>0</c:v>
                  </c:pt>
                  <c:pt idx="1281">
                    <c:v>0</c:v>
                  </c:pt>
                  <c:pt idx="1282">
                    <c:v>0</c:v>
                  </c:pt>
                  <c:pt idx="1283">
                    <c:v>0</c:v>
                  </c:pt>
                  <c:pt idx="1284">
                    <c:v>0</c:v>
                  </c:pt>
                  <c:pt idx="1285">
                    <c:v>0</c:v>
                  </c:pt>
                  <c:pt idx="1286">
                    <c:v>0</c:v>
                  </c:pt>
                  <c:pt idx="1287">
                    <c:v>0</c:v>
                  </c:pt>
                  <c:pt idx="1288">
                    <c:v>0</c:v>
                  </c:pt>
                  <c:pt idx="1289">
                    <c:v>0</c:v>
                  </c:pt>
                  <c:pt idx="1290">
                    <c:v>0</c:v>
                  </c:pt>
                  <c:pt idx="1291">
                    <c:v>0</c:v>
                  </c:pt>
                  <c:pt idx="1292">
                    <c:v>0</c:v>
                  </c:pt>
                  <c:pt idx="1293">
                    <c:v>0</c:v>
                  </c:pt>
                  <c:pt idx="1294">
                    <c:v>0</c:v>
                  </c:pt>
                  <c:pt idx="1295">
                    <c:v>0</c:v>
                  </c:pt>
                  <c:pt idx="1296">
                    <c:v>0</c:v>
                  </c:pt>
                  <c:pt idx="1297">
                    <c:v>0</c:v>
                  </c:pt>
                  <c:pt idx="1298">
                    <c:v>0</c:v>
                  </c:pt>
                  <c:pt idx="1299">
                    <c:v>0</c:v>
                  </c:pt>
                  <c:pt idx="1300">
                    <c:v>0</c:v>
                  </c:pt>
                  <c:pt idx="1301">
                    <c:v>0</c:v>
                  </c:pt>
                  <c:pt idx="1302">
                    <c:v>0</c:v>
                  </c:pt>
                  <c:pt idx="1303">
                    <c:v>0</c:v>
                  </c:pt>
                  <c:pt idx="1304">
                    <c:v>0</c:v>
                  </c:pt>
                  <c:pt idx="1305">
                    <c:v>0</c:v>
                  </c:pt>
                  <c:pt idx="1306">
                    <c:v>0</c:v>
                  </c:pt>
                  <c:pt idx="1307">
                    <c:v>0</c:v>
                  </c:pt>
                  <c:pt idx="1308">
                    <c:v>0</c:v>
                  </c:pt>
                  <c:pt idx="1309">
                    <c:v>0</c:v>
                  </c:pt>
                  <c:pt idx="1310">
                    <c:v>0</c:v>
                  </c:pt>
                  <c:pt idx="1311">
                    <c:v>0</c:v>
                  </c:pt>
                  <c:pt idx="1312">
                    <c:v>0</c:v>
                  </c:pt>
                  <c:pt idx="1313">
                    <c:v>0</c:v>
                  </c:pt>
                  <c:pt idx="1314">
                    <c:v>0</c:v>
                  </c:pt>
                  <c:pt idx="1315">
                    <c:v>0</c:v>
                  </c:pt>
                  <c:pt idx="1316">
                    <c:v>0</c:v>
                  </c:pt>
                  <c:pt idx="1317">
                    <c:v>0</c:v>
                  </c:pt>
                  <c:pt idx="1318">
                    <c:v>0</c:v>
                  </c:pt>
                  <c:pt idx="1319">
                    <c:v>0</c:v>
                  </c:pt>
                  <c:pt idx="1320">
                    <c:v>0</c:v>
                  </c:pt>
                  <c:pt idx="1321">
                    <c:v>0</c:v>
                  </c:pt>
                  <c:pt idx="1322">
                    <c:v>0</c:v>
                  </c:pt>
                  <c:pt idx="1323">
                    <c:v>0</c:v>
                  </c:pt>
                  <c:pt idx="1324">
                    <c:v>0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0</c:v>
                  </c:pt>
                  <c:pt idx="1329">
                    <c:v>0</c:v>
                  </c:pt>
                  <c:pt idx="1330">
                    <c:v>0</c:v>
                  </c:pt>
                  <c:pt idx="1331">
                    <c:v>0</c:v>
                  </c:pt>
                  <c:pt idx="1332">
                    <c:v>0</c:v>
                  </c:pt>
                  <c:pt idx="1333">
                    <c:v>0</c:v>
                  </c:pt>
                  <c:pt idx="1334">
                    <c:v>0</c:v>
                  </c:pt>
                  <c:pt idx="1335">
                    <c:v>0</c:v>
                  </c:pt>
                  <c:pt idx="1336">
                    <c:v>0</c:v>
                  </c:pt>
                  <c:pt idx="1337">
                    <c:v>0</c:v>
                  </c:pt>
                  <c:pt idx="1338">
                    <c:v>0</c:v>
                  </c:pt>
                  <c:pt idx="1339">
                    <c:v>0</c:v>
                  </c:pt>
                  <c:pt idx="1340">
                    <c:v>0</c:v>
                  </c:pt>
                  <c:pt idx="1341">
                    <c:v>0</c:v>
                  </c:pt>
                  <c:pt idx="1342">
                    <c:v>0</c:v>
                  </c:pt>
                  <c:pt idx="1343">
                    <c:v>0</c:v>
                  </c:pt>
                  <c:pt idx="1344">
                    <c:v>0</c:v>
                  </c:pt>
                  <c:pt idx="1345">
                    <c:v>0</c:v>
                  </c:pt>
                  <c:pt idx="1346">
                    <c:v>0</c:v>
                  </c:pt>
                  <c:pt idx="1347">
                    <c:v>0</c:v>
                  </c:pt>
                  <c:pt idx="1348">
                    <c:v>0</c:v>
                  </c:pt>
                  <c:pt idx="1349">
                    <c:v>0</c:v>
                  </c:pt>
                  <c:pt idx="1350">
                    <c:v>0</c:v>
                  </c:pt>
                  <c:pt idx="1351">
                    <c:v>0</c:v>
                  </c:pt>
                  <c:pt idx="1352">
                    <c:v>0</c:v>
                  </c:pt>
                  <c:pt idx="1353">
                    <c:v>0</c:v>
                  </c:pt>
                  <c:pt idx="1354">
                    <c:v>0</c:v>
                  </c:pt>
                  <c:pt idx="1355">
                    <c:v>0</c:v>
                  </c:pt>
                  <c:pt idx="1356">
                    <c:v>0</c:v>
                  </c:pt>
                  <c:pt idx="1357">
                    <c:v>0</c:v>
                  </c:pt>
                  <c:pt idx="1358">
                    <c:v>0</c:v>
                  </c:pt>
                  <c:pt idx="1359">
                    <c:v>0</c:v>
                  </c:pt>
                  <c:pt idx="1360">
                    <c:v>0</c:v>
                  </c:pt>
                  <c:pt idx="1361">
                    <c:v>0</c:v>
                  </c:pt>
                  <c:pt idx="1362">
                    <c:v>0</c:v>
                  </c:pt>
                  <c:pt idx="1363">
                    <c:v>0</c:v>
                  </c:pt>
                  <c:pt idx="1364">
                    <c:v>0</c:v>
                  </c:pt>
                  <c:pt idx="1365">
                    <c:v>0</c:v>
                  </c:pt>
                  <c:pt idx="1366">
                    <c:v>0</c:v>
                  </c:pt>
                  <c:pt idx="1367">
                    <c:v>0</c:v>
                  </c:pt>
                  <c:pt idx="1368">
                    <c:v>0</c:v>
                  </c:pt>
                  <c:pt idx="1369">
                    <c:v>0</c:v>
                  </c:pt>
                  <c:pt idx="1370">
                    <c:v>0</c:v>
                  </c:pt>
                  <c:pt idx="1371">
                    <c:v>0</c:v>
                  </c:pt>
                  <c:pt idx="1372">
                    <c:v>0</c:v>
                  </c:pt>
                  <c:pt idx="1373">
                    <c:v>0</c:v>
                  </c:pt>
                  <c:pt idx="1374">
                    <c:v>0</c:v>
                  </c:pt>
                  <c:pt idx="1375">
                    <c:v>0</c:v>
                  </c:pt>
                  <c:pt idx="1376">
                    <c:v>0</c:v>
                  </c:pt>
                  <c:pt idx="1377">
                    <c:v>0</c:v>
                  </c:pt>
                  <c:pt idx="1378">
                    <c:v>0</c:v>
                  </c:pt>
                  <c:pt idx="1379">
                    <c:v>0</c:v>
                  </c:pt>
                  <c:pt idx="1380">
                    <c:v>0</c:v>
                  </c:pt>
                  <c:pt idx="1381">
                    <c:v>0</c:v>
                  </c:pt>
                  <c:pt idx="1382">
                    <c:v>0</c:v>
                  </c:pt>
                  <c:pt idx="1383">
                    <c:v>0</c:v>
                  </c:pt>
                  <c:pt idx="1384">
                    <c:v>0</c:v>
                  </c:pt>
                  <c:pt idx="1385">
                    <c:v>0</c:v>
                  </c:pt>
                  <c:pt idx="1386">
                    <c:v>0</c:v>
                  </c:pt>
                  <c:pt idx="1387">
                    <c:v>0</c:v>
                  </c:pt>
                  <c:pt idx="1388">
                    <c:v>0</c:v>
                  </c:pt>
                  <c:pt idx="1389">
                    <c:v>0</c:v>
                  </c:pt>
                  <c:pt idx="1390">
                    <c:v>0</c:v>
                  </c:pt>
                  <c:pt idx="1391">
                    <c:v>0</c:v>
                  </c:pt>
                  <c:pt idx="1392">
                    <c:v>0</c:v>
                  </c:pt>
                  <c:pt idx="1393">
                    <c:v>0</c:v>
                  </c:pt>
                  <c:pt idx="1394">
                    <c:v>0</c:v>
                  </c:pt>
                  <c:pt idx="1395">
                    <c:v>0</c:v>
                  </c:pt>
                  <c:pt idx="1396">
                    <c:v>0</c:v>
                  </c:pt>
                  <c:pt idx="1397">
                    <c:v>0</c:v>
                  </c:pt>
                  <c:pt idx="1398">
                    <c:v>0</c:v>
                  </c:pt>
                  <c:pt idx="1399">
                    <c:v>0</c:v>
                  </c:pt>
                  <c:pt idx="1400">
                    <c:v>0</c:v>
                  </c:pt>
                  <c:pt idx="1401">
                    <c:v>0</c:v>
                  </c:pt>
                  <c:pt idx="1402">
                    <c:v>0</c:v>
                  </c:pt>
                  <c:pt idx="1403">
                    <c:v>0</c:v>
                  </c:pt>
                  <c:pt idx="1404">
                    <c:v>0</c:v>
                  </c:pt>
                  <c:pt idx="1405">
                    <c:v>0</c:v>
                  </c:pt>
                  <c:pt idx="1406">
                    <c:v>0</c:v>
                  </c:pt>
                  <c:pt idx="1407">
                    <c:v>0</c:v>
                  </c:pt>
                  <c:pt idx="1408">
                    <c:v>0</c:v>
                  </c:pt>
                  <c:pt idx="1409">
                    <c:v>0</c:v>
                  </c:pt>
                  <c:pt idx="1410">
                    <c:v>0</c:v>
                  </c:pt>
                  <c:pt idx="1411">
                    <c:v>0</c:v>
                  </c:pt>
                  <c:pt idx="1412">
                    <c:v>0</c:v>
                  </c:pt>
                  <c:pt idx="1413">
                    <c:v>0</c:v>
                  </c:pt>
                  <c:pt idx="1414">
                    <c:v>0</c:v>
                  </c:pt>
                  <c:pt idx="1415">
                    <c:v>0</c:v>
                  </c:pt>
                  <c:pt idx="1416">
                    <c:v>0</c:v>
                  </c:pt>
                  <c:pt idx="1417">
                    <c:v>0</c:v>
                  </c:pt>
                  <c:pt idx="1418">
                    <c:v>0</c:v>
                  </c:pt>
                  <c:pt idx="1419">
                    <c:v>0</c:v>
                  </c:pt>
                  <c:pt idx="1420">
                    <c:v>0</c:v>
                  </c:pt>
                  <c:pt idx="1421">
                    <c:v>0</c:v>
                  </c:pt>
                  <c:pt idx="1422">
                    <c:v>0</c:v>
                  </c:pt>
                  <c:pt idx="1423">
                    <c:v>0</c:v>
                  </c:pt>
                  <c:pt idx="1424">
                    <c:v>0</c:v>
                  </c:pt>
                  <c:pt idx="1425">
                    <c:v>0</c:v>
                  </c:pt>
                  <c:pt idx="1426">
                    <c:v>0</c:v>
                  </c:pt>
                  <c:pt idx="1427">
                    <c:v>0</c:v>
                  </c:pt>
                  <c:pt idx="1428">
                    <c:v>0</c:v>
                  </c:pt>
                  <c:pt idx="1429">
                    <c:v>0</c:v>
                  </c:pt>
                  <c:pt idx="1430">
                    <c:v>0</c:v>
                  </c:pt>
                  <c:pt idx="1431">
                    <c:v>0</c:v>
                  </c:pt>
                  <c:pt idx="1432">
                    <c:v>0</c:v>
                  </c:pt>
                  <c:pt idx="1433">
                    <c:v>0</c:v>
                  </c:pt>
                  <c:pt idx="1434">
                    <c:v>0</c:v>
                  </c:pt>
                  <c:pt idx="1435">
                    <c:v>0</c:v>
                  </c:pt>
                  <c:pt idx="1436">
                    <c:v>0</c:v>
                  </c:pt>
                  <c:pt idx="1437">
                    <c:v>0</c:v>
                  </c:pt>
                  <c:pt idx="1438">
                    <c:v>0</c:v>
                  </c:pt>
                  <c:pt idx="1439">
                    <c:v>0</c:v>
                  </c:pt>
                </c:numCache>
              </c:numRef>
            </c:minus>
            <c:spPr>
              <a:ln w="19050" cap="flat">
                <a:solidFill>
                  <a:srgbClr val="C55A11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ChartData!$CT$7:$CT$1446</c:f>
                <c:numCache>
                  <c:formatCode>General</c:formatCode>
                  <c:ptCount val="1440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  <c:pt idx="161">
                    <c:v>0</c:v>
                  </c:pt>
                  <c:pt idx="162">
                    <c:v>0</c:v>
                  </c:pt>
                  <c:pt idx="163">
                    <c:v>0</c:v>
                  </c:pt>
                  <c:pt idx="164">
                    <c:v>0</c:v>
                  </c:pt>
                  <c:pt idx="165">
                    <c:v>0</c:v>
                  </c:pt>
                  <c:pt idx="166">
                    <c:v>0</c:v>
                  </c:pt>
                  <c:pt idx="167">
                    <c:v>0</c:v>
                  </c:pt>
                  <c:pt idx="168">
                    <c:v>0</c:v>
                  </c:pt>
                  <c:pt idx="169">
                    <c:v>0</c:v>
                  </c:pt>
                  <c:pt idx="170">
                    <c:v>0</c:v>
                  </c:pt>
                  <c:pt idx="171">
                    <c:v>0</c:v>
                  </c:pt>
                  <c:pt idx="172">
                    <c:v>0</c:v>
                  </c:pt>
                  <c:pt idx="173">
                    <c:v>0</c:v>
                  </c:pt>
                  <c:pt idx="174">
                    <c:v>0</c:v>
                  </c:pt>
                  <c:pt idx="175">
                    <c:v>0</c:v>
                  </c:pt>
                  <c:pt idx="176">
                    <c:v>0</c:v>
                  </c:pt>
                  <c:pt idx="177">
                    <c:v>0</c:v>
                  </c:pt>
                  <c:pt idx="178">
                    <c:v>0</c:v>
                  </c:pt>
                  <c:pt idx="179">
                    <c:v>0</c:v>
                  </c:pt>
                  <c:pt idx="180">
                    <c:v>0</c:v>
                  </c:pt>
                  <c:pt idx="181">
                    <c:v>0</c:v>
                  </c:pt>
                  <c:pt idx="182">
                    <c:v>0</c:v>
                  </c:pt>
                  <c:pt idx="183">
                    <c:v>0</c:v>
                  </c:pt>
                  <c:pt idx="184">
                    <c:v>0</c:v>
                  </c:pt>
                  <c:pt idx="185">
                    <c:v>0</c:v>
                  </c:pt>
                  <c:pt idx="186">
                    <c:v>0</c:v>
                  </c:pt>
                  <c:pt idx="187">
                    <c:v>0</c:v>
                  </c:pt>
                  <c:pt idx="188">
                    <c:v>0</c:v>
                  </c:pt>
                  <c:pt idx="189">
                    <c:v>0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  <c:pt idx="201">
                    <c:v>0</c:v>
                  </c:pt>
                  <c:pt idx="202">
                    <c:v>0</c:v>
                  </c:pt>
                  <c:pt idx="203">
                    <c:v>0</c:v>
                  </c:pt>
                  <c:pt idx="204">
                    <c:v>0</c:v>
                  </c:pt>
                  <c:pt idx="205">
                    <c:v>0</c:v>
                  </c:pt>
                  <c:pt idx="206">
                    <c:v>0</c:v>
                  </c:pt>
                  <c:pt idx="207">
                    <c:v>0</c:v>
                  </c:pt>
                  <c:pt idx="208">
                    <c:v>0</c:v>
                  </c:pt>
                  <c:pt idx="209">
                    <c:v>0</c:v>
                  </c:pt>
                  <c:pt idx="210">
                    <c:v>0</c:v>
                  </c:pt>
                  <c:pt idx="211">
                    <c:v>0</c:v>
                  </c:pt>
                  <c:pt idx="212">
                    <c:v>0</c:v>
                  </c:pt>
                  <c:pt idx="213">
                    <c:v>0</c:v>
                  </c:pt>
                  <c:pt idx="214">
                    <c:v>0</c:v>
                  </c:pt>
                  <c:pt idx="215">
                    <c:v>0</c:v>
                  </c:pt>
                  <c:pt idx="216">
                    <c:v>0</c:v>
                  </c:pt>
                  <c:pt idx="217">
                    <c:v>0</c:v>
                  </c:pt>
                  <c:pt idx="218">
                    <c:v>0</c:v>
                  </c:pt>
                  <c:pt idx="219">
                    <c:v>0</c:v>
                  </c:pt>
                  <c:pt idx="220">
                    <c:v>0</c:v>
                  </c:pt>
                  <c:pt idx="221">
                    <c:v>0</c:v>
                  </c:pt>
                  <c:pt idx="222">
                    <c:v>0</c:v>
                  </c:pt>
                  <c:pt idx="223">
                    <c:v>0</c:v>
                  </c:pt>
                  <c:pt idx="224">
                    <c:v>0</c:v>
                  </c:pt>
                  <c:pt idx="225">
                    <c:v>0</c:v>
                  </c:pt>
                  <c:pt idx="226">
                    <c:v>0</c:v>
                  </c:pt>
                  <c:pt idx="227">
                    <c:v>0</c:v>
                  </c:pt>
                  <c:pt idx="228">
                    <c:v>0</c:v>
                  </c:pt>
                  <c:pt idx="229">
                    <c:v>0</c:v>
                  </c:pt>
                  <c:pt idx="230">
                    <c:v>0</c:v>
                  </c:pt>
                  <c:pt idx="231">
                    <c:v>0</c:v>
                  </c:pt>
                  <c:pt idx="232">
                    <c:v>0</c:v>
                  </c:pt>
                  <c:pt idx="233">
                    <c:v>0</c:v>
                  </c:pt>
                  <c:pt idx="234">
                    <c:v>0</c:v>
                  </c:pt>
                  <c:pt idx="235">
                    <c:v>0</c:v>
                  </c:pt>
                  <c:pt idx="236">
                    <c:v>0</c:v>
                  </c:pt>
                  <c:pt idx="237">
                    <c:v>0</c:v>
                  </c:pt>
                  <c:pt idx="238">
                    <c:v>0</c:v>
                  </c:pt>
                  <c:pt idx="239">
                    <c:v>0</c:v>
                  </c:pt>
                  <c:pt idx="240">
                    <c:v>0</c:v>
                  </c:pt>
                  <c:pt idx="241">
                    <c:v>0</c:v>
                  </c:pt>
                  <c:pt idx="242">
                    <c:v>0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6">
                    <c:v>0</c:v>
                  </c:pt>
                  <c:pt idx="247">
                    <c:v>0</c:v>
                  </c:pt>
                  <c:pt idx="248">
                    <c:v>0</c:v>
                  </c:pt>
                  <c:pt idx="249">
                    <c:v>0</c:v>
                  </c:pt>
                  <c:pt idx="250">
                    <c:v>0</c:v>
                  </c:pt>
                  <c:pt idx="251">
                    <c:v>0</c:v>
                  </c:pt>
                  <c:pt idx="252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6">
                    <c:v>0</c:v>
                  </c:pt>
                  <c:pt idx="257">
                    <c:v>0</c:v>
                  </c:pt>
                  <c:pt idx="258">
                    <c:v>0</c:v>
                  </c:pt>
                  <c:pt idx="259">
                    <c:v>0</c:v>
                  </c:pt>
                  <c:pt idx="260">
                    <c:v>0</c:v>
                  </c:pt>
                  <c:pt idx="261">
                    <c:v>0</c:v>
                  </c:pt>
                  <c:pt idx="262">
                    <c:v>0</c:v>
                  </c:pt>
                  <c:pt idx="263">
                    <c:v>0</c:v>
                  </c:pt>
                  <c:pt idx="264">
                    <c:v>0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68">
                    <c:v>0</c:v>
                  </c:pt>
                  <c:pt idx="269">
                    <c:v>0</c:v>
                  </c:pt>
                  <c:pt idx="270">
                    <c:v>0</c:v>
                  </c:pt>
                  <c:pt idx="271">
                    <c:v>0</c:v>
                  </c:pt>
                  <c:pt idx="272">
                    <c:v>0</c:v>
                  </c:pt>
                  <c:pt idx="273">
                    <c:v>0</c:v>
                  </c:pt>
                  <c:pt idx="274">
                    <c:v>0</c:v>
                  </c:pt>
                  <c:pt idx="275">
                    <c:v>0</c:v>
                  </c:pt>
                  <c:pt idx="276">
                    <c:v>0</c:v>
                  </c:pt>
                  <c:pt idx="277">
                    <c:v>0</c:v>
                  </c:pt>
                  <c:pt idx="278">
                    <c:v>0</c:v>
                  </c:pt>
                  <c:pt idx="279">
                    <c:v>0</c:v>
                  </c:pt>
                  <c:pt idx="280">
                    <c:v>0</c:v>
                  </c:pt>
                  <c:pt idx="281">
                    <c:v>0</c:v>
                  </c:pt>
                  <c:pt idx="282">
                    <c:v>0</c:v>
                  </c:pt>
                  <c:pt idx="283">
                    <c:v>0</c:v>
                  </c:pt>
                  <c:pt idx="284">
                    <c:v>0</c:v>
                  </c:pt>
                  <c:pt idx="285">
                    <c:v>0</c:v>
                  </c:pt>
                  <c:pt idx="286">
                    <c:v>0</c:v>
                  </c:pt>
                  <c:pt idx="287">
                    <c:v>0</c:v>
                  </c:pt>
                  <c:pt idx="288">
                    <c:v>0</c:v>
                  </c:pt>
                  <c:pt idx="289">
                    <c:v>0</c:v>
                  </c:pt>
                  <c:pt idx="290">
                    <c:v>0</c:v>
                  </c:pt>
                  <c:pt idx="291">
                    <c:v>0</c:v>
                  </c:pt>
                  <c:pt idx="292">
                    <c:v>0</c:v>
                  </c:pt>
                  <c:pt idx="293">
                    <c:v>0</c:v>
                  </c:pt>
                  <c:pt idx="294">
                    <c:v>0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299">
                    <c:v>0</c:v>
                  </c:pt>
                  <c:pt idx="300">
                    <c:v>0</c:v>
                  </c:pt>
                  <c:pt idx="301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4">
                    <c:v>0</c:v>
                  </c:pt>
                  <c:pt idx="305">
                    <c:v>0</c:v>
                  </c:pt>
                  <c:pt idx="306">
                    <c:v>0</c:v>
                  </c:pt>
                  <c:pt idx="307">
                    <c:v>0</c:v>
                  </c:pt>
                  <c:pt idx="308">
                    <c:v>0</c:v>
                  </c:pt>
                  <c:pt idx="309">
                    <c:v>0</c:v>
                  </c:pt>
                  <c:pt idx="310">
                    <c:v>0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5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19">
                    <c:v>0</c:v>
                  </c:pt>
                  <c:pt idx="320">
                    <c:v>0</c:v>
                  </c:pt>
                  <c:pt idx="321">
                    <c:v>0</c:v>
                  </c:pt>
                  <c:pt idx="322">
                    <c:v>0</c:v>
                  </c:pt>
                  <c:pt idx="323">
                    <c:v>0</c:v>
                  </c:pt>
                  <c:pt idx="324">
                    <c:v>0</c:v>
                  </c:pt>
                  <c:pt idx="325">
                    <c:v>0</c:v>
                  </c:pt>
                  <c:pt idx="326">
                    <c:v>0</c:v>
                  </c:pt>
                  <c:pt idx="327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1">
                    <c:v>0</c:v>
                  </c:pt>
                  <c:pt idx="332">
                    <c:v>0</c:v>
                  </c:pt>
                  <c:pt idx="333">
                    <c:v>0</c:v>
                  </c:pt>
                  <c:pt idx="334">
                    <c:v>0</c:v>
                  </c:pt>
                  <c:pt idx="335">
                    <c:v>0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39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0</c:v>
                  </c:pt>
                  <c:pt idx="344">
                    <c:v>0</c:v>
                  </c:pt>
                  <c:pt idx="345">
                    <c:v>0</c:v>
                  </c:pt>
                  <c:pt idx="346">
                    <c:v>0</c:v>
                  </c:pt>
                  <c:pt idx="347">
                    <c:v>0</c:v>
                  </c:pt>
                  <c:pt idx="348">
                    <c:v>0</c:v>
                  </c:pt>
                  <c:pt idx="349">
                    <c:v>0</c:v>
                  </c:pt>
                  <c:pt idx="350">
                    <c:v>0</c:v>
                  </c:pt>
                  <c:pt idx="351">
                    <c:v>0</c:v>
                  </c:pt>
                  <c:pt idx="352">
                    <c:v>0</c:v>
                  </c:pt>
                  <c:pt idx="353">
                    <c:v>0</c:v>
                  </c:pt>
                  <c:pt idx="354">
                    <c:v>0</c:v>
                  </c:pt>
                  <c:pt idx="355">
                    <c:v>0</c:v>
                  </c:pt>
                  <c:pt idx="356">
                    <c:v>0</c:v>
                  </c:pt>
                  <c:pt idx="357">
                    <c:v>0</c:v>
                  </c:pt>
                  <c:pt idx="358">
                    <c:v>0</c:v>
                  </c:pt>
                  <c:pt idx="359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2">
                    <c:v>0</c:v>
                  </c:pt>
                  <c:pt idx="363">
                    <c:v>0</c:v>
                  </c:pt>
                  <c:pt idx="364">
                    <c:v>0</c:v>
                  </c:pt>
                  <c:pt idx="365">
                    <c:v>0</c:v>
                  </c:pt>
                  <c:pt idx="366">
                    <c:v>0</c:v>
                  </c:pt>
                  <c:pt idx="367">
                    <c:v>0</c:v>
                  </c:pt>
                  <c:pt idx="368">
                    <c:v>0</c:v>
                  </c:pt>
                  <c:pt idx="369">
                    <c:v>0</c:v>
                  </c:pt>
                  <c:pt idx="370">
                    <c:v>0</c:v>
                  </c:pt>
                  <c:pt idx="371">
                    <c:v>0</c:v>
                  </c:pt>
                  <c:pt idx="372">
                    <c:v>0</c:v>
                  </c:pt>
                  <c:pt idx="373">
                    <c:v>0</c:v>
                  </c:pt>
                  <c:pt idx="374">
                    <c:v>0</c:v>
                  </c:pt>
                  <c:pt idx="375">
                    <c:v>0</c:v>
                  </c:pt>
                  <c:pt idx="376">
                    <c:v>0</c:v>
                  </c:pt>
                  <c:pt idx="377">
                    <c:v>0</c:v>
                  </c:pt>
                  <c:pt idx="378">
                    <c:v>0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4">
                    <c:v>0</c:v>
                  </c:pt>
                  <c:pt idx="385">
                    <c:v>0</c:v>
                  </c:pt>
                  <c:pt idx="386">
                    <c:v>0</c:v>
                  </c:pt>
                  <c:pt idx="387">
                    <c:v>0</c:v>
                  </c:pt>
                  <c:pt idx="388">
                    <c:v>0</c:v>
                  </c:pt>
                  <c:pt idx="389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0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0</c:v>
                  </c:pt>
                  <c:pt idx="396">
                    <c:v>0</c:v>
                  </c:pt>
                  <c:pt idx="397">
                    <c:v>0</c:v>
                  </c:pt>
                  <c:pt idx="398">
                    <c:v>0</c:v>
                  </c:pt>
                  <c:pt idx="399">
                    <c:v>0</c:v>
                  </c:pt>
                  <c:pt idx="400">
                    <c:v>0</c:v>
                  </c:pt>
                  <c:pt idx="401">
                    <c:v>0</c:v>
                  </c:pt>
                  <c:pt idx="402">
                    <c:v>0</c:v>
                  </c:pt>
                  <c:pt idx="403">
                    <c:v>0</c:v>
                  </c:pt>
                  <c:pt idx="404">
                    <c:v>0</c:v>
                  </c:pt>
                  <c:pt idx="405">
                    <c:v>0</c:v>
                  </c:pt>
                  <c:pt idx="406">
                    <c:v>0</c:v>
                  </c:pt>
                  <c:pt idx="407">
                    <c:v>0</c:v>
                  </c:pt>
                  <c:pt idx="408">
                    <c:v>0</c:v>
                  </c:pt>
                  <c:pt idx="409">
                    <c:v>0</c:v>
                  </c:pt>
                  <c:pt idx="410">
                    <c:v>0</c:v>
                  </c:pt>
                  <c:pt idx="411">
                    <c:v>0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0</c:v>
                  </c:pt>
                  <c:pt idx="415">
                    <c:v>0</c:v>
                  </c:pt>
                  <c:pt idx="416">
                    <c:v>0</c:v>
                  </c:pt>
                  <c:pt idx="417">
                    <c:v>0</c:v>
                  </c:pt>
                  <c:pt idx="418">
                    <c:v>0</c:v>
                  </c:pt>
                  <c:pt idx="419">
                    <c:v>0</c:v>
                  </c:pt>
                  <c:pt idx="420">
                    <c:v>0</c:v>
                  </c:pt>
                  <c:pt idx="421">
                    <c:v>0</c:v>
                  </c:pt>
                  <c:pt idx="422">
                    <c:v>0</c:v>
                  </c:pt>
                  <c:pt idx="423">
                    <c:v>0</c:v>
                  </c:pt>
                  <c:pt idx="424">
                    <c:v>0</c:v>
                  </c:pt>
                  <c:pt idx="425">
                    <c:v>0</c:v>
                  </c:pt>
                  <c:pt idx="426">
                    <c:v>0</c:v>
                  </c:pt>
                  <c:pt idx="427">
                    <c:v>0</c:v>
                  </c:pt>
                  <c:pt idx="428">
                    <c:v>0</c:v>
                  </c:pt>
                  <c:pt idx="429">
                    <c:v>0</c:v>
                  </c:pt>
                  <c:pt idx="430">
                    <c:v>0</c:v>
                  </c:pt>
                  <c:pt idx="431">
                    <c:v>0</c:v>
                  </c:pt>
                  <c:pt idx="432">
                    <c:v>0</c:v>
                  </c:pt>
                  <c:pt idx="433">
                    <c:v>0</c:v>
                  </c:pt>
                  <c:pt idx="434">
                    <c:v>0</c:v>
                  </c:pt>
                  <c:pt idx="435">
                    <c:v>0</c:v>
                  </c:pt>
                  <c:pt idx="436">
                    <c:v>0</c:v>
                  </c:pt>
                  <c:pt idx="437">
                    <c:v>0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  <c:pt idx="441">
                    <c:v>0</c:v>
                  </c:pt>
                  <c:pt idx="442">
                    <c:v>0</c:v>
                  </c:pt>
                  <c:pt idx="443">
                    <c:v>0</c:v>
                  </c:pt>
                  <c:pt idx="444">
                    <c:v>0</c:v>
                  </c:pt>
                  <c:pt idx="445">
                    <c:v>0</c:v>
                  </c:pt>
                  <c:pt idx="446">
                    <c:v>0</c:v>
                  </c:pt>
                  <c:pt idx="447">
                    <c:v>0</c:v>
                  </c:pt>
                  <c:pt idx="448">
                    <c:v>0</c:v>
                  </c:pt>
                  <c:pt idx="449">
                    <c:v>0</c:v>
                  </c:pt>
                  <c:pt idx="450">
                    <c:v>0</c:v>
                  </c:pt>
                  <c:pt idx="451">
                    <c:v>0</c:v>
                  </c:pt>
                  <c:pt idx="452">
                    <c:v>0</c:v>
                  </c:pt>
                  <c:pt idx="453">
                    <c:v>0</c:v>
                  </c:pt>
                  <c:pt idx="454">
                    <c:v>0</c:v>
                  </c:pt>
                  <c:pt idx="455">
                    <c:v>0</c:v>
                  </c:pt>
                  <c:pt idx="456">
                    <c:v>0</c:v>
                  </c:pt>
                  <c:pt idx="457">
                    <c:v>0</c:v>
                  </c:pt>
                  <c:pt idx="458">
                    <c:v>0</c:v>
                  </c:pt>
                  <c:pt idx="459">
                    <c:v>0</c:v>
                  </c:pt>
                  <c:pt idx="460">
                    <c:v>0</c:v>
                  </c:pt>
                  <c:pt idx="461">
                    <c:v>0</c:v>
                  </c:pt>
                  <c:pt idx="462">
                    <c:v>0</c:v>
                  </c:pt>
                  <c:pt idx="463">
                    <c:v>0</c:v>
                  </c:pt>
                  <c:pt idx="464">
                    <c:v>0</c:v>
                  </c:pt>
                  <c:pt idx="465">
                    <c:v>0</c:v>
                  </c:pt>
                  <c:pt idx="466">
                    <c:v>0</c:v>
                  </c:pt>
                  <c:pt idx="467">
                    <c:v>0</c:v>
                  </c:pt>
                  <c:pt idx="468">
                    <c:v>0</c:v>
                  </c:pt>
                  <c:pt idx="469">
                    <c:v>0</c:v>
                  </c:pt>
                  <c:pt idx="470">
                    <c:v>0</c:v>
                  </c:pt>
                  <c:pt idx="471">
                    <c:v>0</c:v>
                  </c:pt>
                  <c:pt idx="472">
                    <c:v>0</c:v>
                  </c:pt>
                  <c:pt idx="473">
                    <c:v>0</c:v>
                  </c:pt>
                  <c:pt idx="474">
                    <c:v>0</c:v>
                  </c:pt>
                  <c:pt idx="475">
                    <c:v>0</c:v>
                  </c:pt>
                  <c:pt idx="476">
                    <c:v>0</c:v>
                  </c:pt>
                  <c:pt idx="477">
                    <c:v>0</c:v>
                  </c:pt>
                  <c:pt idx="478">
                    <c:v>0</c:v>
                  </c:pt>
                  <c:pt idx="479">
                    <c:v>0</c:v>
                  </c:pt>
                  <c:pt idx="480">
                    <c:v>0</c:v>
                  </c:pt>
                  <c:pt idx="481">
                    <c:v>0</c:v>
                  </c:pt>
                  <c:pt idx="482">
                    <c:v>0</c:v>
                  </c:pt>
                  <c:pt idx="483">
                    <c:v>0</c:v>
                  </c:pt>
                  <c:pt idx="484">
                    <c:v>0</c:v>
                  </c:pt>
                  <c:pt idx="485">
                    <c:v>0</c:v>
                  </c:pt>
                  <c:pt idx="486">
                    <c:v>0</c:v>
                  </c:pt>
                  <c:pt idx="487">
                    <c:v>0</c:v>
                  </c:pt>
                  <c:pt idx="488">
                    <c:v>0</c:v>
                  </c:pt>
                  <c:pt idx="489">
                    <c:v>0</c:v>
                  </c:pt>
                  <c:pt idx="490">
                    <c:v>0</c:v>
                  </c:pt>
                  <c:pt idx="491">
                    <c:v>0</c:v>
                  </c:pt>
                  <c:pt idx="492">
                    <c:v>0</c:v>
                  </c:pt>
                  <c:pt idx="493">
                    <c:v>0</c:v>
                  </c:pt>
                  <c:pt idx="494">
                    <c:v>0</c:v>
                  </c:pt>
                  <c:pt idx="495">
                    <c:v>0</c:v>
                  </c:pt>
                  <c:pt idx="496">
                    <c:v>0</c:v>
                  </c:pt>
                  <c:pt idx="497">
                    <c:v>0</c:v>
                  </c:pt>
                  <c:pt idx="498">
                    <c:v>0</c:v>
                  </c:pt>
                  <c:pt idx="499">
                    <c:v>0</c:v>
                  </c:pt>
                  <c:pt idx="500">
                    <c:v>0</c:v>
                  </c:pt>
                  <c:pt idx="501">
                    <c:v>0</c:v>
                  </c:pt>
                  <c:pt idx="502">
                    <c:v>0</c:v>
                  </c:pt>
                  <c:pt idx="503">
                    <c:v>0</c:v>
                  </c:pt>
                  <c:pt idx="504">
                    <c:v>0</c:v>
                  </c:pt>
                  <c:pt idx="505">
                    <c:v>0</c:v>
                  </c:pt>
                  <c:pt idx="506">
                    <c:v>0</c:v>
                  </c:pt>
                  <c:pt idx="507">
                    <c:v>0</c:v>
                  </c:pt>
                  <c:pt idx="508">
                    <c:v>0</c:v>
                  </c:pt>
                  <c:pt idx="509">
                    <c:v>0</c:v>
                  </c:pt>
                  <c:pt idx="510">
                    <c:v>0</c:v>
                  </c:pt>
                  <c:pt idx="511">
                    <c:v>0</c:v>
                  </c:pt>
                  <c:pt idx="512">
                    <c:v>0</c:v>
                  </c:pt>
                  <c:pt idx="513">
                    <c:v>0</c:v>
                  </c:pt>
                  <c:pt idx="514">
                    <c:v>0</c:v>
                  </c:pt>
                  <c:pt idx="515">
                    <c:v>0</c:v>
                  </c:pt>
                  <c:pt idx="516">
                    <c:v>0</c:v>
                  </c:pt>
                  <c:pt idx="517">
                    <c:v>0</c:v>
                  </c:pt>
                  <c:pt idx="518">
                    <c:v>0</c:v>
                  </c:pt>
                  <c:pt idx="519">
                    <c:v>0</c:v>
                  </c:pt>
                  <c:pt idx="520">
                    <c:v>0</c:v>
                  </c:pt>
                  <c:pt idx="521">
                    <c:v>0</c:v>
                  </c:pt>
                  <c:pt idx="522">
                    <c:v>0</c:v>
                  </c:pt>
                  <c:pt idx="523">
                    <c:v>0</c:v>
                  </c:pt>
                  <c:pt idx="524">
                    <c:v>0</c:v>
                  </c:pt>
                  <c:pt idx="525">
                    <c:v>0</c:v>
                  </c:pt>
                  <c:pt idx="526">
                    <c:v>0</c:v>
                  </c:pt>
                  <c:pt idx="527">
                    <c:v>0</c:v>
                  </c:pt>
                  <c:pt idx="528">
                    <c:v>0</c:v>
                  </c:pt>
                  <c:pt idx="529">
                    <c:v>0</c:v>
                  </c:pt>
                  <c:pt idx="530">
                    <c:v>0</c:v>
                  </c:pt>
                  <c:pt idx="531">
                    <c:v>0</c:v>
                  </c:pt>
                  <c:pt idx="532">
                    <c:v>0</c:v>
                  </c:pt>
                  <c:pt idx="533">
                    <c:v>0</c:v>
                  </c:pt>
                  <c:pt idx="534">
                    <c:v>0</c:v>
                  </c:pt>
                  <c:pt idx="535">
                    <c:v>0</c:v>
                  </c:pt>
                  <c:pt idx="536">
                    <c:v>0</c:v>
                  </c:pt>
                  <c:pt idx="537">
                    <c:v>0</c:v>
                  </c:pt>
                  <c:pt idx="538">
                    <c:v>0</c:v>
                  </c:pt>
                  <c:pt idx="539">
                    <c:v>0</c:v>
                  </c:pt>
                  <c:pt idx="540">
                    <c:v>0</c:v>
                  </c:pt>
                  <c:pt idx="541">
                    <c:v>0</c:v>
                  </c:pt>
                  <c:pt idx="542">
                    <c:v>0</c:v>
                  </c:pt>
                  <c:pt idx="543">
                    <c:v>0</c:v>
                  </c:pt>
                  <c:pt idx="544">
                    <c:v>0</c:v>
                  </c:pt>
                  <c:pt idx="545">
                    <c:v>0</c:v>
                  </c:pt>
                  <c:pt idx="546">
                    <c:v>0</c:v>
                  </c:pt>
                  <c:pt idx="547">
                    <c:v>0</c:v>
                  </c:pt>
                  <c:pt idx="548">
                    <c:v>0</c:v>
                  </c:pt>
                  <c:pt idx="549">
                    <c:v>0</c:v>
                  </c:pt>
                  <c:pt idx="550">
                    <c:v>0</c:v>
                  </c:pt>
                  <c:pt idx="551">
                    <c:v>0</c:v>
                  </c:pt>
                  <c:pt idx="552">
                    <c:v>0</c:v>
                  </c:pt>
                  <c:pt idx="553">
                    <c:v>0</c:v>
                  </c:pt>
                  <c:pt idx="554">
                    <c:v>0</c:v>
                  </c:pt>
                  <c:pt idx="555">
                    <c:v>0</c:v>
                  </c:pt>
                  <c:pt idx="556">
                    <c:v>0</c:v>
                  </c:pt>
                  <c:pt idx="557">
                    <c:v>0</c:v>
                  </c:pt>
                  <c:pt idx="558">
                    <c:v>0</c:v>
                  </c:pt>
                  <c:pt idx="559">
                    <c:v>0</c:v>
                  </c:pt>
                  <c:pt idx="560">
                    <c:v>0</c:v>
                  </c:pt>
                  <c:pt idx="561">
                    <c:v>0</c:v>
                  </c:pt>
                  <c:pt idx="562">
                    <c:v>0</c:v>
                  </c:pt>
                  <c:pt idx="563">
                    <c:v>0</c:v>
                  </c:pt>
                  <c:pt idx="564">
                    <c:v>0</c:v>
                  </c:pt>
                  <c:pt idx="565">
                    <c:v>0</c:v>
                  </c:pt>
                  <c:pt idx="566">
                    <c:v>0</c:v>
                  </c:pt>
                  <c:pt idx="567">
                    <c:v>0</c:v>
                  </c:pt>
                  <c:pt idx="568">
                    <c:v>0</c:v>
                  </c:pt>
                  <c:pt idx="569">
                    <c:v>0</c:v>
                  </c:pt>
                  <c:pt idx="570">
                    <c:v>0</c:v>
                  </c:pt>
                  <c:pt idx="571">
                    <c:v>0</c:v>
                  </c:pt>
                  <c:pt idx="572">
                    <c:v>0</c:v>
                  </c:pt>
                  <c:pt idx="573">
                    <c:v>0</c:v>
                  </c:pt>
                  <c:pt idx="574">
                    <c:v>0</c:v>
                  </c:pt>
                  <c:pt idx="575">
                    <c:v>0</c:v>
                  </c:pt>
                  <c:pt idx="576">
                    <c:v>0</c:v>
                  </c:pt>
                  <c:pt idx="577">
                    <c:v>0</c:v>
                  </c:pt>
                  <c:pt idx="578">
                    <c:v>0</c:v>
                  </c:pt>
                  <c:pt idx="579">
                    <c:v>0</c:v>
                  </c:pt>
                  <c:pt idx="580">
                    <c:v>0</c:v>
                  </c:pt>
                  <c:pt idx="581">
                    <c:v>0</c:v>
                  </c:pt>
                  <c:pt idx="582">
                    <c:v>0</c:v>
                  </c:pt>
                  <c:pt idx="583">
                    <c:v>0</c:v>
                  </c:pt>
                  <c:pt idx="584">
                    <c:v>0</c:v>
                  </c:pt>
                  <c:pt idx="585">
                    <c:v>0</c:v>
                  </c:pt>
                  <c:pt idx="586">
                    <c:v>0</c:v>
                  </c:pt>
                  <c:pt idx="587">
                    <c:v>0</c:v>
                  </c:pt>
                  <c:pt idx="588">
                    <c:v>0</c:v>
                  </c:pt>
                  <c:pt idx="589">
                    <c:v>0</c:v>
                  </c:pt>
                  <c:pt idx="590">
                    <c:v>0</c:v>
                  </c:pt>
                  <c:pt idx="591">
                    <c:v>0</c:v>
                  </c:pt>
                  <c:pt idx="592">
                    <c:v>0</c:v>
                  </c:pt>
                  <c:pt idx="593">
                    <c:v>0</c:v>
                  </c:pt>
                  <c:pt idx="594">
                    <c:v>0</c:v>
                  </c:pt>
                  <c:pt idx="595">
                    <c:v>0</c:v>
                  </c:pt>
                  <c:pt idx="596">
                    <c:v>0</c:v>
                  </c:pt>
                  <c:pt idx="597">
                    <c:v>0</c:v>
                  </c:pt>
                  <c:pt idx="598">
                    <c:v>0</c:v>
                  </c:pt>
                  <c:pt idx="599">
                    <c:v>0</c:v>
                  </c:pt>
                  <c:pt idx="600">
                    <c:v>0</c:v>
                  </c:pt>
                  <c:pt idx="601">
                    <c:v>0</c:v>
                  </c:pt>
                  <c:pt idx="602">
                    <c:v>0</c:v>
                  </c:pt>
                  <c:pt idx="603">
                    <c:v>0</c:v>
                  </c:pt>
                  <c:pt idx="604">
                    <c:v>0</c:v>
                  </c:pt>
                  <c:pt idx="605">
                    <c:v>0</c:v>
                  </c:pt>
                  <c:pt idx="606">
                    <c:v>0</c:v>
                  </c:pt>
                  <c:pt idx="607">
                    <c:v>0</c:v>
                  </c:pt>
                  <c:pt idx="608">
                    <c:v>0</c:v>
                  </c:pt>
                  <c:pt idx="609">
                    <c:v>0</c:v>
                  </c:pt>
                  <c:pt idx="610">
                    <c:v>0</c:v>
                  </c:pt>
                  <c:pt idx="611">
                    <c:v>0</c:v>
                  </c:pt>
                  <c:pt idx="612">
                    <c:v>0</c:v>
                  </c:pt>
                  <c:pt idx="613">
                    <c:v>0</c:v>
                  </c:pt>
                  <c:pt idx="614">
                    <c:v>0</c:v>
                  </c:pt>
                  <c:pt idx="615">
                    <c:v>0</c:v>
                  </c:pt>
                  <c:pt idx="616">
                    <c:v>0</c:v>
                  </c:pt>
                  <c:pt idx="617">
                    <c:v>0</c:v>
                  </c:pt>
                  <c:pt idx="618">
                    <c:v>0</c:v>
                  </c:pt>
                  <c:pt idx="619">
                    <c:v>0</c:v>
                  </c:pt>
                  <c:pt idx="620">
                    <c:v>0</c:v>
                  </c:pt>
                  <c:pt idx="621">
                    <c:v>0</c:v>
                  </c:pt>
                  <c:pt idx="622">
                    <c:v>0</c:v>
                  </c:pt>
                  <c:pt idx="623">
                    <c:v>0</c:v>
                  </c:pt>
                  <c:pt idx="624">
                    <c:v>0</c:v>
                  </c:pt>
                  <c:pt idx="625">
                    <c:v>0</c:v>
                  </c:pt>
                  <c:pt idx="626">
                    <c:v>0</c:v>
                  </c:pt>
                  <c:pt idx="627">
                    <c:v>0</c:v>
                  </c:pt>
                  <c:pt idx="628">
                    <c:v>0</c:v>
                  </c:pt>
                  <c:pt idx="629">
                    <c:v>0</c:v>
                  </c:pt>
                  <c:pt idx="630">
                    <c:v>0</c:v>
                  </c:pt>
                  <c:pt idx="631">
                    <c:v>0</c:v>
                  </c:pt>
                  <c:pt idx="632">
                    <c:v>0</c:v>
                  </c:pt>
                  <c:pt idx="633">
                    <c:v>0</c:v>
                  </c:pt>
                  <c:pt idx="634">
                    <c:v>0</c:v>
                  </c:pt>
                  <c:pt idx="635">
                    <c:v>0</c:v>
                  </c:pt>
                  <c:pt idx="636">
                    <c:v>0</c:v>
                  </c:pt>
                  <c:pt idx="637">
                    <c:v>0</c:v>
                  </c:pt>
                  <c:pt idx="638">
                    <c:v>0</c:v>
                  </c:pt>
                  <c:pt idx="639">
                    <c:v>0</c:v>
                  </c:pt>
                  <c:pt idx="640">
                    <c:v>0</c:v>
                  </c:pt>
                  <c:pt idx="641">
                    <c:v>0</c:v>
                  </c:pt>
                  <c:pt idx="642">
                    <c:v>0</c:v>
                  </c:pt>
                  <c:pt idx="643">
                    <c:v>0</c:v>
                  </c:pt>
                  <c:pt idx="644">
                    <c:v>0</c:v>
                  </c:pt>
                  <c:pt idx="645">
                    <c:v>0</c:v>
                  </c:pt>
                  <c:pt idx="646">
                    <c:v>0</c:v>
                  </c:pt>
                  <c:pt idx="647">
                    <c:v>0</c:v>
                  </c:pt>
                  <c:pt idx="648">
                    <c:v>0</c:v>
                  </c:pt>
                  <c:pt idx="649">
                    <c:v>0</c:v>
                  </c:pt>
                  <c:pt idx="650">
                    <c:v>0</c:v>
                  </c:pt>
                  <c:pt idx="651">
                    <c:v>0</c:v>
                  </c:pt>
                  <c:pt idx="652">
                    <c:v>0</c:v>
                  </c:pt>
                  <c:pt idx="653">
                    <c:v>0</c:v>
                  </c:pt>
                  <c:pt idx="654">
                    <c:v>0</c:v>
                  </c:pt>
                  <c:pt idx="655">
                    <c:v>0</c:v>
                  </c:pt>
                  <c:pt idx="656">
                    <c:v>0</c:v>
                  </c:pt>
                  <c:pt idx="657">
                    <c:v>0</c:v>
                  </c:pt>
                  <c:pt idx="658">
                    <c:v>0</c:v>
                  </c:pt>
                  <c:pt idx="659">
                    <c:v>0</c:v>
                  </c:pt>
                  <c:pt idx="660">
                    <c:v>0</c:v>
                  </c:pt>
                  <c:pt idx="661">
                    <c:v>0</c:v>
                  </c:pt>
                  <c:pt idx="662">
                    <c:v>0</c:v>
                  </c:pt>
                  <c:pt idx="663">
                    <c:v>0</c:v>
                  </c:pt>
                  <c:pt idx="664">
                    <c:v>0</c:v>
                  </c:pt>
                  <c:pt idx="665">
                    <c:v>0</c:v>
                  </c:pt>
                  <c:pt idx="666">
                    <c:v>0</c:v>
                  </c:pt>
                  <c:pt idx="667">
                    <c:v>0</c:v>
                  </c:pt>
                  <c:pt idx="668">
                    <c:v>0</c:v>
                  </c:pt>
                  <c:pt idx="669">
                    <c:v>0</c:v>
                  </c:pt>
                  <c:pt idx="670">
                    <c:v>0</c:v>
                  </c:pt>
                  <c:pt idx="671">
                    <c:v>0</c:v>
                  </c:pt>
                  <c:pt idx="672">
                    <c:v>0</c:v>
                  </c:pt>
                  <c:pt idx="673">
                    <c:v>0</c:v>
                  </c:pt>
                  <c:pt idx="674">
                    <c:v>0</c:v>
                  </c:pt>
                  <c:pt idx="675">
                    <c:v>0</c:v>
                  </c:pt>
                  <c:pt idx="676">
                    <c:v>0</c:v>
                  </c:pt>
                  <c:pt idx="677">
                    <c:v>0</c:v>
                  </c:pt>
                  <c:pt idx="678">
                    <c:v>0</c:v>
                  </c:pt>
                  <c:pt idx="679">
                    <c:v>0</c:v>
                  </c:pt>
                  <c:pt idx="680">
                    <c:v>0</c:v>
                  </c:pt>
                  <c:pt idx="681">
                    <c:v>0</c:v>
                  </c:pt>
                  <c:pt idx="682">
                    <c:v>0</c:v>
                  </c:pt>
                  <c:pt idx="683">
                    <c:v>0</c:v>
                  </c:pt>
                  <c:pt idx="684">
                    <c:v>0</c:v>
                  </c:pt>
                  <c:pt idx="685">
                    <c:v>0</c:v>
                  </c:pt>
                  <c:pt idx="686">
                    <c:v>0</c:v>
                  </c:pt>
                  <c:pt idx="687">
                    <c:v>0</c:v>
                  </c:pt>
                  <c:pt idx="688">
                    <c:v>0</c:v>
                  </c:pt>
                  <c:pt idx="689">
                    <c:v>0</c:v>
                  </c:pt>
                  <c:pt idx="690">
                    <c:v>0</c:v>
                  </c:pt>
                  <c:pt idx="691">
                    <c:v>0</c:v>
                  </c:pt>
                  <c:pt idx="692">
                    <c:v>0</c:v>
                  </c:pt>
                  <c:pt idx="693">
                    <c:v>0</c:v>
                  </c:pt>
                  <c:pt idx="694">
                    <c:v>0</c:v>
                  </c:pt>
                  <c:pt idx="695">
                    <c:v>0</c:v>
                  </c:pt>
                  <c:pt idx="696">
                    <c:v>0</c:v>
                  </c:pt>
                  <c:pt idx="697">
                    <c:v>0</c:v>
                  </c:pt>
                  <c:pt idx="698">
                    <c:v>0</c:v>
                  </c:pt>
                  <c:pt idx="699">
                    <c:v>0</c:v>
                  </c:pt>
                  <c:pt idx="700">
                    <c:v>0</c:v>
                  </c:pt>
                  <c:pt idx="701">
                    <c:v>0</c:v>
                  </c:pt>
                  <c:pt idx="702">
                    <c:v>0</c:v>
                  </c:pt>
                  <c:pt idx="703">
                    <c:v>0</c:v>
                  </c:pt>
                  <c:pt idx="704">
                    <c:v>0</c:v>
                  </c:pt>
                  <c:pt idx="705">
                    <c:v>0</c:v>
                  </c:pt>
                  <c:pt idx="706">
                    <c:v>0</c:v>
                  </c:pt>
                  <c:pt idx="707">
                    <c:v>0</c:v>
                  </c:pt>
                  <c:pt idx="708">
                    <c:v>0</c:v>
                  </c:pt>
                  <c:pt idx="709">
                    <c:v>0</c:v>
                  </c:pt>
                  <c:pt idx="710">
                    <c:v>0</c:v>
                  </c:pt>
                  <c:pt idx="711">
                    <c:v>0</c:v>
                  </c:pt>
                  <c:pt idx="712">
                    <c:v>0</c:v>
                  </c:pt>
                  <c:pt idx="713">
                    <c:v>0</c:v>
                  </c:pt>
                  <c:pt idx="714">
                    <c:v>0</c:v>
                  </c:pt>
                  <c:pt idx="715">
                    <c:v>0</c:v>
                  </c:pt>
                  <c:pt idx="716">
                    <c:v>0</c:v>
                  </c:pt>
                  <c:pt idx="717">
                    <c:v>0</c:v>
                  </c:pt>
                  <c:pt idx="718">
                    <c:v>0</c:v>
                  </c:pt>
                  <c:pt idx="719">
                    <c:v>0</c:v>
                  </c:pt>
                  <c:pt idx="720">
                    <c:v>0</c:v>
                  </c:pt>
                  <c:pt idx="721">
                    <c:v>0</c:v>
                  </c:pt>
                  <c:pt idx="722">
                    <c:v>0</c:v>
                  </c:pt>
                  <c:pt idx="723">
                    <c:v>0</c:v>
                  </c:pt>
                  <c:pt idx="724">
                    <c:v>0</c:v>
                  </c:pt>
                  <c:pt idx="725">
                    <c:v>0</c:v>
                  </c:pt>
                  <c:pt idx="726">
                    <c:v>0</c:v>
                  </c:pt>
                  <c:pt idx="727">
                    <c:v>0</c:v>
                  </c:pt>
                  <c:pt idx="728">
                    <c:v>0</c:v>
                  </c:pt>
                  <c:pt idx="729">
                    <c:v>0</c:v>
                  </c:pt>
                  <c:pt idx="730">
                    <c:v>0</c:v>
                  </c:pt>
                  <c:pt idx="731">
                    <c:v>0</c:v>
                  </c:pt>
                  <c:pt idx="732">
                    <c:v>0</c:v>
                  </c:pt>
                  <c:pt idx="733">
                    <c:v>0</c:v>
                  </c:pt>
                  <c:pt idx="734">
                    <c:v>0</c:v>
                  </c:pt>
                  <c:pt idx="735">
                    <c:v>0</c:v>
                  </c:pt>
                  <c:pt idx="736">
                    <c:v>0</c:v>
                  </c:pt>
                  <c:pt idx="737">
                    <c:v>0</c:v>
                  </c:pt>
                  <c:pt idx="738">
                    <c:v>0</c:v>
                  </c:pt>
                  <c:pt idx="739">
                    <c:v>0</c:v>
                  </c:pt>
                  <c:pt idx="740">
                    <c:v>0</c:v>
                  </c:pt>
                  <c:pt idx="741">
                    <c:v>0</c:v>
                  </c:pt>
                  <c:pt idx="742">
                    <c:v>0</c:v>
                  </c:pt>
                  <c:pt idx="743">
                    <c:v>0</c:v>
                  </c:pt>
                  <c:pt idx="744">
                    <c:v>0</c:v>
                  </c:pt>
                  <c:pt idx="745">
                    <c:v>0</c:v>
                  </c:pt>
                  <c:pt idx="746">
                    <c:v>0</c:v>
                  </c:pt>
                  <c:pt idx="747">
                    <c:v>0</c:v>
                  </c:pt>
                  <c:pt idx="748">
                    <c:v>0</c:v>
                  </c:pt>
                  <c:pt idx="749">
                    <c:v>0</c:v>
                  </c:pt>
                  <c:pt idx="750">
                    <c:v>0</c:v>
                  </c:pt>
                  <c:pt idx="751">
                    <c:v>0</c:v>
                  </c:pt>
                  <c:pt idx="752">
                    <c:v>0</c:v>
                  </c:pt>
                  <c:pt idx="753">
                    <c:v>0</c:v>
                  </c:pt>
                  <c:pt idx="754">
                    <c:v>0</c:v>
                  </c:pt>
                  <c:pt idx="755">
                    <c:v>0</c:v>
                  </c:pt>
                  <c:pt idx="756">
                    <c:v>0</c:v>
                  </c:pt>
                  <c:pt idx="757">
                    <c:v>0</c:v>
                  </c:pt>
                  <c:pt idx="758">
                    <c:v>0</c:v>
                  </c:pt>
                  <c:pt idx="759">
                    <c:v>0</c:v>
                  </c:pt>
                  <c:pt idx="760">
                    <c:v>0</c:v>
                  </c:pt>
                  <c:pt idx="761">
                    <c:v>0</c:v>
                  </c:pt>
                  <c:pt idx="762">
                    <c:v>0</c:v>
                  </c:pt>
                  <c:pt idx="763">
                    <c:v>0</c:v>
                  </c:pt>
                  <c:pt idx="764">
                    <c:v>0</c:v>
                  </c:pt>
                  <c:pt idx="765">
                    <c:v>0</c:v>
                  </c:pt>
                  <c:pt idx="766">
                    <c:v>0</c:v>
                  </c:pt>
                  <c:pt idx="767">
                    <c:v>0</c:v>
                  </c:pt>
                  <c:pt idx="768">
                    <c:v>0</c:v>
                  </c:pt>
                  <c:pt idx="769">
                    <c:v>0</c:v>
                  </c:pt>
                  <c:pt idx="770">
                    <c:v>0</c:v>
                  </c:pt>
                  <c:pt idx="771">
                    <c:v>0</c:v>
                  </c:pt>
                  <c:pt idx="772">
                    <c:v>0</c:v>
                  </c:pt>
                  <c:pt idx="773">
                    <c:v>0</c:v>
                  </c:pt>
                  <c:pt idx="774">
                    <c:v>0</c:v>
                  </c:pt>
                  <c:pt idx="775">
                    <c:v>0</c:v>
                  </c:pt>
                  <c:pt idx="776">
                    <c:v>0</c:v>
                  </c:pt>
                  <c:pt idx="777">
                    <c:v>0</c:v>
                  </c:pt>
                  <c:pt idx="778">
                    <c:v>0</c:v>
                  </c:pt>
                  <c:pt idx="779">
                    <c:v>0</c:v>
                  </c:pt>
                  <c:pt idx="780">
                    <c:v>0</c:v>
                  </c:pt>
                  <c:pt idx="781">
                    <c:v>0</c:v>
                  </c:pt>
                  <c:pt idx="782">
                    <c:v>0</c:v>
                  </c:pt>
                  <c:pt idx="783">
                    <c:v>0</c:v>
                  </c:pt>
                  <c:pt idx="784">
                    <c:v>0</c:v>
                  </c:pt>
                  <c:pt idx="785">
                    <c:v>0</c:v>
                  </c:pt>
                  <c:pt idx="786">
                    <c:v>0</c:v>
                  </c:pt>
                  <c:pt idx="787">
                    <c:v>0</c:v>
                  </c:pt>
                  <c:pt idx="788">
                    <c:v>0</c:v>
                  </c:pt>
                  <c:pt idx="789">
                    <c:v>0</c:v>
                  </c:pt>
                  <c:pt idx="790">
                    <c:v>0</c:v>
                  </c:pt>
                  <c:pt idx="791">
                    <c:v>0</c:v>
                  </c:pt>
                  <c:pt idx="792">
                    <c:v>0</c:v>
                  </c:pt>
                  <c:pt idx="793">
                    <c:v>0</c:v>
                  </c:pt>
                  <c:pt idx="794">
                    <c:v>0</c:v>
                  </c:pt>
                  <c:pt idx="795">
                    <c:v>0</c:v>
                  </c:pt>
                  <c:pt idx="796">
                    <c:v>0</c:v>
                  </c:pt>
                  <c:pt idx="797">
                    <c:v>0</c:v>
                  </c:pt>
                  <c:pt idx="798">
                    <c:v>0</c:v>
                  </c:pt>
                  <c:pt idx="799">
                    <c:v>0</c:v>
                  </c:pt>
                  <c:pt idx="800">
                    <c:v>0</c:v>
                  </c:pt>
                  <c:pt idx="801">
                    <c:v>0</c:v>
                  </c:pt>
                  <c:pt idx="802">
                    <c:v>0</c:v>
                  </c:pt>
                  <c:pt idx="803">
                    <c:v>0</c:v>
                  </c:pt>
                  <c:pt idx="804">
                    <c:v>0</c:v>
                  </c:pt>
                  <c:pt idx="805">
                    <c:v>0</c:v>
                  </c:pt>
                  <c:pt idx="806">
                    <c:v>0</c:v>
                  </c:pt>
                  <c:pt idx="807">
                    <c:v>0</c:v>
                  </c:pt>
                  <c:pt idx="808">
                    <c:v>0</c:v>
                  </c:pt>
                  <c:pt idx="809">
                    <c:v>0</c:v>
                  </c:pt>
                  <c:pt idx="810">
                    <c:v>0</c:v>
                  </c:pt>
                  <c:pt idx="811">
                    <c:v>0</c:v>
                  </c:pt>
                  <c:pt idx="812">
                    <c:v>0</c:v>
                  </c:pt>
                  <c:pt idx="813">
                    <c:v>0</c:v>
                  </c:pt>
                  <c:pt idx="814">
                    <c:v>0</c:v>
                  </c:pt>
                  <c:pt idx="815">
                    <c:v>0</c:v>
                  </c:pt>
                  <c:pt idx="816">
                    <c:v>0</c:v>
                  </c:pt>
                  <c:pt idx="817">
                    <c:v>0</c:v>
                  </c:pt>
                  <c:pt idx="818">
                    <c:v>0</c:v>
                  </c:pt>
                  <c:pt idx="819">
                    <c:v>0</c:v>
                  </c:pt>
                  <c:pt idx="820">
                    <c:v>0</c:v>
                  </c:pt>
                  <c:pt idx="821">
                    <c:v>0</c:v>
                  </c:pt>
                  <c:pt idx="822">
                    <c:v>0</c:v>
                  </c:pt>
                  <c:pt idx="823">
                    <c:v>0</c:v>
                  </c:pt>
                  <c:pt idx="824">
                    <c:v>0</c:v>
                  </c:pt>
                  <c:pt idx="825">
                    <c:v>0</c:v>
                  </c:pt>
                  <c:pt idx="826">
                    <c:v>0</c:v>
                  </c:pt>
                  <c:pt idx="827">
                    <c:v>0</c:v>
                  </c:pt>
                  <c:pt idx="828">
                    <c:v>0</c:v>
                  </c:pt>
                  <c:pt idx="829">
                    <c:v>0</c:v>
                  </c:pt>
                  <c:pt idx="830">
                    <c:v>0</c:v>
                  </c:pt>
                  <c:pt idx="831">
                    <c:v>0</c:v>
                  </c:pt>
                  <c:pt idx="832">
                    <c:v>0</c:v>
                  </c:pt>
                  <c:pt idx="833">
                    <c:v>0</c:v>
                  </c:pt>
                  <c:pt idx="834">
                    <c:v>0</c:v>
                  </c:pt>
                  <c:pt idx="835">
                    <c:v>0</c:v>
                  </c:pt>
                  <c:pt idx="836">
                    <c:v>0</c:v>
                  </c:pt>
                  <c:pt idx="837">
                    <c:v>0</c:v>
                  </c:pt>
                  <c:pt idx="838">
                    <c:v>0</c:v>
                  </c:pt>
                  <c:pt idx="839">
                    <c:v>0</c:v>
                  </c:pt>
                  <c:pt idx="840">
                    <c:v>0</c:v>
                  </c:pt>
                  <c:pt idx="841">
                    <c:v>0</c:v>
                  </c:pt>
                  <c:pt idx="842">
                    <c:v>0</c:v>
                  </c:pt>
                  <c:pt idx="843">
                    <c:v>0</c:v>
                  </c:pt>
                  <c:pt idx="844">
                    <c:v>0</c:v>
                  </c:pt>
                  <c:pt idx="845">
                    <c:v>0</c:v>
                  </c:pt>
                  <c:pt idx="846">
                    <c:v>0</c:v>
                  </c:pt>
                  <c:pt idx="847">
                    <c:v>0</c:v>
                  </c:pt>
                  <c:pt idx="848">
                    <c:v>0</c:v>
                  </c:pt>
                  <c:pt idx="849">
                    <c:v>0</c:v>
                  </c:pt>
                  <c:pt idx="850">
                    <c:v>0</c:v>
                  </c:pt>
                  <c:pt idx="851">
                    <c:v>0</c:v>
                  </c:pt>
                  <c:pt idx="852">
                    <c:v>0</c:v>
                  </c:pt>
                  <c:pt idx="853">
                    <c:v>0</c:v>
                  </c:pt>
                  <c:pt idx="854">
                    <c:v>0</c:v>
                  </c:pt>
                  <c:pt idx="855">
                    <c:v>0</c:v>
                  </c:pt>
                  <c:pt idx="856">
                    <c:v>0</c:v>
                  </c:pt>
                  <c:pt idx="857">
                    <c:v>0</c:v>
                  </c:pt>
                  <c:pt idx="858">
                    <c:v>0</c:v>
                  </c:pt>
                  <c:pt idx="859">
                    <c:v>0</c:v>
                  </c:pt>
                  <c:pt idx="860">
                    <c:v>0</c:v>
                  </c:pt>
                  <c:pt idx="861">
                    <c:v>0</c:v>
                  </c:pt>
                  <c:pt idx="862">
                    <c:v>0</c:v>
                  </c:pt>
                  <c:pt idx="863">
                    <c:v>0</c:v>
                  </c:pt>
                  <c:pt idx="864">
                    <c:v>0</c:v>
                  </c:pt>
                  <c:pt idx="865">
                    <c:v>0</c:v>
                  </c:pt>
                  <c:pt idx="866">
                    <c:v>0</c:v>
                  </c:pt>
                  <c:pt idx="867">
                    <c:v>0</c:v>
                  </c:pt>
                  <c:pt idx="868">
                    <c:v>0</c:v>
                  </c:pt>
                  <c:pt idx="869">
                    <c:v>0</c:v>
                  </c:pt>
                  <c:pt idx="870">
                    <c:v>0</c:v>
                  </c:pt>
                  <c:pt idx="871">
                    <c:v>0</c:v>
                  </c:pt>
                  <c:pt idx="872">
                    <c:v>0</c:v>
                  </c:pt>
                  <c:pt idx="873">
                    <c:v>0</c:v>
                  </c:pt>
                  <c:pt idx="874">
                    <c:v>0</c:v>
                  </c:pt>
                  <c:pt idx="875">
                    <c:v>0</c:v>
                  </c:pt>
                  <c:pt idx="876">
                    <c:v>0</c:v>
                  </c:pt>
                  <c:pt idx="877">
                    <c:v>0</c:v>
                  </c:pt>
                  <c:pt idx="878">
                    <c:v>0</c:v>
                  </c:pt>
                  <c:pt idx="879">
                    <c:v>0</c:v>
                  </c:pt>
                  <c:pt idx="880">
                    <c:v>0</c:v>
                  </c:pt>
                  <c:pt idx="881">
                    <c:v>0</c:v>
                  </c:pt>
                  <c:pt idx="882">
                    <c:v>0</c:v>
                  </c:pt>
                  <c:pt idx="883">
                    <c:v>0</c:v>
                  </c:pt>
                  <c:pt idx="884">
                    <c:v>0</c:v>
                  </c:pt>
                  <c:pt idx="885">
                    <c:v>0</c:v>
                  </c:pt>
                  <c:pt idx="886">
                    <c:v>0</c:v>
                  </c:pt>
                  <c:pt idx="887">
                    <c:v>0</c:v>
                  </c:pt>
                  <c:pt idx="888">
                    <c:v>0</c:v>
                  </c:pt>
                  <c:pt idx="889">
                    <c:v>0</c:v>
                  </c:pt>
                  <c:pt idx="890">
                    <c:v>0</c:v>
                  </c:pt>
                  <c:pt idx="891">
                    <c:v>0</c:v>
                  </c:pt>
                  <c:pt idx="892">
                    <c:v>0</c:v>
                  </c:pt>
                  <c:pt idx="893">
                    <c:v>0</c:v>
                  </c:pt>
                  <c:pt idx="894">
                    <c:v>0</c:v>
                  </c:pt>
                  <c:pt idx="895">
                    <c:v>0</c:v>
                  </c:pt>
                  <c:pt idx="896">
                    <c:v>0</c:v>
                  </c:pt>
                  <c:pt idx="897">
                    <c:v>0</c:v>
                  </c:pt>
                  <c:pt idx="898">
                    <c:v>0</c:v>
                  </c:pt>
                  <c:pt idx="899">
                    <c:v>0</c:v>
                  </c:pt>
                  <c:pt idx="900">
                    <c:v>0</c:v>
                  </c:pt>
                  <c:pt idx="901">
                    <c:v>0</c:v>
                  </c:pt>
                  <c:pt idx="902">
                    <c:v>0</c:v>
                  </c:pt>
                  <c:pt idx="903">
                    <c:v>0</c:v>
                  </c:pt>
                  <c:pt idx="904">
                    <c:v>0</c:v>
                  </c:pt>
                  <c:pt idx="905">
                    <c:v>0</c:v>
                  </c:pt>
                  <c:pt idx="906">
                    <c:v>0</c:v>
                  </c:pt>
                  <c:pt idx="907">
                    <c:v>0</c:v>
                  </c:pt>
                  <c:pt idx="908">
                    <c:v>0</c:v>
                  </c:pt>
                  <c:pt idx="909">
                    <c:v>0</c:v>
                  </c:pt>
                  <c:pt idx="910">
                    <c:v>0</c:v>
                  </c:pt>
                  <c:pt idx="911">
                    <c:v>0</c:v>
                  </c:pt>
                  <c:pt idx="912">
                    <c:v>0</c:v>
                  </c:pt>
                  <c:pt idx="913">
                    <c:v>0</c:v>
                  </c:pt>
                  <c:pt idx="914">
                    <c:v>0</c:v>
                  </c:pt>
                  <c:pt idx="915">
                    <c:v>0</c:v>
                  </c:pt>
                  <c:pt idx="916">
                    <c:v>0</c:v>
                  </c:pt>
                  <c:pt idx="917">
                    <c:v>0</c:v>
                  </c:pt>
                  <c:pt idx="918">
                    <c:v>0</c:v>
                  </c:pt>
                  <c:pt idx="919">
                    <c:v>0</c:v>
                  </c:pt>
                  <c:pt idx="920">
                    <c:v>0</c:v>
                  </c:pt>
                  <c:pt idx="921">
                    <c:v>0</c:v>
                  </c:pt>
                  <c:pt idx="922">
                    <c:v>0</c:v>
                  </c:pt>
                  <c:pt idx="923">
                    <c:v>0</c:v>
                  </c:pt>
                  <c:pt idx="924">
                    <c:v>0</c:v>
                  </c:pt>
                  <c:pt idx="925">
                    <c:v>0</c:v>
                  </c:pt>
                  <c:pt idx="926">
                    <c:v>0</c:v>
                  </c:pt>
                  <c:pt idx="927">
                    <c:v>0</c:v>
                  </c:pt>
                  <c:pt idx="928">
                    <c:v>0</c:v>
                  </c:pt>
                  <c:pt idx="929">
                    <c:v>0</c:v>
                  </c:pt>
                  <c:pt idx="930">
                    <c:v>0</c:v>
                  </c:pt>
                  <c:pt idx="931">
                    <c:v>0</c:v>
                  </c:pt>
                  <c:pt idx="932">
                    <c:v>0</c:v>
                  </c:pt>
                  <c:pt idx="933">
                    <c:v>0</c:v>
                  </c:pt>
                  <c:pt idx="934">
                    <c:v>0</c:v>
                  </c:pt>
                  <c:pt idx="935">
                    <c:v>0</c:v>
                  </c:pt>
                  <c:pt idx="936">
                    <c:v>0</c:v>
                  </c:pt>
                  <c:pt idx="937">
                    <c:v>0</c:v>
                  </c:pt>
                  <c:pt idx="938">
                    <c:v>0</c:v>
                  </c:pt>
                  <c:pt idx="939">
                    <c:v>0</c:v>
                  </c:pt>
                  <c:pt idx="940">
                    <c:v>0</c:v>
                  </c:pt>
                  <c:pt idx="941">
                    <c:v>0</c:v>
                  </c:pt>
                  <c:pt idx="942">
                    <c:v>0</c:v>
                  </c:pt>
                  <c:pt idx="943">
                    <c:v>0</c:v>
                  </c:pt>
                  <c:pt idx="944">
                    <c:v>0</c:v>
                  </c:pt>
                  <c:pt idx="945">
                    <c:v>0</c:v>
                  </c:pt>
                  <c:pt idx="946">
                    <c:v>0</c:v>
                  </c:pt>
                  <c:pt idx="947">
                    <c:v>0</c:v>
                  </c:pt>
                  <c:pt idx="948">
                    <c:v>0</c:v>
                  </c:pt>
                  <c:pt idx="949">
                    <c:v>0</c:v>
                  </c:pt>
                  <c:pt idx="950">
                    <c:v>0</c:v>
                  </c:pt>
                  <c:pt idx="951">
                    <c:v>0</c:v>
                  </c:pt>
                  <c:pt idx="952">
                    <c:v>0</c:v>
                  </c:pt>
                  <c:pt idx="953">
                    <c:v>0</c:v>
                  </c:pt>
                  <c:pt idx="954">
                    <c:v>0</c:v>
                  </c:pt>
                  <c:pt idx="955">
                    <c:v>0</c:v>
                  </c:pt>
                  <c:pt idx="956">
                    <c:v>0</c:v>
                  </c:pt>
                  <c:pt idx="957">
                    <c:v>0</c:v>
                  </c:pt>
                  <c:pt idx="958">
                    <c:v>0</c:v>
                  </c:pt>
                  <c:pt idx="959">
                    <c:v>0</c:v>
                  </c:pt>
                  <c:pt idx="960">
                    <c:v>0</c:v>
                  </c:pt>
                  <c:pt idx="961">
                    <c:v>0</c:v>
                  </c:pt>
                  <c:pt idx="962">
                    <c:v>0</c:v>
                  </c:pt>
                  <c:pt idx="963">
                    <c:v>0</c:v>
                  </c:pt>
                  <c:pt idx="964">
                    <c:v>0</c:v>
                  </c:pt>
                  <c:pt idx="965">
                    <c:v>0</c:v>
                  </c:pt>
                  <c:pt idx="966">
                    <c:v>0</c:v>
                  </c:pt>
                  <c:pt idx="967">
                    <c:v>0</c:v>
                  </c:pt>
                  <c:pt idx="968">
                    <c:v>0</c:v>
                  </c:pt>
                  <c:pt idx="969">
                    <c:v>0</c:v>
                  </c:pt>
                  <c:pt idx="970">
                    <c:v>0</c:v>
                  </c:pt>
                  <c:pt idx="971">
                    <c:v>0</c:v>
                  </c:pt>
                  <c:pt idx="972">
                    <c:v>0</c:v>
                  </c:pt>
                  <c:pt idx="973">
                    <c:v>0</c:v>
                  </c:pt>
                  <c:pt idx="974">
                    <c:v>0</c:v>
                  </c:pt>
                  <c:pt idx="975">
                    <c:v>0</c:v>
                  </c:pt>
                  <c:pt idx="976">
                    <c:v>0</c:v>
                  </c:pt>
                  <c:pt idx="977">
                    <c:v>0</c:v>
                  </c:pt>
                  <c:pt idx="978">
                    <c:v>0</c:v>
                  </c:pt>
                  <c:pt idx="979">
                    <c:v>0</c:v>
                  </c:pt>
                  <c:pt idx="980">
                    <c:v>0</c:v>
                  </c:pt>
                  <c:pt idx="981">
                    <c:v>0</c:v>
                  </c:pt>
                  <c:pt idx="982">
                    <c:v>0</c:v>
                  </c:pt>
                  <c:pt idx="983">
                    <c:v>0</c:v>
                  </c:pt>
                  <c:pt idx="984">
                    <c:v>0</c:v>
                  </c:pt>
                  <c:pt idx="985">
                    <c:v>0</c:v>
                  </c:pt>
                  <c:pt idx="986">
                    <c:v>0</c:v>
                  </c:pt>
                  <c:pt idx="987">
                    <c:v>0</c:v>
                  </c:pt>
                  <c:pt idx="988">
                    <c:v>0</c:v>
                  </c:pt>
                  <c:pt idx="989">
                    <c:v>0</c:v>
                  </c:pt>
                  <c:pt idx="990">
                    <c:v>0</c:v>
                  </c:pt>
                  <c:pt idx="991">
                    <c:v>0</c:v>
                  </c:pt>
                  <c:pt idx="992">
                    <c:v>0</c:v>
                  </c:pt>
                  <c:pt idx="993">
                    <c:v>0</c:v>
                  </c:pt>
                  <c:pt idx="994">
                    <c:v>0</c:v>
                  </c:pt>
                  <c:pt idx="995">
                    <c:v>0</c:v>
                  </c:pt>
                  <c:pt idx="996">
                    <c:v>0</c:v>
                  </c:pt>
                  <c:pt idx="997">
                    <c:v>0</c:v>
                  </c:pt>
                  <c:pt idx="998">
                    <c:v>0</c:v>
                  </c:pt>
                  <c:pt idx="999">
                    <c:v>0</c:v>
                  </c:pt>
                  <c:pt idx="1000">
                    <c:v>0</c:v>
                  </c:pt>
                  <c:pt idx="1001">
                    <c:v>0</c:v>
                  </c:pt>
                  <c:pt idx="1002">
                    <c:v>0</c:v>
                  </c:pt>
                  <c:pt idx="1003">
                    <c:v>0</c:v>
                  </c:pt>
                  <c:pt idx="1004">
                    <c:v>0</c:v>
                  </c:pt>
                  <c:pt idx="1005">
                    <c:v>0</c:v>
                  </c:pt>
                  <c:pt idx="1006">
                    <c:v>0</c:v>
                  </c:pt>
                  <c:pt idx="1007">
                    <c:v>0</c:v>
                  </c:pt>
                  <c:pt idx="1008">
                    <c:v>0</c:v>
                  </c:pt>
                  <c:pt idx="1009">
                    <c:v>0</c:v>
                  </c:pt>
                  <c:pt idx="1010">
                    <c:v>0</c:v>
                  </c:pt>
                  <c:pt idx="1011">
                    <c:v>0</c:v>
                  </c:pt>
                  <c:pt idx="1012">
                    <c:v>0</c:v>
                  </c:pt>
                  <c:pt idx="1013">
                    <c:v>0</c:v>
                  </c:pt>
                  <c:pt idx="1014">
                    <c:v>0</c:v>
                  </c:pt>
                  <c:pt idx="1015">
                    <c:v>0</c:v>
                  </c:pt>
                  <c:pt idx="1016">
                    <c:v>0</c:v>
                  </c:pt>
                  <c:pt idx="1017">
                    <c:v>0</c:v>
                  </c:pt>
                  <c:pt idx="1018">
                    <c:v>0</c:v>
                  </c:pt>
                  <c:pt idx="1019">
                    <c:v>0</c:v>
                  </c:pt>
                  <c:pt idx="1020">
                    <c:v>0</c:v>
                  </c:pt>
                  <c:pt idx="1021">
                    <c:v>0</c:v>
                  </c:pt>
                  <c:pt idx="1022">
                    <c:v>0</c:v>
                  </c:pt>
                  <c:pt idx="1023">
                    <c:v>0</c:v>
                  </c:pt>
                  <c:pt idx="1024">
                    <c:v>0</c:v>
                  </c:pt>
                  <c:pt idx="1025">
                    <c:v>0</c:v>
                  </c:pt>
                  <c:pt idx="1026">
                    <c:v>0</c:v>
                  </c:pt>
                  <c:pt idx="1027">
                    <c:v>0</c:v>
                  </c:pt>
                  <c:pt idx="1028">
                    <c:v>0</c:v>
                  </c:pt>
                  <c:pt idx="1029">
                    <c:v>0</c:v>
                  </c:pt>
                  <c:pt idx="1030">
                    <c:v>0</c:v>
                  </c:pt>
                  <c:pt idx="1031">
                    <c:v>0</c:v>
                  </c:pt>
                  <c:pt idx="1032">
                    <c:v>0</c:v>
                  </c:pt>
                  <c:pt idx="1033">
                    <c:v>0</c:v>
                  </c:pt>
                  <c:pt idx="1034">
                    <c:v>0</c:v>
                  </c:pt>
                  <c:pt idx="1035">
                    <c:v>0</c:v>
                  </c:pt>
                  <c:pt idx="1036">
                    <c:v>0</c:v>
                  </c:pt>
                  <c:pt idx="1037">
                    <c:v>0</c:v>
                  </c:pt>
                  <c:pt idx="1038">
                    <c:v>0</c:v>
                  </c:pt>
                  <c:pt idx="1039">
                    <c:v>0</c:v>
                  </c:pt>
                  <c:pt idx="1040">
                    <c:v>0</c:v>
                  </c:pt>
                  <c:pt idx="1041">
                    <c:v>0</c:v>
                  </c:pt>
                  <c:pt idx="1042">
                    <c:v>0</c:v>
                  </c:pt>
                  <c:pt idx="1043">
                    <c:v>0</c:v>
                  </c:pt>
                  <c:pt idx="1044">
                    <c:v>0</c:v>
                  </c:pt>
                  <c:pt idx="1045">
                    <c:v>0</c:v>
                  </c:pt>
                  <c:pt idx="1046">
                    <c:v>0</c:v>
                  </c:pt>
                  <c:pt idx="1047">
                    <c:v>0</c:v>
                  </c:pt>
                  <c:pt idx="1048">
                    <c:v>0</c:v>
                  </c:pt>
                  <c:pt idx="1049">
                    <c:v>0</c:v>
                  </c:pt>
                  <c:pt idx="1050">
                    <c:v>0</c:v>
                  </c:pt>
                  <c:pt idx="1051">
                    <c:v>0</c:v>
                  </c:pt>
                  <c:pt idx="1052">
                    <c:v>0</c:v>
                  </c:pt>
                  <c:pt idx="1053">
                    <c:v>0</c:v>
                  </c:pt>
                  <c:pt idx="1054">
                    <c:v>0</c:v>
                  </c:pt>
                  <c:pt idx="1055">
                    <c:v>0</c:v>
                  </c:pt>
                  <c:pt idx="1056">
                    <c:v>0</c:v>
                  </c:pt>
                  <c:pt idx="1057">
                    <c:v>0</c:v>
                  </c:pt>
                  <c:pt idx="1058">
                    <c:v>0</c:v>
                  </c:pt>
                  <c:pt idx="1059">
                    <c:v>0</c:v>
                  </c:pt>
                  <c:pt idx="1060">
                    <c:v>0</c:v>
                  </c:pt>
                  <c:pt idx="1061">
                    <c:v>0</c:v>
                  </c:pt>
                  <c:pt idx="1062">
                    <c:v>0</c:v>
                  </c:pt>
                  <c:pt idx="1063">
                    <c:v>0</c:v>
                  </c:pt>
                  <c:pt idx="1064">
                    <c:v>0</c:v>
                  </c:pt>
                  <c:pt idx="1065">
                    <c:v>0</c:v>
                  </c:pt>
                  <c:pt idx="1066">
                    <c:v>0</c:v>
                  </c:pt>
                  <c:pt idx="1067">
                    <c:v>0</c:v>
                  </c:pt>
                  <c:pt idx="1068">
                    <c:v>0</c:v>
                  </c:pt>
                  <c:pt idx="1069">
                    <c:v>0</c:v>
                  </c:pt>
                  <c:pt idx="1070">
                    <c:v>0</c:v>
                  </c:pt>
                  <c:pt idx="1071">
                    <c:v>0</c:v>
                  </c:pt>
                  <c:pt idx="1072">
                    <c:v>0</c:v>
                  </c:pt>
                  <c:pt idx="1073">
                    <c:v>0</c:v>
                  </c:pt>
                  <c:pt idx="1074">
                    <c:v>0</c:v>
                  </c:pt>
                  <c:pt idx="1075">
                    <c:v>0</c:v>
                  </c:pt>
                  <c:pt idx="1076">
                    <c:v>0</c:v>
                  </c:pt>
                  <c:pt idx="1077">
                    <c:v>0</c:v>
                  </c:pt>
                  <c:pt idx="1078">
                    <c:v>0</c:v>
                  </c:pt>
                  <c:pt idx="1079">
                    <c:v>0</c:v>
                  </c:pt>
                  <c:pt idx="1080">
                    <c:v>0</c:v>
                  </c:pt>
                  <c:pt idx="1081">
                    <c:v>0</c:v>
                  </c:pt>
                  <c:pt idx="1082">
                    <c:v>0</c:v>
                  </c:pt>
                  <c:pt idx="1083">
                    <c:v>0</c:v>
                  </c:pt>
                  <c:pt idx="1084">
                    <c:v>0</c:v>
                  </c:pt>
                  <c:pt idx="1085">
                    <c:v>0</c:v>
                  </c:pt>
                  <c:pt idx="1086">
                    <c:v>0</c:v>
                  </c:pt>
                  <c:pt idx="1087">
                    <c:v>0</c:v>
                  </c:pt>
                  <c:pt idx="1088">
                    <c:v>0</c:v>
                  </c:pt>
                  <c:pt idx="1089">
                    <c:v>0</c:v>
                  </c:pt>
                  <c:pt idx="1090">
                    <c:v>0</c:v>
                  </c:pt>
                  <c:pt idx="1091">
                    <c:v>0</c:v>
                  </c:pt>
                  <c:pt idx="1092">
                    <c:v>0</c:v>
                  </c:pt>
                  <c:pt idx="1093">
                    <c:v>0</c:v>
                  </c:pt>
                  <c:pt idx="1094">
                    <c:v>0</c:v>
                  </c:pt>
                  <c:pt idx="1095">
                    <c:v>0</c:v>
                  </c:pt>
                  <c:pt idx="1096">
                    <c:v>0</c:v>
                  </c:pt>
                  <c:pt idx="1097">
                    <c:v>0</c:v>
                  </c:pt>
                  <c:pt idx="1098">
                    <c:v>0</c:v>
                  </c:pt>
                  <c:pt idx="1099">
                    <c:v>0</c:v>
                  </c:pt>
                  <c:pt idx="1100">
                    <c:v>0</c:v>
                  </c:pt>
                  <c:pt idx="1101">
                    <c:v>0</c:v>
                  </c:pt>
                  <c:pt idx="1102">
                    <c:v>0</c:v>
                  </c:pt>
                  <c:pt idx="1103">
                    <c:v>0</c:v>
                  </c:pt>
                  <c:pt idx="1104">
                    <c:v>0</c:v>
                  </c:pt>
                  <c:pt idx="1105">
                    <c:v>0</c:v>
                  </c:pt>
                  <c:pt idx="1106">
                    <c:v>0</c:v>
                  </c:pt>
                  <c:pt idx="1107">
                    <c:v>0</c:v>
                  </c:pt>
                  <c:pt idx="1108">
                    <c:v>0</c:v>
                  </c:pt>
                  <c:pt idx="1109">
                    <c:v>0</c:v>
                  </c:pt>
                  <c:pt idx="1110">
                    <c:v>0</c:v>
                  </c:pt>
                  <c:pt idx="1111">
                    <c:v>0</c:v>
                  </c:pt>
                  <c:pt idx="1112">
                    <c:v>0</c:v>
                  </c:pt>
                  <c:pt idx="1113">
                    <c:v>0</c:v>
                  </c:pt>
                  <c:pt idx="1114">
                    <c:v>0</c:v>
                  </c:pt>
                  <c:pt idx="1115">
                    <c:v>0</c:v>
                  </c:pt>
                  <c:pt idx="1116">
                    <c:v>0</c:v>
                  </c:pt>
                  <c:pt idx="1117">
                    <c:v>0</c:v>
                  </c:pt>
                  <c:pt idx="1118">
                    <c:v>0</c:v>
                  </c:pt>
                  <c:pt idx="1119">
                    <c:v>0</c:v>
                  </c:pt>
                  <c:pt idx="1120">
                    <c:v>0</c:v>
                  </c:pt>
                  <c:pt idx="1121">
                    <c:v>0</c:v>
                  </c:pt>
                  <c:pt idx="1122">
                    <c:v>0</c:v>
                  </c:pt>
                  <c:pt idx="1123">
                    <c:v>0</c:v>
                  </c:pt>
                  <c:pt idx="1124">
                    <c:v>0</c:v>
                  </c:pt>
                  <c:pt idx="1125">
                    <c:v>0</c:v>
                  </c:pt>
                  <c:pt idx="1126">
                    <c:v>0</c:v>
                  </c:pt>
                  <c:pt idx="1127">
                    <c:v>0</c:v>
                  </c:pt>
                  <c:pt idx="1128">
                    <c:v>0</c:v>
                  </c:pt>
                  <c:pt idx="1129">
                    <c:v>0</c:v>
                  </c:pt>
                  <c:pt idx="1130">
                    <c:v>0</c:v>
                  </c:pt>
                  <c:pt idx="1131">
                    <c:v>0</c:v>
                  </c:pt>
                  <c:pt idx="1132">
                    <c:v>0</c:v>
                  </c:pt>
                  <c:pt idx="1133">
                    <c:v>0</c:v>
                  </c:pt>
                  <c:pt idx="1134">
                    <c:v>0</c:v>
                  </c:pt>
                  <c:pt idx="1135">
                    <c:v>0</c:v>
                  </c:pt>
                  <c:pt idx="1136">
                    <c:v>0</c:v>
                  </c:pt>
                  <c:pt idx="1137">
                    <c:v>0</c:v>
                  </c:pt>
                  <c:pt idx="1138">
                    <c:v>0</c:v>
                  </c:pt>
                  <c:pt idx="1139">
                    <c:v>0</c:v>
                  </c:pt>
                  <c:pt idx="1140">
                    <c:v>0</c:v>
                  </c:pt>
                  <c:pt idx="1141">
                    <c:v>0</c:v>
                  </c:pt>
                  <c:pt idx="1142">
                    <c:v>0</c:v>
                  </c:pt>
                  <c:pt idx="1143">
                    <c:v>0</c:v>
                  </c:pt>
                  <c:pt idx="1144">
                    <c:v>0</c:v>
                  </c:pt>
                  <c:pt idx="1145">
                    <c:v>0</c:v>
                  </c:pt>
                  <c:pt idx="1146">
                    <c:v>0</c:v>
                  </c:pt>
                  <c:pt idx="1147">
                    <c:v>0</c:v>
                  </c:pt>
                  <c:pt idx="1148">
                    <c:v>0</c:v>
                  </c:pt>
                  <c:pt idx="1149">
                    <c:v>0</c:v>
                  </c:pt>
                  <c:pt idx="1150">
                    <c:v>0</c:v>
                  </c:pt>
                  <c:pt idx="1151">
                    <c:v>0</c:v>
                  </c:pt>
                  <c:pt idx="1152">
                    <c:v>0</c:v>
                  </c:pt>
                  <c:pt idx="1153">
                    <c:v>0</c:v>
                  </c:pt>
                  <c:pt idx="1154">
                    <c:v>0</c:v>
                  </c:pt>
                  <c:pt idx="1155">
                    <c:v>0</c:v>
                  </c:pt>
                  <c:pt idx="1156">
                    <c:v>0</c:v>
                  </c:pt>
                  <c:pt idx="1157">
                    <c:v>0</c:v>
                  </c:pt>
                  <c:pt idx="1158">
                    <c:v>0</c:v>
                  </c:pt>
                  <c:pt idx="1159">
                    <c:v>0</c:v>
                  </c:pt>
                  <c:pt idx="1160">
                    <c:v>0</c:v>
                  </c:pt>
                  <c:pt idx="1161">
                    <c:v>0</c:v>
                  </c:pt>
                  <c:pt idx="1162">
                    <c:v>0</c:v>
                  </c:pt>
                  <c:pt idx="1163">
                    <c:v>0</c:v>
                  </c:pt>
                  <c:pt idx="1164">
                    <c:v>0</c:v>
                  </c:pt>
                  <c:pt idx="1165">
                    <c:v>0</c:v>
                  </c:pt>
                  <c:pt idx="1166">
                    <c:v>0</c:v>
                  </c:pt>
                  <c:pt idx="1167">
                    <c:v>0</c:v>
                  </c:pt>
                  <c:pt idx="1168">
                    <c:v>0</c:v>
                  </c:pt>
                  <c:pt idx="1169">
                    <c:v>0</c:v>
                  </c:pt>
                  <c:pt idx="1170">
                    <c:v>0</c:v>
                  </c:pt>
                  <c:pt idx="1171">
                    <c:v>0</c:v>
                  </c:pt>
                  <c:pt idx="1172">
                    <c:v>0</c:v>
                  </c:pt>
                  <c:pt idx="1173">
                    <c:v>0</c:v>
                  </c:pt>
                  <c:pt idx="1174">
                    <c:v>0</c:v>
                  </c:pt>
                  <c:pt idx="1175">
                    <c:v>0</c:v>
                  </c:pt>
                  <c:pt idx="1176">
                    <c:v>0</c:v>
                  </c:pt>
                  <c:pt idx="1177">
                    <c:v>0</c:v>
                  </c:pt>
                  <c:pt idx="1178">
                    <c:v>0</c:v>
                  </c:pt>
                  <c:pt idx="1179">
                    <c:v>0</c:v>
                  </c:pt>
                  <c:pt idx="1180">
                    <c:v>0</c:v>
                  </c:pt>
                  <c:pt idx="1181">
                    <c:v>0</c:v>
                  </c:pt>
                  <c:pt idx="1182">
                    <c:v>0</c:v>
                  </c:pt>
                  <c:pt idx="1183">
                    <c:v>0</c:v>
                  </c:pt>
                  <c:pt idx="1184">
                    <c:v>0</c:v>
                  </c:pt>
                  <c:pt idx="1185">
                    <c:v>0</c:v>
                  </c:pt>
                  <c:pt idx="1186">
                    <c:v>0</c:v>
                  </c:pt>
                  <c:pt idx="1187">
                    <c:v>0</c:v>
                  </c:pt>
                  <c:pt idx="1188">
                    <c:v>0</c:v>
                  </c:pt>
                  <c:pt idx="1189">
                    <c:v>0</c:v>
                  </c:pt>
                  <c:pt idx="1190">
                    <c:v>0</c:v>
                  </c:pt>
                  <c:pt idx="1191">
                    <c:v>0</c:v>
                  </c:pt>
                  <c:pt idx="1192">
                    <c:v>0</c:v>
                  </c:pt>
                  <c:pt idx="1193">
                    <c:v>0</c:v>
                  </c:pt>
                  <c:pt idx="1194">
                    <c:v>0</c:v>
                  </c:pt>
                  <c:pt idx="1195">
                    <c:v>0</c:v>
                  </c:pt>
                  <c:pt idx="1196">
                    <c:v>0</c:v>
                  </c:pt>
                  <c:pt idx="1197">
                    <c:v>0</c:v>
                  </c:pt>
                  <c:pt idx="1198">
                    <c:v>0</c:v>
                  </c:pt>
                  <c:pt idx="1199">
                    <c:v>0</c:v>
                  </c:pt>
                  <c:pt idx="1200">
                    <c:v>0</c:v>
                  </c:pt>
                  <c:pt idx="1201">
                    <c:v>0</c:v>
                  </c:pt>
                  <c:pt idx="1202">
                    <c:v>0</c:v>
                  </c:pt>
                  <c:pt idx="1203">
                    <c:v>0</c:v>
                  </c:pt>
                  <c:pt idx="1204">
                    <c:v>0</c:v>
                  </c:pt>
                  <c:pt idx="1205">
                    <c:v>0</c:v>
                  </c:pt>
                  <c:pt idx="1206">
                    <c:v>0</c:v>
                  </c:pt>
                  <c:pt idx="1207">
                    <c:v>0</c:v>
                  </c:pt>
                  <c:pt idx="1208">
                    <c:v>0</c:v>
                  </c:pt>
                  <c:pt idx="1209">
                    <c:v>0</c:v>
                  </c:pt>
                  <c:pt idx="1210">
                    <c:v>0</c:v>
                  </c:pt>
                  <c:pt idx="1211">
                    <c:v>0</c:v>
                  </c:pt>
                  <c:pt idx="1212">
                    <c:v>0</c:v>
                  </c:pt>
                  <c:pt idx="1213">
                    <c:v>0</c:v>
                  </c:pt>
                  <c:pt idx="1214">
                    <c:v>0</c:v>
                  </c:pt>
                  <c:pt idx="1215">
                    <c:v>0</c:v>
                  </c:pt>
                  <c:pt idx="1216">
                    <c:v>0</c:v>
                  </c:pt>
                  <c:pt idx="1217">
                    <c:v>0</c:v>
                  </c:pt>
                  <c:pt idx="1218">
                    <c:v>0</c:v>
                  </c:pt>
                  <c:pt idx="1219">
                    <c:v>0</c:v>
                  </c:pt>
                  <c:pt idx="1220">
                    <c:v>0</c:v>
                  </c:pt>
                  <c:pt idx="1221">
                    <c:v>0</c:v>
                  </c:pt>
                  <c:pt idx="1222">
                    <c:v>0</c:v>
                  </c:pt>
                  <c:pt idx="1223">
                    <c:v>0</c:v>
                  </c:pt>
                  <c:pt idx="1224">
                    <c:v>0</c:v>
                  </c:pt>
                  <c:pt idx="1225">
                    <c:v>0</c:v>
                  </c:pt>
                  <c:pt idx="1226">
                    <c:v>0</c:v>
                  </c:pt>
                  <c:pt idx="1227">
                    <c:v>0</c:v>
                  </c:pt>
                  <c:pt idx="1228">
                    <c:v>0</c:v>
                  </c:pt>
                  <c:pt idx="1229">
                    <c:v>0</c:v>
                  </c:pt>
                  <c:pt idx="1230">
                    <c:v>0</c:v>
                  </c:pt>
                  <c:pt idx="1231">
                    <c:v>0</c:v>
                  </c:pt>
                  <c:pt idx="1232">
                    <c:v>0</c:v>
                  </c:pt>
                  <c:pt idx="1233">
                    <c:v>0</c:v>
                  </c:pt>
                  <c:pt idx="1234">
                    <c:v>0</c:v>
                  </c:pt>
                  <c:pt idx="1235">
                    <c:v>0</c:v>
                  </c:pt>
                  <c:pt idx="1236">
                    <c:v>0</c:v>
                  </c:pt>
                  <c:pt idx="1237">
                    <c:v>0</c:v>
                  </c:pt>
                  <c:pt idx="1238">
                    <c:v>0</c:v>
                  </c:pt>
                  <c:pt idx="1239">
                    <c:v>0</c:v>
                  </c:pt>
                  <c:pt idx="1240">
                    <c:v>0</c:v>
                  </c:pt>
                  <c:pt idx="1241">
                    <c:v>0</c:v>
                  </c:pt>
                  <c:pt idx="1242">
                    <c:v>0</c:v>
                  </c:pt>
                  <c:pt idx="1243">
                    <c:v>0</c:v>
                  </c:pt>
                  <c:pt idx="1244">
                    <c:v>0</c:v>
                  </c:pt>
                  <c:pt idx="1245">
                    <c:v>0</c:v>
                  </c:pt>
                  <c:pt idx="1246">
                    <c:v>0</c:v>
                  </c:pt>
                  <c:pt idx="1247">
                    <c:v>0</c:v>
                  </c:pt>
                  <c:pt idx="1248">
                    <c:v>0</c:v>
                  </c:pt>
                  <c:pt idx="1249">
                    <c:v>0</c:v>
                  </c:pt>
                  <c:pt idx="1250">
                    <c:v>0</c:v>
                  </c:pt>
                  <c:pt idx="1251">
                    <c:v>0</c:v>
                  </c:pt>
                  <c:pt idx="1252">
                    <c:v>0</c:v>
                  </c:pt>
                  <c:pt idx="1253">
                    <c:v>0</c:v>
                  </c:pt>
                  <c:pt idx="1254">
                    <c:v>0</c:v>
                  </c:pt>
                  <c:pt idx="1255">
                    <c:v>0</c:v>
                  </c:pt>
                  <c:pt idx="1256">
                    <c:v>0</c:v>
                  </c:pt>
                  <c:pt idx="1257">
                    <c:v>0</c:v>
                  </c:pt>
                  <c:pt idx="1258">
                    <c:v>0</c:v>
                  </c:pt>
                  <c:pt idx="1259">
                    <c:v>0</c:v>
                  </c:pt>
                  <c:pt idx="1260">
                    <c:v>0</c:v>
                  </c:pt>
                  <c:pt idx="1261">
                    <c:v>0</c:v>
                  </c:pt>
                  <c:pt idx="1262">
                    <c:v>0</c:v>
                  </c:pt>
                  <c:pt idx="1263">
                    <c:v>0</c:v>
                  </c:pt>
                  <c:pt idx="1264">
                    <c:v>0</c:v>
                  </c:pt>
                  <c:pt idx="1265">
                    <c:v>0</c:v>
                  </c:pt>
                  <c:pt idx="1266">
                    <c:v>0</c:v>
                  </c:pt>
                  <c:pt idx="1267">
                    <c:v>0</c:v>
                  </c:pt>
                  <c:pt idx="1268">
                    <c:v>0</c:v>
                  </c:pt>
                  <c:pt idx="1269">
                    <c:v>0</c:v>
                  </c:pt>
                  <c:pt idx="1270">
                    <c:v>0</c:v>
                  </c:pt>
                  <c:pt idx="1271">
                    <c:v>0</c:v>
                  </c:pt>
                  <c:pt idx="1272">
                    <c:v>0</c:v>
                  </c:pt>
                  <c:pt idx="1273">
                    <c:v>0</c:v>
                  </c:pt>
                  <c:pt idx="1274">
                    <c:v>0</c:v>
                  </c:pt>
                  <c:pt idx="1275">
                    <c:v>0</c:v>
                  </c:pt>
                  <c:pt idx="1276">
                    <c:v>0</c:v>
                  </c:pt>
                  <c:pt idx="1277">
                    <c:v>0</c:v>
                  </c:pt>
                  <c:pt idx="1278">
                    <c:v>0</c:v>
                  </c:pt>
                  <c:pt idx="1279">
                    <c:v>0</c:v>
                  </c:pt>
                  <c:pt idx="1280">
                    <c:v>0</c:v>
                  </c:pt>
                  <c:pt idx="1281">
                    <c:v>0</c:v>
                  </c:pt>
                  <c:pt idx="1282">
                    <c:v>0</c:v>
                  </c:pt>
                  <c:pt idx="1283">
                    <c:v>0</c:v>
                  </c:pt>
                  <c:pt idx="1284">
                    <c:v>0</c:v>
                  </c:pt>
                  <c:pt idx="1285">
                    <c:v>0</c:v>
                  </c:pt>
                  <c:pt idx="1286">
                    <c:v>0</c:v>
                  </c:pt>
                  <c:pt idx="1287">
                    <c:v>0</c:v>
                  </c:pt>
                  <c:pt idx="1288">
                    <c:v>0</c:v>
                  </c:pt>
                  <c:pt idx="1289">
                    <c:v>0</c:v>
                  </c:pt>
                  <c:pt idx="1290">
                    <c:v>0</c:v>
                  </c:pt>
                  <c:pt idx="1291">
                    <c:v>0</c:v>
                  </c:pt>
                  <c:pt idx="1292">
                    <c:v>0</c:v>
                  </c:pt>
                  <c:pt idx="1293">
                    <c:v>0</c:v>
                  </c:pt>
                  <c:pt idx="1294">
                    <c:v>0</c:v>
                  </c:pt>
                  <c:pt idx="1295">
                    <c:v>0</c:v>
                  </c:pt>
                  <c:pt idx="1296">
                    <c:v>0</c:v>
                  </c:pt>
                  <c:pt idx="1297">
                    <c:v>0</c:v>
                  </c:pt>
                  <c:pt idx="1298">
                    <c:v>0</c:v>
                  </c:pt>
                  <c:pt idx="1299">
                    <c:v>0</c:v>
                  </c:pt>
                  <c:pt idx="1300">
                    <c:v>0</c:v>
                  </c:pt>
                  <c:pt idx="1301">
                    <c:v>0</c:v>
                  </c:pt>
                  <c:pt idx="1302">
                    <c:v>0</c:v>
                  </c:pt>
                  <c:pt idx="1303">
                    <c:v>0</c:v>
                  </c:pt>
                  <c:pt idx="1304">
                    <c:v>0</c:v>
                  </c:pt>
                  <c:pt idx="1305">
                    <c:v>0</c:v>
                  </c:pt>
                  <c:pt idx="1306">
                    <c:v>0</c:v>
                  </c:pt>
                  <c:pt idx="1307">
                    <c:v>0</c:v>
                  </c:pt>
                  <c:pt idx="1308">
                    <c:v>0</c:v>
                  </c:pt>
                  <c:pt idx="1309">
                    <c:v>0</c:v>
                  </c:pt>
                  <c:pt idx="1310">
                    <c:v>0</c:v>
                  </c:pt>
                  <c:pt idx="1311">
                    <c:v>0</c:v>
                  </c:pt>
                  <c:pt idx="1312">
                    <c:v>0</c:v>
                  </c:pt>
                  <c:pt idx="1313">
                    <c:v>0</c:v>
                  </c:pt>
                  <c:pt idx="1314">
                    <c:v>0</c:v>
                  </c:pt>
                  <c:pt idx="1315">
                    <c:v>0</c:v>
                  </c:pt>
                  <c:pt idx="1316">
                    <c:v>0</c:v>
                  </c:pt>
                  <c:pt idx="1317">
                    <c:v>0</c:v>
                  </c:pt>
                  <c:pt idx="1318">
                    <c:v>0</c:v>
                  </c:pt>
                  <c:pt idx="1319">
                    <c:v>0</c:v>
                  </c:pt>
                  <c:pt idx="1320">
                    <c:v>0</c:v>
                  </c:pt>
                  <c:pt idx="1321">
                    <c:v>0</c:v>
                  </c:pt>
                  <c:pt idx="1322">
                    <c:v>0</c:v>
                  </c:pt>
                  <c:pt idx="1323">
                    <c:v>0</c:v>
                  </c:pt>
                  <c:pt idx="1324">
                    <c:v>0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0</c:v>
                  </c:pt>
                  <c:pt idx="1329">
                    <c:v>0</c:v>
                  </c:pt>
                  <c:pt idx="1330">
                    <c:v>0</c:v>
                  </c:pt>
                  <c:pt idx="1331">
                    <c:v>0</c:v>
                  </c:pt>
                  <c:pt idx="1332">
                    <c:v>0</c:v>
                  </c:pt>
                  <c:pt idx="1333">
                    <c:v>0</c:v>
                  </c:pt>
                  <c:pt idx="1334">
                    <c:v>0</c:v>
                  </c:pt>
                  <c:pt idx="1335">
                    <c:v>0</c:v>
                  </c:pt>
                  <c:pt idx="1336">
                    <c:v>0</c:v>
                  </c:pt>
                  <c:pt idx="1337">
                    <c:v>0</c:v>
                  </c:pt>
                  <c:pt idx="1338">
                    <c:v>0</c:v>
                  </c:pt>
                  <c:pt idx="1339">
                    <c:v>0</c:v>
                  </c:pt>
                  <c:pt idx="1340">
                    <c:v>0</c:v>
                  </c:pt>
                  <c:pt idx="1341">
                    <c:v>0</c:v>
                  </c:pt>
                  <c:pt idx="1342">
                    <c:v>0</c:v>
                  </c:pt>
                  <c:pt idx="1343">
                    <c:v>0</c:v>
                  </c:pt>
                  <c:pt idx="1344">
                    <c:v>0</c:v>
                  </c:pt>
                  <c:pt idx="1345">
                    <c:v>0</c:v>
                  </c:pt>
                  <c:pt idx="1346">
                    <c:v>0</c:v>
                  </c:pt>
                  <c:pt idx="1347">
                    <c:v>0</c:v>
                  </c:pt>
                  <c:pt idx="1348">
                    <c:v>0</c:v>
                  </c:pt>
                  <c:pt idx="1349">
                    <c:v>0</c:v>
                  </c:pt>
                  <c:pt idx="1350">
                    <c:v>0</c:v>
                  </c:pt>
                  <c:pt idx="1351">
                    <c:v>0</c:v>
                  </c:pt>
                  <c:pt idx="1352">
                    <c:v>0</c:v>
                  </c:pt>
                  <c:pt idx="1353">
                    <c:v>0</c:v>
                  </c:pt>
                  <c:pt idx="1354">
                    <c:v>0</c:v>
                  </c:pt>
                  <c:pt idx="1355">
                    <c:v>0</c:v>
                  </c:pt>
                  <c:pt idx="1356">
                    <c:v>0</c:v>
                  </c:pt>
                  <c:pt idx="1357">
                    <c:v>0</c:v>
                  </c:pt>
                  <c:pt idx="1358">
                    <c:v>0</c:v>
                  </c:pt>
                  <c:pt idx="1359">
                    <c:v>0</c:v>
                  </c:pt>
                  <c:pt idx="1360">
                    <c:v>0</c:v>
                  </c:pt>
                  <c:pt idx="1361">
                    <c:v>0</c:v>
                  </c:pt>
                  <c:pt idx="1362">
                    <c:v>0</c:v>
                  </c:pt>
                  <c:pt idx="1363">
                    <c:v>0</c:v>
                  </c:pt>
                  <c:pt idx="1364">
                    <c:v>0</c:v>
                  </c:pt>
                  <c:pt idx="1365">
                    <c:v>0</c:v>
                  </c:pt>
                  <c:pt idx="1366">
                    <c:v>0</c:v>
                  </c:pt>
                  <c:pt idx="1367">
                    <c:v>0</c:v>
                  </c:pt>
                  <c:pt idx="1368">
                    <c:v>0</c:v>
                  </c:pt>
                  <c:pt idx="1369">
                    <c:v>0</c:v>
                  </c:pt>
                  <c:pt idx="1370">
                    <c:v>0</c:v>
                  </c:pt>
                  <c:pt idx="1371">
                    <c:v>0</c:v>
                  </c:pt>
                  <c:pt idx="1372">
                    <c:v>0</c:v>
                  </c:pt>
                  <c:pt idx="1373">
                    <c:v>0</c:v>
                  </c:pt>
                  <c:pt idx="1374">
                    <c:v>0</c:v>
                  </c:pt>
                  <c:pt idx="1375">
                    <c:v>0</c:v>
                  </c:pt>
                  <c:pt idx="1376">
                    <c:v>0</c:v>
                  </c:pt>
                  <c:pt idx="1377">
                    <c:v>0</c:v>
                  </c:pt>
                  <c:pt idx="1378">
                    <c:v>0</c:v>
                  </c:pt>
                  <c:pt idx="1379">
                    <c:v>0</c:v>
                  </c:pt>
                  <c:pt idx="1380">
                    <c:v>0</c:v>
                  </c:pt>
                  <c:pt idx="1381">
                    <c:v>0</c:v>
                  </c:pt>
                  <c:pt idx="1382">
                    <c:v>0</c:v>
                  </c:pt>
                  <c:pt idx="1383">
                    <c:v>0</c:v>
                  </c:pt>
                  <c:pt idx="1384">
                    <c:v>0</c:v>
                  </c:pt>
                  <c:pt idx="1385">
                    <c:v>0</c:v>
                  </c:pt>
                  <c:pt idx="1386">
                    <c:v>0</c:v>
                  </c:pt>
                  <c:pt idx="1387">
                    <c:v>0</c:v>
                  </c:pt>
                  <c:pt idx="1388">
                    <c:v>0</c:v>
                  </c:pt>
                  <c:pt idx="1389">
                    <c:v>0</c:v>
                  </c:pt>
                  <c:pt idx="1390">
                    <c:v>0</c:v>
                  </c:pt>
                  <c:pt idx="1391">
                    <c:v>0</c:v>
                  </c:pt>
                  <c:pt idx="1392">
                    <c:v>0</c:v>
                  </c:pt>
                  <c:pt idx="1393">
                    <c:v>0</c:v>
                  </c:pt>
                  <c:pt idx="1394">
                    <c:v>0</c:v>
                  </c:pt>
                  <c:pt idx="1395">
                    <c:v>0</c:v>
                  </c:pt>
                  <c:pt idx="1396">
                    <c:v>0</c:v>
                  </c:pt>
                  <c:pt idx="1397">
                    <c:v>0</c:v>
                  </c:pt>
                  <c:pt idx="1398">
                    <c:v>0</c:v>
                  </c:pt>
                  <c:pt idx="1399">
                    <c:v>0</c:v>
                  </c:pt>
                  <c:pt idx="1400">
                    <c:v>0</c:v>
                  </c:pt>
                  <c:pt idx="1401">
                    <c:v>0</c:v>
                  </c:pt>
                  <c:pt idx="1402">
                    <c:v>0</c:v>
                  </c:pt>
                  <c:pt idx="1403">
                    <c:v>0</c:v>
                  </c:pt>
                  <c:pt idx="1404">
                    <c:v>0</c:v>
                  </c:pt>
                  <c:pt idx="1405">
                    <c:v>0</c:v>
                  </c:pt>
                  <c:pt idx="1406">
                    <c:v>0</c:v>
                  </c:pt>
                  <c:pt idx="1407">
                    <c:v>0</c:v>
                  </c:pt>
                  <c:pt idx="1408">
                    <c:v>0</c:v>
                  </c:pt>
                  <c:pt idx="1409">
                    <c:v>0</c:v>
                  </c:pt>
                  <c:pt idx="1410">
                    <c:v>0</c:v>
                  </c:pt>
                  <c:pt idx="1411">
                    <c:v>0</c:v>
                  </c:pt>
                  <c:pt idx="1412">
                    <c:v>0</c:v>
                  </c:pt>
                  <c:pt idx="1413">
                    <c:v>0</c:v>
                  </c:pt>
                  <c:pt idx="1414">
                    <c:v>0</c:v>
                  </c:pt>
                  <c:pt idx="1415">
                    <c:v>0</c:v>
                  </c:pt>
                  <c:pt idx="1416">
                    <c:v>0</c:v>
                  </c:pt>
                  <c:pt idx="1417">
                    <c:v>0</c:v>
                  </c:pt>
                  <c:pt idx="1418">
                    <c:v>0</c:v>
                  </c:pt>
                  <c:pt idx="1419">
                    <c:v>0</c:v>
                  </c:pt>
                  <c:pt idx="1420">
                    <c:v>0</c:v>
                  </c:pt>
                  <c:pt idx="1421">
                    <c:v>0</c:v>
                  </c:pt>
                  <c:pt idx="1422">
                    <c:v>0</c:v>
                  </c:pt>
                  <c:pt idx="1423">
                    <c:v>0</c:v>
                  </c:pt>
                  <c:pt idx="1424">
                    <c:v>0</c:v>
                  </c:pt>
                  <c:pt idx="1425">
                    <c:v>0</c:v>
                  </c:pt>
                  <c:pt idx="1426">
                    <c:v>0</c:v>
                  </c:pt>
                  <c:pt idx="1427">
                    <c:v>0</c:v>
                  </c:pt>
                  <c:pt idx="1428">
                    <c:v>0</c:v>
                  </c:pt>
                  <c:pt idx="1429">
                    <c:v>0</c:v>
                  </c:pt>
                  <c:pt idx="1430">
                    <c:v>0</c:v>
                  </c:pt>
                  <c:pt idx="1431">
                    <c:v>0</c:v>
                  </c:pt>
                  <c:pt idx="1432">
                    <c:v>0</c:v>
                  </c:pt>
                  <c:pt idx="1433">
                    <c:v>0</c:v>
                  </c:pt>
                  <c:pt idx="1434">
                    <c:v>0</c:v>
                  </c:pt>
                  <c:pt idx="1435">
                    <c:v>0</c:v>
                  </c:pt>
                  <c:pt idx="1436">
                    <c:v>0</c:v>
                  </c:pt>
                  <c:pt idx="1437">
                    <c:v>0</c:v>
                  </c:pt>
                  <c:pt idx="1438">
                    <c:v>0</c:v>
                  </c:pt>
                  <c:pt idx="1439">
                    <c:v>0</c:v>
                  </c:pt>
                </c:numCache>
              </c:numRef>
            </c:plus>
            <c:minus>
              <c:numRef>
                <c:f>ChartData!$CU$7:$CU$1446</c:f>
                <c:numCache>
                  <c:formatCode>General</c:formatCode>
                  <c:ptCount val="1440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  <c:pt idx="161">
                    <c:v>0</c:v>
                  </c:pt>
                  <c:pt idx="162">
                    <c:v>0</c:v>
                  </c:pt>
                  <c:pt idx="163">
                    <c:v>0</c:v>
                  </c:pt>
                  <c:pt idx="164">
                    <c:v>0</c:v>
                  </c:pt>
                  <c:pt idx="165">
                    <c:v>0</c:v>
                  </c:pt>
                  <c:pt idx="166">
                    <c:v>0</c:v>
                  </c:pt>
                  <c:pt idx="167">
                    <c:v>0</c:v>
                  </c:pt>
                  <c:pt idx="168">
                    <c:v>0</c:v>
                  </c:pt>
                  <c:pt idx="169">
                    <c:v>0</c:v>
                  </c:pt>
                  <c:pt idx="170">
                    <c:v>0</c:v>
                  </c:pt>
                  <c:pt idx="171">
                    <c:v>0</c:v>
                  </c:pt>
                  <c:pt idx="172">
                    <c:v>0</c:v>
                  </c:pt>
                  <c:pt idx="173">
                    <c:v>0</c:v>
                  </c:pt>
                  <c:pt idx="174">
                    <c:v>0</c:v>
                  </c:pt>
                  <c:pt idx="175">
                    <c:v>0</c:v>
                  </c:pt>
                  <c:pt idx="176">
                    <c:v>0</c:v>
                  </c:pt>
                  <c:pt idx="177">
                    <c:v>0</c:v>
                  </c:pt>
                  <c:pt idx="178">
                    <c:v>0</c:v>
                  </c:pt>
                  <c:pt idx="179">
                    <c:v>0</c:v>
                  </c:pt>
                  <c:pt idx="180">
                    <c:v>0</c:v>
                  </c:pt>
                  <c:pt idx="181">
                    <c:v>0</c:v>
                  </c:pt>
                  <c:pt idx="182">
                    <c:v>0</c:v>
                  </c:pt>
                  <c:pt idx="183">
                    <c:v>0</c:v>
                  </c:pt>
                  <c:pt idx="184">
                    <c:v>0</c:v>
                  </c:pt>
                  <c:pt idx="185">
                    <c:v>0</c:v>
                  </c:pt>
                  <c:pt idx="186">
                    <c:v>0</c:v>
                  </c:pt>
                  <c:pt idx="187">
                    <c:v>0</c:v>
                  </c:pt>
                  <c:pt idx="188">
                    <c:v>0</c:v>
                  </c:pt>
                  <c:pt idx="189">
                    <c:v>0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  <c:pt idx="201">
                    <c:v>0</c:v>
                  </c:pt>
                  <c:pt idx="202">
                    <c:v>0</c:v>
                  </c:pt>
                  <c:pt idx="203">
                    <c:v>0</c:v>
                  </c:pt>
                  <c:pt idx="204">
                    <c:v>0</c:v>
                  </c:pt>
                  <c:pt idx="205">
                    <c:v>0</c:v>
                  </c:pt>
                  <c:pt idx="206">
                    <c:v>0</c:v>
                  </c:pt>
                  <c:pt idx="207">
                    <c:v>0</c:v>
                  </c:pt>
                  <c:pt idx="208">
                    <c:v>0</c:v>
                  </c:pt>
                  <c:pt idx="209">
                    <c:v>0</c:v>
                  </c:pt>
                  <c:pt idx="210">
                    <c:v>0</c:v>
                  </c:pt>
                  <c:pt idx="211">
                    <c:v>0</c:v>
                  </c:pt>
                  <c:pt idx="212">
                    <c:v>0</c:v>
                  </c:pt>
                  <c:pt idx="213">
                    <c:v>0</c:v>
                  </c:pt>
                  <c:pt idx="214">
                    <c:v>0</c:v>
                  </c:pt>
                  <c:pt idx="215">
                    <c:v>0</c:v>
                  </c:pt>
                  <c:pt idx="216">
                    <c:v>0</c:v>
                  </c:pt>
                  <c:pt idx="217">
                    <c:v>0</c:v>
                  </c:pt>
                  <c:pt idx="218">
                    <c:v>0</c:v>
                  </c:pt>
                  <c:pt idx="219">
                    <c:v>0</c:v>
                  </c:pt>
                  <c:pt idx="220">
                    <c:v>0</c:v>
                  </c:pt>
                  <c:pt idx="221">
                    <c:v>0</c:v>
                  </c:pt>
                  <c:pt idx="222">
                    <c:v>0</c:v>
                  </c:pt>
                  <c:pt idx="223">
                    <c:v>0</c:v>
                  </c:pt>
                  <c:pt idx="224">
                    <c:v>0</c:v>
                  </c:pt>
                  <c:pt idx="225">
                    <c:v>0</c:v>
                  </c:pt>
                  <c:pt idx="226">
                    <c:v>0</c:v>
                  </c:pt>
                  <c:pt idx="227">
                    <c:v>0</c:v>
                  </c:pt>
                  <c:pt idx="228">
                    <c:v>0</c:v>
                  </c:pt>
                  <c:pt idx="229">
                    <c:v>0</c:v>
                  </c:pt>
                  <c:pt idx="230">
                    <c:v>0</c:v>
                  </c:pt>
                  <c:pt idx="231">
                    <c:v>0</c:v>
                  </c:pt>
                  <c:pt idx="232">
                    <c:v>0</c:v>
                  </c:pt>
                  <c:pt idx="233">
                    <c:v>0</c:v>
                  </c:pt>
                  <c:pt idx="234">
                    <c:v>0</c:v>
                  </c:pt>
                  <c:pt idx="235">
                    <c:v>0</c:v>
                  </c:pt>
                  <c:pt idx="236">
                    <c:v>0</c:v>
                  </c:pt>
                  <c:pt idx="237">
                    <c:v>0</c:v>
                  </c:pt>
                  <c:pt idx="238">
                    <c:v>0</c:v>
                  </c:pt>
                  <c:pt idx="239">
                    <c:v>0</c:v>
                  </c:pt>
                  <c:pt idx="240">
                    <c:v>0</c:v>
                  </c:pt>
                  <c:pt idx="241">
                    <c:v>0</c:v>
                  </c:pt>
                  <c:pt idx="242">
                    <c:v>0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6">
                    <c:v>0</c:v>
                  </c:pt>
                  <c:pt idx="247">
                    <c:v>0</c:v>
                  </c:pt>
                  <c:pt idx="248">
                    <c:v>0</c:v>
                  </c:pt>
                  <c:pt idx="249">
                    <c:v>0</c:v>
                  </c:pt>
                  <c:pt idx="250">
                    <c:v>0</c:v>
                  </c:pt>
                  <c:pt idx="251">
                    <c:v>0</c:v>
                  </c:pt>
                  <c:pt idx="252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6">
                    <c:v>0</c:v>
                  </c:pt>
                  <c:pt idx="257">
                    <c:v>0</c:v>
                  </c:pt>
                  <c:pt idx="258">
                    <c:v>0</c:v>
                  </c:pt>
                  <c:pt idx="259">
                    <c:v>0</c:v>
                  </c:pt>
                  <c:pt idx="260">
                    <c:v>0</c:v>
                  </c:pt>
                  <c:pt idx="261">
                    <c:v>0</c:v>
                  </c:pt>
                  <c:pt idx="262">
                    <c:v>0</c:v>
                  </c:pt>
                  <c:pt idx="263">
                    <c:v>0</c:v>
                  </c:pt>
                  <c:pt idx="264">
                    <c:v>0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68">
                    <c:v>0</c:v>
                  </c:pt>
                  <c:pt idx="269">
                    <c:v>0</c:v>
                  </c:pt>
                  <c:pt idx="270">
                    <c:v>0</c:v>
                  </c:pt>
                  <c:pt idx="271">
                    <c:v>0</c:v>
                  </c:pt>
                  <c:pt idx="272">
                    <c:v>0</c:v>
                  </c:pt>
                  <c:pt idx="273">
                    <c:v>0</c:v>
                  </c:pt>
                  <c:pt idx="274">
                    <c:v>0</c:v>
                  </c:pt>
                  <c:pt idx="275">
                    <c:v>0</c:v>
                  </c:pt>
                  <c:pt idx="276">
                    <c:v>0</c:v>
                  </c:pt>
                  <c:pt idx="277">
                    <c:v>0</c:v>
                  </c:pt>
                  <c:pt idx="278">
                    <c:v>0</c:v>
                  </c:pt>
                  <c:pt idx="279">
                    <c:v>0</c:v>
                  </c:pt>
                  <c:pt idx="280">
                    <c:v>0</c:v>
                  </c:pt>
                  <c:pt idx="281">
                    <c:v>0</c:v>
                  </c:pt>
                  <c:pt idx="282">
                    <c:v>0</c:v>
                  </c:pt>
                  <c:pt idx="283">
                    <c:v>0</c:v>
                  </c:pt>
                  <c:pt idx="284">
                    <c:v>0</c:v>
                  </c:pt>
                  <c:pt idx="285">
                    <c:v>0</c:v>
                  </c:pt>
                  <c:pt idx="286">
                    <c:v>0</c:v>
                  </c:pt>
                  <c:pt idx="287">
                    <c:v>0</c:v>
                  </c:pt>
                  <c:pt idx="288">
                    <c:v>0</c:v>
                  </c:pt>
                  <c:pt idx="289">
                    <c:v>0</c:v>
                  </c:pt>
                  <c:pt idx="290">
                    <c:v>0</c:v>
                  </c:pt>
                  <c:pt idx="291">
                    <c:v>0</c:v>
                  </c:pt>
                  <c:pt idx="292">
                    <c:v>0</c:v>
                  </c:pt>
                  <c:pt idx="293">
                    <c:v>0</c:v>
                  </c:pt>
                  <c:pt idx="294">
                    <c:v>0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299">
                    <c:v>0</c:v>
                  </c:pt>
                  <c:pt idx="300">
                    <c:v>0</c:v>
                  </c:pt>
                  <c:pt idx="301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4">
                    <c:v>0</c:v>
                  </c:pt>
                  <c:pt idx="305">
                    <c:v>0</c:v>
                  </c:pt>
                  <c:pt idx="306">
                    <c:v>0</c:v>
                  </c:pt>
                  <c:pt idx="307">
                    <c:v>0</c:v>
                  </c:pt>
                  <c:pt idx="308">
                    <c:v>0</c:v>
                  </c:pt>
                  <c:pt idx="309">
                    <c:v>0</c:v>
                  </c:pt>
                  <c:pt idx="310">
                    <c:v>0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5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19">
                    <c:v>0</c:v>
                  </c:pt>
                  <c:pt idx="320">
                    <c:v>0</c:v>
                  </c:pt>
                  <c:pt idx="321">
                    <c:v>0</c:v>
                  </c:pt>
                  <c:pt idx="322">
                    <c:v>0</c:v>
                  </c:pt>
                  <c:pt idx="323">
                    <c:v>0</c:v>
                  </c:pt>
                  <c:pt idx="324">
                    <c:v>0</c:v>
                  </c:pt>
                  <c:pt idx="325">
                    <c:v>0</c:v>
                  </c:pt>
                  <c:pt idx="326">
                    <c:v>0</c:v>
                  </c:pt>
                  <c:pt idx="327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1">
                    <c:v>0</c:v>
                  </c:pt>
                  <c:pt idx="332">
                    <c:v>0</c:v>
                  </c:pt>
                  <c:pt idx="333">
                    <c:v>0</c:v>
                  </c:pt>
                  <c:pt idx="334">
                    <c:v>0</c:v>
                  </c:pt>
                  <c:pt idx="335">
                    <c:v>0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39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0</c:v>
                  </c:pt>
                  <c:pt idx="344">
                    <c:v>0</c:v>
                  </c:pt>
                  <c:pt idx="345">
                    <c:v>0</c:v>
                  </c:pt>
                  <c:pt idx="346">
                    <c:v>0</c:v>
                  </c:pt>
                  <c:pt idx="347">
                    <c:v>0</c:v>
                  </c:pt>
                  <c:pt idx="348">
                    <c:v>0</c:v>
                  </c:pt>
                  <c:pt idx="349">
                    <c:v>0</c:v>
                  </c:pt>
                  <c:pt idx="350">
                    <c:v>0</c:v>
                  </c:pt>
                  <c:pt idx="351">
                    <c:v>0</c:v>
                  </c:pt>
                  <c:pt idx="352">
                    <c:v>0</c:v>
                  </c:pt>
                  <c:pt idx="353">
                    <c:v>0</c:v>
                  </c:pt>
                  <c:pt idx="354">
                    <c:v>0</c:v>
                  </c:pt>
                  <c:pt idx="355">
                    <c:v>0</c:v>
                  </c:pt>
                  <c:pt idx="356">
                    <c:v>0</c:v>
                  </c:pt>
                  <c:pt idx="357">
                    <c:v>0</c:v>
                  </c:pt>
                  <c:pt idx="358">
                    <c:v>0</c:v>
                  </c:pt>
                  <c:pt idx="359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2">
                    <c:v>0</c:v>
                  </c:pt>
                  <c:pt idx="363">
                    <c:v>0</c:v>
                  </c:pt>
                  <c:pt idx="364">
                    <c:v>0</c:v>
                  </c:pt>
                  <c:pt idx="365">
                    <c:v>0</c:v>
                  </c:pt>
                  <c:pt idx="366">
                    <c:v>0</c:v>
                  </c:pt>
                  <c:pt idx="367">
                    <c:v>0</c:v>
                  </c:pt>
                  <c:pt idx="368">
                    <c:v>0</c:v>
                  </c:pt>
                  <c:pt idx="369">
                    <c:v>0</c:v>
                  </c:pt>
                  <c:pt idx="370">
                    <c:v>0</c:v>
                  </c:pt>
                  <c:pt idx="371">
                    <c:v>0</c:v>
                  </c:pt>
                  <c:pt idx="372">
                    <c:v>0</c:v>
                  </c:pt>
                  <c:pt idx="373">
                    <c:v>0</c:v>
                  </c:pt>
                  <c:pt idx="374">
                    <c:v>0</c:v>
                  </c:pt>
                  <c:pt idx="375">
                    <c:v>0</c:v>
                  </c:pt>
                  <c:pt idx="376">
                    <c:v>0</c:v>
                  </c:pt>
                  <c:pt idx="377">
                    <c:v>0</c:v>
                  </c:pt>
                  <c:pt idx="378">
                    <c:v>0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4">
                    <c:v>0</c:v>
                  </c:pt>
                  <c:pt idx="385">
                    <c:v>0</c:v>
                  </c:pt>
                  <c:pt idx="386">
                    <c:v>0</c:v>
                  </c:pt>
                  <c:pt idx="387">
                    <c:v>0</c:v>
                  </c:pt>
                  <c:pt idx="388">
                    <c:v>0</c:v>
                  </c:pt>
                  <c:pt idx="389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0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0</c:v>
                  </c:pt>
                  <c:pt idx="396">
                    <c:v>0</c:v>
                  </c:pt>
                  <c:pt idx="397">
                    <c:v>0</c:v>
                  </c:pt>
                  <c:pt idx="398">
                    <c:v>0</c:v>
                  </c:pt>
                  <c:pt idx="399">
                    <c:v>0</c:v>
                  </c:pt>
                  <c:pt idx="400">
                    <c:v>0</c:v>
                  </c:pt>
                  <c:pt idx="401">
                    <c:v>0</c:v>
                  </c:pt>
                  <c:pt idx="402">
                    <c:v>0</c:v>
                  </c:pt>
                  <c:pt idx="403">
                    <c:v>0</c:v>
                  </c:pt>
                  <c:pt idx="404">
                    <c:v>0</c:v>
                  </c:pt>
                  <c:pt idx="405">
                    <c:v>0</c:v>
                  </c:pt>
                  <c:pt idx="406">
                    <c:v>0</c:v>
                  </c:pt>
                  <c:pt idx="407">
                    <c:v>0</c:v>
                  </c:pt>
                  <c:pt idx="408">
                    <c:v>0</c:v>
                  </c:pt>
                  <c:pt idx="409">
                    <c:v>0</c:v>
                  </c:pt>
                  <c:pt idx="410">
                    <c:v>0</c:v>
                  </c:pt>
                  <c:pt idx="411">
                    <c:v>0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0</c:v>
                  </c:pt>
                  <c:pt idx="415">
                    <c:v>0</c:v>
                  </c:pt>
                  <c:pt idx="416">
                    <c:v>0</c:v>
                  </c:pt>
                  <c:pt idx="417">
                    <c:v>0</c:v>
                  </c:pt>
                  <c:pt idx="418">
                    <c:v>0</c:v>
                  </c:pt>
                  <c:pt idx="419">
                    <c:v>0</c:v>
                  </c:pt>
                  <c:pt idx="420">
                    <c:v>0</c:v>
                  </c:pt>
                  <c:pt idx="421">
                    <c:v>0</c:v>
                  </c:pt>
                  <c:pt idx="422">
                    <c:v>0</c:v>
                  </c:pt>
                  <c:pt idx="423">
                    <c:v>0</c:v>
                  </c:pt>
                  <c:pt idx="424">
                    <c:v>0</c:v>
                  </c:pt>
                  <c:pt idx="425">
                    <c:v>0</c:v>
                  </c:pt>
                  <c:pt idx="426">
                    <c:v>0</c:v>
                  </c:pt>
                  <c:pt idx="427">
                    <c:v>0</c:v>
                  </c:pt>
                  <c:pt idx="428">
                    <c:v>0</c:v>
                  </c:pt>
                  <c:pt idx="429">
                    <c:v>0</c:v>
                  </c:pt>
                  <c:pt idx="430">
                    <c:v>0</c:v>
                  </c:pt>
                  <c:pt idx="431">
                    <c:v>0</c:v>
                  </c:pt>
                  <c:pt idx="432">
                    <c:v>0</c:v>
                  </c:pt>
                  <c:pt idx="433">
                    <c:v>0</c:v>
                  </c:pt>
                  <c:pt idx="434">
                    <c:v>0</c:v>
                  </c:pt>
                  <c:pt idx="435">
                    <c:v>0</c:v>
                  </c:pt>
                  <c:pt idx="436">
                    <c:v>0</c:v>
                  </c:pt>
                  <c:pt idx="437">
                    <c:v>0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  <c:pt idx="441">
                    <c:v>0</c:v>
                  </c:pt>
                  <c:pt idx="442">
                    <c:v>0</c:v>
                  </c:pt>
                  <c:pt idx="443">
                    <c:v>0</c:v>
                  </c:pt>
                  <c:pt idx="444">
                    <c:v>0</c:v>
                  </c:pt>
                  <c:pt idx="445">
                    <c:v>0</c:v>
                  </c:pt>
                  <c:pt idx="446">
                    <c:v>0</c:v>
                  </c:pt>
                  <c:pt idx="447">
                    <c:v>0</c:v>
                  </c:pt>
                  <c:pt idx="448">
                    <c:v>0</c:v>
                  </c:pt>
                  <c:pt idx="449">
                    <c:v>0</c:v>
                  </c:pt>
                  <c:pt idx="450">
                    <c:v>0</c:v>
                  </c:pt>
                  <c:pt idx="451">
                    <c:v>0</c:v>
                  </c:pt>
                  <c:pt idx="452">
                    <c:v>0</c:v>
                  </c:pt>
                  <c:pt idx="453">
                    <c:v>0</c:v>
                  </c:pt>
                  <c:pt idx="454">
                    <c:v>0</c:v>
                  </c:pt>
                  <c:pt idx="455">
                    <c:v>0</c:v>
                  </c:pt>
                  <c:pt idx="456">
                    <c:v>0</c:v>
                  </c:pt>
                  <c:pt idx="457">
                    <c:v>0</c:v>
                  </c:pt>
                  <c:pt idx="458">
                    <c:v>0</c:v>
                  </c:pt>
                  <c:pt idx="459">
                    <c:v>0</c:v>
                  </c:pt>
                  <c:pt idx="460">
                    <c:v>0</c:v>
                  </c:pt>
                  <c:pt idx="461">
                    <c:v>0</c:v>
                  </c:pt>
                  <c:pt idx="462">
                    <c:v>0</c:v>
                  </c:pt>
                  <c:pt idx="463">
                    <c:v>0</c:v>
                  </c:pt>
                  <c:pt idx="464">
                    <c:v>0</c:v>
                  </c:pt>
                  <c:pt idx="465">
                    <c:v>0</c:v>
                  </c:pt>
                  <c:pt idx="466">
                    <c:v>0</c:v>
                  </c:pt>
                  <c:pt idx="467">
                    <c:v>0</c:v>
                  </c:pt>
                  <c:pt idx="468">
                    <c:v>0</c:v>
                  </c:pt>
                  <c:pt idx="469">
                    <c:v>0</c:v>
                  </c:pt>
                  <c:pt idx="470">
                    <c:v>0</c:v>
                  </c:pt>
                  <c:pt idx="471">
                    <c:v>0</c:v>
                  </c:pt>
                  <c:pt idx="472">
                    <c:v>0</c:v>
                  </c:pt>
                  <c:pt idx="473">
                    <c:v>0</c:v>
                  </c:pt>
                  <c:pt idx="474">
                    <c:v>0</c:v>
                  </c:pt>
                  <c:pt idx="475">
                    <c:v>0</c:v>
                  </c:pt>
                  <c:pt idx="476">
                    <c:v>0</c:v>
                  </c:pt>
                  <c:pt idx="477">
                    <c:v>0</c:v>
                  </c:pt>
                  <c:pt idx="478">
                    <c:v>0</c:v>
                  </c:pt>
                  <c:pt idx="479">
                    <c:v>0</c:v>
                  </c:pt>
                  <c:pt idx="480">
                    <c:v>0</c:v>
                  </c:pt>
                  <c:pt idx="481">
                    <c:v>0</c:v>
                  </c:pt>
                  <c:pt idx="482">
                    <c:v>0</c:v>
                  </c:pt>
                  <c:pt idx="483">
                    <c:v>0</c:v>
                  </c:pt>
                  <c:pt idx="484">
                    <c:v>0</c:v>
                  </c:pt>
                  <c:pt idx="485">
                    <c:v>0</c:v>
                  </c:pt>
                  <c:pt idx="486">
                    <c:v>0</c:v>
                  </c:pt>
                  <c:pt idx="487">
                    <c:v>0</c:v>
                  </c:pt>
                  <c:pt idx="488">
                    <c:v>0</c:v>
                  </c:pt>
                  <c:pt idx="489">
                    <c:v>0</c:v>
                  </c:pt>
                  <c:pt idx="490">
                    <c:v>0</c:v>
                  </c:pt>
                  <c:pt idx="491">
                    <c:v>0</c:v>
                  </c:pt>
                  <c:pt idx="492">
                    <c:v>0</c:v>
                  </c:pt>
                  <c:pt idx="493">
                    <c:v>0</c:v>
                  </c:pt>
                  <c:pt idx="494">
                    <c:v>0</c:v>
                  </c:pt>
                  <c:pt idx="495">
                    <c:v>0</c:v>
                  </c:pt>
                  <c:pt idx="496">
                    <c:v>0</c:v>
                  </c:pt>
                  <c:pt idx="497">
                    <c:v>0</c:v>
                  </c:pt>
                  <c:pt idx="498">
                    <c:v>0</c:v>
                  </c:pt>
                  <c:pt idx="499">
                    <c:v>0</c:v>
                  </c:pt>
                  <c:pt idx="500">
                    <c:v>0</c:v>
                  </c:pt>
                  <c:pt idx="501">
                    <c:v>0</c:v>
                  </c:pt>
                  <c:pt idx="502">
                    <c:v>0</c:v>
                  </c:pt>
                  <c:pt idx="503">
                    <c:v>0</c:v>
                  </c:pt>
                  <c:pt idx="504">
                    <c:v>0</c:v>
                  </c:pt>
                  <c:pt idx="505">
                    <c:v>0</c:v>
                  </c:pt>
                  <c:pt idx="506">
                    <c:v>0</c:v>
                  </c:pt>
                  <c:pt idx="507">
                    <c:v>0</c:v>
                  </c:pt>
                  <c:pt idx="508">
                    <c:v>0</c:v>
                  </c:pt>
                  <c:pt idx="509">
                    <c:v>0</c:v>
                  </c:pt>
                  <c:pt idx="510">
                    <c:v>0</c:v>
                  </c:pt>
                  <c:pt idx="511">
                    <c:v>0</c:v>
                  </c:pt>
                  <c:pt idx="512">
                    <c:v>0</c:v>
                  </c:pt>
                  <c:pt idx="513">
                    <c:v>0</c:v>
                  </c:pt>
                  <c:pt idx="514">
                    <c:v>0</c:v>
                  </c:pt>
                  <c:pt idx="515">
                    <c:v>0</c:v>
                  </c:pt>
                  <c:pt idx="516">
                    <c:v>0</c:v>
                  </c:pt>
                  <c:pt idx="517">
                    <c:v>0</c:v>
                  </c:pt>
                  <c:pt idx="518">
                    <c:v>0</c:v>
                  </c:pt>
                  <c:pt idx="519">
                    <c:v>0</c:v>
                  </c:pt>
                  <c:pt idx="520">
                    <c:v>0</c:v>
                  </c:pt>
                  <c:pt idx="521">
                    <c:v>0</c:v>
                  </c:pt>
                  <c:pt idx="522">
                    <c:v>0</c:v>
                  </c:pt>
                  <c:pt idx="523">
                    <c:v>0</c:v>
                  </c:pt>
                  <c:pt idx="524">
                    <c:v>0</c:v>
                  </c:pt>
                  <c:pt idx="525">
                    <c:v>0</c:v>
                  </c:pt>
                  <c:pt idx="526">
                    <c:v>0</c:v>
                  </c:pt>
                  <c:pt idx="527">
                    <c:v>0</c:v>
                  </c:pt>
                  <c:pt idx="528">
                    <c:v>0</c:v>
                  </c:pt>
                  <c:pt idx="529">
                    <c:v>0</c:v>
                  </c:pt>
                  <c:pt idx="530">
                    <c:v>0</c:v>
                  </c:pt>
                  <c:pt idx="531">
                    <c:v>0</c:v>
                  </c:pt>
                  <c:pt idx="532">
                    <c:v>0</c:v>
                  </c:pt>
                  <c:pt idx="533">
                    <c:v>0</c:v>
                  </c:pt>
                  <c:pt idx="534">
                    <c:v>0</c:v>
                  </c:pt>
                  <c:pt idx="535">
                    <c:v>0</c:v>
                  </c:pt>
                  <c:pt idx="536">
                    <c:v>0</c:v>
                  </c:pt>
                  <c:pt idx="537">
                    <c:v>0</c:v>
                  </c:pt>
                  <c:pt idx="538">
                    <c:v>0</c:v>
                  </c:pt>
                  <c:pt idx="539">
                    <c:v>0</c:v>
                  </c:pt>
                  <c:pt idx="540">
                    <c:v>0</c:v>
                  </c:pt>
                  <c:pt idx="541">
                    <c:v>0</c:v>
                  </c:pt>
                  <c:pt idx="542">
                    <c:v>0</c:v>
                  </c:pt>
                  <c:pt idx="543">
                    <c:v>0</c:v>
                  </c:pt>
                  <c:pt idx="544">
                    <c:v>0</c:v>
                  </c:pt>
                  <c:pt idx="545">
                    <c:v>0</c:v>
                  </c:pt>
                  <c:pt idx="546">
                    <c:v>0</c:v>
                  </c:pt>
                  <c:pt idx="547">
                    <c:v>0</c:v>
                  </c:pt>
                  <c:pt idx="548">
                    <c:v>0</c:v>
                  </c:pt>
                  <c:pt idx="549">
                    <c:v>0</c:v>
                  </c:pt>
                  <c:pt idx="550">
                    <c:v>0</c:v>
                  </c:pt>
                  <c:pt idx="551">
                    <c:v>0</c:v>
                  </c:pt>
                  <c:pt idx="552">
                    <c:v>0</c:v>
                  </c:pt>
                  <c:pt idx="553">
                    <c:v>0</c:v>
                  </c:pt>
                  <c:pt idx="554">
                    <c:v>0</c:v>
                  </c:pt>
                  <c:pt idx="555">
                    <c:v>0</c:v>
                  </c:pt>
                  <c:pt idx="556">
                    <c:v>0</c:v>
                  </c:pt>
                  <c:pt idx="557">
                    <c:v>0</c:v>
                  </c:pt>
                  <c:pt idx="558">
                    <c:v>0</c:v>
                  </c:pt>
                  <c:pt idx="559">
                    <c:v>0</c:v>
                  </c:pt>
                  <c:pt idx="560">
                    <c:v>0</c:v>
                  </c:pt>
                  <c:pt idx="561">
                    <c:v>0</c:v>
                  </c:pt>
                  <c:pt idx="562">
                    <c:v>0</c:v>
                  </c:pt>
                  <c:pt idx="563">
                    <c:v>0</c:v>
                  </c:pt>
                  <c:pt idx="564">
                    <c:v>0</c:v>
                  </c:pt>
                  <c:pt idx="565">
                    <c:v>0</c:v>
                  </c:pt>
                  <c:pt idx="566">
                    <c:v>0</c:v>
                  </c:pt>
                  <c:pt idx="567">
                    <c:v>0</c:v>
                  </c:pt>
                  <c:pt idx="568">
                    <c:v>0</c:v>
                  </c:pt>
                  <c:pt idx="569">
                    <c:v>0</c:v>
                  </c:pt>
                  <c:pt idx="570">
                    <c:v>0</c:v>
                  </c:pt>
                  <c:pt idx="571">
                    <c:v>0</c:v>
                  </c:pt>
                  <c:pt idx="572">
                    <c:v>0</c:v>
                  </c:pt>
                  <c:pt idx="573">
                    <c:v>0</c:v>
                  </c:pt>
                  <c:pt idx="574">
                    <c:v>0</c:v>
                  </c:pt>
                  <c:pt idx="575">
                    <c:v>0</c:v>
                  </c:pt>
                  <c:pt idx="576">
                    <c:v>0</c:v>
                  </c:pt>
                  <c:pt idx="577">
                    <c:v>0</c:v>
                  </c:pt>
                  <c:pt idx="578">
                    <c:v>0</c:v>
                  </c:pt>
                  <c:pt idx="579">
                    <c:v>0</c:v>
                  </c:pt>
                  <c:pt idx="580">
                    <c:v>0</c:v>
                  </c:pt>
                  <c:pt idx="581">
                    <c:v>0</c:v>
                  </c:pt>
                  <c:pt idx="582">
                    <c:v>0</c:v>
                  </c:pt>
                  <c:pt idx="583">
                    <c:v>0</c:v>
                  </c:pt>
                  <c:pt idx="584">
                    <c:v>0</c:v>
                  </c:pt>
                  <c:pt idx="585">
                    <c:v>0</c:v>
                  </c:pt>
                  <c:pt idx="586">
                    <c:v>0</c:v>
                  </c:pt>
                  <c:pt idx="587">
                    <c:v>0</c:v>
                  </c:pt>
                  <c:pt idx="588">
                    <c:v>0</c:v>
                  </c:pt>
                  <c:pt idx="589">
                    <c:v>0</c:v>
                  </c:pt>
                  <c:pt idx="590">
                    <c:v>0</c:v>
                  </c:pt>
                  <c:pt idx="591">
                    <c:v>0</c:v>
                  </c:pt>
                  <c:pt idx="592">
                    <c:v>0</c:v>
                  </c:pt>
                  <c:pt idx="593">
                    <c:v>0</c:v>
                  </c:pt>
                  <c:pt idx="594">
                    <c:v>0</c:v>
                  </c:pt>
                  <c:pt idx="595">
                    <c:v>0</c:v>
                  </c:pt>
                  <c:pt idx="596">
                    <c:v>0</c:v>
                  </c:pt>
                  <c:pt idx="597">
                    <c:v>0</c:v>
                  </c:pt>
                  <c:pt idx="598">
                    <c:v>0</c:v>
                  </c:pt>
                  <c:pt idx="599">
                    <c:v>0</c:v>
                  </c:pt>
                  <c:pt idx="600">
                    <c:v>0</c:v>
                  </c:pt>
                  <c:pt idx="601">
                    <c:v>0</c:v>
                  </c:pt>
                  <c:pt idx="602">
                    <c:v>0</c:v>
                  </c:pt>
                  <c:pt idx="603">
                    <c:v>0</c:v>
                  </c:pt>
                  <c:pt idx="604">
                    <c:v>0</c:v>
                  </c:pt>
                  <c:pt idx="605">
                    <c:v>0</c:v>
                  </c:pt>
                  <c:pt idx="606">
                    <c:v>0</c:v>
                  </c:pt>
                  <c:pt idx="607">
                    <c:v>0</c:v>
                  </c:pt>
                  <c:pt idx="608">
                    <c:v>0</c:v>
                  </c:pt>
                  <c:pt idx="609">
                    <c:v>0</c:v>
                  </c:pt>
                  <c:pt idx="610">
                    <c:v>0</c:v>
                  </c:pt>
                  <c:pt idx="611">
                    <c:v>0</c:v>
                  </c:pt>
                  <c:pt idx="612">
                    <c:v>0</c:v>
                  </c:pt>
                  <c:pt idx="613">
                    <c:v>0</c:v>
                  </c:pt>
                  <c:pt idx="614">
                    <c:v>0</c:v>
                  </c:pt>
                  <c:pt idx="615">
                    <c:v>0</c:v>
                  </c:pt>
                  <c:pt idx="616">
                    <c:v>0</c:v>
                  </c:pt>
                  <c:pt idx="617">
                    <c:v>0</c:v>
                  </c:pt>
                  <c:pt idx="618">
                    <c:v>0</c:v>
                  </c:pt>
                  <c:pt idx="619">
                    <c:v>0</c:v>
                  </c:pt>
                  <c:pt idx="620">
                    <c:v>0</c:v>
                  </c:pt>
                  <c:pt idx="621">
                    <c:v>0</c:v>
                  </c:pt>
                  <c:pt idx="622">
                    <c:v>0</c:v>
                  </c:pt>
                  <c:pt idx="623">
                    <c:v>0</c:v>
                  </c:pt>
                  <c:pt idx="624">
                    <c:v>0</c:v>
                  </c:pt>
                  <c:pt idx="625">
                    <c:v>0</c:v>
                  </c:pt>
                  <c:pt idx="626">
                    <c:v>0</c:v>
                  </c:pt>
                  <c:pt idx="627">
                    <c:v>0</c:v>
                  </c:pt>
                  <c:pt idx="628">
                    <c:v>0</c:v>
                  </c:pt>
                  <c:pt idx="629">
                    <c:v>0</c:v>
                  </c:pt>
                  <c:pt idx="630">
                    <c:v>0</c:v>
                  </c:pt>
                  <c:pt idx="631">
                    <c:v>0</c:v>
                  </c:pt>
                  <c:pt idx="632">
                    <c:v>0</c:v>
                  </c:pt>
                  <c:pt idx="633">
                    <c:v>0</c:v>
                  </c:pt>
                  <c:pt idx="634">
                    <c:v>0</c:v>
                  </c:pt>
                  <c:pt idx="635">
                    <c:v>0</c:v>
                  </c:pt>
                  <c:pt idx="636">
                    <c:v>0</c:v>
                  </c:pt>
                  <c:pt idx="637">
                    <c:v>0</c:v>
                  </c:pt>
                  <c:pt idx="638">
                    <c:v>0</c:v>
                  </c:pt>
                  <c:pt idx="639">
                    <c:v>0</c:v>
                  </c:pt>
                  <c:pt idx="640">
                    <c:v>0</c:v>
                  </c:pt>
                  <c:pt idx="641">
                    <c:v>0</c:v>
                  </c:pt>
                  <c:pt idx="642">
                    <c:v>0</c:v>
                  </c:pt>
                  <c:pt idx="643">
                    <c:v>0</c:v>
                  </c:pt>
                  <c:pt idx="644">
                    <c:v>0</c:v>
                  </c:pt>
                  <c:pt idx="645">
                    <c:v>0</c:v>
                  </c:pt>
                  <c:pt idx="646">
                    <c:v>0</c:v>
                  </c:pt>
                  <c:pt idx="647">
                    <c:v>0</c:v>
                  </c:pt>
                  <c:pt idx="648">
                    <c:v>0</c:v>
                  </c:pt>
                  <c:pt idx="649">
                    <c:v>0</c:v>
                  </c:pt>
                  <c:pt idx="650">
                    <c:v>0</c:v>
                  </c:pt>
                  <c:pt idx="651">
                    <c:v>0</c:v>
                  </c:pt>
                  <c:pt idx="652">
                    <c:v>0</c:v>
                  </c:pt>
                  <c:pt idx="653">
                    <c:v>0</c:v>
                  </c:pt>
                  <c:pt idx="654">
                    <c:v>0</c:v>
                  </c:pt>
                  <c:pt idx="655">
                    <c:v>0</c:v>
                  </c:pt>
                  <c:pt idx="656">
                    <c:v>0</c:v>
                  </c:pt>
                  <c:pt idx="657">
                    <c:v>0</c:v>
                  </c:pt>
                  <c:pt idx="658">
                    <c:v>0</c:v>
                  </c:pt>
                  <c:pt idx="659">
                    <c:v>0</c:v>
                  </c:pt>
                  <c:pt idx="660">
                    <c:v>0</c:v>
                  </c:pt>
                  <c:pt idx="661">
                    <c:v>0</c:v>
                  </c:pt>
                  <c:pt idx="662">
                    <c:v>0</c:v>
                  </c:pt>
                  <c:pt idx="663">
                    <c:v>0</c:v>
                  </c:pt>
                  <c:pt idx="664">
                    <c:v>0</c:v>
                  </c:pt>
                  <c:pt idx="665">
                    <c:v>0</c:v>
                  </c:pt>
                  <c:pt idx="666">
                    <c:v>0</c:v>
                  </c:pt>
                  <c:pt idx="667">
                    <c:v>0</c:v>
                  </c:pt>
                  <c:pt idx="668">
                    <c:v>0</c:v>
                  </c:pt>
                  <c:pt idx="669">
                    <c:v>0</c:v>
                  </c:pt>
                  <c:pt idx="670">
                    <c:v>0</c:v>
                  </c:pt>
                  <c:pt idx="671">
                    <c:v>0</c:v>
                  </c:pt>
                  <c:pt idx="672">
                    <c:v>0</c:v>
                  </c:pt>
                  <c:pt idx="673">
                    <c:v>0</c:v>
                  </c:pt>
                  <c:pt idx="674">
                    <c:v>0</c:v>
                  </c:pt>
                  <c:pt idx="675">
                    <c:v>0</c:v>
                  </c:pt>
                  <c:pt idx="676">
                    <c:v>0</c:v>
                  </c:pt>
                  <c:pt idx="677">
                    <c:v>0</c:v>
                  </c:pt>
                  <c:pt idx="678">
                    <c:v>0</c:v>
                  </c:pt>
                  <c:pt idx="679">
                    <c:v>0</c:v>
                  </c:pt>
                  <c:pt idx="680">
                    <c:v>0</c:v>
                  </c:pt>
                  <c:pt idx="681">
                    <c:v>0</c:v>
                  </c:pt>
                  <c:pt idx="682">
                    <c:v>0</c:v>
                  </c:pt>
                  <c:pt idx="683">
                    <c:v>0</c:v>
                  </c:pt>
                  <c:pt idx="684">
                    <c:v>0</c:v>
                  </c:pt>
                  <c:pt idx="685">
                    <c:v>0</c:v>
                  </c:pt>
                  <c:pt idx="686">
                    <c:v>0</c:v>
                  </c:pt>
                  <c:pt idx="687">
                    <c:v>0</c:v>
                  </c:pt>
                  <c:pt idx="688">
                    <c:v>0</c:v>
                  </c:pt>
                  <c:pt idx="689">
                    <c:v>0</c:v>
                  </c:pt>
                  <c:pt idx="690">
                    <c:v>0</c:v>
                  </c:pt>
                  <c:pt idx="691">
                    <c:v>0</c:v>
                  </c:pt>
                  <c:pt idx="692">
                    <c:v>0</c:v>
                  </c:pt>
                  <c:pt idx="693">
                    <c:v>0</c:v>
                  </c:pt>
                  <c:pt idx="694">
                    <c:v>0</c:v>
                  </c:pt>
                  <c:pt idx="695">
                    <c:v>0</c:v>
                  </c:pt>
                  <c:pt idx="696">
                    <c:v>0</c:v>
                  </c:pt>
                  <c:pt idx="697">
                    <c:v>0</c:v>
                  </c:pt>
                  <c:pt idx="698">
                    <c:v>0</c:v>
                  </c:pt>
                  <c:pt idx="699">
                    <c:v>0</c:v>
                  </c:pt>
                  <c:pt idx="700">
                    <c:v>0</c:v>
                  </c:pt>
                  <c:pt idx="701">
                    <c:v>0</c:v>
                  </c:pt>
                  <c:pt idx="702">
                    <c:v>0</c:v>
                  </c:pt>
                  <c:pt idx="703">
                    <c:v>0</c:v>
                  </c:pt>
                  <c:pt idx="704">
                    <c:v>0</c:v>
                  </c:pt>
                  <c:pt idx="705">
                    <c:v>0</c:v>
                  </c:pt>
                  <c:pt idx="706">
                    <c:v>0</c:v>
                  </c:pt>
                  <c:pt idx="707">
                    <c:v>0</c:v>
                  </c:pt>
                  <c:pt idx="708">
                    <c:v>0</c:v>
                  </c:pt>
                  <c:pt idx="709">
                    <c:v>0</c:v>
                  </c:pt>
                  <c:pt idx="710">
                    <c:v>0</c:v>
                  </c:pt>
                  <c:pt idx="711">
                    <c:v>0</c:v>
                  </c:pt>
                  <c:pt idx="712">
                    <c:v>0</c:v>
                  </c:pt>
                  <c:pt idx="713">
                    <c:v>0</c:v>
                  </c:pt>
                  <c:pt idx="714">
                    <c:v>0</c:v>
                  </c:pt>
                  <c:pt idx="715">
                    <c:v>0</c:v>
                  </c:pt>
                  <c:pt idx="716">
                    <c:v>0</c:v>
                  </c:pt>
                  <c:pt idx="717">
                    <c:v>0</c:v>
                  </c:pt>
                  <c:pt idx="718">
                    <c:v>0</c:v>
                  </c:pt>
                  <c:pt idx="719">
                    <c:v>0</c:v>
                  </c:pt>
                  <c:pt idx="720">
                    <c:v>0</c:v>
                  </c:pt>
                  <c:pt idx="721">
                    <c:v>0</c:v>
                  </c:pt>
                  <c:pt idx="722">
                    <c:v>0</c:v>
                  </c:pt>
                  <c:pt idx="723">
                    <c:v>0</c:v>
                  </c:pt>
                  <c:pt idx="724">
                    <c:v>0</c:v>
                  </c:pt>
                  <c:pt idx="725">
                    <c:v>0</c:v>
                  </c:pt>
                  <c:pt idx="726">
                    <c:v>0</c:v>
                  </c:pt>
                  <c:pt idx="727">
                    <c:v>0</c:v>
                  </c:pt>
                  <c:pt idx="728">
                    <c:v>0</c:v>
                  </c:pt>
                  <c:pt idx="729">
                    <c:v>0</c:v>
                  </c:pt>
                  <c:pt idx="730">
                    <c:v>0</c:v>
                  </c:pt>
                  <c:pt idx="731">
                    <c:v>0</c:v>
                  </c:pt>
                  <c:pt idx="732">
                    <c:v>0</c:v>
                  </c:pt>
                  <c:pt idx="733">
                    <c:v>0</c:v>
                  </c:pt>
                  <c:pt idx="734">
                    <c:v>0</c:v>
                  </c:pt>
                  <c:pt idx="735">
                    <c:v>0</c:v>
                  </c:pt>
                  <c:pt idx="736">
                    <c:v>0</c:v>
                  </c:pt>
                  <c:pt idx="737">
                    <c:v>0</c:v>
                  </c:pt>
                  <c:pt idx="738">
                    <c:v>0</c:v>
                  </c:pt>
                  <c:pt idx="739">
                    <c:v>0</c:v>
                  </c:pt>
                  <c:pt idx="740">
                    <c:v>0</c:v>
                  </c:pt>
                  <c:pt idx="741">
                    <c:v>0</c:v>
                  </c:pt>
                  <c:pt idx="742">
                    <c:v>0</c:v>
                  </c:pt>
                  <c:pt idx="743">
                    <c:v>0</c:v>
                  </c:pt>
                  <c:pt idx="744">
                    <c:v>0</c:v>
                  </c:pt>
                  <c:pt idx="745">
                    <c:v>0</c:v>
                  </c:pt>
                  <c:pt idx="746">
                    <c:v>0</c:v>
                  </c:pt>
                  <c:pt idx="747">
                    <c:v>0</c:v>
                  </c:pt>
                  <c:pt idx="748">
                    <c:v>0</c:v>
                  </c:pt>
                  <c:pt idx="749">
                    <c:v>0</c:v>
                  </c:pt>
                  <c:pt idx="750">
                    <c:v>0</c:v>
                  </c:pt>
                  <c:pt idx="751">
                    <c:v>0</c:v>
                  </c:pt>
                  <c:pt idx="752">
                    <c:v>0</c:v>
                  </c:pt>
                  <c:pt idx="753">
                    <c:v>0</c:v>
                  </c:pt>
                  <c:pt idx="754">
                    <c:v>0</c:v>
                  </c:pt>
                  <c:pt idx="755">
                    <c:v>0</c:v>
                  </c:pt>
                  <c:pt idx="756">
                    <c:v>0</c:v>
                  </c:pt>
                  <c:pt idx="757">
                    <c:v>0</c:v>
                  </c:pt>
                  <c:pt idx="758">
                    <c:v>0</c:v>
                  </c:pt>
                  <c:pt idx="759">
                    <c:v>0</c:v>
                  </c:pt>
                  <c:pt idx="760">
                    <c:v>0</c:v>
                  </c:pt>
                  <c:pt idx="761">
                    <c:v>0</c:v>
                  </c:pt>
                  <c:pt idx="762">
                    <c:v>0</c:v>
                  </c:pt>
                  <c:pt idx="763">
                    <c:v>0</c:v>
                  </c:pt>
                  <c:pt idx="764">
                    <c:v>0</c:v>
                  </c:pt>
                  <c:pt idx="765">
                    <c:v>0</c:v>
                  </c:pt>
                  <c:pt idx="766">
                    <c:v>0</c:v>
                  </c:pt>
                  <c:pt idx="767">
                    <c:v>0</c:v>
                  </c:pt>
                  <c:pt idx="768">
                    <c:v>0</c:v>
                  </c:pt>
                  <c:pt idx="769">
                    <c:v>0</c:v>
                  </c:pt>
                  <c:pt idx="770">
                    <c:v>0</c:v>
                  </c:pt>
                  <c:pt idx="771">
                    <c:v>0</c:v>
                  </c:pt>
                  <c:pt idx="772">
                    <c:v>0</c:v>
                  </c:pt>
                  <c:pt idx="773">
                    <c:v>0</c:v>
                  </c:pt>
                  <c:pt idx="774">
                    <c:v>0</c:v>
                  </c:pt>
                  <c:pt idx="775">
                    <c:v>0</c:v>
                  </c:pt>
                  <c:pt idx="776">
                    <c:v>0</c:v>
                  </c:pt>
                  <c:pt idx="777">
                    <c:v>0</c:v>
                  </c:pt>
                  <c:pt idx="778">
                    <c:v>0</c:v>
                  </c:pt>
                  <c:pt idx="779">
                    <c:v>0</c:v>
                  </c:pt>
                  <c:pt idx="780">
                    <c:v>0</c:v>
                  </c:pt>
                  <c:pt idx="781">
                    <c:v>0</c:v>
                  </c:pt>
                  <c:pt idx="782">
                    <c:v>0</c:v>
                  </c:pt>
                  <c:pt idx="783">
                    <c:v>0</c:v>
                  </c:pt>
                  <c:pt idx="784">
                    <c:v>0</c:v>
                  </c:pt>
                  <c:pt idx="785">
                    <c:v>0</c:v>
                  </c:pt>
                  <c:pt idx="786">
                    <c:v>0</c:v>
                  </c:pt>
                  <c:pt idx="787">
                    <c:v>0</c:v>
                  </c:pt>
                  <c:pt idx="788">
                    <c:v>0</c:v>
                  </c:pt>
                  <c:pt idx="789">
                    <c:v>0</c:v>
                  </c:pt>
                  <c:pt idx="790">
                    <c:v>0</c:v>
                  </c:pt>
                  <c:pt idx="791">
                    <c:v>0</c:v>
                  </c:pt>
                  <c:pt idx="792">
                    <c:v>0</c:v>
                  </c:pt>
                  <c:pt idx="793">
                    <c:v>0</c:v>
                  </c:pt>
                  <c:pt idx="794">
                    <c:v>0</c:v>
                  </c:pt>
                  <c:pt idx="795">
                    <c:v>0</c:v>
                  </c:pt>
                  <c:pt idx="796">
                    <c:v>0</c:v>
                  </c:pt>
                  <c:pt idx="797">
                    <c:v>0</c:v>
                  </c:pt>
                  <c:pt idx="798">
                    <c:v>0</c:v>
                  </c:pt>
                  <c:pt idx="799">
                    <c:v>0</c:v>
                  </c:pt>
                  <c:pt idx="800">
                    <c:v>0</c:v>
                  </c:pt>
                  <c:pt idx="801">
                    <c:v>0</c:v>
                  </c:pt>
                  <c:pt idx="802">
                    <c:v>0</c:v>
                  </c:pt>
                  <c:pt idx="803">
                    <c:v>0</c:v>
                  </c:pt>
                  <c:pt idx="804">
                    <c:v>0</c:v>
                  </c:pt>
                  <c:pt idx="805">
                    <c:v>0</c:v>
                  </c:pt>
                  <c:pt idx="806">
                    <c:v>0</c:v>
                  </c:pt>
                  <c:pt idx="807">
                    <c:v>0</c:v>
                  </c:pt>
                  <c:pt idx="808">
                    <c:v>0</c:v>
                  </c:pt>
                  <c:pt idx="809">
                    <c:v>0</c:v>
                  </c:pt>
                  <c:pt idx="810">
                    <c:v>0</c:v>
                  </c:pt>
                  <c:pt idx="811">
                    <c:v>0</c:v>
                  </c:pt>
                  <c:pt idx="812">
                    <c:v>0</c:v>
                  </c:pt>
                  <c:pt idx="813">
                    <c:v>0</c:v>
                  </c:pt>
                  <c:pt idx="814">
                    <c:v>0</c:v>
                  </c:pt>
                  <c:pt idx="815">
                    <c:v>0</c:v>
                  </c:pt>
                  <c:pt idx="816">
                    <c:v>0</c:v>
                  </c:pt>
                  <c:pt idx="817">
                    <c:v>0</c:v>
                  </c:pt>
                  <c:pt idx="818">
                    <c:v>0</c:v>
                  </c:pt>
                  <c:pt idx="819">
                    <c:v>0</c:v>
                  </c:pt>
                  <c:pt idx="820">
                    <c:v>0</c:v>
                  </c:pt>
                  <c:pt idx="821">
                    <c:v>0</c:v>
                  </c:pt>
                  <c:pt idx="822">
                    <c:v>0</c:v>
                  </c:pt>
                  <c:pt idx="823">
                    <c:v>0</c:v>
                  </c:pt>
                  <c:pt idx="824">
                    <c:v>0</c:v>
                  </c:pt>
                  <c:pt idx="825">
                    <c:v>0</c:v>
                  </c:pt>
                  <c:pt idx="826">
                    <c:v>0</c:v>
                  </c:pt>
                  <c:pt idx="827">
                    <c:v>0</c:v>
                  </c:pt>
                  <c:pt idx="828">
                    <c:v>0</c:v>
                  </c:pt>
                  <c:pt idx="829">
                    <c:v>0</c:v>
                  </c:pt>
                  <c:pt idx="830">
                    <c:v>0</c:v>
                  </c:pt>
                  <c:pt idx="831">
                    <c:v>0</c:v>
                  </c:pt>
                  <c:pt idx="832">
                    <c:v>0</c:v>
                  </c:pt>
                  <c:pt idx="833">
                    <c:v>0</c:v>
                  </c:pt>
                  <c:pt idx="834">
                    <c:v>0</c:v>
                  </c:pt>
                  <c:pt idx="835">
                    <c:v>0</c:v>
                  </c:pt>
                  <c:pt idx="836">
                    <c:v>0</c:v>
                  </c:pt>
                  <c:pt idx="837">
                    <c:v>0</c:v>
                  </c:pt>
                  <c:pt idx="838">
                    <c:v>0</c:v>
                  </c:pt>
                  <c:pt idx="839">
                    <c:v>0</c:v>
                  </c:pt>
                  <c:pt idx="840">
                    <c:v>0</c:v>
                  </c:pt>
                  <c:pt idx="841">
                    <c:v>0</c:v>
                  </c:pt>
                  <c:pt idx="842">
                    <c:v>0</c:v>
                  </c:pt>
                  <c:pt idx="843">
                    <c:v>0</c:v>
                  </c:pt>
                  <c:pt idx="844">
                    <c:v>0</c:v>
                  </c:pt>
                  <c:pt idx="845">
                    <c:v>0</c:v>
                  </c:pt>
                  <c:pt idx="846">
                    <c:v>0</c:v>
                  </c:pt>
                  <c:pt idx="847">
                    <c:v>0</c:v>
                  </c:pt>
                  <c:pt idx="848">
                    <c:v>0</c:v>
                  </c:pt>
                  <c:pt idx="849">
                    <c:v>0</c:v>
                  </c:pt>
                  <c:pt idx="850">
                    <c:v>0</c:v>
                  </c:pt>
                  <c:pt idx="851">
                    <c:v>0</c:v>
                  </c:pt>
                  <c:pt idx="852">
                    <c:v>0</c:v>
                  </c:pt>
                  <c:pt idx="853">
                    <c:v>0</c:v>
                  </c:pt>
                  <c:pt idx="854">
                    <c:v>0</c:v>
                  </c:pt>
                  <c:pt idx="855">
                    <c:v>0</c:v>
                  </c:pt>
                  <c:pt idx="856">
                    <c:v>0</c:v>
                  </c:pt>
                  <c:pt idx="857">
                    <c:v>0</c:v>
                  </c:pt>
                  <c:pt idx="858">
                    <c:v>0</c:v>
                  </c:pt>
                  <c:pt idx="859">
                    <c:v>0</c:v>
                  </c:pt>
                  <c:pt idx="860">
                    <c:v>0</c:v>
                  </c:pt>
                  <c:pt idx="861">
                    <c:v>0</c:v>
                  </c:pt>
                  <c:pt idx="862">
                    <c:v>0</c:v>
                  </c:pt>
                  <c:pt idx="863">
                    <c:v>0</c:v>
                  </c:pt>
                  <c:pt idx="864">
                    <c:v>0</c:v>
                  </c:pt>
                  <c:pt idx="865">
                    <c:v>0</c:v>
                  </c:pt>
                  <c:pt idx="866">
                    <c:v>0</c:v>
                  </c:pt>
                  <c:pt idx="867">
                    <c:v>0</c:v>
                  </c:pt>
                  <c:pt idx="868">
                    <c:v>0</c:v>
                  </c:pt>
                  <c:pt idx="869">
                    <c:v>0</c:v>
                  </c:pt>
                  <c:pt idx="870">
                    <c:v>0</c:v>
                  </c:pt>
                  <c:pt idx="871">
                    <c:v>0</c:v>
                  </c:pt>
                  <c:pt idx="872">
                    <c:v>0</c:v>
                  </c:pt>
                  <c:pt idx="873">
                    <c:v>0</c:v>
                  </c:pt>
                  <c:pt idx="874">
                    <c:v>0</c:v>
                  </c:pt>
                  <c:pt idx="875">
                    <c:v>0</c:v>
                  </c:pt>
                  <c:pt idx="876">
                    <c:v>0</c:v>
                  </c:pt>
                  <c:pt idx="877">
                    <c:v>0</c:v>
                  </c:pt>
                  <c:pt idx="878">
                    <c:v>0</c:v>
                  </c:pt>
                  <c:pt idx="879">
                    <c:v>0</c:v>
                  </c:pt>
                  <c:pt idx="880">
                    <c:v>0</c:v>
                  </c:pt>
                  <c:pt idx="881">
                    <c:v>0</c:v>
                  </c:pt>
                  <c:pt idx="882">
                    <c:v>0</c:v>
                  </c:pt>
                  <c:pt idx="883">
                    <c:v>0</c:v>
                  </c:pt>
                  <c:pt idx="884">
                    <c:v>0</c:v>
                  </c:pt>
                  <c:pt idx="885">
                    <c:v>0</c:v>
                  </c:pt>
                  <c:pt idx="886">
                    <c:v>0</c:v>
                  </c:pt>
                  <c:pt idx="887">
                    <c:v>0</c:v>
                  </c:pt>
                  <c:pt idx="888">
                    <c:v>0</c:v>
                  </c:pt>
                  <c:pt idx="889">
                    <c:v>0</c:v>
                  </c:pt>
                  <c:pt idx="890">
                    <c:v>0</c:v>
                  </c:pt>
                  <c:pt idx="891">
                    <c:v>0</c:v>
                  </c:pt>
                  <c:pt idx="892">
                    <c:v>0</c:v>
                  </c:pt>
                  <c:pt idx="893">
                    <c:v>0</c:v>
                  </c:pt>
                  <c:pt idx="894">
                    <c:v>0</c:v>
                  </c:pt>
                  <c:pt idx="895">
                    <c:v>0</c:v>
                  </c:pt>
                  <c:pt idx="896">
                    <c:v>0</c:v>
                  </c:pt>
                  <c:pt idx="897">
                    <c:v>0</c:v>
                  </c:pt>
                  <c:pt idx="898">
                    <c:v>0</c:v>
                  </c:pt>
                  <c:pt idx="899">
                    <c:v>0</c:v>
                  </c:pt>
                  <c:pt idx="900">
                    <c:v>0</c:v>
                  </c:pt>
                  <c:pt idx="901">
                    <c:v>0</c:v>
                  </c:pt>
                  <c:pt idx="902">
                    <c:v>0</c:v>
                  </c:pt>
                  <c:pt idx="903">
                    <c:v>0</c:v>
                  </c:pt>
                  <c:pt idx="904">
                    <c:v>0</c:v>
                  </c:pt>
                  <c:pt idx="905">
                    <c:v>0</c:v>
                  </c:pt>
                  <c:pt idx="906">
                    <c:v>0</c:v>
                  </c:pt>
                  <c:pt idx="907">
                    <c:v>0</c:v>
                  </c:pt>
                  <c:pt idx="908">
                    <c:v>0</c:v>
                  </c:pt>
                  <c:pt idx="909">
                    <c:v>0</c:v>
                  </c:pt>
                  <c:pt idx="910">
                    <c:v>0</c:v>
                  </c:pt>
                  <c:pt idx="911">
                    <c:v>0</c:v>
                  </c:pt>
                  <c:pt idx="912">
                    <c:v>0</c:v>
                  </c:pt>
                  <c:pt idx="913">
                    <c:v>0</c:v>
                  </c:pt>
                  <c:pt idx="914">
                    <c:v>0</c:v>
                  </c:pt>
                  <c:pt idx="915">
                    <c:v>0</c:v>
                  </c:pt>
                  <c:pt idx="916">
                    <c:v>0</c:v>
                  </c:pt>
                  <c:pt idx="917">
                    <c:v>0</c:v>
                  </c:pt>
                  <c:pt idx="918">
                    <c:v>0</c:v>
                  </c:pt>
                  <c:pt idx="919">
                    <c:v>0</c:v>
                  </c:pt>
                  <c:pt idx="920">
                    <c:v>0</c:v>
                  </c:pt>
                  <c:pt idx="921">
                    <c:v>0</c:v>
                  </c:pt>
                  <c:pt idx="922">
                    <c:v>0</c:v>
                  </c:pt>
                  <c:pt idx="923">
                    <c:v>0</c:v>
                  </c:pt>
                  <c:pt idx="924">
                    <c:v>0</c:v>
                  </c:pt>
                  <c:pt idx="925">
                    <c:v>0</c:v>
                  </c:pt>
                  <c:pt idx="926">
                    <c:v>0</c:v>
                  </c:pt>
                  <c:pt idx="927">
                    <c:v>0</c:v>
                  </c:pt>
                  <c:pt idx="928">
                    <c:v>0</c:v>
                  </c:pt>
                  <c:pt idx="929">
                    <c:v>0</c:v>
                  </c:pt>
                  <c:pt idx="930">
                    <c:v>0</c:v>
                  </c:pt>
                  <c:pt idx="931">
                    <c:v>0</c:v>
                  </c:pt>
                  <c:pt idx="932">
                    <c:v>0</c:v>
                  </c:pt>
                  <c:pt idx="933">
                    <c:v>0</c:v>
                  </c:pt>
                  <c:pt idx="934">
                    <c:v>0</c:v>
                  </c:pt>
                  <c:pt idx="935">
                    <c:v>0</c:v>
                  </c:pt>
                  <c:pt idx="936">
                    <c:v>0</c:v>
                  </c:pt>
                  <c:pt idx="937">
                    <c:v>0</c:v>
                  </c:pt>
                  <c:pt idx="938">
                    <c:v>0</c:v>
                  </c:pt>
                  <c:pt idx="939">
                    <c:v>0</c:v>
                  </c:pt>
                  <c:pt idx="940">
                    <c:v>0</c:v>
                  </c:pt>
                  <c:pt idx="941">
                    <c:v>0</c:v>
                  </c:pt>
                  <c:pt idx="942">
                    <c:v>0</c:v>
                  </c:pt>
                  <c:pt idx="943">
                    <c:v>0</c:v>
                  </c:pt>
                  <c:pt idx="944">
                    <c:v>0</c:v>
                  </c:pt>
                  <c:pt idx="945">
                    <c:v>0</c:v>
                  </c:pt>
                  <c:pt idx="946">
                    <c:v>0</c:v>
                  </c:pt>
                  <c:pt idx="947">
                    <c:v>0</c:v>
                  </c:pt>
                  <c:pt idx="948">
                    <c:v>0</c:v>
                  </c:pt>
                  <c:pt idx="949">
                    <c:v>0</c:v>
                  </c:pt>
                  <c:pt idx="950">
                    <c:v>0</c:v>
                  </c:pt>
                  <c:pt idx="951">
                    <c:v>0</c:v>
                  </c:pt>
                  <c:pt idx="952">
                    <c:v>0</c:v>
                  </c:pt>
                  <c:pt idx="953">
                    <c:v>0</c:v>
                  </c:pt>
                  <c:pt idx="954">
                    <c:v>0</c:v>
                  </c:pt>
                  <c:pt idx="955">
                    <c:v>0</c:v>
                  </c:pt>
                  <c:pt idx="956">
                    <c:v>0</c:v>
                  </c:pt>
                  <c:pt idx="957">
                    <c:v>0</c:v>
                  </c:pt>
                  <c:pt idx="958">
                    <c:v>0</c:v>
                  </c:pt>
                  <c:pt idx="959">
                    <c:v>0</c:v>
                  </c:pt>
                  <c:pt idx="960">
                    <c:v>0</c:v>
                  </c:pt>
                  <c:pt idx="961">
                    <c:v>0</c:v>
                  </c:pt>
                  <c:pt idx="962">
                    <c:v>0</c:v>
                  </c:pt>
                  <c:pt idx="963">
                    <c:v>0</c:v>
                  </c:pt>
                  <c:pt idx="964">
                    <c:v>0</c:v>
                  </c:pt>
                  <c:pt idx="965">
                    <c:v>0</c:v>
                  </c:pt>
                  <c:pt idx="966">
                    <c:v>0</c:v>
                  </c:pt>
                  <c:pt idx="967">
                    <c:v>0</c:v>
                  </c:pt>
                  <c:pt idx="968">
                    <c:v>0</c:v>
                  </c:pt>
                  <c:pt idx="969">
                    <c:v>0</c:v>
                  </c:pt>
                  <c:pt idx="970">
                    <c:v>0</c:v>
                  </c:pt>
                  <c:pt idx="971">
                    <c:v>0</c:v>
                  </c:pt>
                  <c:pt idx="972">
                    <c:v>0</c:v>
                  </c:pt>
                  <c:pt idx="973">
                    <c:v>0</c:v>
                  </c:pt>
                  <c:pt idx="974">
                    <c:v>0</c:v>
                  </c:pt>
                  <c:pt idx="975">
                    <c:v>0</c:v>
                  </c:pt>
                  <c:pt idx="976">
                    <c:v>0</c:v>
                  </c:pt>
                  <c:pt idx="977">
                    <c:v>0</c:v>
                  </c:pt>
                  <c:pt idx="978">
                    <c:v>0</c:v>
                  </c:pt>
                  <c:pt idx="979">
                    <c:v>0</c:v>
                  </c:pt>
                  <c:pt idx="980">
                    <c:v>0</c:v>
                  </c:pt>
                  <c:pt idx="981">
                    <c:v>0</c:v>
                  </c:pt>
                  <c:pt idx="982">
                    <c:v>0</c:v>
                  </c:pt>
                  <c:pt idx="983">
                    <c:v>0</c:v>
                  </c:pt>
                  <c:pt idx="984">
                    <c:v>0</c:v>
                  </c:pt>
                  <c:pt idx="985">
                    <c:v>0</c:v>
                  </c:pt>
                  <c:pt idx="986">
                    <c:v>0</c:v>
                  </c:pt>
                  <c:pt idx="987">
                    <c:v>0</c:v>
                  </c:pt>
                  <c:pt idx="988">
                    <c:v>0</c:v>
                  </c:pt>
                  <c:pt idx="989">
                    <c:v>0</c:v>
                  </c:pt>
                  <c:pt idx="990">
                    <c:v>0</c:v>
                  </c:pt>
                  <c:pt idx="991">
                    <c:v>0</c:v>
                  </c:pt>
                  <c:pt idx="992">
                    <c:v>0</c:v>
                  </c:pt>
                  <c:pt idx="993">
                    <c:v>0</c:v>
                  </c:pt>
                  <c:pt idx="994">
                    <c:v>0</c:v>
                  </c:pt>
                  <c:pt idx="995">
                    <c:v>0</c:v>
                  </c:pt>
                  <c:pt idx="996">
                    <c:v>0</c:v>
                  </c:pt>
                  <c:pt idx="997">
                    <c:v>0</c:v>
                  </c:pt>
                  <c:pt idx="998">
                    <c:v>0</c:v>
                  </c:pt>
                  <c:pt idx="999">
                    <c:v>0</c:v>
                  </c:pt>
                  <c:pt idx="1000">
                    <c:v>0</c:v>
                  </c:pt>
                  <c:pt idx="1001">
                    <c:v>0</c:v>
                  </c:pt>
                  <c:pt idx="1002">
                    <c:v>0</c:v>
                  </c:pt>
                  <c:pt idx="1003">
                    <c:v>0</c:v>
                  </c:pt>
                  <c:pt idx="1004">
                    <c:v>0</c:v>
                  </c:pt>
                  <c:pt idx="1005">
                    <c:v>0</c:v>
                  </c:pt>
                  <c:pt idx="1006">
                    <c:v>0</c:v>
                  </c:pt>
                  <c:pt idx="1007">
                    <c:v>0</c:v>
                  </c:pt>
                  <c:pt idx="1008">
                    <c:v>0</c:v>
                  </c:pt>
                  <c:pt idx="1009">
                    <c:v>0</c:v>
                  </c:pt>
                  <c:pt idx="1010">
                    <c:v>0</c:v>
                  </c:pt>
                  <c:pt idx="1011">
                    <c:v>0</c:v>
                  </c:pt>
                  <c:pt idx="1012">
                    <c:v>0</c:v>
                  </c:pt>
                  <c:pt idx="1013">
                    <c:v>0</c:v>
                  </c:pt>
                  <c:pt idx="1014">
                    <c:v>0</c:v>
                  </c:pt>
                  <c:pt idx="1015">
                    <c:v>0</c:v>
                  </c:pt>
                  <c:pt idx="1016">
                    <c:v>0</c:v>
                  </c:pt>
                  <c:pt idx="1017">
                    <c:v>0</c:v>
                  </c:pt>
                  <c:pt idx="1018">
                    <c:v>0</c:v>
                  </c:pt>
                  <c:pt idx="1019">
                    <c:v>0</c:v>
                  </c:pt>
                  <c:pt idx="1020">
                    <c:v>0</c:v>
                  </c:pt>
                  <c:pt idx="1021">
                    <c:v>0</c:v>
                  </c:pt>
                  <c:pt idx="1022">
                    <c:v>0</c:v>
                  </c:pt>
                  <c:pt idx="1023">
                    <c:v>0</c:v>
                  </c:pt>
                  <c:pt idx="1024">
                    <c:v>0</c:v>
                  </c:pt>
                  <c:pt idx="1025">
                    <c:v>0</c:v>
                  </c:pt>
                  <c:pt idx="1026">
                    <c:v>0</c:v>
                  </c:pt>
                  <c:pt idx="1027">
                    <c:v>0</c:v>
                  </c:pt>
                  <c:pt idx="1028">
                    <c:v>0</c:v>
                  </c:pt>
                  <c:pt idx="1029">
                    <c:v>0</c:v>
                  </c:pt>
                  <c:pt idx="1030">
                    <c:v>0</c:v>
                  </c:pt>
                  <c:pt idx="1031">
                    <c:v>0</c:v>
                  </c:pt>
                  <c:pt idx="1032">
                    <c:v>0</c:v>
                  </c:pt>
                  <c:pt idx="1033">
                    <c:v>0</c:v>
                  </c:pt>
                  <c:pt idx="1034">
                    <c:v>0</c:v>
                  </c:pt>
                  <c:pt idx="1035">
                    <c:v>0</c:v>
                  </c:pt>
                  <c:pt idx="1036">
                    <c:v>0</c:v>
                  </c:pt>
                  <c:pt idx="1037">
                    <c:v>0</c:v>
                  </c:pt>
                  <c:pt idx="1038">
                    <c:v>0</c:v>
                  </c:pt>
                  <c:pt idx="1039">
                    <c:v>0</c:v>
                  </c:pt>
                  <c:pt idx="1040">
                    <c:v>0</c:v>
                  </c:pt>
                  <c:pt idx="1041">
                    <c:v>0</c:v>
                  </c:pt>
                  <c:pt idx="1042">
                    <c:v>0</c:v>
                  </c:pt>
                  <c:pt idx="1043">
                    <c:v>0</c:v>
                  </c:pt>
                  <c:pt idx="1044">
                    <c:v>0</c:v>
                  </c:pt>
                  <c:pt idx="1045">
                    <c:v>0</c:v>
                  </c:pt>
                  <c:pt idx="1046">
                    <c:v>0</c:v>
                  </c:pt>
                  <c:pt idx="1047">
                    <c:v>0</c:v>
                  </c:pt>
                  <c:pt idx="1048">
                    <c:v>0</c:v>
                  </c:pt>
                  <c:pt idx="1049">
                    <c:v>0</c:v>
                  </c:pt>
                  <c:pt idx="1050">
                    <c:v>0</c:v>
                  </c:pt>
                  <c:pt idx="1051">
                    <c:v>0</c:v>
                  </c:pt>
                  <c:pt idx="1052">
                    <c:v>0</c:v>
                  </c:pt>
                  <c:pt idx="1053">
                    <c:v>0</c:v>
                  </c:pt>
                  <c:pt idx="1054">
                    <c:v>0</c:v>
                  </c:pt>
                  <c:pt idx="1055">
                    <c:v>0</c:v>
                  </c:pt>
                  <c:pt idx="1056">
                    <c:v>0</c:v>
                  </c:pt>
                  <c:pt idx="1057">
                    <c:v>0</c:v>
                  </c:pt>
                  <c:pt idx="1058">
                    <c:v>0</c:v>
                  </c:pt>
                  <c:pt idx="1059">
                    <c:v>0</c:v>
                  </c:pt>
                  <c:pt idx="1060">
                    <c:v>0</c:v>
                  </c:pt>
                  <c:pt idx="1061">
                    <c:v>0</c:v>
                  </c:pt>
                  <c:pt idx="1062">
                    <c:v>0</c:v>
                  </c:pt>
                  <c:pt idx="1063">
                    <c:v>0</c:v>
                  </c:pt>
                  <c:pt idx="1064">
                    <c:v>0</c:v>
                  </c:pt>
                  <c:pt idx="1065">
                    <c:v>0</c:v>
                  </c:pt>
                  <c:pt idx="1066">
                    <c:v>0</c:v>
                  </c:pt>
                  <c:pt idx="1067">
                    <c:v>0</c:v>
                  </c:pt>
                  <c:pt idx="1068">
                    <c:v>0</c:v>
                  </c:pt>
                  <c:pt idx="1069">
                    <c:v>0</c:v>
                  </c:pt>
                  <c:pt idx="1070">
                    <c:v>0</c:v>
                  </c:pt>
                  <c:pt idx="1071">
                    <c:v>0</c:v>
                  </c:pt>
                  <c:pt idx="1072">
                    <c:v>0</c:v>
                  </c:pt>
                  <c:pt idx="1073">
                    <c:v>0</c:v>
                  </c:pt>
                  <c:pt idx="1074">
                    <c:v>0</c:v>
                  </c:pt>
                  <c:pt idx="1075">
                    <c:v>0</c:v>
                  </c:pt>
                  <c:pt idx="1076">
                    <c:v>0</c:v>
                  </c:pt>
                  <c:pt idx="1077">
                    <c:v>0</c:v>
                  </c:pt>
                  <c:pt idx="1078">
                    <c:v>0</c:v>
                  </c:pt>
                  <c:pt idx="1079">
                    <c:v>0</c:v>
                  </c:pt>
                  <c:pt idx="1080">
                    <c:v>0</c:v>
                  </c:pt>
                  <c:pt idx="1081">
                    <c:v>0</c:v>
                  </c:pt>
                  <c:pt idx="1082">
                    <c:v>0</c:v>
                  </c:pt>
                  <c:pt idx="1083">
                    <c:v>0</c:v>
                  </c:pt>
                  <c:pt idx="1084">
                    <c:v>0</c:v>
                  </c:pt>
                  <c:pt idx="1085">
                    <c:v>0</c:v>
                  </c:pt>
                  <c:pt idx="1086">
                    <c:v>0</c:v>
                  </c:pt>
                  <c:pt idx="1087">
                    <c:v>0</c:v>
                  </c:pt>
                  <c:pt idx="1088">
                    <c:v>0</c:v>
                  </c:pt>
                  <c:pt idx="1089">
                    <c:v>0</c:v>
                  </c:pt>
                  <c:pt idx="1090">
                    <c:v>0</c:v>
                  </c:pt>
                  <c:pt idx="1091">
                    <c:v>0</c:v>
                  </c:pt>
                  <c:pt idx="1092">
                    <c:v>0</c:v>
                  </c:pt>
                  <c:pt idx="1093">
                    <c:v>0</c:v>
                  </c:pt>
                  <c:pt idx="1094">
                    <c:v>0</c:v>
                  </c:pt>
                  <c:pt idx="1095">
                    <c:v>0</c:v>
                  </c:pt>
                  <c:pt idx="1096">
                    <c:v>0</c:v>
                  </c:pt>
                  <c:pt idx="1097">
                    <c:v>0</c:v>
                  </c:pt>
                  <c:pt idx="1098">
                    <c:v>0</c:v>
                  </c:pt>
                  <c:pt idx="1099">
                    <c:v>0</c:v>
                  </c:pt>
                  <c:pt idx="1100">
                    <c:v>0</c:v>
                  </c:pt>
                  <c:pt idx="1101">
                    <c:v>0</c:v>
                  </c:pt>
                  <c:pt idx="1102">
                    <c:v>0</c:v>
                  </c:pt>
                  <c:pt idx="1103">
                    <c:v>0</c:v>
                  </c:pt>
                  <c:pt idx="1104">
                    <c:v>0</c:v>
                  </c:pt>
                  <c:pt idx="1105">
                    <c:v>0</c:v>
                  </c:pt>
                  <c:pt idx="1106">
                    <c:v>0</c:v>
                  </c:pt>
                  <c:pt idx="1107">
                    <c:v>0</c:v>
                  </c:pt>
                  <c:pt idx="1108">
                    <c:v>0</c:v>
                  </c:pt>
                  <c:pt idx="1109">
                    <c:v>0</c:v>
                  </c:pt>
                  <c:pt idx="1110">
                    <c:v>0</c:v>
                  </c:pt>
                  <c:pt idx="1111">
                    <c:v>0</c:v>
                  </c:pt>
                  <c:pt idx="1112">
                    <c:v>0</c:v>
                  </c:pt>
                  <c:pt idx="1113">
                    <c:v>0</c:v>
                  </c:pt>
                  <c:pt idx="1114">
                    <c:v>0</c:v>
                  </c:pt>
                  <c:pt idx="1115">
                    <c:v>0</c:v>
                  </c:pt>
                  <c:pt idx="1116">
                    <c:v>0</c:v>
                  </c:pt>
                  <c:pt idx="1117">
                    <c:v>0</c:v>
                  </c:pt>
                  <c:pt idx="1118">
                    <c:v>0</c:v>
                  </c:pt>
                  <c:pt idx="1119">
                    <c:v>0</c:v>
                  </c:pt>
                  <c:pt idx="1120">
                    <c:v>0</c:v>
                  </c:pt>
                  <c:pt idx="1121">
                    <c:v>0</c:v>
                  </c:pt>
                  <c:pt idx="1122">
                    <c:v>0</c:v>
                  </c:pt>
                  <c:pt idx="1123">
                    <c:v>0</c:v>
                  </c:pt>
                  <c:pt idx="1124">
                    <c:v>0</c:v>
                  </c:pt>
                  <c:pt idx="1125">
                    <c:v>0</c:v>
                  </c:pt>
                  <c:pt idx="1126">
                    <c:v>0</c:v>
                  </c:pt>
                  <c:pt idx="1127">
                    <c:v>0</c:v>
                  </c:pt>
                  <c:pt idx="1128">
                    <c:v>0</c:v>
                  </c:pt>
                  <c:pt idx="1129">
                    <c:v>0</c:v>
                  </c:pt>
                  <c:pt idx="1130">
                    <c:v>0</c:v>
                  </c:pt>
                  <c:pt idx="1131">
                    <c:v>0</c:v>
                  </c:pt>
                  <c:pt idx="1132">
                    <c:v>0</c:v>
                  </c:pt>
                  <c:pt idx="1133">
                    <c:v>0</c:v>
                  </c:pt>
                  <c:pt idx="1134">
                    <c:v>0</c:v>
                  </c:pt>
                  <c:pt idx="1135">
                    <c:v>0</c:v>
                  </c:pt>
                  <c:pt idx="1136">
                    <c:v>0</c:v>
                  </c:pt>
                  <c:pt idx="1137">
                    <c:v>0</c:v>
                  </c:pt>
                  <c:pt idx="1138">
                    <c:v>0</c:v>
                  </c:pt>
                  <c:pt idx="1139">
                    <c:v>0</c:v>
                  </c:pt>
                  <c:pt idx="1140">
                    <c:v>0</c:v>
                  </c:pt>
                  <c:pt idx="1141">
                    <c:v>0</c:v>
                  </c:pt>
                  <c:pt idx="1142">
                    <c:v>0</c:v>
                  </c:pt>
                  <c:pt idx="1143">
                    <c:v>0</c:v>
                  </c:pt>
                  <c:pt idx="1144">
                    <c:v>0</c:v>
                  </c:pt>
                  <c:pt idx="1145">
                    <c:v>0</c:v>
                  </c:pt>
                  <c:pt idx="1146">
                    <c:v>0</c:v>
                  </c:pt>
                  <c:pt idx="1147">
                    <c:v>0</c:v>
                  </c:pt>
                  <c:pt idx="1148">
                    <c:v>0</c:v>
                  </c:pt>
                  <c:pt idx="1149">
                    <c:v>0</c:v>
                  </c:pt>
                  <c:pt idx="1150">
                    <c:v>0</c:v>
                  </c:pt>
                  <c:pt idx="1151">
                    <c:v>0</c:v>
                  </c:pt>
                  <c:pt idx="1152">
                    <c:v>0</c:v>
                  </c:pt>
                  <c:pt idx="1153">
                    <c:v>0</c:v>
                  </c:pt>
                  <c:pt idx="1154">
                    <c:v>0</c:v>
                  </c:pt>
                  <c:pt idx="1155">
                    <c:v>0</c:v>
                  </c:pt>
                  <c:pt idx="1156">
                    <c:v>0</c:v>
                  </c:pt>
                  <c:pt idx="1157">
                    <c:v>0</c:v>
                  </c:pt>
                  <c:pt idx="1158">
                    <c:v>0</c:v>
                  </c:pt>
                  <c:pt idx="1159">
                    <c:v>0</c:v>
                  </c:pt>
                  <c:pt idx="1160">
                    <c:v>0</c:v>
                  </c:pt>
                  <c:pt idx="1161">
                    <c:v>0</c:v>
                  </c:pt>
                  <c:pt idx="1162">
                    <c:v>0</c:v>
                  </c:pt>
                  <c:pt idx="1163">
                    <c:v>0</c:v>
                  </c:pt>
                  <c:pt idx="1164">
                    <c:v>0</c:v>
                  </c:pt>
                  <c:pt idx="1165">
                    <c:v>0</c:v>
                  </c:pt>
                  <c:pt idx="1166">
                    <c:v>0</c:v>
                  </c:pt>
                  <c:pt idx="1167">
                    <c:v>0</c:v>
                  </c:pt>
                  <c:pt idx="1168">
                    <c:v>0</c:v>
                  </c:pt>
                  <c:pt idx="1169">
                    <c:v>0</c:v>
                  </c:pt>
                  <c:pt idx="1170">
                    <c:v>0</c:v>
                  </c:pt>
                  <c:pt idx="1171">
                    <c:v>0</c:v>
                  </c:pt>
                  <c:pt idx="1172">
                    <c:v>0</c:v>
                  </c:pt>
                  <c:pt idx="1173">
                    <c:v>0</c:v>
                  </c:pt>
                  <c:pt idx="1174">
                    <c:v>0</c:v>
                  </c:pt>
                  <c:pt idx="1175">
                    <c:v>0</c:v>
                  </c:pt>
                  <c:pt idx="1176">
                    <c:v>0</c:v>
                  </c:pt>
                  <c:pt idx="1177">
                    <c:v>0</c:v>
                  </c:pt>
                  <c:pt idx="1178">
                    <c:v>0</c:v>
                  </c:pt>
                  <c:pt idx="1179">
                    <c:v>0</c:v>
                  </c:pt>
                  <c:pt idx="1180">
                    <c:v>0</c:v>
                  </c:pt>
                  <c:pt idx="1181">
                    <c:v>0</c:v>
                  </c:pt>
                  <c:pt idx="1182">
                    <c:v>0</c:v>
                  </c:pt>
                  <c:pt idx="1183">
                    <c:v>0</c:v>
                  </c:pt>
                  <c:pt idx="1184">
                    <c:v>0</c:v>
                  </c:pt>
                  <c:pt idx="1185">
                    <c:v>0</c:v>
                  </c:pt>
                  <c:pt idx="1186">
                    <c:v>0</c:v>
                  </c:pt>
                  <c:pt idx="1187">
                    <c:v>0</c:v>
                  </c:pt>
                  <c:pt idx="1188">
                    <c:v>0</c:v>
                  </c:pt>
                  <c:pt idx="1189">
                    <c:v>0</c:v>
                  </c:pt>
                  <c:pt idx="1190">
                    <c:v>0</c:v>
                  </c:pt>
                  <c:pt idx="1191">
                    <c:v>0</c:v>
                  </c:pt>
                  <c:pt idx="1192">
                    <c:v>0</c:v>
                  </c:pt>
                  <c:pt idx="1193">
                    <c:v>0</c:v>
                  </c:pt>
                  <c:pt idx="1194">
                    <c:v>0</c:v>
                  </c:pt>
                  <c:pt idx="1195">
                    <c:v>0</c:v>
                  </c:pt>
                  <c:pt idx="1196">
                    <c:v>0</c:v>
                  </c:pt>
                  <c:pt idx="1197">
                    <c:v>0</c:v>
                  </c:pt>
                  <c:pt idx="1198">
                    <c:v>0</c:v>
                  </c:pt>
                  <c:pt idx="1199">
                    <c:v>0</c:v>
                  </c:pt>
                  <c:pt idx="1200">
                    <c:v>0</c:v>
                  </c:pt>
                  <c:pt idx="1201">
                    <c:v>0</c:v>
                  </c:pt>
                  <c:pt idx="1202">
                    <c:v>0</c:v>
                  </c:pt>
                  <c:pt idx="1203">
                    <c:v>0</c:v>
                  </c:pt>
                  <c:pt idx="1204">
                    <c:v>0</c:v>
                  </c:pt>
                  <c:pt idx="1205">
                    <c:v>0</c:v>
                  </c:pt>
                  <c:pt idx="1206">
                    <c:v>0</c:v>
                  </c:pt>
                  <c:pt idx="1207">
                    <c:v>0</c:v>
                  </c:pt>
                  <c:pt idx="1208">
                    <c:v>0</c:v>
                  </c:pt>
                  <c:pt idx="1209">
                    <c:v>0</c:v>
                  </c:pt>
                  <c:pt idx="1210">
                    <c:v>0</c:v>
                  </c:pt>
                  <c:pt idx="1211">
                    <c:v>0</c:v>
                  </c:pt>
                  <c:pt idx="1212">
                    <c:v>0</c:v>
                  </c:pt>
                  <c:pt idx="1213">
                    <c:v>0</c:v>
                  </c:pt>
                  <c:pt idx="1214">
                    <c:v>0</c:v>
                  </c:pt>
                  <c:pt idx="1215">
                    <c:v>0</c:v>
                  </c:pt>
                  <c:pt idx="1216">
                    <c:v>0</c:v>
                  </c:pt>
                  <c:pt idx="1217">
                    <c:v>0</c:v>
                  </c:pt>
                  <c:pt idx="1218">
                    <c:v>0</c:v>
                  </c:pt>
                  <c:pt idx="1219">
                    <c:v>0</c:v>
                  </c:pt>
                  <c:pt idx="1220">
                    <c:v>0</c:v>
                  </c:pt>
                  <c:pt idx="1221">
                    <c:v>0</c:v>
                  </c:pt>
                  <c:pt idx="1222">
                    <c:v>0</c:v>
                  </c:pt>
                  <c:pt idx="1223">
                    <c:v>0</c:v>
                  </c:pt>
                  <c:pt idx="1224">
                    <c:v>0</c:v>
                  </c:pt>
                  <c:pt idx="1225">
                    <c:v>0</c:v>
                  </c:pt>
                  <c:pt idx="1226">
                    <c:v>0</c:v>
                  </c:pt>
                  <c:pt idx="1227">
                    <c:v>0</c:v>
                  </c:pt>
                  <c:pt idx="1228">
                    <c:v>0</c:v>
                  </c:pt>
                  <c:pt idx="1229">
                    <c:v>0</c:v>
                  </c:pt>
                  <c:pt idx="1230">
                    <c:v>0</c:v>
                  </c:pt>
                  <c:pt idx="1231">
                    <c:v>0</c:v>
                  </c:pt>
                  <c:pt idx="1232">
                    <c:v>0</c:v>
                  </c:pt>
                  <c:pt idx="1233">
                    <c:v>0</c:v>
                  </c:pt>
                  <c:pt idx="1234">
                    <c:v>0</c:v>
                  </c:pt>
                  <c:pt idx="1235">
                    <c:v>0</c:v>
                  </c:pt>
                  <c:pt idx="1236">
                    <c:v>0</c:v>
                  </c:pt>
                  <c:pt idx="1237">
                    <c:v>0</c:v>
                  </c:pt>
                  <c:pt idx="1238">
                    <c:v>0</c:v>
                  </c:pt>
                  <c:pt idx="1239">
                    <c:v>0</c:v>
                  </c:pt>
                  <c:pt idx="1240">
                    <c:v>0</c:v>
                  </c:pt>
                  <c:pt idx="1241">
                    <c:v>0</c:v>
                  </c:pt>
                  <c:pt idx="1242">
                    <c:v>0</c:v>
                  </c:pt>
                  <c:pt idx="1243">
                    <c:v>0</c:v>
                  </c:pt>
                  <c:pt idx="1244">
                    <c:v>0</c:v>
                  </c:pt>
                  <c:pt idx="1245">
                    <c:v>0</c:v>
                  </c:pt>
                  <c:pt idx="1246">
                    <c:v>0</c:v>
                  </c:pt>
                  <c:pt idx="1247">
                    <c:v>0</c:v>
                  </c:pt>
                  <c:pt idx="1248">
                    <c:v>0</c:v>
                  </c:pt>
                  <c:pt idx="1249">
                    <c:v>0</c:v>
                  </c:pt>
                  <c:pt idx="1250">
                    <c:v>0</c:v>
                  </c:pt>
                  <c:pt idx="1251">
                    <c:v>0</c:v>
                  </c:pt>
                  <c:pt idx="1252">
                    <c:v>0</c:v>
                  </c:pt>
                  <c:pt idx="1253">
                    <c:v>0</c:v>
                  </c:pt>
                  <c:pt idx="1254">
                    <c:v>0</c:v>
                  </c:pt>
                  <c:pt idx="1255">
                    <c:v>0</c:v>
                  </c:pt>
                  <c:pt idx="1256">
                    <c:v>0</c:v>
                  </c:pt>
                  <c:pt idx="1257">
                    <c:v>0</c:v>
                  </c:pt>
                  <c:pt idx="1258">
                    <c:v>0</c:v>
                  </c:pt>
                  <c:pt idx="1259">
                    <c:v>0</c:v>
                  </c:pt>
                  <c:pt idx="1260">
                    <c:v>0</c:v>
                  </c:pt>
                  <c:pt idx="1261">
                    <c:v>0</c:v>
                  </c:pt>
                  <c:pt idx="1262">
                    <c:v>0</c:v>
                  </c:pt>
                  <c:pt idx="1263">
                    <c:v>0</c:v>
                  </c:pt>
                  <c:pt idx="1264">
                    <c:v>0</c:v>
                  </c:pt>
                  <c:pt idx="1265">
                    <c:v>0</c:v>
                  </c:pt>
                  <c:pt idx="1266">
                    <c:v>0</c:v>
                  </c:pt>
                  <c:pt idx="1267">
                    <c:v>0</c:v>
                  </c:pt>
                  <c:pt idx="1268">
                    <c:v>0</c:v>
                  </c:pt>
                  <c:pt idx="1269">
                    <c:v>0</c:v>
                  </c:pt>
                  <c:pt idx="1270">
                    <c:v>0</c:v>
                  </c:pt>
                  <c:pt idx="1271">
                    <c:v>0</c:v>
                  </c:pt>
                  <c:pt idx="1272">
                    <c:v>0</c:v>
                  </c:pt>
                  <c:pt idx="1273">
                    <c:v>0</c:v>
                  </c:pt>
                  <c:pt idx="1274">
                    <c:v>0</c:v>
                  </c:pt>
                  <c:pt idx="1275">
                    <c:v>0</c:v>
                  </c:pt>
                  <c:pt idx="1276">
                    <c:v>0</c:v>
                  </c:pt>
                  <c:pt idx="1277">
                    <c:v>0</c:v>
                  </c:pt>
                  <c:pt idx="1278">
                    <c:v>0</c:v>
                  </c:pt>
                  <c:pt idx="1279">
                    <c:v>0</c:v>
                  </c:pt>
                  <c:pt idx="1280">
                    <c:v>0</c:v>
                  </c:pt>
                  <c:pt idx="1281">
                    <c:v>0</c:v>
                  </c:pt>
                  <c:pt idx="1282">
                    <c:v>0</c:v>
                  </c:pt>
                  <c:pt idx="1283">
                    <c:v>0</c:v>
                  </c:pt>
                  <c:pt idx="1284">
                    <c:v>0</c:v>
                  </c:pt>
                  <c:pt idx="1285">
                    <c:v>0</c:v>
                  </c:pt>
                  <c:pt idx="1286">
                    <c:v>0</c:v>
                  </c:pt>
                  <c:pt idx="1287">
                    <c:v>0</c:v>
                  </c:pt>
                  <c:pt idx="1288">
                    <c:v>0</c:v>
                  </c:pt>
                  <c:pt idx="1289">
                    <c:v>0</c:v>
                  </c:pt>
                  <c:pt idx="1290">
                    <c:v>0</c:v>
                  </c:pt>
                  <c:pt idx="1291">
                    <c:v>0</c:v>
                  </c:pt>
                  <c:pt idx="1292">
                    <c:v>0</c:v>
                  </c:pt>
                  <c:pt idx="1293">
                    <c:v>0</c:v>
                  </c:pt>
                  <c:pt idx="1294">
                    <c:v>0</c:v>
                  </c:pt>
                  <c:pt idx="1295">
                    <c:v>0</c:v>
                  </c:pt>
                  <c:pt idx="1296">
                    <c:v>0</c:v>
                  </c:pt>
                  <c:pt idx="1297">
                    <c:v>0</c:v>
                  </c:pt>
                  <c:pt idx="1298">
                    <c:v>0</c:v>
                  </c:pt>
                  <c:pt idx="1299">
                    <c:v>0</c:v>
                  </c:pt>
                  <c:pt idx="1300">
                    <c:v>0</c:v>
                  </c:pt>
                  <c:pt idx="1301">
                    <c:v>0</c:v>
                  </c:pt>
                  <c:pt idx="1302">
                    <c:v>0</c:v>
                  </c:pt>
                  <c:pt idx="1303">
                    <c:v>0</c:v>
                  </c:pt>
                  <c:pt idx="1304">
                    <c:v>0</c:v>
                  </c:pt>
                  <c:pt idx="1305">
                    <c:v>0</c:v>
                  </c:pt>
                  <c:pt idx="1306">
                    <c:v>0</c:v>
                  </c:pt>
                  <c:pt idx="1307">
                    <c:v>0</c:v>
                  </c:pt>
                  <c:pt idx="1308">
                    <c:v>0</c:v>
                  </c:pt>
                  <c:pt idx="1309">
                    <c:v>0</c:v>
                  </c:pt>
                  <c:pt idx="1310">
                    <c:v>0</c:v>
                  </c:pt>
                  <c:pt idx="1311">
                    <c:v>0</c:v>
                  </c:pt>
                  <c:pt idx="1312">
                    <c:v>0</c:v>
                  </c:pt>
                  <c:pt idx="1313">
                    <c:v>0</c:v>
                  </c:pt>
                  <c:pt idx="1314">
                    <c:v>0</c:v>
                  </c:pt>
                  <c:pt idx="1315">
                    <c:v>0</c:v>
                  </c:pt>
                  <c:pt idx="1316">
                    <c:v>0</c:v>
                  </c:pt>
                  <c:pt idx="1317">
                    <c:v>0</c:v>
                  </c:pt>
                  <c:pt idx="1318">
                    <c:v>0</c:v>
                  </c:pt>
                  <c:pt idx="1319">
                    <c:v>0</c:v>
                  </c:pt>
                  <c:pt idx="1320">
                    <c:v>0</c:v>
                  </c:pt>
                  <c:pt idx="1321">
                    <c:v>0</c:v>
                  </c:pt>
                  <c:pt idx="1322">
                    <c:v>0</c:v>
                  </c:pt>
                  <c:pt idx="1323">
                    <c:v>0</c:v>
                  </c:pt>
                  <c:pt idx="1324">
                    <c:v>0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0</c:v>
                  </c:pt>
                  <c:pt idx="1329">
                    <c:v>0</c:v>
                  </c:pt>
                  <c:pt idx="1330">
                    <c:v>0</c:v>
                  </c:pt>
                  <c:pt idx="1331">
                    <c:v>0</c:v>
                  </c:pt>
                  <c:pt idx="1332">
                    <c:v>0</c:v>
                  </c:pt>
                  <c:pt idx="1333">
                    <c:v>0</c:v>
                  </c:pt>
                  <c:pt idx="1334">
                    <c:v>0</c:v>
                  </c:pt>
                  <c:pt idx="1335">
                    <c:v>0</c:v>
                  </c:pt>
                  <c:pt idx="1336">
                    <c:v>0</c:v>
                  </c:pt>
                  <c:pt idx="1337">
                    <c:v>0</c:v>
                  </c:pt>
                  <c:pt idx="1338">
                    <c:v>0</c:v>
                  </c:pt>
                  <c:pt idx="1339">
                    <c:v>0</c:v>
                  </c:pt>
                  <c:pt idx="1340">
                    <c:v>0</c:v>
                  </c:pt>
                  <c:pt idx="1341">
                    <c:v>0</c:v>
                  </c:pt>
                  <c:pt idx="1342">
                    <c:v>0</c:v>
                  </c:pt>
                  <c:pt idx="1343">
                    <c:v>0</c:v>
                  </c:pt>
                  <c:pt idx="1344">
                    <c:v>0</c:v>
                  </c:pt>
                  <c:pt idx="1345">
                    <c:v>0</c:v>
                  </c:pt>
                  <c:pt idx="1346">
                    <c:v>0</c:v>
                  </c:pt>
                  <c:pt idx="1347">
                    <c:v>0</c:v>
                  </c:pt>
                  <c:pt idx="1348">
                    <c:v>0</c:v>
                  </c:pt>
                  <c:pt idx="1349">
                    <c:v>0</c:v>
                  </c:pt>
                  <c:pt idx="1350">
                    <c:v>0</c:v>
                  </c:pt>
                  <c:pt idx="1351">
                    <c:v>0</c:v>
                  </c:pt>
                  <c:pt idx="1352">
                    <c:v>0</c:v>
                  </c:pt>
                  <c:pt idx="1353">
                    <c:v>0</c:v>
                  </c:pt>
                  <c:pt idx="1354">
                    <c:v>0</c:v>
                  </c:pt>
                  <c:pt idx="1355">
                    <c:v>0</c:v>
                  </c:pt>
                  <c:pt idx="1356">
                    <c:v>0</c:v>
                  </c:pt>
                  <c:pt idx="1357">
                    <c:v>0</c:v>
                  </c:pt>
                  <c:pt idx="1358">
                    <c:v>0</c:v>
                  </c:pt>
                  <c:pt idx="1359">
                    <c:v>0</c:v>
                  </c:pt>
                  <c:pt idx="1360">
                    <c:v>0</c:v>
                  </c:pt>
                  <c:pt idx="1361">
                    <c:v>0</c:v>
                  </c:pt>
                  <c:pt idx="1362">
                    <c:v>0</c:v>
                  </c:pt>
                  <c:pt idx="1363">
                    <c:v>0</c:v>
                  </c:pt>
                  <c:pt idx="1364">
                    <c:v>0</c:v>
                  </c:pt>
                  <c:pt idx="1365">
                    <c:v>0</c:v>
                  </c:pt>
                  <c:pt idx="1366">
                    <c:v>0</c:v>
                  </c:pt>
                  <c:pt idx="1367">
                    <c:v>0</c:v>
                  </c:pt>
                  <c:pt idx="1368">
                    <c:v>0</c:v>
                  </c:pt>
                  <c:pt idx="1369">
                    <c:v>0</c:v>
                  </c:pt>
                  <c:pt idx="1370">
                    <c:v>0</c:v>
                  </c:pt>
                  <c:pt idx="1371">
                    <c:v>0</c:v>
                  </c:pt>
                  <c:pt idx="1372">
                    <c:v>0</c:v>
                  </c:pt>
                  <c:pt idx="1373">
                    <c:v>0</c:v>
                  </c:pt>
                  <c:pt idx="1374">
                    <c:v>0</c:v>
                  </c:pt>
                  <c:pt idx="1375">
                    <c:v>0</c:v>
                  </c:pt>
                  <c:pt idx="1376">
                    <c:v>0</c:v>
                  </c:pt>
                  <c:pt idx="1377">
                    <c:v>0</c:v>
                  </c:pt>
                  <c:pt idx="1378">
                    <c:v>0</c:v>
                  </c:pt>
                  <c:pt idx="1379">
                    <c:v>0</c:v>
                  </c:pt>
                  <c:pt idx="1380">
                    <c:v>0</c:v>
                  </c:pt>
                  <c:pt idx="1381">
                    <c:v>0</c:v>
                  </c:pt>
                  <c:pt idx="1382">
                    <c:v>0</c:v>
                  </c:pt>
                  <c:pt idx="1383">
                    <c:v>0</c:v>
                  </c:pt>
                  <c:pt idx="1384">
                    <c:v>0</c:v>
                  </c:pt>
                  <c:pt idx="1385">
                    <c:v>0</c:v>
                  </c:pt>
                  <c:pt idx="1386">
                    <c:v>0</c:v>
                  </c:pt>
                  <c:pt idx="1387">
                    <c:v>0</c:v>
                  </c:pt>
                  <c:pt idx="1388">
                    <c:v>0</c:v>
                  </c:pt>
                  <c:pt idx="1389">
                    <c:v>0</c:v>
                  </c:pt>
                  <c:pt idx="1390">
                    <c:v>0</c:v>
                  </c:pt>
                  <c:pt idx="1391">
                    <c:v>0</c:v>
                  </c:pt>
                  <c:pt idx="1392">
                    <c:v>0</c:v>
                  </c:pt>
                  <c:pt idx="1393">
                    <c:v>0</c:v>
                  </c:pt>
                  <c:pt idx="1394">
                    <c:v>0</c:v>
                  </c:pt>
                  <c:pt idx="1395">
                    <c:v>0</c:v>
                  </c:pt>
                  <c:pt idx="1396">
                    <c:v>0</c:v>
                  </c:pt>
                  <c:pt idx="1397">
                    <c:v>0</c:v>
                  </c:pt>
                  <c:pt idx="1398">
                    <c:v>0</c:v>
                  </c:pt>
                  <c:pt idx="1399">
                    <c:v>0</c:v>
                  </c:pt>
                  <c:pt idx="1400">
                    <c:v>0</c:v>
                  </c:pt>
                  <c:pt idx="1401">
                    <c:v>0</c:v>
                  </c:pt>
                  <c:pt idx="1402">
                    <c:v>0</c:v>
                  </c:pt>
                  <c:pt idx="1403">
                    <c:v>0</c:v>
                  </c:pt>
                  <c:pt idx="1404">
                    <c:v>0</c:v>
                  </c:pt>
                  <c:pt idx="1405">
                    <c:v>0</c:v>
                  </c:pt>
                  <c:pt idx="1406">
                    <c:v>0</c:v>
                  </c:pt>
                  <c:pt idx="1407">
                    <c:v>0</c:v>
                  </c:pt>
                  <c:pt idx="1408">
                    <c:v>0</c:v>
                  </c:pt>
                  <c:pt idx="1409">
                    <c:v>0</c:v>
                  </c:pt>
                  <c:pt idx="1410">
                    <c:v>0</c:v>
                  </c:pt>
                  <c:pt idx="1411">
                    <c:v>0</c:v>
                  </c:pt>
                  <c:pt idx="1412">
                    <c:v>0</c:v>
                  </c:pt>
                  <c:pt idx="1413">
                    <c:v>0</c:v>
                  </c:pt>
                  <c:pt idx="1414">
                    <c:v>0</c:v>
                  </c:pt>
                  <c:pt idx="1415">
                    <c:v>0</c:v>
                  </c:pt>
                  <c:pt idx="1416">
                    <c:v>0</c:v>
                  </c:pt>
                  <c:pt idx="1417">
                    <c:v>0</c:v>
                  </c:pt>
                  <c:pt idx="1418">
                    <c:v>0</c:v>
                  </c:pt>
                  <c:pt idx="1419">
                    <c:v>0</c:v>
                  </c:pt>
                  <c:pt idx="1420">
                    <c:v>0</c:v>
                  </c:pt>
                  <c:pt idx="1421">
                    <c:v>0</c:v>
                  </c:pt>
                  <c:pt idx="1422">
                    <c:v>0</c:v>
                  </c:pt>
                  <c:pt idx="1423">
                    <c:v>0</c:v>
                  </c:pt>
                  <c:pt idx="1424">
                    <c:v>0</c:v>
                  </c:pt>
                  <c:pt idx="1425">
                    <c:v>0</c:v>
                  </c:pt>
                  <c:pt idx="1426">
                    <c:v>0</c:v>
                  </c:pt>
                  <c:pt idx="1427">
                    <c:v>0</c:v>
                  </c:pt>
                  <c:pt idx="1428">
                    <c:v>0</c:v>
                  </c:pt>
                  <c:pt idx="1429">
                    <c:v>0</c:v>
                  </c:pt>
                  <c:pt idx="1430">
                    <c:v>0</c:v>
                  </c:pt>
                  <c:pt idx="1431">
                    <c:v>0</c:v>
                  </c:pt>
                  <c:pt idx="1432">
                    <c:v>0</c:v>
                  </c:pt>
                  <c:pt idx="1433">
                    <c:v>0</c:v>
                  </c:pt>
                  <c:pt idx="1434">
                    <c:v>0</c:v>
                  </c:pt>
                  <c:pt idx="1435">
                    <c:v>0</c:v>
                  </c:pt>
                  <c:pt idx="1436">
                    <c:v>0</c:v>
                  </c:pt>
                  <c:pt idx="1437">
                    <c:v>0</c:v>
                  </c:pt>
                  <c:pt idx="1438">
                    <c:v>0</c:v>
                  </c:pt>
                  <c:pt idx="1439">
                    <c:v>0</c:v>
                  </c:pt>
                </c:numCache>
              </c:numRef>
            </c:minus>
            <c:spPr>
              <a:ln w="19050" cap="flat">
                <a:solidFill>
                  <a:srgbClr val="C55A11"/>
                </a:solidFill>
              </a:ln>
            </c:spPr>
          </c:errBars>
          <c:xVal>
            <c:numRef>
              <c:f>ChartData!$CP$7:$CP$1446</c:f>
              <c:numCache>
                <c:formatCode>General</c:formatCode>
                <c:ptCount val="14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</c:numCache>
            </c:numRef>
          </c:xVal>
          <c:yVal>
            <c:numRef>
              <c:f>ChartData!$CQ$7:$CQ$1446</c:f>
              <c:numCache>
                <c:formatCode>General</c:formatCode>
                <c:ptCount val="14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9F-409E-B3F9-DEE146D228CE}"/>
            </c:ext>
          </c:extLst>
        </c:ser>
        <c:ser>
          <c:idx val="2"/>
          <c:order val="2"/>
          <c:tx>
            <c:v>Heads ov</c:v>
          </c:tx>
          <c:spPr>
            <a:ln>
              <a:noFill/>
              <a:prstDash val="solid"/>
            </a:ln>
          </c:spPr>
          <c:marker>
            <c:symbol val="none"/>
          </c:marker>
          <c:errBars>
            <c:errDir val="x"/>
            <c:errBarType val="plus"/>
            <c:errValType val="fixedVal"/>
            <c:noEndCap val="1"/>
            <c:val val="2.5"/>
            <c:spPr>
              <a:ln w="19050" cap="flat">
                <a:solidFill>
                  <a:srgbClr val="C55A11"/>
                </a:solidFill>
                <a:prstDash val="solid"/>
                <a:tailEnd type="triangle" w="med" len="med"/>
              </a:ln>
            </c:spPr>
          </c:errBars>
          <c:xVal>
            <c:numRef>
              <c:f>ChartData!$CF$7:$CF$486</c:f>
              <c:numCache>
                <c:formatCode>General</c:formatCode>
                <c:ptCount val="4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</c:numCache>
            </c:numRef>
          </c:xVal>
          <c:yVal>
            <c:numRef>
              <c:f>ChartData!$CG$7:$CG$486</c:f>
              <c:numCache>
                <c:formatCode>General</c:formatCode>
                <c:ptCount val="4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9F-409E-B3F9-DEE146D22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336"/>
          <c:min val="0"/>
        </c:scaling>
        <c:delete val="1"/>
        <c:axPos val="t"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axMin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noFill/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c:style val="2"/>
  <c:chart>
    <c:autoTitleDeleted val="1"/>
    <c:plotArea>
      <c:layout>
        <c:manualLayout>
          <c:xMode val="edge"/>
          <c:yMode val="edge"/>
          <c:x val="0.01"/>
          <c:y val="0.01"/>
          <c:w val="0.98"/>
          <c:h val="0.97"/>
        </c:manualLayout>
      </c:layout>
      <c:scatterChart>
        <c:scatterStyle val="lineMarker"/>
        <c:varyColors val="1"/>
        <c:ser>
          <c:idx val="0"/>
          <c:order val="0"/>
          <c:tx>
            <c:v>Completed</c:v>
          </c:tx>
          <c:spPr>
            <a:ln>
              <a:noFill/>
              <a:prstDash val="solid"/>
            </a:ln>
          </c:spPr>
          <c:marker>
            <c:symbol val="none"/>
          </c:marker>
          <c:errBars>
            <c:errDir val="x"/>
            <c:errBarType val="plus"/>
            <c:errValType val="cust"/>
            <c:noEndCap val="1"/>
            <c:plus>
              <c:numRef>
                <c:f>ChartData!$I$7:$I$126</c:f>
                <c:numCache>
                  <c:formatCode>General</c:formatCode>
                  <c:ptCount val="120"/>
                  <c:pt idx="0">
                    <c:v>5</c:v>
                  </c:pt>
                  <c:pt idx="1">
                    <c:v>5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</c:numCache>
              </c:numRef>
            </c:plus>
            <c:spPr>
              <a:ln w="101600" cap="flat">
                <a:solidFill>
                  <a:srgbClr val="2E7D32"/>
                </a:solidFill>
                <a:prstDash val="solid"/>
              </a:ln>
            </c:spPr>
          </c:errBars>
          <c:xVal>
            <c:numRef>
              <c:f>ChartData!$K$7:$K$126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ChartData!$J$7:$J$126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1D-4B0F-BBD0-858F9096381F}"/>
            </c:ext>
          </c:extLst>
        </c:ser>
        <c:ser>
          <c:idx val="1"/>
          <c:order val="1"/>
          <c:tx>
            <c:v>Main</c:v>
          </c:tx>
          <c:spPr>
            <a:ln>
              <a:noFill/>
              <a:prstDash val="solid"/>
            </a:ln>
          </c:spPr>
          <c:marker>
            <c:symbol val="none"/>
          </c:marker>
          <c:errBars>
            <c:errDir val="x"/>
            <c:errBarType val="plus"/>
            <c:errValType val="cust"/>
            <c:noEndCap val="1"/>
            <c:plus>
              <c:numRef>
                <c:f>ChartData!$T$7:$T$126</c:f>
                <c:numCache>
                  <c:formatCode>General</c:formatCode>
                  <c:ptCount val="120"/>
                  <c:pt idx="0">
                    <c:v>5</c:v>
                  </c:pt>
                  <c:pt idx="1">
                    <c:v>5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</c:numCache>
              </c:numRef>
            </c:plus>
            <c:spPr>
              <a:ln w="101600" cap="flat">
                <a:solidFill>
                  <a:srgbClr val="1F3864"/>
                </a:solidFill>
                <a:prstDash val="solid"/>
              </a:ln>
            </c:spPr>
          </c:errBars>
          <c:xVal>
            <c:numRef>
              <c:f>ChartData!$L$7:$L$126</c:f>
              <c:numCache>
                <c:formatCode>General</c:formatCode>
                <c:ptCount val="120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ChartData!$J$7:$J$126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1D-4B0F-BBD0-858F9096381F}"/>
            </c:ext>
          </c:extLst>
        </c:ser>
        <c:ser>
          <c:idx val="2"/>
          <c:order val="2"/>
          <c:tx>
            <c:v>Phase</c:v>
          </c:tx>
          <c:spPr>
            <a:ln>
              <a:noFill/>
              <a:prstDash val="solid"/>
            </a:ln>
          </c:spPr>
          <c:marker>
            <c:symbol val="none"/>
          </c:marker>
          <c:errBars>
            <c:errDir val="x"/>
            <c:errBarType val="plus"/>
            <c:errValType val="cust"/>
            <c:noEndCap val="1"/>
            <c:plus>
              <c:numRef>
                <c:f>ChartData!$T$7:$T$126</c:f>
                <c:numCache>
                  <c:formatCode>General</c:formatCode>
                  <c:ptCount val="120"/>
                  <c:pt idx="0">
                    <c:v>5</c:v>
                  </c:pt>
                  <c:pt idx="1">
                    <c:v>5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</c:numCache>
              </c:numRef>
            </c:plus>
            <c:spPr>
              <a:ln w="101600" cap="flat">
                <a:solidFill>
                  <a:srgbClr val="5B7BB4"/>
                </a:solidFill>
                <a:prstDash val="solid"/>
              </a:ln>
            </c:spPr>
          </c:errBars>
          <c:xVal>
            <c:numRef>
              <c:f>ChartData!$M$7:$M$126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ChartData!$J$7:$J$126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1D-4B0F-BBD0-858F9096381F}"/>
            </c:ext>
          </c:extLst>
        </c:ser>
        <c:ser>
          <c:idx val="3"/>
          <c:order val="3"/>
          <c:tx>
            <c:v>Planned</c:v>
          </c:tx>
          <c:spPr>
            <a:ln>
              <a:noFill/>
              <a:prstDash val="solid"/>
            </a:ln>
          </c:spPr>
          <c:marker>
            <c:symbol val="none"/>
          </c:marker>
          <c:errBars>
            <c:errDir val="x"/>
            <c:errBarType val="plus"/>
            <c:errValType val="cust"/>
            <c:noEndCap val="1"/>
            <c:plus>
              <c:numRef>
                <c:f>ChartData!$T$7:$T$126</c:f>
                <c:numCache>
                  <c:formatCode>General</c:formatCode>
                  <c:ptCount val="120"/>
                  <c:pt idx="0">
                    <c:v>5</c:v>
                  </c:pt>
                  <c:pt idx="1">
                    <c:v>5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</c:numCache>
              </c:numRef>
            </c:plus>
            <c:spPr>
              <a:ln w="101600" cap="flat">
                <a:solidFill>
                  <a:srgbClr val="1E88E5"/>
                </a:solidFill>
                <a:prstDash val="solid"/>
              </a:ln>
            </c:spPr>
          </c:errBars>
          <c:xVal>
            <c:numRef>
              <c:f>ChartData!$N$7:$N$126</c:f>
              <c:numCache>
                <c:formatCode>General</c:formatCode>
                <c:ptCount val="120"/>
                <c:pt idx="0">
                  <c:v>#N/A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ChartData!$J$7:$J$126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1D-4B0F-BBD0-858F9096381F}"/>
            </c:ext>
          </c:extLst>
        </c:ser>
        <c:ser>
          <c:idx val="4"/>
          <c:order val="4"/>
          <c:tx>
            <c:v>Progress</c:v>
          </c:tx>
          <c:spPr>
            <a:ln>
              <a:noFill/>
              <a:prstDash val="solid"/>
            </a:ln>
          </c:spPr>
          <c:marker>
            <c:symbol val="none"/>
          </c:marker>
          <c:errBars>
            <c:errDir val="x"/>
            <c:errBarType val="plus"/>
            <c:errValType val="cust"/>
            <c:noEndCap val="1"/>
            <c:plus>
              <c:numRef>
                <c:f>ChartData!$S$7:$S$126</c:f>
                <c:numCache>
                  <c:formatCode>General</c:formatCode>
                  <c:ptCount val="120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</c:numCache>
              </c:numRef>
            </c:plus>
            <c:spPr>
              <a:ln w="101600" cap="flat">
                <a:solidFill>
                  <a:srgbClr val="2E7D32"/>
                </a:solidFill>
                <a:prstDash val="solid"/>
              </a:ln>
            </c:spPr>
          </c:errBars>
          <c:xVal>
            <c:numRef>
              <c:f>ChartData!$R$7:$R$126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ChartData!$J$7:$J$126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1D-4B0F-BBD0-858F9096381F}"/>
            </c:ext>
          </c:extLst>
        </c:ser>
        <c:ser>
          <c:idx val="5"/>
          <c:order val="5"/>
          <c:tx>
            <c:v>Milestone</c:v>
          </c:tx>
          <c:spPr>
            <a:ln>
              <a:noFill/>
              <a:prstDash val="solid"/>
            </a:ln>
          </c:spPr>
          <c:marker>
            <c:symbol val="diamond"/>
            <c:size val="10"/>
            <c:spPr>
              <a:solidFill>
                <a:srgbClr val="1F3864"/>
              </a:solidFill>
              <a:ln>
                <a:solidFill>
                  <a:srgbClr val="1F3864"/>
                </a:solidFill>
                <a:prstDash val="solid"/>
              </a:ln>
            </c:spPr>
          </c:marker>
          <c:xVal>
            <c:numRef>
              <c:f>ChartData!$O$7:$O$126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ChartData!$J$7:$J$126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1D-4B0F-BBD0-858F9096381F}"/>
            </c:ext>
          </c:extLst>
        </c:ser>
        <c:ser>
          <c:idx val="6"/>
          <c:order val="6"/>
          <c:tx>
            <c:v>Labels</c:v>
          </c:tx>
          <c:spPr>
            <a:ln>
              <a:noFill/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700">
                    <a:solidFill>
                      <a:srgbClr val="404040"/>
                    </a:solidFill>
                  </a:defRPr>
                </a:pPr>
                <a:endParaRPr lang="tr-T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="http://schemas.openxmlformats.org/drawingml/20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ChartData!$P$7:$P$126</c:f>
              <c:numCache>
                <c:formatCode>General</c:formatCode>
                <c:ptCount val="120"/>
                <c:pt idx="0">
                  <c:v>5</c:v>
                </c:pt>
                <c:pt idx="1">
                  <c:v>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ChartData!$J$7:$J$126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="http://schemas.openxmlformats.org/drawingml/2006/chart">
            <c:ext xmlns:c15="http://schemas.microsoft.com/office/drawing/2012/chart" uri="{02D57815-91ED-43cb-92C2-25804820EDAC}">
              <c15:datalabelsRange>
                <c15:f>ChartData!$Q$7:$Q$126</c15:f>
                <c15:dlblRangeCache>
                  <c:ptCount val="120"/>
                  <c:pt idx="0">
                    <c:v>1   Project</c:v>
                  </c:pt>
                  <c:pt idx="1">
                    <c:v>1.1   Task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31D-4B0F-BBD0-858F9096381F}"/>
            </c:ext>
          </c:extLst>
        </c:ser>
        <c:ser>
          <c:idx val="7"/>
          <c:order val="7"/>
          <c:tx>
            <c:v>Dates</c:v>
          </c:tx>
          <c:spPr>
            <a:ln>
              <a:noFill/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3B97C9-2C47-4F52-A3F9-896E7298FEF5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1D-4B0F-BBD0-858F909638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4F2312-7C1F-4C69-9995-FA77712D6151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1D-4B0F-BBD0-858F909638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0DB2F7-0F0E-4FB7-A3E1-B9B6D7042D0C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1D-4B0F-BBD0-858F909638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310F44-1410-48C0-AD04-E41E28441962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1D-4B0F-BBD0-858F909638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1CF3BD-9B0D-4221-A007-40ECBA2AD682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1D-4B0F-BBD0-858F909638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E8447A-AC72-4A37-AA95-35B93A73B481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1D-4B0F-BBD0-858F909638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6F1A00-79AC-4662-AAAF-DBE1F322B86C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1D-4B0F-BBD0-858F909638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1672748-67CB-43C1-9420-66ED5F94AAD6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1D-4B0F-BBD0-858F909638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AC2E9F-A9B3-4FD9-B1DD-66A188996CFB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1D-4B0F-BBD0-858F909638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6771DE-F5BA-4362-9B4E-8C3562C39E31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1D-4B0F-BBD0-858F909638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03560A-F3FF-4BF2-919E-1FD741D52C44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1D-4B0F-BBD0-858F909638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92873F-57B7-4DFA-96BF-9468B1AF18AF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1D-4B0F-BBD0-858F909638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E963E3-4406-45CD-BB08-42D78ABD3C6B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1D-4B0F-BBD0-858F909638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BD1BDB-E015-4E35-A210-DF5ABB25CBC1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1D-4B0F-BBD0-858F909638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260CEC1-66A4-418E-93DC-A46ED32C2FA2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1D-4B0F-BBD0-858F909638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BB22CA-7A92-4503-B35A-925A1CB17510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1D-4B0F-BBD0-858F909638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CBF4B5-FED2-497F-86F4-0F1E37AA9636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1D-4B0F-BBD0-858F909638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01DF7A-9F5E-4E5F-9200-81AA115599DF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1D-4B0F-BBD0-858F909638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C835727-2DDF-4E8D-9EEB-6E4EDADBB0A7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1D-4B0F-BBD0-858F909638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D965EA-176F-4B40-BBE1-ED4359F91B3B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1D-4B0F-BBD0-858F909638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9D9F58-A09B-4611-A206-D0E980F3B225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1D-4B0F-BBD0-858F909638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33AE80-CE07-4907-BF60-CC795E46F01A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1D-4B0F-BBD0-858F909638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A29789-CFFB-434A-B5F8-A72B24A1D9DB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1D-4B0F-BBD0-858F909638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9D4F82-BAB1-4BF4-9EA2-C03567C97AC4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1D-4B0F-BBD0-858F909638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14A8F8-9B8C-4F22-B296-F749B24067F9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1D-4B0F-BBD0-858F909638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700" b="1">
                    <a:solidFill>
                      <a:srgbClr val="305496"/>
                    </a:solidFill>
                  </a:defRPr>
                </a:pPr>
                <a:endParaRPr lang="tr-T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="http://schemas.openxmlformats.org/drawingml/20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ChartData!$BA$7:$BA$31</c:f>
              <c:numCache>
                <c:formatCode>General</c:formatCode>
                <c:ptCount val="25"/>
                <c:pt idx="0">
                  <c:v>0</c:v>
                </c:pt>
                <c:pt idx="1">
                  <c:v>14</c:v>
                </c:pt>
                <c:pt idx="2">
                  <c:v>28</c:v>
                </c:pt>
                <c:pt idx="3">
                  <c:v>42</c:v>
                </c:pt>
                <c:pt idx="4">
                  <c:v>56</c:v>
                </c:pt>
                <c:pt idx="5">
                  <c:v>70</c:v>
                </c:pt>
                <c:pt idx="6">
                  <c:v>84</c:v>
                </c:pt>
                <c:pt idx="7">
                  <c:v>98</c:v>
                </c:pt>
                <c:pt idx="8">
                  <c:v>112</c:v>
                </c:pt>
                <c:pt idx="9">
                  <c:v>126</c:v>
                </c:pt>
                <c:pt idx="10">
                  <c:v>140</c:v>
                </c:pt>
                <c:pt idx="11">
                  <c:v>154</c:v>
                </c:pt>
                <c:pt idx="12">
                  <c:v>168</c:v>
                </c:pt>
                <c:pt idx="13">
                  <c:v>182</c:v>
                </c:pt>
                <c:pt idx="14">
                  <c:v>196</c:v>
                </c:pt>
                <c:pt idx="15">
                  <c:v>210</c:v>
                </c:pt>
                <c:pt idx="16">
                  <c:v>224</c:v>
                </c:pt>
                <c:pt idx="17">
                  <c:v>238</c:v>
                </c:pt>
                <c:pt idx="18">
                  <c:v>252</c:v>
                </c:pt>
                <c:pt idx="19">
                  <c:v>266</c:v>
                </c:pt>
                <c:pt idx="20">
                  <c:v>280</c:v>
                </c:pt>
                <c:pt idx="21">
                  <c:v>294</c:v>
                </c:pt>
                <c:pt idx="22">
                  <c:v>308</c:v>
                </c:pt>
                <c:pt idx="23">
                  <c:v>322</c:v>
                </c:pt>
                <c:pt idx="24">
                  <c:v>336</c:v>
                </c:pt>
              </c:numCache>
            </c:numRef>
          </c:xVal>
          <c:yVal>
            <c:numRef>
              <c:f>ChartData!$BB$7:$BB$31</c:f>
              <c:numCache>
                <c:formatCode>General</c:formatCode>
                <c:ptCount val="25"/>
                <c:pt idx="0">
                  <c:v>-0.6</c:v>
                </c:pt>
                <c:pt idx="1">
                  <c:v>-0.6</c:v>
                </c:pt>
                <c:pt idx="2">
                  <c:v>-0.6</c:v>
                </c:pt>
                <c:pt idx="3">
                  <c:v>-0.6</c:v>
                </c:pt>
                <c:pt idx="4">
                  <c:v>-0.6</c:v>
                </c:pt>
                <c:pt idx="5">
                  <c:v>-0.6</c:v>
                </c:pt>
                <c:pt idx="6">
                  <c:v>-0.6</c:v>
                </c:pt>
                <c:pt idx="7">
                  <c:v>-0.6</c:v>
                </c:pt>
                <c:pt idx="8">
                  <c:v>-0.6</c:v>
                </c:pt>
                <c:pt idx="9">
                  <c:v>-0.6</c:v>
                </c:pt>
                <c:pt idx="10">
                  <c:v>-0.6</c:v>
                </c:pt>
                <c:pt idx="11">
                  <c:v>-0.6</c:v>
                </c:pt>
                <c:pt idx="12">
                  <c:v>-0.6</c:v>
                </c:pt>
                <c:pt idx="13">
                  <c:v>-0.6</c:v>
                </c:pt>
                <c:pt idx="14">
                  <c:v>-0.6</c:v>
                </c:pt>
                <c:pt idx="15">
                  <c:v>-0.6</c:v>
                </c:pt>
                <c:pt idx="16">
                  <c:v>-0.6</c:v>
                </c:pt>
                <c:pt idx="17">
                  <c:v>-0.6</c:v>
                </c:pt>
                <c:pt idx="18">
                  <c:v>-0.6</c:v>
                </c:pt>
                <c:pt idx="19">
                  <c:v>-0.6</c:v>
                </c:pt>
                <c:pt idx="20">
                  <c:v>-0.6</c:v>
                </c:pt>
                <c:pt idx="21">
                  <c:v>-0.6</c:v>
                </c:pt>
                <c:pt idx="22">
                  <c:v>-0.6</c:v>
                </c:pt>
                <c:pt idx="23">
                  <c:v>-0.6</c:v>
                </c:pt>
                <c:pt idx="24">
                  <c:v>-0.6</c:v>
                </c:pt>
              </c:numCache>
            </c:numRef>
          </c:yVal>
          <c:smooth val="0"/>
          <c:extLst xmlns="http://schemas.openxmlformats.org/drawingml/2006/chart">
            <c:ext xmlns:c15="http://schemas.microsoft.com/office/drawing/2012/chart" uri="{02D57815-91ED-43cb-92C2-25804820EDAC}">
              <c15:datalabelsRange>
                <c15:f>ChartData!$BC$7:$BC$31</c15:f>
                <c15:dlblRangeCache>
                  <c:ptCount val="25"/>
                  <c:pt idx="0">
                    <c:v>05.01.26</c:v>
                  </c:pt>
                  <c:pt idx="1">
                    <c:v>19.01.26</c:v>
                  </c:pt>
                  <c:pt idx="2">
                    <c:v>02.02.26</c:v>
                  </c:pt>
                  <c:pt idx="3">
                    <c:v>16.02.26</c:v>
                  </c:pt>
                  <c:pt idx="4">
                    <c:v>02.03.26</c:v>
                  </c:pt>
                  <c:pt idx="5">
                    <c:v>16.03.26</c:v>
                  </c:pt>
                  <c:pt idx="6">
                    <c:v>30.03.26</c:v>
                  </c:pt>
                  <c:pt idx="7">
                    <c:v>13.04.26</c:v>
                  </c:pt>
                  <c:pt idx="8">
                    <c:v>27.04.26</c:v>
                  </c:pt>
                  <c:pt idx="9">
                    <c:v>11.05.26</c:v>
                  </c:pt>
                  <c:pt idx="10">
                    <c:v>25.05.26</c:v>
                  </c:pt>
                  <c:pt idx="11">
                    <c:v>08.06.26</c:v>
                  </c:pt>
                  <c:pt idx="12">
                    <c:v>22.06.26</c:v>
                  </c:pt>
                  <c:pt idx="13">
                    <c:v>06.07.26</c:v>
                  </c:pt>
                  <c:pt idx="14">
                    <c:v>20.07.26</c:v>
                  </c:pt>
                  <c:pt idx="15">
                    <c:v>03.08.26</c:v>
                  </c:pt>
                  <c:pt idx="16">
                    <c:v>17.08.26</c:v>
                  </c:pt>
                  <c:pt idx="17">
                    <c:v>31.08.26</c:v>
                  </c:pt>
                  <c:pt idx="18">
                    <c:v>14.09.26</c:v>
                  </c:pt>
                  <c:pt idx="19">
                    <c:v>28.09.26</c:v>
                  </c:pt>
                  <c:pt idx="20">
                    <c:v>12.10.26</c:v>
                  </c:pt>
                  <c:pt idx="21">
                    <c:v>26.10.26</c:v>
                  </c:pt>
                  <c:pt idx="22">
                    <c:v>09.11.26</c:v>
                  </c:pt>
                  <c:pt idx="23">
                    <c:v>23.11.26</c:v>
                  </c:pt>
                  <c:pt idx="24">
                    <c:v>07.12.26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C31D-4B0F-BBD0-858F9096381F}"/>
            </c:ext>
          </c:extLst>
        </c:ser>
        <c:ser>
          <c:idx val="8"/>
          <c:order val="8"/>
          <c:tx>
            <c:v>Shafts gc</c:v>
          </c:tx>
          <c:spPr>
            <a:ln>
              <a:noFill/>
              <a:prstDash val="solid"/>
            </a:ln>
          </c:spPr>
          <c:marker>
            <c:symbol val="none"/>
          </c:marker>
          <c:errBars>
            <c:errDir val="x"/>
            <c:errBarType val="both"/>
            <c:errValType val="cust"/>
            <c:noEndCap val="1"/>
            <c:plus>
              <c:numRef>
                <c:f>ChartData!$CK$7:$CK$1446</c:f>
                <c:numCache>
                  <c:formatCode>General</c:formatCode>
                  <c:ptCount val="1440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  <c:pt idx="161">
                    <c:v>0</c:v>
                  </c:pt>
                  <c:pt idx="162">
                    <c:v>0</c:v>
                  </c:pt>
                  <c:pt idx="163">
                    <c:v>0</c:v>
                  </c:pt>
                  <c:pt idx="164">
                    <c:v>0</c:v>
                  </c:pt>
                  <c:pt idx="165">
                    <c:v>0</c:v>
                  </c:pt>
                  <c:pt idx="166">
                    <c:v>0</c:v>
                  </c:pt>
                  <c:pt idx="167">
                    <c:v>0</c:v>
                  </c:pt>
                  <c:pt idx="168">
                    <c:v>0</c:v>
                  </c:pt>
                  <c:pt idx="169">
                    <c:v>0</c:v>
                  </c:pt>
                  <c:pt idx="170">
                    <c:v>0</c:v>
                  </c:pt>
                  <c:pt idx="171">
                    <c:v>0</c:v>
                  </c:pt>
                  <c:pt idx="172">
                    <c:v>0</c:v>
                  </c:pt>
                  <c:pt idx="173">
                    <c:v>0</c:v>
                  </c:pt>
                  <c:pt idx="174">
                    <c:v>0</c:v>
                  </c:pt>
                  <c:pt idx="175">
                    <c:v>0</c:v>
                  </c:pt>
                  <c:pt idx="176">
                    <c:v>0</c:v>
                  </c:pt>
                  <c:pt idx="177">
                    <c:v>0</c:v>
                  </c:pt>
                  <c:pt idx="178">
                    <c:v>0</c:v>
                  </c:pt>
                  <c:pt idx="179">
                    <c:v>0</c:v>
                  </c:pt>
                  <c:pt idx="180">
                    <c:v>0</c:v>
                  </c:pt>
                  <c:pt idx="181">
                    <c:v>0</c:v>
                  </c:pt>
                  <c:pt idx="182">
                    <c:v>0</c:v>
                  </c:pt>
                  <c:pt idx="183">
                    <c:v>0</c:v>
                  </c:pt>
                  <c:pt idx="184">
                    <c:v>0</c:v>
                  </c:pt>
                  <c:pt idx="185">
                    <c:v>0</c:v>
                  </c:pt>
                  <c:pt idx="186">
                    <c:v>0</c:v>
                  </c:pt>
                  <c:pt idx="187">
                    <c:v>0</c:v>
                  </c:pt>
                  <c:pt idx="188">
                    <c:v>0</c:v>
                  </c:pt>
                  <c:pt idx="189">
                    <c:v>0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  <c:pt idx="201">
                    <c:v>0</c:v>
                  </c:pt>
                  <c:pt idx="202">
                    <c:v>0</c:v>
                  </c:pt>
                  <c:pt idx="203">
                    <c:v>0</c:v>
                  </c:pt>
                  <c:pt idx="204">
                    <c:v>0</c:v>
                  </c:pt>
                  <c:pt idx="205">
                    <c:v>0</c:v>
                  </c:pt>
                  <c:pt idx="206">
                    <c:v>0</c:v>
                  </c:pt>
                  <c:pt idx="207">
                    <c:v>0</c:v>
                  </c:pt>
                  <c:pt idx="208">
                    <c:v>0</c:v>
                  </c:pt>
                  <c:pt idx="209">
                    <c:v>0</c:v>
                  </c:pt>
                  <c:pt idx="210">
                    <c:v>0</c:v>
                  </c:pt>
                  <c:pt idx="211">
                    <c:v>0</c:v>
                  </c:pt>
                  <c:pt idx="212">
                    <c:v>0</c:v>
                  </c:pt>
                  <c:pt idx="213">
                    <c:v>0</c:v>
                  </c:pt>
                  <c:pt idx="214">
                    <c:v>0</c:v>
                  </c:pt>
                  <c:pt idx="215">
                    <c:v>0</c:v>
                  </c:pt>
                  <c:pt idx="216">
                    <c:v>0</c:v>
                  </c:pt>
                  <c:pt idx="217">
                    <c:v>0</c:v>
                  </c:pt>
                  <c:pt idx="218">
                    <c:v>0</c:v>
                  </c:pt>
                  <c:pt idx="219">
                    <c:v>0</c:v>
                  </c:pt>
                  <c:pt idx="220">
                    <c:v>0</c:v>
                  </c:pt>
                  <c:pt idx="221">
                    <c:v>0</c:v>
                  </c:pt>
                  <c:pt idx="222">
                    <c:v>0</c:v>
                  </c:pt>
                  <c:pt idx="223">
                    <c:v>0</c:v>
                  </c:pt>
                  <c:pt idx="224">
                    <c:v>0</c:v>
                  </c:pt>
                  <c:pt idx="225">
                    <c:v>0</c:v>
                  </c:pt>
                  <c:pt idx="226">
                    <c:v>0</c:v>
                  </c:pt>
                  <c:pt idx="227">
                    <c:v>0</c:v>
                  </c:pt>
                  <c:pt idx="228">
                    <c:v>0</c:v>
                  </c:pt>
                  <c:pt idx="229">
                    <c:v>0</c:v>
                  </c:pt>
                  <c:pt idx="230">
                    <c:v>0</c:v>
                  </c:pt>
                  <c:pt idx="231">
                    <c:v>0</c:v>
                  </c:pt>
                  <c:pt idx="232">
                    <c:v>0</c:v>
                  </c:pt>
                  <c:pt idx="233">
                    <c:v>0</c:v>
                  </c:pt>
                  <c:pt idx="234">
                    <c:v>0</c:v>
                  </c:pt>
                  <c:pt idx="235">
                    <c:v>0</c:v>
                  </c:pt>
                  <c:pt idx="236">
                    <c:v>0</c:v>
                  </c:pt>
                  <c:pt idx="237">
                    <c:v>0</c:v>
                  </c:pt>
                  <c:pt idx="238">
                    <c:v>0</c:v>
                  </c:pt>
                  <c:pt idx="239">
                    <c:v>0</c:v>
                  </c:pt>
                  <c:pt idx="240">
                    <c:v>0</c:v>
                  </c:pt>
                  <c:pt idx="241">
                    <c:v>0</c:v>
                  </c:pt>
                  <c:pt idx="242">
                    <c:v>0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6">
                    <c:v>0</c:v>
                  </c:pt>
                  <c:pt idx="247">
                    <c:v>0</c:v>
                  </c:pt>
                  <c:pt idx="248">
                    <c:v>0</c:v>
                  </c:pt>
                  <c:pt idx="249">
                    <c:v>0</c:v>
                  </c:pt>
                  <c:pt idx="250">
                    <c:v>0</c:v>
                  </c:pt>
                  <c:pt idx="251">
                    <c:v>0</c:v>
                  </c:pt>
                  <c:pt idx="252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6">
                    <c:v>0</c:v>
                  </c:pt>
                  <c:pt idx="257">
                    <c:v>0</c:v>
                  </c:pt>
                  <c:pt idx="258">
                    <c:v>0</c:v>
                  </c:pt>
                  <c:pt idx="259">
                    <c:v>0</c:v>
                  </c:pt>
                  <c:pt idx="260">
                    <c:v>0</c:v>
                  </c:pt>
                  <c:pt idx="261">
                    <c:v>0</c:v>
                  </c:pt>
                  <c:pt idx="262">
                    <c:v>0</c:v>
                  </c:pt>
                  <c:pt idx="263">
                    <c:v>0</c:v>
                  </c:pt>
                  <c:pt idx="264">
                    <c:v>0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68">
                    <c:v>0</c:v>
                  </c:pt>
                  <c:pt idx="269">
                    <c:v>0</c:v>
                  </c:pt>
                  <c:pt idx="270">
                    <c:v>0</c:v>
                  </c:pt>
                  <c:pt idx="271">
                    <c:v>0</c:v>
                  </c:pt>
                  <c:pt idx="272">
                    <c:v>0</c:v>
                  </c:pt>
                  <c:pt idx="273">
                    <c:v>0</c:v>
                  </c:pt>
                  <c:pt idx="274">
                    <c:v>0</c:v>
                  </c:pt>
                  <c:pt idx="275">
                    <c:v>0</c:v>
                  </c:pt>
                  <c:pt idx="276">
                    <c:v>0</c:v>
                  </c:pt>
                  <c:pt idx="277">
                    <c:v>0</c:v>
                  </c:pt>
                  <c:pt idx="278">
                    <c:v>0</c:v>
                  </c:pt>
                  <c:pt idx="279">
                    <c:v>0</c:v>
                  </c:pt>
                  <c:pt idx="280">
                    <c:v>0</c:v>
                  </c:pt>
                  <c:pt idx="281">
                    <c:v>0</c:v>
                  </c:pt>
                  <c:pt idx="282">
                    <c:v>0</c:v>
                  </c:pt>
                  <c:pt idx="283">
                    <c:v>0</c:v>
                  </c:pt>
                  <c:pt idx="284">
                    <c:v>0</c:v>
                  </c:pt>
                  <c:pt idx="285">
                    <c:v>0</c:v>
                  </c:pt>
                  <c:pt idx="286">
                    <c:v>0</c:v>
                  </c:pt>
                  <c:pt idx="287">
                    <c:v>0</c:v>
                  </c:pt>
                  <c:pt idx="288">
                    <c:v>0</c:v>
                  </c:pt>
                  <c:pt idx="289">
                    <c:v>0</c:v>
                  </c:pt>
                  <c:pt idx="290">
                    <c:v>0</c:v>
                  </c:pt>
                  <c:pt idx="291">
                    <c:v>0</c:v>
                  </c:pt>
                  <c:pt idx="292">
                    <c:v>0</c:v>
                  </c:pt>
                  <c:pt idx="293">
                    <c:v>0</c:v>
                  </c:pt>
                  <c:pt idx="294">
                    <c:v>0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299">
                    <c:v>0</c:v>
                  </c:pt>
                  <c:pt idx="300">
                    <c:v>0</c:v>
                  </c:pt>
                  <c:pt idx="301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4">
                    <c:v>0</c:v>
                  </c:pt>
                  <c:pt idx="305">
                    <c:v>0</c:v>
                  </c:pt>
                  <c:pt idx="306">
                    <c:v>0</c:v>
                  </c:pt>
                  <c:pt idx="307">
                    <c:v>0</c:v>
                  </c:pt>
                  <c:pt idx="308">
                    <c:v>0</c:v>
                  </c:pt>
                  <c:pt idx="309">
                    <c:v>0</c:v>
                  </c:pt>
                  <c:pt idx="310">
                    <c:v>0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5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19">
                    <c:v>0</c:v>
                  </c:pt>
                  <c:pt idx="320">
                    <c:v>0</c:v>
                  </c:pt>
                  <c:pt idx="321">
                    <c:v>0</c:v>
                  </c:pt>
                  <c:pt idx="322">
                    <c:v>0</c:v>
                  </c:pt>
                  <c:pt idx="323">
                    <c:v>0</c:v>
                  </c:pt>
                  <c:pt idx="324">
                    <c:v>0</c:v>
                  </c:pt>
                  <c:pt idx="325">
                    <c:v>0</c:v>
                  </c:pt>
                  <c:pt idx="326">
                    <c:v>0</c:v>
                  </c:pt>
                  <c:pt idx="327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1">
                    <c:v>0</c:v>
                  </c:pt>
                  <c:pt idx="332">
                    <c:v>0</c:v>
                  </c:pt>
                  <c:pt idx="333">
                    <c:v>0</c:v>
                  </c:pt>
                  <c:pt idx="334">
                    <c:v>0</c:v>
                  </c:pt>
                  <c:pt idx="335">
                    <c:v>0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39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0</c:v>
                  </c:pt>
                  <c:pt idx="344">
                    <c:v>0</c:v>
                  </c:pt>
                  <c:pt idx="345">
                    <c:v>0</c:v>
                  </c:pt>
                  <c:pt idx="346">
                    <c:v>0</c:v>
                  </c:pt>
                  <c:pt idx="347">
                    <c:v>0</c:v>
                  </c:pt>
                  <c:pt idx="348">
                    <c:v>0</c:v>
                  </c:pt>
                  <c:pt idx="349">
                    <c:v>0</c:v>
                  </c:pt>
                  <c:pt idx="350">
                    <c:v>0</c:v>
                  </c:pt>
                  <c:pt idx="351">
                    <c:v>0</c:v>
                  </c:pt>
                  <c:pt idx="352">
                    <c:v>0</c:v>
                  </c:pt>
                  <c:pt idx="353">
                    <c:v>0</c:v>
                  </c:pt>
                  <c:pt idx="354">
                    <c:v>0</c:v>
                  </c:pt>
                  <c:pt idx="355">
                    <c:v>0</c:v>
                  </c:pt>
                  <c:pt idx="356">
                    <c:v>0</c:v>
                  </c:pt>
                  <c:pt idx="357">
                    <c:v>0</c:v>
                  </c:pt>
                  <c:pt idx="358">
                    <c:v>0</c:v>
                  </c:pt>
                  <c:pt idx="359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2">
                    <c:v>0</c:v>
                  </c:pt>
                  <c:pt idx="363">
                    <c:v>0</c:v>
                  </c:pt>
                  <c:pt idx="364">
                    <c:v>0</c:v>
                  </c:pt>
                  <c:pt idx="365">
                    <c:v>0</c:v>
                  </c:pt>
                  <c:pt idx="366">
                    <c:v>0</c:v>
                  </c:pt>
                  <c:pt idx="367">
                    <c:v>0</c:v>
                  </c:pt>
                  <c:pt idx="368">
                    <c:v>0</c:v>
                  </c:pt>
                  <c:pt idx="369">
                    <c:v>0</c:v>
                  </c:pt>
                  <c:pt idx="370">
                    <c:v>0</c:v>
                  </c:pt>
                  <c:pt idx="371">
                    <c:v>0</c:v>
                  </c:pt>
                  <c:pt idx="372">
                    <c:v>0</c:v>
                  </c:pt>
                  <c:pt idx="373">
                    <c:v>0</c:v>
                  </c:pt>
                  <c:pt idx="374">
                    <c:v>0</c:v>
                  </c:pt>
                  <c:pt idx="375">
                    <c:v>0</c:v>
                  </c:pt>
                  <c:pt idx="376">
                    <c:v>0</c:v>
                  </c:pt>
                  <c:pt idx="377">
                    <c:v>0</c:v>
                  </c:pt>
                  <c:pt idx="378">
                    <c:v>0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4">
                    <c:v>0</c:v>
                  </c:pt>
                  <c:pt idx="385">
                    <c:v>0</c:v>
                  </c:pt>
                  <c:pt idx="386">
                    <c:v>0</c:v>
                  </c:pt>
                  <c:pt idx="387">
                    <c:v>0</c:v>
                  </c:pt>
                  <c:pt idx="388">
                    <c:v>0</c:v>
                  </c:pt>
                  <c:pt idx="389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0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0</c:v>
                  </c:pt>
                  <c:pt idx="396">
                    <c:v>0</c:v>
                  </c:pt>
                  <c:pt idx="397">
                    <c:v>0</c:v>
                  </c:pt>
                  <c:pt idx="398">
                    <c:v>0</c:v>
                  </c:pt>
                  <c:pt idx="399">
                    <c:v>0</c:v>
                  </c:pt>
                  <c:pt idx="400">
                    <c:v>0</c:v>
                  </c:pt>
                  <c:pt idx="401">
                    <c:v>0</c:v>
                  </c:pt>
                  <c:pt idx="402">
                    <c:v>0</c:v>
                  </c:pt>
                  <c:pt idx="403">
                    <c:v>0</c:v>
                  </c:pt>
                  <c:pt idx="404">
                    <c:v>0</c:v>
                  </c:pt>
                  <c:pt idx="405">
                    <c:v>0</c:v>
                  </c:pt>
                  <c:pt idx="406">
                    <c:v>0</c:v>
                  </c:pt>
                  <c:pt idx="407">
                    <c:v>0</c:v>
                  </c:pt>
                  <c:pt idx="408">
                    <c:v>0</c:v>
                  </c:pt>
                  <c:pt idx="409">
                    <c:v>0</c:v>
                  </c:pt>
                  <c:pt idx="410">
                    <c:v>0</c:v>
                  </c:pt>
                  <c:pt idx="411">
                    <c:v>0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0</c:v>
                  </c:pt>
                  <c:pt idx="415">
                    <c:v>0</c:v>
                  </c:pt>
                  <c:pt idx="416">
                    <c:v>0</c:v>
                  </c:pt>
                  <c:pt idx="417">
                    <c:v>0</c:v>
                  </c:pt>
                  <c:pt idx="418">
                    <c:v>0</c:v>
                  </c:pt>
                  <c:pt idx="419">
                    <c:v>0</c:v>
                  </c:pt>
                  <c:pt idx="420">
                    <c:v>0</c:v>
                  </c:pt>
                  <c:pt idx="421">
                    <c:v>0</c:v>
                  </c:pt>
                  <c:pt idx="422">
                    <c:v>0</c:v>
                  </c:pt>
                  <c:pt idx="423">
                    <c:v>0</c:v>
                  </c:pt>
                  <c:pt idx="424">
                    <c:v>0</c:v>
                  </c:pt>
                  <c:pt idx="425">
                    <c:v>0</c:v>
                  </c:pt>
                  <c:pt idx="426">
                    <c:v>0</c:v>
                  </c:pt>
                  <c:pt idx="427">
                    <c:v>0</c:v>
                  </c:pt>
                  <c:pt idx="428">
                    <c:v>0</c:v>
                  </c:pt>
                  <c:pt idx="429">
                    <c:v>0</c:v>
                  </c:pt>
                  <c:pt idx="430">
                    <c:v>0</c:v>
                  </c:pt>
                  <c:pt idx="431">
                    <c:v>0</c:v>
                  </c:pt>
                  <c:pt idx="432">
                    <c:v>0</c:v>
                  </c:pt>
                  <c:pt idx="433">
                    <c:v>0</c:v>
                  </c:pt>
                  <c:pt idx="434">
                    <c:v>0</c:v>
                  </c:pt>
                  <c:pt idx="435">
                    <c:v>0</c:v>
                  </c:pt>
                  <c:pt idx="436">
                    <c:v>0</c:v>
                  </c:pt>
                  <c:pt idx="437">
                    <c:v>0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  <c:pt idx="441">
                    <c:v>0</c:v>
                  </c:pt>
                  <c:pt idx="442">
                    <c:v>0</c:v>
                  </c:pt>
                  <c:pt idx="443">
                    <c:v>0</c:v>
                  </c:pt>
                  <c:pt idx="444">
                    <c:v>0</c:v>
                  </c:pt>
                  <c:pt idx="445">
                    <c:v>0</c:v>
                  </c:pt>
                  <c:pt idx="446">
                    <c:v>0</c:v>
                  </c:pt>
                  <c:pt idx="447">
                    <c:v>0</c:v>
                  </c:pt>
                  <c:pt idx="448">
                    <c:v>0</c:v>
                  </c:pt>
                  <c:pt idx="449">
                    <c:v>0</c:v>
                  </c:pt>
                  <c:pt idx="450">
                    <c:v>0</c:v>
                  </c:pt>
                  <c:pt idx="451">
                    <c:v>0</c:v>
                  </c:pt>
                  <c:pt idx="452">
                    <c:v>0</c:v>
                  </c:pt>
                  <c:pt idx="453">
                    <c:v>0</c:v>
                  </c:pt>
                  <c:pt idx="454">
                    <c:v>0</c:v>
                  </c:pt>
                  <c:pt idx="455">
                    <c:v>0</c:v>
                  </c:pt>
                  <c:pt idx="456">
                    <c:v>0</c:v>
                  </c:pt>
                  <c:pt idx="457">
                    <c:v>0</c:v>
                  </c:pt>
                  <c:pt idx="458">
                    <c:v>0</c:v>
                  </c:pt>
                  <c:pt idx="459">
                    <c:v>0</c:v>
                  </c:pt>
                  <c:pt idx="460">
                    <c:v>0</c:v>
                  </c:pt>
                  <c:pt idx="461">
                    <c:v>0</c:v>
                  </c:pt>
                  <c:pt idx="462">
                    <c:v>0</c:v>
                  </c:pt>
                  <c:pt idx="463">
                    <c:v>0</c:v>
                  </c:pt>
                  <c:pt idx="464">
                    <c:v>0</c:v>
                  </c:pt>
                  <c:pt idx="465">
                    <c:v>0</c:v>
                  </c:pt>
                  <c:pt idx="466">
                    <c:v>0</c:v>
                  </c:pt>
                  <c:pt idx="467">
                    <c:v>0</c:v>
                  </c:pt>
                  <c:pt idx="468">
                    <c:v>0</c:v>
                  </c:pt>
                  <c:pt idx="469">
                    <c:v>0</c:v>
                  </c:pt>
                  <c:pt idx="470">
                    <c:v>0</c:v>
                  </c:pt>
                  <c:pt idx="471">
                    <c:v>0</c:v>
                  </c:pt>
                  <c:pt idx="472">
                    <c:v>0</c:v>
                  </c:pt>
                  <c:pt idx="473">
                    <c:v>0</c:v>
                  </c:pt>
                  <c:pt idx="474">
                    <c:v>0</c:v>
                  </c:pt>
                  <c:pt idx="475">
                    <c:v>0</c:v>
                  </c:pt>
                  <c:pt idx="476">
                    <c:v>0</c:v>
                  </c:pt>
                  <c:pt idx="477">
                    <c:v>0</c:v>
                  </c:pt>
                  <c:pt idx="478">
                    <c:v>0</c:v>
                  </c:pt>
                  <c:pt idx="479">
                    <c:v>0</c:v>
                  </c:pt>
                  <c:pt idx="480">
                    <c:v>0</c:v>
                  </c:pt>
                  <c:pt idx="481">
                    <c:v>0</c:v>
                  </c:pt>
                  <c:pt idx="482">
                    <c:v>0</c:v>
                  </c:pt>
                  <c:pt idx="483">
                    <c:v>0</c:v>
                  </c:pt>
                  <c:pt idx="484">
                    <c:v>0</c:v>
                  </c:pt>
                  <c:pt idx="485">
                    <c:v>0</c:v>
                  </c:pt>
                  <c:pt idx="486">
                    <c:v>0</c:v>
                  </c:pt>
                  <c:pt idx="487">
                    <c:v>0</c:v>
                  </c:pt>
                  <c:pt idx="488">
                    <c:v>0</c:v>
                  </c:pt>
                  <c:pt idx="489">
                    <c:v>0</c:v>
                  </c:pt>
                  <c:pt idx="490">
                    <c:v>0</c:v>
                  </c:pt>
                  <c:pt idx="491">
                    <c:v>0</c:v>
                  </c:pt>
                  <c:pt idx="492">
                    <c:v>0</c:v>
                  </c:pt>
                  <c:pt idx="493">
                    <c:v>0</c:v>
                  </c:pt>
                  <c:pt idx="494">
                    <c:v>0</c:v>
                  </c:pt>
                  <c:pt idx="495">
                    <c:v>0</c:v>
                  </c:pt>
                  <c:pt idx="496">
                    <c:v>0</c:v>
                  </c:pt>
                  <c:pt idx="497">
                    <c:v>0</c:v>
                  </c:pt>
                  <c:pt idx="498">
                    <c:v>0</c:v>
                  </c:pt>
                  <c:pt idx="499">
                    <c:v>0</c:v>
                  </c:pt>
                  <c:pt idx="500">
                    <c:v>0</c:v>
                  </c:pt>
                  <c:pt idx="501">
                    <c:v>0</c:v>
                  </c:pt>
                  <c:pt idx="502">
                    <c:v>0</c:v>
                  </c:pt>
                  <c:pt idx="503">
                    <c:v>0</c:v>
                  </c:pt>
                  <c:pt idx="504">
                    <c:v>0</c:v>
                  </c:pt>
                  <c:pt idx="505">
                    <c:v>0</c:v>
                  </c:pt>
                  <c:pt idx="506">
                    <c:v>0</c:v>
                  </c:pt>
                  <c:pt idx="507">
                    <c:v>0</c:v>
                  </c:pt>
                  <c:pt idx="508">
                    <c:v>0</c:v>
                  </c:pt>
                  <c:pt idx="509">
                    <c:v>0</c:v>
                  </c:pt>
                  <c:pt idx="510">
                    <c:v>0</c:v>
                  </c:pt>
                  <c:pt idx="511">
                    <c:v>0</c:v>
                  </c:pt>
                  <c:pt idx="512">
                    <c:v>0</c:v>
                  </c:pt>
                  <c:pt idx="513">
                    <c:v>0</c:v>
                  </c:pt>
                  <c:pt idx="514">
                    <c:v>0</c:v>
                  </c:pt>
                  <c:pt idx="515">
                    <c:v>0</c:v>
                  </c:pt>
                  <c:pt idx="516">
                    <c:v>0</c:v>
                  </c:pt>
                  <c:pt idx="517">
                    <c:v>0</c:v>
                  </c:pt>
                  <c:pt idx="518">
                    <c:v>0</c:v>
                  </c:pt>
                  <c:pt idx="519">
                    <c:v>0</c:v>
                  </c:pt>
                  <c:pt idx="520">
                    <c:v>0</c:v>
                  </c:pt>
                  <c:pt idx="521">
                    <c:v>0</c:v>
                  </c:pt>
                  <c:pt idx="522">
                    <c:v>0</c:v>
                  </c:pt>
                  <c:pt idx="523">
                    <c:v>0</c:v>
                  </c:pt>
                  <c:pt idx="524">
                    <c:v>0</c:v>
                  </c:pt>
                  <c:pt idx="525">
                    <c:v>0</c:v>
                  </c:pt>
                  <c:pt idx="526">
                    <c:v>0</c:v>
                  </c:pt>
                  <c:pt idx="527">
                    <c:v>0</c:v>
                  </c:pt>
                  <c:pt idx="528">
                    <c:v>0</c:v>
                  </c:pt>
                  <c:pt idx="529">
                    <c:v>0</c:v>
                  </c:pt>
                  <c:pt idx="530">
                    <c:v>0</c:v>
                  </c:pt>
                  <c:pt idx="531">
                    <c:v>0</c:v>
                  </c:pt>
                  <c:pt idx="532">
                    <c:v>0</c:v>
                  </c:pt>
                  <c:pt idx="533">
                    <c:v>0</c:v>
                  </c:pt>
                  <c:pt idx="534">
                    <c:v>0</c:v>
                  </c:pt>
                  <c:pt idx="535">
                    <c:v>0</c:v>
                  </c:pt>
                  <c:pt idx="536">
                    <c:v>0</c:v>
                  </c:pt>
                  <c:pt idx="537">
                    <c:v>0</c:v>
                  </c:pt>
                  <c:pt idx="538">
                    <c:v>0</c:v>
                  </c:pt>
                  <c:pt idx="539">
                    <c:v>0</c:v>
                  </c:pt>
                  <c:pt idx="540">
                    <c:v>0</c:v>
                  </c:pt>
                  <c:pt idx="541">
                    <c:v>0</c:v>
                  </c:pt>
                  <c:pt idx="542">
                    <c:v>0</c:v>
                  </c:pt>
                  <c:pt idx="543">
                    <c:v>0</c:v>
                  </c:pt>
                  <c:pt idx="544">
                    <c:v>0</c:v>
                  </c:pt>
                  <c:pt idx="545">
                    <c:v>0</c:v>
                  </c:pt>
                  <c:pt idx="546">
                    <c:v>0</c:v>
                  </c:pt>
                  <c:pt idx="547">
                    <c:v>0</c:v>
                  </c:pt>
                  <c:pt idx="548">
                    <c:v>0</c:v>
                  </c:pt>
                  <c:pt idx="549">
                    <c:v>0</c:v>
                  </c:pt>
                  <c:pt idx="550">
                    <c:v>0</c:v>
                  </c:pt>
                  <c:pt idx="551">
                    <c:v>0</c:v>
                  </c:pt>
                  <c:pt idx="552">
                    <c:v>0</c:v>
                  </c:pt>
                  <c:pt idx="553">
                    <c:v>0</c:v>
                  </c:pt>
                  <c:pt idx="554">
                    <c:v>0</c:v>
                  </c:pt>
                  <c:pt idx="555">
                    <c:v>0</c:v>
                  </c:pt>
                  <c:pt idx="556">
                    <c:v>0</c:v>
                  </c:pt>
                  <c:pt idx="557">
                    <c:v>0</c:v>
                  </c:pt>
                  <c:pt idx="558">
                    <c:v>0</c:v>
                  </c:pt>
                  <c:pt idx="559">
                    <c:v>0</c:v>
                  </c:pt>
                  <c:pt idx="560">
                    <c:v>0</c:v>
                  </c:pt>
                  <c:pt idx="561">
                    <c:v>0</c:v>
                  </c:pt>
                  <c:pt idx="562">
                    <c:v>0</c:v>
                  </c:pt>
                  <c:pt idx="563">
                    <c:v>0</c:v>
                  </c:pt>
                  <c:pt idx="564">
                    <c:v>0</c:v>
                  </c:pt>
                  <c:pt idx="565">
                    <c:v>0</c:v>
                  </c:pt>
                  <c:pt idx="566">
                    <c:v>0</c:v>
                  </c:pt>
                  <c:pt idx="567">
                    <c:v>0</c:v>
                  </c:pt>
                  <c:pt idx="568">
                    <c:v>0</c:v>
                  </c:pt>
                  <c:pt idx="569">
                    <c:v>0</c:v>
                  </c:pt>
                  <c:pt idx="570">
                    <c:v>0</c:v>
                  </c:pt>
                  <c:pt idx="571">
                    <c:v>0</c:v>
                  </c:pt>
                  <c:pt idx="572">
                    <c:v>0</c:v>
                  </c:pt>
                  <c:pt idx="573">
                    <c:v>0</c:v>
                  </c:pt>
                  <c:pt idx="574">
                    <c:v>0</c:v>
                  </c:pt>
                  <c:pt idx="575">
                    <c:v>0</c:v>
                  </c:pt>
                  <c:pt idx="576">
                    <c:v>0</c:v>
                  </c:pt>
                  <c:pt idx="577">
                    <c:v>0</c:v>
                  </c:pt>
                  <c:pt idx="578">
                    <c:v>0</c:v>
                  </c:pt>
                  <c:pt idx="579">
                    <c:v>0</c:v>
                  </c:pt>
                  <c:pt idx="580">
                    <c:v>0</c:v>
                  </c:pt>
                  <c:pt idx="581">
                    <c:v>0</c:v>
                  </c:pt>
                  <c:pt idx="582">
                    <c:v>0</c:v>
                  </c:pt>
                  <c:pt idx="583">
                    <c:v>0</c:v>
                  </c:pt>
                  <c:pt idx="584">
                    <c:v>0</c:v>
                  </c:pt>
                  <c:pt idx="585">
                    <c:v>0</c:v>
                  </c:pt>
                  <c:pt idx="586">
                    <c:v>0</c:v>
                  </c:pt>
                  <c:pt idx="587">
                    <c:v>0</c:v>
                  </c:pt>
                  <c:pt idx="588">
                    <c:v>0</c:v>
                  </c:pt>
                  <c:pt idx="589">
                    <c:v>0</c:v>
                  </c:pt>
                  <c:pt idx="590">
                    <c:v>0</c:v>
                  </c:pt>
                  <c:pt idx="591">
                    <c:v>0</c:v>
                  </c:pt>
                  <c:pt idx="592">
                    <c:v>0</c:v>
                  </c:pt>
                  <c:pt idx="593">
                    <c:v>0</c:v>
                  </c:pt>
                  <c:pt idx="594">
                    <c:v>0</c:v>
                  </c:pt>
                  <c:pt idx="595">
                    <c:v>0</c:v>
                  </c:pt>
                  <c:pt idx="596">
                    <c:v>0</c:v>
                  </c:pt>
                  <c:pt idx="597">
                    <c:v>0</c:v>
                  </c:pt>
                  <c:pt idx="598">
                    <c:v>0</c:v>
                  </c:pt>
                  <c:pt idx="599">
                    <c:v>0</c:v>
                  </c:pt>
                  <c:pt idx="600">
                    <c:v>0</c:v>
                  </c:pt>
                  <c:pt idx="601">
                    <c:v>0</c:v>
                  </c:pt>
                  <c:pt idx="602">
                    <c:v>0</c:v>
                  </c:pt>
                  <c:pt idx="603">
                    <c:v>0</c:v>
                  </c:pt>
                  <c:pt idx="604">
                    <c:v>0</c:v>
                  </c:pt>
                  <c:pt idx="605">
                    <c:v>0</c:v>
                  </c:pt>
                  <c:pt idx="606">
                    <c:v>0</c:v>
                  </c:pt>
                  <c:pt idx="607">
                    <c:v>0</c:v>
                  </c:pt>
                  <c:pt idx="608">
                    <c:v>0</c:v>
                  </c:pt>
                  <c:pt idx="609">
                    <c:v>0</c:v>
                  </c:pt>
                  <c:pt idx="610">
                    <c:v>0</c:v>
                  </c:pt>
                  <c:pt idx="611">
                    <c:v>0</c:v>
                  </c:pt>
                  <c:pt idx="612">
                    <c:v>0</c:v>
                  </c:pt>
                  <c:pt idx="613">
                    <c:v>0</c:v>
                  </c:pt>
                  <c:pt idx="614">
                    <c:v>0</c:v>
                  </c:pt>
                  <c:pt idx="615">
                    <c:v>0</c:v>
                  </c:pt>
                  <c:pt idx="616">
                    <c:v>0</c:v>
                  </c:pt>
                  <c:pt idx="617">
                    <c:v>0</c:v>
                  </c:pt>
                  <c:pt idx="618">
                    <c:v>0</c:v>
                  </c:pt>
                  <c:pt idx="619">
                    <c:v>0</c:v>
                  </c:pt>
                  <c:pt idx="620">
                    <c:v>0</c:v>
                  </c:pt>
                  <c:pt idx="621">
                    <c:v>0</c:v>
                  </c:pt>
                  <c:pt idx="622">
                    <c:v>0</c:v>
                  </c:pt>
                  <c:pt idx="623">
                    <c:v>0</c:v>
                  </c:pt>
                  <c:pt idx="624">
                    <c:v>0</c:v>
                  </c:pt>
                  <c:pt idx="625">
                    <c:v>0</c:v>
                  </c:pt>
                  <c:pt idx="626">
                    <c:v>0</c:v>
                  </c:pt>
                  <c:pt idx="627">
                    <c:v>0</c:v>
                  </c:pt>
                  <c:pt idx="628">
                    <c:v>0</c:v>
                  </c:pt>
                  <c:pt idx="629">
                    <c:v>0</c:v>
                  </c:pt>
                  <c:pt idx="630">
                    <c:v>0</c:v>
                  </c:pt>
                  <c:pt idx="631">
                    <c:v>0</c:v>
                  </c:pt>
                  <c:pt idx="632">
                    <c:v>0</c:v>
                  </c:pt>
                  <c:pt idx="633">
                    <c:v>0</c:v>
                  </c:pt>
                  <c:pt idx="634">
                    <c:v>0</c:v>
                  </c:pt>
                  <c:pt idx="635">
                    <c:v>0</c:v>
                  </c:pt>
                  <c:pt idx="636">
                    <c:v>0</c:v>
                  </c:pt>
                  <c:pt idx="637">
                    <c:v>0</c:v>
                  </c:pt>
                  <c:pt idx="638">
                    <c:v>0</c:v>
                  </c:pt>
                  <c:pt idx="639">
                    <c:v>0</c:v>
                  </c:pt>
                  <c:pt idx="640">
                    <c:v>0</c:v>
                  </c:pt>
                  <c:pt idx="641">
                    <c:v>0</c:v>
                  </c:pt>
                  <c:pt idx="642">
                    <c:v>0</c:v>
                  </c:pt>
                  <c:pt idx="643">
                    <c:v>0</c:v>
                  </c:pt>
                  <c:pt idx="644">
                    <c:v>0</c:v>
                  </c:pt>
                  <c:pt idx="645">
                    <c:v>0</c:v>
                  </c:pt>
                  <c:pt idx="646">
                    <c:v>0</c:v>
                  </c:pt>
                  <c:pt idx="647">
                    <c:v>0</c:v>
                  </c:pt>
                  <c:pt idx="648">
                    <c:v>0</c:v>
                  </c:pt>
                  <c:pt idx="649">
                    <c:v>0</c:v>
                  </c:pt>
                  <c:pt idx="650">
                    <c:v>0</c:v>
                  </c:pt>
                  <c:pt idx="651">
                    <c:v>0</c:v>
                  </c:pt>
                  <c:pt idx="652">
                    <c:v>0</c:v>
                  </c:pt>
                  <c:pt idx="653">
                    <c:v>0</c:v>
                  </c:pt>
                  <c:pt idx="654">
                    <c:v>0</c:v>
                  </c:pt>
                  <c:pt idx="655">
                    <c:v>0</c:v>
                  </c:pt>
                  <c:pt idx="656">
                    <c:v>0</c:v>
                  </c:pt>
                  <c:pt idx="657">
                    <c:v>0</c:v>
                  </c:pt>
                  <c:pt idx="658">
                    <c:v>0</c:v>
                  </c:pt>
                  <c:pt idx="659">
                    <c:v>0</c:v>
                  </c:pt>
                  <c:pt idx="660">
                    <c:v>0</c:v>
                  </c:pt>
                  <c:pt idx="661">
                    <c:v>0</c:v>
                  </c:pt>
                  <c:pt idx="662">
                    <c:v>0</c:v>
                  </c:pt>
                  <c:pt idx="663">
                    <c:v>0</c:v>
                  </c:pt>
                  <c:pt idx="664">
                    <c:v>0</c:v>
                  </c:pt>
                  <c:pt idx="665">
                    <c:v>0</c:v>
                  </c:pt>
                  <c:pt idx="666">
                    <c:v>0</c:v>
                  </c:pt>
                  <c:pt idx="667">
                    <c:v>0</c:v>
                  </c:pt>
                  <c:pt idx="668">
                    <c:v>0</c:v>
                  </c:pt>
                  <c:pt idx="669">
                    <c:v>0</c:v>
                  </c:pt>
                  <c:pt idx="670">
                    <c:v>0</c:v>
                  </c:pt>
                  <c:pt idx="671">
                    <c:v>0</c:v>
                  </c:pt>
                  <c:pt idx="672">
                    <c:v>0</c:v>
                  </c:pt>
                  <c:pt idx="673">
                    <c:v>0</c:v>
                  </c:pt>
                  <c:pt idx="674">
                    <c:v>0</c:v>
                  </c:pt>
                  <c:pt idx="675">
                    <c:v>0</c:v>
                  </c:pt>
                  <c:pt idx="676">
                    <c:v>0</c:v>
                  </c:pt>
                  <c:pt idx="677">
                    <c:v>0</c:v>
                  </c:pt>
                  <c:pt idx="678">
                    <c:v>0</c:v>
                  </c:pt>
                  <c:pt idx="679">
                    <c:v>0</c:v>
                  </c:pt>
                  <c:pt idx="680">
                    <c:v>0</c:v>
                  </c:pt>
                  <c:pt idx="681">
                    <c:v>0</c:v>
                  </c:pt>
                  <c:pt idx="682">
                    <c:v>0</c:v>
                  </c:pt>
                  <c:pt idx="683">
                    <c:v>0</c:v>
                  </c:pt>
                  <c:pt idx="684">
                    <c:v>0</c:v>
                  </c:pt>
                  <c:pt idx="685">
                    <c:v>0</c:v>
                  </c:pt>
                  <c:pt idx="686">
                    <c:v>0</c:v>
                  </c:pt>
                  <c:pt idx="687">
                    <c:v>0</c:v>
                  </c:pt>
                  <c:pt idx="688">
                    <c:v>0</c:v>
                  </c:pt>
                  <c:pt idx="689">
                    <c:v>0</c:v>
                  </c:pt>
                  <c:pt idx="690">
                    <c:v>0</c:v>
                  </c:pt>
                  <c:pt idx="691">
                    <c:v>0</c:v>
                  </c:pt>
                  <c:pt idx="692">
                    <c:v>0</c:v>
                  </c:pt>
                  <c:pt idx="693">
                    <c:v>0</c:v>
                  </c:pt>
                  <c:pt idx="694">
                    <c:v>0</c:v>
                  </c:pt>
                  <c:pt idx="695">
                    <c:v>0</c:v>
                  </c:pt>
                  <c:pt idx="696">
                    <c:v>0</c:v>
                  </c:pt>
                  <c:pt idx="697">
                    <c:v>0</c:v>
                  </c:pt>
                  <c:pt idx="698">
                    <c:v>0</c:v>
                  </c:pt>
                  <c:pt idx="699">
                    <c:v>0</c:v>
                  </c:pt>
                  <c:pt idx="700">
                    <c:v>0</c:v>
                  </c:pt>
                  <c:pt idx="701">
                    <c:v>0</c:v>
                  </c:pt>
                  <c:pt idx="702">
                    <c:v>0</c:v>
                  </c:pt>
                  <c:pt idx="703">
                    <c:v>0</c:v>
                  </c:pt>
                  <c:pt idx="704">
                    <c:v>0</c:v>
                  </c:pt>
                  <c:pt idx="705">
                    <c:v>0</c:v>
                  </c:pt>
                  <c:pt idx="706">
                    <c:v>0</c:v>
                  </c:pt>
                  <c:pt idx="707">
                    <c:v>0</c:v>
                  </c:pt>
                  <c:pt idx="708">
                    <c:v>0</c:v>
                  </c:pt>
                  <c:pt idx="709">
                    <c:v>0</c:v>
                  </c:pt>
                  <c:pt idx="710">
                    <c:v>0</c:v>
                  </c:pt>
                  <c:pt idx="711">
                    <c:v>0</c:v>
                  </c:pt>
                  <c:pt idx="712">
                    <c:v>0</c:v>
                  </c:pt>
                  <c:pt idx="713">
                    <c:v>0</c:v>
                  </c:pt>
                  <c:pt idx="714">
                    <c:v>0</c:v>
                  </c:pt>
                  <c:pt idx="715">
                    <c:v>0</c:v>
                  </c:pt>
                  <c:pt idx="716">
                    <c:v>0</c:v>
                  </c:pt>
                  <c:pt idx="717">
                    <c:v>0</c:v>
                  </c:pt>
                  <c:pt idx="718">
                    <c:v>0</c:v>
                  </c:pt>
                  <c:pt idx="719">
                    <c:v>0</c:v>
                  </c:pt>
                  <c:pt idx="720">
                    <c:v>0</c:v>
                  </c:pt>
                  <c:pt idx="721">
                    <c:v>0</c:v>
                  </c:pt>
                  <c:pt idx="722">
                    <c:v>0</c:v>
                  </c:pt>
                  <c:pt idx="723">
                    <c:v>0</c:v>
                  </c:pt>
                  <c:pt idx="724">
                    <c:v>0</c:v>
                  </c:pt>
                  <c:pt idx="725">
                    <c:v>0</c:v>
                  </c:pt>
                  <c:pt idx="726">
                    <c:v>0</c:v>
                  </c:pt>
                  <c:pt idx="727">
                    <c:v>0</c:v>
                  </c:pt>
                  <c:pt idx="728">
                    <c:v>0</c:v>
                  </c:pt>
                  <c:pt idx="729">
                    <c:v>0</c:v>
                  </c:pt>
                  <c:pt idx="730">
                    <c:v>0</c:v>
                  </c:pt>
                  <c:pt idx="731">
                    <c:v>0</c:v>
                  </c:pt>
                  <c:pt idx="732">
                    <c:v>0</c:v>
                  </c:pt>
                  <c:pt idx="733">
                    <c:v>0</c:v>
                  </c:pt>
                  <c:pt idx="734">
                    <c:v>0</c:v>
                  </c:pt>
                  <c:pt idx="735">
                    <c:v>0</c:v>
                  </c:pt>
                  <c:pt idx="736">
                    <c:v>0</c:v>
                  </c:pt>
                  <c:pt idx="737">
                    <c:v>0</c:v>
                  </c:pt>
                  <c:pt idx="738">
                    <c:v>0</c:v>
                  </c:pt>
                  <c:pt idx="739">
                    <c:v>0</c:v>
                  </c:pt>
                  <c:pt idx="740">
                    <c:v>0</c:v>
                  </c:pt>
                  <c:pt idx="741">
                    <c:v>0</c:v>
                  </c:pt>
                  <c:pt idx="742">
                    <c:v>0</c:v>
                  </c:pt>
                  <c:pt idx="743">
                    <c:v>0</c:v>
                  </c:pt>
                  <c:pt idx="744">
                    <c:v>0</c:v>
                  </c:pt>
                  <c:pt idx="745">
                    <c:v>0</c:v>
                  </c:pt>
                  <c:pt idx="746">
                    <c:v>0</c:v>
                  </c:pt>
                  <c:pt idx="747">
                    <c:v>0</c:v>
                  </c:pt>
                  <c:pt idx="748">
                    <c:v>0</c:v>
                  </c:pt>
                  <c:pt idx="749">
                    <c:v>0</c:v>
                  </c:pt>
                  <c:pt idx="750">
                    <c:v>0</c:v>
                  </c:pt>
                  <c:pt idx="751">
                    <c:v>0</c:v>
                  </c:pt>
                  <c:pt idx="752">
                    <c:v>0</c:v>
                  </c:pt>
                  <c:pt idx="753">
                    <c:v>0</c:v>
                  </c:pt>
                  <c:pt idx="754">
                    <c:v>0</c:v>
                  </c:pt>
                  <c:pt idx="755">
                    <c:v>0</c:v>
                  </c:pt>
                  <c:pt idx="756">
                    <c:v>0</c:v>
                  </c:pt>
                  <c:pt idx="757">
                    <c:v>0</c:v>
                  </c:pt>
                  <c:pt idx="758">
                    <c:v>0</c:v>
                  </c:pt>
                  <c:pt idx="759">
                    <c:v>0</c:v>
                  </c:pt>
                  <c:pt idx="760">
                    <c:v>0</c:v>
                  </c:pt>
                  <c:pt idx="761">
                    <c:v>0</c:v>
                  </c:pt>
                  <c:pt idx="762">
                    <c:v>0</c:v>
                  </c:pt>
                  <c:pt idx="763">
                    <c:v>0</c:v>
                  </c:pt>
                  <c:pt idx="764">
                    <c:v>0</c:v>
                  </c:pt>
                  <c:pt idx="765">
                    <c:v>0</c:v>
                  </c:pt>
                  <c:pt idx="766">
                    <c:v>0</c:v>
                  </c:pt>
                  <c:pt idx="767">
                    <c:v>0</c:v>
                  </c:pt>
                  <c:pt idx="768">
                    <c:v>0</c:v>
                  </c:pt>
                  <c:pt idx="769">
                    <c:v>0</c:v>
                  </c:pt>
                  <c:pt idx="770">
                    <c:v>0</c:v>
                  </c:pt>
                  <c:pt idx="771">
                    <c:v>0</c:v>
                  </c:pt>
                  <c:pt idx="772">
                    <c:v>0</c:v>
                  </c:pt>
                  <c:pt idx="773">
                    <c:v>0</c:v>
                  </c:pt>
                  <c:pt idx="774">
                    <c:v>0</c:v>
                  </c:pt>
                  <c:pt idx="775">
                    <c:v>0</c:v>
                  </c:pt>
                  <c:pt idx="776">
                    <c:v>0</c:v>
                  </c:pt>
                  <c:pt idx="777">
                    <c:v>0</c:v>
                  </c:pt>
                  <c:pt idx="778">
                    <c:v>0</c:v>
                  </c:pt>
                  <c:pt idx="779">
                    <c:v>0</c:v>
                  </c:pt>
                  <c:pt idx="780">
                    <c:v>0</c:v>
                  </c:pt>
                  <c:pt idx="781">
                    <c:v>0</c:v>
                  </c:pt>
                  <c:pt idx="782">
                    <c:v>0</c:v>
                  </c:pt>
                  <c:pt idx="783">
                    <c:v>0</c:v>
                  </c:pt>
                  <c:pt idx="784">
                    <c:v>0</c:v>
                  </c:pt>
                  <c:pt idx="785">
                    <c:v>0</c:v>
                  </c:pt>
                  <c:pt idx="786">
                    <c:v>0</c:v>
                  </c:pt>
                  <c:pt idx="787">
                    <c:v>0</c:v>
                  </c:pt>
                  <c:pt idx="788">
                    <c:v>0</c:v>
                  </c:pt>
                  <c:pt idx="789">
                    <c:v>0</c:v>
                  </c:pt>
                  <c:pt idx="790">
                    <c:v>0</c:v>
                  </c:pt>
                  <c:pt idx="791">
                    <c:v>0</c:v>
                  </c:pt>
                  <c:pt idx="792">
                    <c:v>0</c:v>
                  </c:pt>
                  <c:pt idx="793">
                    <c:v>0</c:v>
                  </c:pt>
                  <c:pt idx="794">
                    <c:v>0</c:v>
                  </c:pt>
                  <c:pt idx="795">
                    <c:v>0</c:v>
                  </c:pt>
                  <c:pt idx="796">
                    <c:v>0</c:v>
                  </c:pt>
                  <c:pt idx="797">
                    <c:v>0</c:v>
                  </c:pt>
                  <c:pt idx="798">
                    <c:v>0</c:v>
                  </c:pt>
                  <c:pt idx="799">
                    <c:v>0</c:v>
                  </c:pt>
                  <c:pt idx="800">
                    <c:v>0</c:v>
                  </c:pt>
                  <c:pt idx="801">
                    <c:v>0</c:v>
                  </c:pt>
                  <c:pt idx="802">
                    <c:v>0</c:v>
                  </c:pt>
                  <c:pt idx="803">
                    <c:v>0</c:v>
                  </c:pt>
                  <c:pt idx="804">
                    <c:v>0</c:v>
                  </c:pt>
                  <c:pt idx="805">
                    <c:v>0</c:v>
                  </c:pt>
                  <c:pt idx="806">
                    <c:v>0</c:v>
                  </c:pt>
                  <c:pt idx="807">
                    <c:v>0</c:v>
                  </c:pt>
                  <c:pt idx="808">
                    <c:v>0</c:v>
                  </c:pt>
                  <c:pt idx="809">
                    <c:v>0</c:v>
                  </c:pt>
                  <c:pt idx="810">
                    <c:v>0</c:v>
                  </c:pt>
                  <c:pt idx="811">
                    <c:v>0</c:v>
                  </c:pt>
                  <c:pt idx="812">
                    <c:v>0</c:v>
                  </c:pt>
                  <c:pt idx="813">
                    <c:v>0</c:v>
                  </c:pt>
                  <c:pt idx="814">
                    <c:v>0</c:v>
                  </c:pt>
                  <c:pt idx="815">
                    <c:v>0</c:v>
                  </c:pt>
                  <c:pt idx="816">
                    <c:v>0</c:v>
                  </c:pt>
                  <c:pt idx="817">
                    <c:v>0</c:v>
                  </c:pt>
                  <c:pt idx="818">
                    <c:v>0</c:v>
                  </c:pt>
                  <c:pt idx="819">
                    <c:v>0</c:v>
                  </c:pt>
                  <c:pt idx="820">
                    <c:v>0</c:v>
                  </c:pt>
                  <c:pt idx="821">
                    <c:v>0</c:v>
                  </c:pt>
                  <c:pt idx="822">
                    <c:v>0</c:v>
                  </c:pt>
                  <c:pt idx="823">
                    <c:v>0</c:v>
                  </c:pt>
                  <c:pt idx="824">
                    <c:v>0</c:v>
                  </c:pt>
                  <c:pt idx="825">
                    <c:v>0</c:v>
                  </c:pt>
                  <c:pt idx="826">
                    <c:v>0</c:v>
                  </c:pt>
                  <c:pt idx="827">
                    <c:v>0</c:v>
                  </c:pt>
                  <c:pt idx="828">
                    <c:v>0</c:v>
                  </c:pt>
                  <c:pt idx="829">
                    <c:v>0</c:v>
                  </c:pt>
                  <c:pt idx="830">
                    <c:v>0</c:v>
                  </c:pt>
                  <c:pt idx="831">
                    <c:v>0</c:v>
                  </c:pt>
                  <c:pt idx="832">
                    <c:v>0</c:v>
                  </c:pt>
                  <c:pt idx="833">
                    <c:v>0</c:v>
                  </c:pt>
                  <c:pt idx="834">
                    <c:v>0</c:v>
                  </c:pt>
                  <c:pt idx="835">
                    <c:v>0</c:v>
                  </c:pt>
                  <c:pt idx="836">
                    <c:v>0</c:v>
                  </c:pt>
                  <c:pt idx="837">
                    <c:v>0</c:v>
                  </c:pt>
                  <c:pt idx="838">
                    <c:v>0</c:v>
                  </c:pt>
                  <c:pt idx="839">
                    <c:v>0</c:v>
                  </c:pt>
                  <c:pt idx="840">
                    <c:v>0</c:v>
                  </c:pt>
                  <c:pt idx="841">
                    <c:v>0</c:v>
                  </c:pt>
                  <c:pt idx="842">
                    <c:v>0</c:v>
                  </c:pt>
                  <c:pt idx="843">
                    <c:v>0</c:v>
                  </c:pt>
                  <c:pt idx="844">
                    <c:v>0</c:v>
                  </c:pt>
                  <c:pt idx="845">
                    <c:v>0</c:v>
                  </c:pt>
                  <c:pt idx="846">
                    <c:v>0</c:v>
                  </c:pt>
                  <c:pt idx="847">
                    <c:v>0</c:v>
                  </c:pt>
                  <c:pt idx="848">
                    <c:v>0</c:v>
                  </c:pt>
                  <c:pt idx="849">
                    <c:v>0</c:v>
                  </c:pt>
                  <c:pt idx="850">
                    <c:v>0</c:v>
                  </c:pt>
                  <c:pt idx="851">
                    <c:v>0</c:v>
                  </c:pt>
                  <c:pt idx="852">
                    <c:v>0</c:v>
                  </c:pt>
                  <c:pt idx="853">
                    <c:v>0</c:v>
                  </c:pt>
                  <c:pt idx="854">
                    <c:v>0</c:v>
                  </c:pt>
                  <c:pt idx="855">
                    <c:v>0</c:v>
                  </c:pt>
                  <c:pt idx="856">
                    <c:v>0</c:v>
                  </c:pt>
                  <c:pt idx="857">
                    <c:v>0</c:v>
                  </c:pt>
                  <c:pt idx="858">
                    <c:v>0</c:v>
                  </c:pt>
                  <c:pt idx="859">
                    <c:v>0</c:v>
                  </c:pt>
                  <c:pt idx="860">
                    <c:v>0</c:v>
                  </c:pt>
                  <c:pt idx="861">
                    <c:v>0</c:v>
                  </c:pt>
                  <c:pt idx="862">
                    <c:v>0</c:v>
                  </c:pt>
                  <c:pt idx="863">
                    <c:v>0</c:v>
                  </c:pt>
                  <c:pt idx="864">
                    <c:v>0</c:v>
                  </c:pt>
                  <c:pt idx="865">
                    <c:v>0</c:v>
                  </c:pt>
                  <c:pt idx="866">
                    <c:v>0</c:v>
                  </c:pt>
                  <c:pt idx="867">
                    <c:v>0</c:v>
                  </c:pt>
                  <c:pt idx="868">
                    <c:v>0</c:v>
                  </c:pt>
                  <c:pt idx="869">
                    <c:v>0</c:v>
                  </c:pt>
                  <c:pt idx="870">
                    <c:v>0</c:v>
                  </c:pt>
                  <c:pt idx="871">
                    <c:v>0</c:v>
                  </c:pt>
                  <c:pt idx="872">
                    <c:v>0</c:v>
                  </c:pt>
                  <c:pt idx="873">
                    <c:v>0</c:v>
                  </c:pt>
                  <c:pt idx="874">
                    <c:v>0</c:v>
                  </c:pt>
                  <c:pt idx="875">
                    <c:v>0</c:v>
                  </c:pt>
                  <c:pt idx="876">
                    <c:v>0</c:v>
                  </c:pt>
                  <c:pt idx="877">
                    <c:v>0</c:v>
                  </c:pt>
                  <c:pt idx="878">
                    <c:v>0</c:v>
                  </c:pt>
                  <c:pt idx="879">
                    <c:v>0</c:v>
                  </c:pt>
                  <c:pt idx="880">
                    <c:v>0</c:v>
                  </c:pt>
                  <c:pt idx="881">
                    <c:v>0</c:v>
                  </c:pt>
                  <c:pt idx="882">
                    <c:v>0</c:v>
                  </c:pt>
                  <c:pt idx="883">
                    <c:v>0</c:v>
                  </c:pt>
                  <c:pt idx="884">
                    <c:v>0</c:v>
                  </c:pt>
                  <c:pt idx="885">
                    <c:v>0</c:v>
                  </c:pt>
                  <c:pt idx="886">
                    <c:v>0</c:v>
                  </c:pt>
                  <c:pt idx="887">
                    <c:v>0</c:v>
                  </c:pt>
                  <c:pt idx="888">
                    <c:v>0</c:v>
                  </c:pt>
                  <c:pt idx="889">
                    <c:v>0</c:v>
                  </c:pt>
                  <c:pt idx="890">
                    <c:v>0</c:v>
                  </c:pt>
                  <c:pt idx="891">
                    <c:v>0</c:v>
                  </c:pt>
                  <c:pt idx="892">
                    <c:v>0</c:v>
                  </c:pt>
                  <c:pt idx="893">
                    <c:v>0</c:v>
                  </c:pt>
                  <c:pt idx="894">
                    <c:v>0</c:v>
                  </c:pt>
                  <c:pt idx="895">
                    <c:v>0</c:v>
                  </c:pt>
                  <c:pt idx="896">
                    <c:v>0</c:v>
                  </c:pt>
                  <c:pt idx="897">
                    <c:v>0</c:v>
                  </c:pt>
                  <c:pt idx="898">
                    <c:v>0</c:v>
                  </c:pt>
                  <c:pt idx="899">
                    <c:v>0</c:v>
                  </c:pt>
                  <c:pt idx="900">
                    <c:v>0</c:v>
                  </c:pt>
                  <c:pt idx="901">
                    <c:v>0</c:v>
                  </c:pt>
                  <c:pt idx="902">
                    <c:v>0</c:v>
                  </c:pt>
                  <c:pt idx="903">
                    <c:v>0</c:v>
                  </c:pt>
                  <c:pt idx="904">
                    <c:v>0</c:v>
                  </c:pt>
                  <c:pt idx="905">
                    <c:v>0</c:v>
                  </c:pt>
                  <c:pt idx="906">
                    <c:v>0</c:v>
                  </c:pt>
                  <c:pt idx="907">
                    <c:v>0</c:v>
                  </c:pt>
                  <c:pt idx="908">
                    <c:v>0</c:v>
                  </c:pt>
                  <c:pt idx="909">
                    <c:v>0</c:v>
                  </c:pt>
                  <c:pt idx="910">
                    <c:v>0</c:v>
                  </c:pt>
                  <c:pt idx="911">
                    <c:v>0</c:v>
                  </c:pt>
                  <c:pt idx="912">
                    <c:v>0</c:v>
                  </c:pt>
                  <c:pt idx="913">
                    <c:v>0</c:v>
                  </c:pt>
                  <c:pt idx="914">
                    <c:v>0</c:v>
                  </c:pt>
                  <c:pt idx="915">
                    <c:v>0</c:v>
                  </c:pt>
                  <c:pt idx="916">
                    <c:v>0</c:v>
                  </c:pt>
                  <c:pt idx="917">
                    <c:v>0</c:v>
                  </c:pt>
                  <c:pt idx="918">
                    <c:v>0</c:v>
                  </c:pt>
                  <c:pt idx="919">
                    <c:v>0</c:v>
                  </c:pt>
                  <c:pt idx="920">
                    <c:v>0</c:v>
                  </c:pt>
                  <c:pt idx="921">
                    <c:v>0</c:v>
                  </c:pt>
                  <c:pt idx="922">
                    <c:v>0</c:v>
                  </c:pt>
                  <c:pt idx="923">
                    <c:v>0</c:v>
                  </c:pt>
                  <c:pt idx="924">
                    <c:v>0</c:v>
                  </c:pt>
                  <c:pt idx="925">
                    <c:v>0</c:v>
                  </c:pt>
                  <c:pt idx="926">
                    <c:v>0</c:v>
                  </c:pt>
                  <c:pt idx="927">
                    <c:v>0</c:v>
                  </c:pt>
                  <c:pt idx="928">
                    <c:v>0</c:v>
                  </c:pt>
                  <c:pt idx="929">
                    <c:v>0</c:v>
                  </c:pt>
                  <c:pt idx="930">
                    <c:v>0</c:v>
                  </c:pt>
                  <c:pt idx="931">
                    <c:v>0</c:v>
                  </c:pt>
                  <c:pt idx="932">
                    <c:v>0</c:v>
                  </c:pt>
                  <c:pt idx="933">
                    <c:v>0</c:v>
                  </c:pt>
                  <c:pt idx="934">
                    <c:v>0</c:v>
                  </c:pt>
                  <c:pt idx="935">
                    <c:v>0</c:v>
                  </c:pt>
                  <c:pt idx="936">
                    <c:v>0</c:v>
                  </c:pt>
                  <c:pt idx="937">
                    <c:v>0</c:v>
                  </c:pt>
                  <c:pt idx="938">
                    <c:v>0</c:v>
                  </c:pt>
                  <c:pt idx="939">
                    <c:v>0</c:v>
                  </c:pt>
                  <c:pt idx="940">
                    <c:v>0</c:v>
                  </c:pt>
                  <c:pt idx="941">
                    <c:v>0</c:v>
                  </c:pt>
                  <c:pt idx="942">
                    <c:v>0</c:v>
                  </c:pt>
                  <c:pt idx="943">
                    <c:v>0</c:v>
                  </c:pt>
                  <c:pt idx="944">
                    <c:v>0</c:v>
                  </c:pt>
                  <c:pt idx="945">
                    <c:v>0</c:v>
                  </c:pt>
                  <c:pt idx="946">
                    <c:v>0</c:v>
                  </c:pt>
                  <c:pt idx="947">
                    <c:v>0</c:v>
                  </c:pt>
                  <c:pt idx="948">
                    <c:v>0</c:v>
                  </c:pt>
                  <c:pt idx="949">
                    <c:v>0</c:v>
                  </c:pt>
                  <c:pt idx="950">
                    <c:v>0</c:v>
                  </c:pt>
                  <c:pt idx="951">
                    <c:v>0</c:v>
                  </c:pt>
                  <c:pt idx="952">
                    <c:v>0</c:v>
                  </c:pt>
                  <c:pt idx="953">
                    <c:v>0</c:v>
                  </c:pt>
                  <c:pt idx="954">
                    <c:v>0</c:v>
                  </c:pt>
                  <c:pt idx="955">
                    <c:v>0</c:v>
                  </c:pt>
                  <c:pt idx="956">
                    <c:v>0</c:v>
                  </c:pt>
                  <c:pt idx="957">
                    <c:v>0</c:v>
                  </c:pt>
                  <c:pt idx="958">
                    <c:v>0</c:v>
                  </c:pt>
                  <c:pt idx="959">
                    <c:v>0</c:v>
                  </c:pt>
                  <c:pt idx="960">
                    <c:v>0</c:v>
                  </c:pt>
                  <c:pt idx="961">
                    <c:v>0</c:v>
                  </c:pt>
                  <c:pt idx="962">
                    <c:v>0</c:v>
                  </c:pt>
                  <c:pt idx="963">
                    <c:v>0</c:v>
                  </c:pt>
                  <c:pt idx="964">
                    <c:v>0</c:v>
                  </c:pt>
                  <c:pt idx="965">
                    <c:v>0</c:v>
                  </c:pt>
                  <c:pt idx="966">
                    <c:v>0</c:v>
                  </c:pt>
                  <c:pt idx="967">
                    <c:v>0</c:v>
                  </c:pt>
                  <c:pt idx="968">
                    <c:v>0</c:v>
                  </c:pt>
                  <c:pt idx="969">
                    <c:v>0</c:v>
                  </c:pt>
                  <c:pt idx="970">
                    <c:v>0</c:v>
                  </c:pt>
                  <c:pt idx="971">
                    <c:v>0</c:v>
                  </c:pt>
                  <c:pt idx="972">
                    <c:v>0</c:v>
                  </c:pt>
                  <c:pt idx="973">
                    <c:v>0</c:v>
                  </c:pt>
                  <c:pt idx="974">
                    <c:v>0</c:v>
                  </c:pt>
                  <c:pt idx="975">
                    <c:v>0</c:v>
                  </c:pt>
                  <c:pt idx="976">
                    <c:v>0</c:v>
                  </c:pt>
                  <c:pt idx="977">
                    <c:v>0</c:v>
                  </c:pt>
                  <c:pt idx="978">
                    <c:v>0</c:v>
                  </c:pt>
                  <c:pt idx="979">
                    <c:v>0</c:v>
                  </c:pt>
                  <c:pt idx="980">
                    <c:v>0</c:v>
                  </c:pt>
                  <c:pt idx="981">
                    <c:v>0</c:v>
                  </c:pt>
                  <c:pt idx="982">
                    <c:v>0</c:v>
                  </c:pt>
                  <c:pt idx="983">
                    <c:v>0</c:v>
                  </c:pt>
                  <c:pt idx="984">
                    <c:v>0</c:v>
                  </c:pt>
                  <c:pt idx="985">
                    <c:v>0</c:v>
                  </c:pt>
                  <c:pt idx="986">
                    <c:v>0</c:v>
                  </c:pt>
                  <c:pt idx="987">
                    <c:v>0</c:v>
                  </c:pt>
                  <c:pt idx="988">
                    <c:v>0</c:v>
                  </c:pt>
                  <c:pt idx="989">
                    <c:v>0</c:v>
                  </c:pt>
                  <c:pt idx="990">
                    <c:v>0</c:v>
                  </c:pt>
                  <c:pt idx="991">
                    <c:v>0</c:v>
                  </c:pt>
                  <c:pt idx="992">
                    <c:v>0</c:v>
                  </c:pt>
                  <c:pt idx="993">
                    <c:v>0</c:v>
                  </c:pt>
                  <c:pt idx="994">
                    <c:v>0</c:v>
                  </c:pt>
                  <c:pt idx="995">
                    <c:v>0</c:v>
                  </c:pt>
                  <c:pt idx="996">
                    <c:v>0</c:v>
                  </c:pt>
                  <c:pt idx="997">
                    <c:v>0</c:v>
                  </c:pt>
                  <c:pt idx="998">
                    <c:v>0</c:v>
                  </c:pt>
                  <c:pt idx="999">
                    <c:v>0</c:v>
                  </c:pt>
                  <c:pt idx="1000">
                    <c:v>0</c:v>
                  </c:pt>
                  <c:pt idx="1001">
                    <c:v>0</c:v>
                  </c:pt>
                  <c:pt idx="1002">
                    <c:v>0</c:v>
                  </c:pt>
                  <c:pt idx="1003">
                    <c:v>0</c:v>
                  </c:pt>
                  <c:pt idx="1004">
                    <c:v>0</c:v>
                  </c:pt>
                  <c:pt idx="1005">
                    <c:v>0</c:v>
                  </c:pt>
                  <c:pt idx="1006">
                    <c:v>0</c:v>
                  </c:pt>
                  <c:pt idx="1007">
                    <c:v>0</c:v>
                  </c:pt>
                  <c:pt idx="1008">
                    <c:v>0</c:v>
                  </c:pt>
                  <c:pt idx="1009">
                    <c:v>0</c:v>
                  </c:pt>
                  <c:pt idx="1010">
                    <c:v>0</c:v>
                  </c:pt>
                  <c:pt idx="1011">
                    <c:v>0</c:v>
                  </c:pt>
                  <c:pt idx="1012">
                    <c:v>0</c:v>
                  </c:pt>
                  <c:pt idx="1013">
                    <c:v>0</c:v>
                  </c:pt>
                  <c:pt idx="1014">
                    <c:v>0</c:v>
                  </c:pt>
                  <c:pt idx="1015">
                    <c:v>0</c:v>
                  </c:pt>
                  <c:pt idx="1016">
                    <c:v>0</c:v>
                  </c:pt>
                  <c:pt idx="1017">
                    <c:v>0</c:v>
                  </c:pt>
                  <c:pt idx="1018">
                    <c:v>0</c:v>
                  </c:pt>
                  <c:pt idx="1019">
                    <c:v>0</c:v>
                  </c:pt>
                  <c:pt idx="1020">
                    <c:v>0</c:v>
                  </c:pt>
                  <c:pt idx="1021">
                    <c:v>0</c:v>
                  </c:pt>
                  <c:pt idx="1022">
                    <c:v>0</c:v>
                  </c:pt>
                  <c:pt idx="1023">
                    <c:v>0</c:v>
                  </c:pt>
                  <c:pt idx="1024">
                    <c:v>0</c:v>
                  </c:pt>
                  <c:pt idx="1025">
                    <c:v>0</c:v>
                  </c:pt>
                  <c:pt idx="1026">
                    <c:v>0</c:v>
                  </c:pt>
                  <c:pt idx="1027">
                    <c:v>0</c:v>
                  </c:pt>
                  <c:pt idx="1028">
                    <c:v>0</c:v>
                  </c:pt>
                  <c:pt idx="1029">
                    <c:v>0</c:v>
                  </c:pt>
                  <c:pt idx="1030">
                    <c:v>0</c:v>
                  </c:pt>
                  <c:pt idx="1031">
                    <c:v>0</c:v>
                  </c:pt>
                  <c:pt idx="1032">
                    <c:v>0</c:v>
                  </c:pt>
                  <c:pt idx="1033">
                    <c:v>0</c:v>
                  </c:pt>
                  <c:pt idx="1034">
                    <c:v>0</c:v>
                  </c:pt>
                  <c:pt idx="1035">
                    <c:v>0</c:v>
                  </c:pt>
                  <c:pt idx="1036">
                    <c:v>0</c:v>
                  </c:pt>
                  <c:pt idx="1037">
                    <c:v>0</c:v>
                  </c:pt>
                  <c:pt idx="1038">
                    <c:v>0</c:v>
                  </c:pt>
                  <c:pt idx="1039">
                    <c:v>0</c:v>
                  </c:pt>
                  <c:pt idx="1040">
                    <c:v>0</c:v>
                  </c:pt>
                  <c:pt idx="1041">
                    <c:v>0</c:v>
                  </c:pt>
                  <c:pt idx="1042">
                    <c:v>0</c:v>
                  </c:pt>
                  <c:pt idx="1043">
                    <c:v>0</c:v>
                  </c:pt>
                  <c:pt idx="1044">
                    <c:v>0</c:v>
                  </c:pt>
                  <c:pt idx="1045">
                    <c:v>0</c:v>
                  </c:pt>
                  <c:pt idx="1046">
                    <c:v>0</c:v>
                  </c:pt>
                  <c:pt idx="1047">
                    <c:v>0</c:v>
                  </c:pt>
                  <c:pt idx="1048">
                    <c:v>0</c:v>
                  </c:pt>
                  <c:pt idx="1049">
                    <c:v>0</c:v>
                  </c:pt>
                  <c:pt idx="1050">
                    <c:v>0</c:v>
                  </c:pt>
                  <c:pt idx="1051">
                    <c:v>0</c:v>
                  </c:pt>
                  <c:pt idx="1052">
                    <c:v>0</c:v>
                  </c:pt>
                  <c:pt idx="1053">
                    <c:v>0</c:v>
                  </c:pt>
                  <c:pt idx="1054">
                    <c:v>0</c:v>
                  </c:pt>
                  <c:pt idx="1055">
                    <c:v>0</c:v>
                  </c:pt>
                  <c:pt idx="1056">
                    <c:v>0</c:v>
                  </c:pt>
                  <c:pt idx="1057">
                    <c:v>0</c:v>
                  </c:pt>
                  <c:pt idx="1058">
                    <c:v>0</c:v>
                  </c:pt>
                  <c:pt idx="1059">
                    <c:v>0</c:v>
                  </c:pt>
                  <c:pt idx="1060">
                    <c:v>0</c:v>
                  </c:pt>
                  <c:pt idx="1061">
                    <c:v>0</c:v>
                  </c:pt>
                  <c:pt idx="1062">
                    <c:v>0</c:v>
                  </c:pt>
                  <c:pt idx="1063">
                    <c:v>0</c:v>
                  </c:pt>
                  <c:pt idx="1064">
                    <c:v>0</c:v>
                  </c:pt>
                  <c:pt idx="1065">
                    <c:v>0</c:v>
                  </c:pt>
                  <c:pt idx="1066">
                    <c:v>0</c:v>
                  </c:pt>
                  <c:pt idx="1067">
                    <c:v>0</c:v>
                  </c:pt>
                  <c:pt idx="1068">
                    <c:v>0</c:v>
                  </c:pt>
                  <c:pt idx="1069">
                    <c:v>0</c:v>
                  </c:pt>
                  <c:pt idx="1070">
                    <c:v>0</c:v>
                  </c:pt>
                  <c:pt idx="1071">
                    <c:v>0</c:v>
                  </c:pt>
                  <c:pt idx="1072">
                    <c:v>0</c:v>
                  </c:pt>
                  <c:pt idx="1073">
                    <c:v>0</c:v>
                  </c:pt>
                  <c:pt idx="1074">
                    <c:v>0</c:v>
                  </c:pt>
                  <c:pt idx="1075">
                    <c:v>0</c:v>
                  </c:pt>
                  <c:pt idx="1076">
                    <c:v>0</c:v>
                  </c:pt>
                  <c:pt idx="1077">
                    <c:v>0</c:v>
                  </c:pt>
                  <c:pt idx="1078">
                    <c:v>0</c:v>
                  </c:pt>
                  <c:pt idx="1079">
                    <c:v>0</c:v>
                  </c:pt>
                  <c:pt idx="1080">
                    <c:v>0</c:v>
                  </c:pt>
                  <c:pt idx="1081">
                    <c:v>0</c:v>
                  </c:pt>
                  <c:pt idx="1082">
                    <c:v>0</c:v>
                  </c:pt>
                  <c:pt idx="1083">
                    <c:v>0</c:v>
                  </c:pt>
                  <c:pt idx="1084">
                    <c:v>0</c:v>
                  </c:pt>
                  <c:pt idx="1085">
                    <c:v>0</c:v>
                  </c:pt>
                  <c:pt idx="1086">
                    <c:v>0</c:v>
                  </c:pt>
                  <c:pt idx="1087">
                    <c:v>0</c:v>
                  </c:pt>
                  <c:pt idx="1088">
                    <c:v>0</c:v>
                  </c:pt>
                  <c:pt idx="1089">
                    <c:v>0</c:v>
                  </c:pt>
                  <c:pt idx="1090">
                    <c:v>0</c:v>
                  </c:pt>
                  <c:pt idx="1091">
                    <c:v>0</c:v>
                  </c:pt>
                  <c:pt idx="1092">
                    <c:v>0</c:v>
                  </c:pt>
                  <c:pt idx="1093">
                    <c:v>0</c:v>
                  </c:pt>
                  <c:pt idx="1094">
                    <c:v>0</c:v>
                  </c:pt>
                  <c:pt idx="1095">
                    <c:v>0</c:v>
                  </c:pt>
                  <c:pt idx="1096">
                    <c:v>0</c:v>
                  </c:pt>
                  <c:pt idx="1097">
                    <c:v>0</c:v>
                  </c:pt>
                  <c:pt idx="1098">
                    <c:v>0</c:v>
                  </c:pt>
                  <c:pt idx="1099">
                    <c:v>0</c:v>
                  </c:pt>
                  <c:pt idx="1100">
                    <c:v>0</c:v>
                  </c:pt>
                  <c:pt idx="1101">
                    <c:v>0</c:v>
                  </c:pt>
                  <c:pt idx="1102">
                    <c:v>0</c:v>
                  </c:pt>
                  <c:pt idx="1103">
                    <c:v>0</c:v>
                  </c:pt>
                  <c:pt idx="1104">
                    <c:v>0</c:v>
                  </c:pt>
                  <c:pt idx="1105">
                    <c:v>0</c:v>
                  </c:pt>
                  <c:pt idx="1106">
                    <c:v>0</c:v>
                  </c:pt>
                  <c:pt idx="1107">
                    <c:v>0</c:v>
                  </c:pt>
                  <c:pt idx="1108">
                    <c:v>0</c:v>
                  </c:pt>
                  <c:pt idx="1109">
                    <c:v>0</c:v>
                  </c:pt>
                  <c:pt idx="1110">
                    <c:v>0</c:v>
                  </c:pt>
                  <c:pt idx="1111">
                    <c:v>0</c:v>
                  </c:pt>
                  <c:pt idx="1112">
                    <c:v>0</c:v>
                  </c:pt>
                  <c:pt idx="1113">
                    <c:v>0</c:v>
                  </c:pt>
                  <c:pt idx="1114">
                    <c:v>0</c:v>
                  </c:pt>
                  <c:pt idx="1115">
                    <c:v>0</c:v>
                  </c:pt>
                  <c:pt idx="1116">
                    <c:v>0</c:v>
                  </c:pt>
                  <c:pt idx="1117">
                    <c:v>0</c:v>
                  </c:pt>
                  <c:pt idx="1118">
                    <c:v>0</c:v>
                  </c:pt>
                  <c:pt idx="1119">
                    <c:v>0</c:v>
                  </c:pt>
                  <c:pt idx="1120">
                    <c:v>0</c:v>
                  </c:pt>
                  <c:pt idx="1121">
                    <c:v>0</c:v>
                  </c:pt>
                  <c:pt idx="1122">
                    <c:v>0</c:v>
                  </c:pt>
                  <c:pt idx="1123">
                    <c:v>0</c:v>
                  </c:pt>
                  <c:pt idx="1124">
                    <c:v>0</c:v>
                  </c:pt>
                  <c:pt idx="1125">
                    <c:v>0</c:v>
                  </c:pt>
                  <c:pt idx="1126">
                    <c:v>0</c:v>
                  </c:pt>
                  <c:pt idx="1127">
                    <c:v>0</c:v>
                  </c:pt>
                  <c:pt idx="1128">
                    <c:v>0</c:v>
                  </c:pt>
                  <c:pt idx="1129">
                    <c:v>0</c:v>
                  </c:pt>
                  <c:pt idx="1130">
                    <c:v>0</c:v>
                  </c:pt>
                  <c:pt idx="1131">
                    <c:v>0</c:v>
                  </c:pt>
                  <c:pt idx="1132">
                    <c:v>0</c:v>
                  </c:pt>
                  <c:pt idx="1133">
                    <c:v>0</c:v>
                  </c:pt>
                  <c:pt idx="1134">
                    <c:v>0</c:v>
                  </c:pt>
                  <c:pt idx="1135">
                    <c:v>0</c:v>
                  </c:pt>
                  <c:pt idx="1136">
                    <c:v>0</c:v>
                  </c:pt>
                  <c:pt idx="1137">
                    <c:v>0</c:v>
                  </c:pt>
                  <c:pt idx="1138">
                    <c:v>0</c:v>
                  </c:pt>
                  <c:pt idx="1139">
                    <c:v>0</c:v>
                  </c:pt>
                  <c:pt idx="1140">
                    <c:v>0</c:v>
                  </c:pt>
                  <c:pt idx="1141">
                    <c:v>0</c:v>
                  </c:pt>
                  <c:pt idx="1142">
                    <c:v>0</c:v>
                  </c:pt>
                  <c:pt idx="1143">
                    <c:v>0</c:v>
                  </c:pt>
                  <c:pt idx="1144">
                    <c:v>0</c:v>
                  </c:pt>
                  <c:pt idx="1145">
                    <c:v>0</c:v>
                  </c:pt>
                  <c:pt idx="1146">
                    <c:v>0</c:v>
                  </c:pt>
                  <c:pt idx="1147">
                    <c:v>0</c:v>
                  </c:pt>
                  <c:pt idx="1148">
                    <c:v>0</c:v>
                  </c:pt>
                  <c:pt idx="1149">
                    <c:v>0</c:v>
                  </c:pt>
                  <c:pt idx="1150">
                    <c:v>0</c:v>
                  </c:pt>
                  <c:pt idx="1151">
                    <c:v>0</c:v>
                  </c:pt>
                  <c:pt idx="1152">
                    <c:v>0</c:v>
                  </c:pt>
                  <c:pt idx="1153">
                    <c:v>0</c:v>
                  </c:pt>
                  <c:pt idx="1154">
                    <c:v>0</c:v>
                  </c:pt>
                  <c:pt idx="1155">
                    <c:v>0</c:v>
                  </c:pt>
                  <c:pt idx="1156">
                    <c:v>0</c:v>
                  </c:pt>
                  <c:pt idx="1157">
                    <c:v>0</c:v>
                  </c:pt>
                  <c:pt idx="1158">
                    <c:v>0</c:v>
                  </c:pt>
                  <c:pt idx="1159">
                    <c:v>0</c:v>
                  </c:pt>
                  <c:pt idx="1160">
                    <c:v>0</c:v>
                  </c:pt>
                  <c:pt idx="1161">
                    <c:v>0</c:v>
                  </c:pt>
                  <c:pt idx="1162">
                    <c:v>0</c:v>
                  </c:pt>
                  <c:pt idx="1163">
                    <c:v>0</c:v>
                  </c:pt>
                  <c:pt idx="1164">
                    <c:v>0</c:v>
                  </c:pt>
                  <c:pt idx="1165">
                    <c:v>0</c:v>
                  </c:pt>
                  <c:pt idx="1166">
                    <c:v>0</c:v>
                  </c:pt>
                  <c:pt idx="1167">
                    <c:v>0</c:v>
                  </c:pt>
                  <c:pt idx="1168">
                    <c:v>0</c:v>
                  </c:pt>
                  <c:pt idx="1169">
                    <c:v>0</c:v>
                  </c:pt>
                  <c:pt idx="1170">
                    <c:v>0</c:v>
                  </c:pt>
                  <c:pt idx="1171">
                    <c:v>0</c:v>
                  </c:pt>
                  <c:pt idx="1172">
                    <c:v>0</c:v>
                  </c:pt>
                  <c:pt idx="1173">
                    <c:v>0</c:v>
                  </c:pt>
                  <c:pt idx="1174">
                    <c:v>0</c:v>
                  </c:pt>
                  <c:pt idx="1175">
                    <c:v>0</c:v>
                  </c:pt>
                  <c:pt idx="1176">
                    <c:v>0</c:v>
                  </c:pt>
                  <c:pt idx="1177">
                    <c:v>0</c:v>
                  </c:pt>
                  <c:pt idx="1178">
                    <c:v>0</c:v>
                  </c:pt>
                  <c:pt idx="1179">
                    <c:v>0</c:v>
                  </c:pt>
                  <c:pt idx="1180">
                    <c:v>0</c:v>
                  </c:pt>
                  <c:pt idx="1181">
                    <c:v>0</c:v>
                  </c:pt>
                  <c:pt idx="1182">
                    <c:v>0</c:v>
                  </c:pt>
                  <c:pt idx="1183">
                    <c:v>0</c:v>
                  </c:pt>
                  <c:pt idx="1184">
                    <c:v>0</c:v>
                  </c:pt>
                  <c:pt idx="1185">
                    <c:v>0</c:v>
                  </c:pt>
                  <c:pt idx="1186">
                    <c:v>0</c:v>
                  </c:pt>
                  <c:pt idx="1187">
                    <c:v>0</c:v>
                  </c:pt>
                  <c:pt idx="1188">
                    <c:v>0</c:v>
                  </c:pt>
                  <c:pt idx="1189">
                    <c:v>0</c:v>
                  </c:pt>
                  <c:pt idx="1190">
                    <c:v>0</c:v>
                  </c:pt>
                  <c:pt idx="1191">
                    <c:v>0</c:v>
                  </c:pt>
                  <c:pt idx="1192">
                    <c:v>0</c:v>
                  </c:pt>
                  <c:pt idx="1193">
                    <c:v>0</c:v>
                  </c:pt>
                  <c:pt idx="1194">
                    <c:v>0</c:v>
                  </c:pt>
                  <c:pt idx="1195">
                    <c:v>0</c:v>
                  </c:pt>
                  <c:pt idx="1196">
                    <c:v>0</c:v>
                  </c:pt>
                  <c:pt idx="1197">
                    <c:v>0</c:v>
                  </c:pt>
                  <c:pt idx="1198">
                    <c:v>0</c:v>
                  </c:pt>
                  <c:pt idx="1199">
                    <c:v>0</c:v>
                  </c:pt>
                  <c:pt idx="1200">
                    <c:v>0</c:v>
                  </c:pt>
                  <c:pt idx="1201">
                    <c:v>0</c:v>
                  </c:pt>
                  <c:pt idx="1202">
                    <c:v>0</c:v>
                  </c:pt>
                  <c:pt idx="1203">
                    <c:v>0</c:v>
                  </c:pt>
                  <c:pt idx="1204">
                    <c:v>0</c:v>
                  </c:pt>
                  <c:pt idx="1205">
                    <c:v>0</c:v>
                  </c:pt>
                  <c:pt idx="1206">
                    <c:v>0</c:v>
                  </c:pt>
                  <c:pt idx="1207">
                    <c:v>0</c:v>
                  </c:pt>
                  <c:pt idx="1208">
                    <c:v>0</c:v>
                  </c:pt>
                  <c:pt idx="1209">
                    <c:v>0</c:v>
                  </c:pt>
                  <c:pt idx="1210">
                    <c:v>0</c:v>
                  </c:pt>
                  <c:pt idx="1211">
                    <c:v>0</c:v>
                  </c:pt>
                  <c:pt idx="1212">
                    <c:v>0</c:v>
                  </c:pt>
                  <c:pt idx="1213">
                    <c:v>0</c:v>
                  </c:pt>
                  <c:pt idx="1214">
                    <c:v>0</c:v>
                  </c:pt>
                  <c:pt idx="1215">
                    <c:v>0</c:v>
                  </c:pt>
                  <c:pt idx="1216">
                    <c:v>0</c:v>
                  </c:pt>
                  <c:pt idx="1217">
                    <c:v>0</c:v>
                  </c:pt>
                  <c:pt idx="1218">
                    <c:v>0</c:v>
                  </c:pt>
                  <c:pt idx="1219">
                    <c:v>0</c:v>
                  </c:pt>
                  <c:pt idx="1220">
                    <c:v>0</c:v>
                  </c:pt>
                  <c:pt idx="1221">
                    <c:v>0</c:v>
                  </c:pt>
                  <c:pt idx="1222">
                    <c:v>0</c:v>
                  </c:pt>
                  <c:pt idx="1223">
                    <c:v>0</c:v>
                  </c:pt>
                  <c:pt idx="1224">
                    <c:v>0</c:v>
                  </c:pt>
                  <c:pt idx="1225">
                    <c:v>0</c:v>
                  </c:pt>
                  <c:pt idx="1226">
                    <c:v>0</c:v>
                  </c:pt>
                  <c:pt idx="1227">
                    <c:v>0</c:v>
                  </c:pt>
                  <c:pt idx="1228">
                    <c:v>0</c:v>
                  </c:pt>
                  <c:pt idx="1229">
                    <c:v>0</c:v>
                  </c:pt>
                  <c:pt idx="1230">
                    <c:v>0</c:v>
                  </c:pt>
                  <c:pt idx="1231">
                    <c:v>0</c:v>
                  </c:pt>
                  <c:pt idx="1232">
                    <c:v>0</c:v>
                  </c:pt>
                  <c:pt idx="1233">
                    <c:v>0</c:v>
                  </c:pt>
                  <c:pt idx="1234">
                    <c:v>0</c:v>
                  </c:pt>
                  <c:pt idx="1235">
                    <c:v>0</c:v>
                  </c:pt>
                  <c:pt idx="1236">
                    <c:v>0</c:v>
                  </c:pt>
                  <c:pt idx="1237">
                    <c:v>0</c:v>
                  </c:pt>
                  <c:pt idx="1238">
                    <c:v>0</c:v>
                  </c:pt>
                  <c:pt idx="1239">
                    <c:v>0</c:v>
                  </c:pt>
                  <c:pt idx="1240">
                    <c:v>0</c:v>
                  </c:pt>
                  <c:pt idx="1241">
                    <c:v>0</c:v>
                  </c:pt>
                  <c:pt idx="1242">
                    <c:v>0</c:v>
                  </c:pt>
                  <c:pt idx="1243">
                    <c:v>0</c:v>
                  </c:pt>
                  <c:pt idx="1244">
                    <c:v>0</c:v>
                  </c:pt>
                  <c:pt idx="1245">
                    <c:v>0</c:v>
                  </c:pt>
                  <c:pt idx="1246">
                    <c:v>0</c:v>
                  </c:pt>
                  <c:pt idx="1247">
                    <c:v>0</c:v>
                  </c:pt>
                  <c:pt idx="1248">
                    <c:v>0</c:v>
                  </c:pt>
                  <c:pt idx="1249">
                    <c:v>0</c:v>
                  </c:pt>
                  <c:pt idx="1250">
                    <c:v>0</c:v>
                  </c:pt>
                  <c:pt idx="1251">
                    <c:v>0</c:v>
                  </c:pt>
                  <c:pt idx="1252">
                    <c:v>0</c:v>
                  </c:pt>
                  <c:pt idx="1253">
                    <c:v>0</c:v>
                  </c:pt>
                  <c:pt idx="1254">
                    <c:v>0</c:v>
                  </c:pt>
                  <c:pt idx="1255">
                    <c:v>0</c:v>
                  </c:pt>
                  <c:pt idx="1256">
                    <c:v>0</c:v>
                  </c:pt>
                  <c:pt idx="1257">
                    <c:v>0</c:v>
                  </c:pt>
                  <c:pt idx="1258">
                    <c:v>0</c:v>
                  </c:pt>
                  <c:pt idx="1259">
                    <c:v>0</c:v>
                  </c:pt>
                  <c:pt idx="1260">
                    <c:v>0</c:v>
                  </c:pt>
                  <c:pt idx="1261">
                    <c:v>0</c:v>
                  </c:pt>
                  <c:pt idx="1262">
                    <c:v>0</c:v>
                  </c:pt>
                  <c:pt idx="1263">
                    <c:v>0</c:v>
                  </c:pt>
                  <c:pt idx="1264">
                    <c:v>0</c:v>
                  </c:pt>
                  <c:pt idx="1265">
                    <c:v>0</c:v>
                  </c:pt>
                  <c:pt idx="1266">
                    <c:v>0</c:v>
                  </c:pt>
                  <c:pt idx="1267">
                    <c:v>0</c:v>
                  </c:pt>
                  <c:pt idx="1268">
                    <c:v>0</c:v>
                  </c:pt>
                  <c:pt idx="1269">
                    <c:v>0</c:v>
                  </c:pt>
                  <c:pt idx="1270">
                    <c:v>0</c:v>
                  </c:pt>
                  <c:pt idx="1271">
                    <c:v>0</c:v>
                  </c:pt>
                  <c:pt idx="1272">
                    <c:v>0</c:v>
                  </c:pt>
                  <c:pt idx="1273">
                    <c:v>0</c:v>
                  </c:pt>
                  <c:pt idx="1274">
                    <c:v>0</c:v>
                  </c:pt>
                  <c:pt idx="1275">
                    <c:v>0</c:v>
                  </c:pt>
                  <c:pt idx="1276">
                    <c:v>0</c:v>
                  </c:pt>
                  <c:pt idx="1277">
                    <c:v>0</c:v>
                  </c:pt>
                  <c:pt idx="1278">
                    <c:v>0</c:v>
                  </c:pt>
                  <c:pt idx="1279">
                    <c:v>0</c:v>
                  </c:pt>
                  <c:pt idx="1280">
                    <c:v>0</c:v>
                  </c:pt>
                  <c:pt idx="1281">
                    <c:v>0</c:v>
                  </c:pt>
                  <c:pt idx="1282">
                    <c:v>0</c:v>
                  </c:pt>
                  <c:pt idx="1283">
                    <c:v>0</c:v>
                  </c:pt>
                  <c:pt idx="1284">
                    <c:v>0</c:v>
                  </c:pt>
                  <c:pt idx="1285">
                    <c:v>0</c:v>
                  </c:pt>
                  <c:pt idx="1286">
                    <c:v>0</c:v>
                  </c:pt>
                  <c:pt idx="1287">
                    <c:v>0</c:v>
                  </c:pt>
                  <c:pt idx="1288">
                    <c:v>0</c:v>
                  </c:pt>
                  <c:pt idx="1289">
                    <c:v>0</c:v>
                  </c:pt>
                  <c:pt idx="1290">
                    <c:v>0</c:v>
                  </c:pt>
                  <c:pt idx="1291">
                    <c:v>0</c:v>
                  </c:pt>
                  <c:pt idx="1292">
                    <c:v>0</c:v>
                  </c:pt>
                  <c:pt idx="1293">
                    <c:v>0</c:v>
                  </c:pt>
                  <c:pt idx="1294">
                    <c:v>0</c:v>
                  </c:pt>
                  <c:pt idx="1295">
                    <c:v>0</c:v>
                  </c:pt>
                  <c:pt idx="1296">
                    <c:v>0</c:v>
                  </c:pt>
                  <c:pt idx="1297">
                    <c:v>0</c:v>
                  </c:pt>
                  <c:pt idx="1298">
                    <c:v>0</c:v>
                  </c:pt>
                  <c:pt idx="1299">
                    <c:v>0</c:v>
                  </c:pt>
                  <c:pt idx="1300">
                    <c:v>0</c:v>
                  </c:pt>
                  <c:pt idx="1301">
                    <c:v>0</c:v>
                  </c:pt>
                  <c:pt idx="1302">
                    <c:v>0</c:v>
                  </c:pt>
                  <c:pt idx="1303">
                    <c:v>0</c:v>
                  </c:pt>
                  <c:pt idx="1304">
                    <c:v>0</c:v>
                  </c:pt>
                  <c:pt idx="1305">
                    <c:v>0</c:v>
                  </c:pt>
                  <c:pt idx="1306">
                    <c:v>0</c:v>
                  </c:pt>
                  <c:pt idx="1307">
                    <c:v>0</c:v>
                  </c:pt>
                  <c:pt idx="1308">
                    <c:v>0</c:v>
                  </c:pt>
                  <c:pt idx="1309">
                    <c:v>0</c:v>
                  </c:pt>
                  <c:pt idx="1310">
                    <c:v>0</c:v>
                  </c:pt>
                  <c:pt idx="1311">
                    <c:v>0</c:v>
                  </c:pt>
                  <c:pt idx="1312">
                    <c:v>0</c:v>
                  </c:pt>
                  <c:pt idx="1313">
                    <c:v>0</c:v>
                  </c:pt>
                  <c:pt idx="1314">
                    <c:v>0</c:v>
                  </c:pt>
                  <c:pt idx="1315">
                    <c:v>0</c:v>
                  </c:pt>
                  <c:pt idx="1316">
                    <c:v>0</c:v>
                  </c:pt>
                  <c:pt idx="1317">
                    <c:v>0</c:v>
                  </c:pt>
                  <c:pt idx="1318">
                    <c:v>0</c:v>
                  </c:pt>
                  <c:pt idx="1319">
                    <c:v>0</c:v>
                  </c:pt>
                  <c:pt idx="1320">
                    <c:v>0</c:v>
                  </c:pt>
                  <c:pt idx="1321">
                    <c:v>0</c:v>
                  </c:pt>
                  <c:pt idx="1322">
                    <c:v>0</c:v>
                  </c:pt>
                  <c:pt idx="1323">
                    <c:v>0</c:v>
                  </c:pt>
                  <c:pt idx="1324">
                    <c:v>0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0</c:v>
                  </c:pt>
                  <c:pt idx="1329">
                    <c:v>0</c:v>
                  </c:pt>
                  <c:pt idx="1330">
                    <c:v>0</c:v>
                  </c:pt>
                  <c:pt idx="1331">
                    <c:v>0</c:v>
                  </c:pt>
                  <c:pt idx="1332">
                    <c:v>0</c:v>
                  </c:pt>
                  <c:pt idx="1333">
                    <c:v>0</c:v>
                  </c:pt>
                  <c:pt idx="1334">
                    <c:v>0</c:v>
                  </c:pt>
                  <c:pt idx="1335">
                    <c:v>0</c:v>
                  </c:pt>
                  <c:pt idx="1336">
                    <c:v>0</c:v>
                  </c:pt>
                  <c:pt idx="1337">
                    <c:v>0</c:v>
                  </c:pt>
                  <c:pt idx="1338">
                    <c:v>0</c:v>
                  </c:pt>
                  <c:pt idx="1339">
                    <c:v>0</c:v>
                  </c:pt>
                  <c:pt idx="1340">
                    <c:v>0</c:v>
                  </c:pt>
                  <c:pt idx="1341">
                    <c:v>0</c:v>
                  </c:pt>
                  <c:pt idx="1342">
                    <c:v>0</c:v>
                  </c:pt>
                  <c:pt idx="1343">
                    <c:v>0</c:v>
                  </c:pt>
                  <c:pt idx="1344">
                    <c:v>0</c:v>
                  </c:pt>
                  <c:pt idx="1345">
                    <c:v>0</c:v>
                  </c:pt>
                  <c:pt idx="1346">
                    <c:v>0</c:v>
                  </c:pt>
                  <c:pt idx="1347">
                    <c:v>0</c:v>
                  </c:pt>
                  <c:pt idx="1348">
                    <c:v>0</c:v>
                  </c:pt>
                  <c:pt idx="1349">
                    <c:v>0</c:v>
                  </c:pt>
                  <c:pt idx="1350">
                    <c:v>0</c:v>
                  </c:pt>
                  <c:pt idx="1351">
                    <c:v>0</c:v>
                  </c:pt>
                  <c:pt idx="1352">
                    <c:v>0</c:v>
                  </c:pt>
                  <c:pt idx="1353">
                    <c:v>0</c:v>
                  </c:pt>
                  <c:pt idx="1354">
                    <c:v>0</c:v>
                  </c:pt>
                  <c:pt idx="1355">
                    <c:v>0</c:v>
                  </c:pt>
                  <c:pt idx="1356">
                    <c:v>0</c:v>
                  </c:pt>
                  <c:pt idx="1357">
                    <c:v>0</c:v>
                  </c:pt>
                  <c:pt idx="1358">
                    <c:v>0</c:v>
                  </c:pt>
                  <c:pt idx="1359">
                    <c:v>0</c:v>
                  </c:pt>
                  <c:pt idx="1360">
                    <c:v>0</c:v>
                  </c:pt>
                  <c:pt idx="1361">
                    <c:v>0</c:v>
                  </c:pt>
                  <c:pt idx="1362">
                    <c:v>0</c:v>
                  </c:pt>
                  <c:pt idx="1363">
                    <c:v>0</c:v>
                  </c:pt>
                  <c:pt idx="1364">
                    <c:v>0</c:v>
                  </c:pt>
                  <c:pt idx="1365">
                    <c:v>0</c:v>
                  </c:pt>
                  <c:pt idx="1366">
                    <c:v>0</c:v>
                  </c:pt>
                  <c:pt idx="1367">
                    <c:v>0</c:v>
                  </c:pt>
                  <c:pt idx="1368">
                    <c:v>0</c:v>
                  </c:pt>
                  <c:pt idx="1369">
                    <c:v>0</c:v>
                  </c:pt>
                  <c:pt idx="1370">
                    <c:v>0</c:v>
                  </c:pt>
                  <c:pt idx="1371">
                    <c:v>0</c:v>
                  </c:pt>
                  <c:pt idx="1372">
                    <c:v>0</c:v>
                  </c:pt>
                  <c:pt idx="1373">
                    <c:v>0</c:v>
                  </c:pt>
                  <c:pt idx="1374">
                    <c:v>0</c:v>
                  </c:pt>
                  <c:pt idx="1375">
                    <c:v>0</c:v>
                  </c:pt>
                  <c:pt idx="1376">
                    <c:v>0</c:v>
                  </c:pt>
                  <c:pt idx="1377">
                    <c:v>0</c:v>
                  </c:pt>
                  <c:pt idx="1378">
                    <c:v>0</c:v>
                  </c:pt>
                  <c:pt idx="1379">
                    <c:v>0</c:v>
                  </c:pt>
                  <c:pt idx="1380">
                    <c:v>0</c:v>
                  </c:pt>
                  <c:pt idx="1381">
                    <c:v>0</c:v>
                  </c:pt>
                  <c:pt idx="1382">
                    <c:v>0</c:v>
                  </c:pt>
                  <c:pt idx="1383">
                    <c:v>0</c:v>
                  </c:pt>
                  <c:pt idx="1384">
                    <c:v>0</c:v>
                  </c:pt>
                  <c:pt idx="1385">
                    <c:v>0</c:v>
                  </c:pt>
                  <c:pt idx="1386">
                    <c:v>0</c:v>
                  </c:pt>
                  <c:pt idx="1387">
                    <c:v>0</c:v>
                  </c:pt>
                  <c:pt idx="1388">
                    <c:v>0</c:v>
                  </c:pt>
                  <c:pt idx="1389">
                    <c:v>0</c:v>
                  </c:pt>
                  <c:pt idx="1390">
                    <c:v>0</c:v>
                  </c:pt>
                  <c:pt idx="1391">
                    <c:v>0</c:v>
                  </c:pt>
                  <c:pt idx="1392">
                    <c:v>0</c:v>
                  </c:pt>
                  <c:pt idx="1393">
                    <c:v>0</c:v>
                  </c:pt>
                  <c:pt idx="1394">
                    <c:v>0</c:v>
                  </c:pt>
                  <c:pt idx="1395">
                    <c:v>0</c:v>
                  </c:pt>
                  <c:pt idx="1396">
                    <c:v>0</c:v>
                  </c:pt>
                  <c:pt idx="1397">
                    <c:v>0</c:v>
                  </c:pt>
                  <c:pt idx="1398">
                    <c:v>0</c:v>
                  </c:pt>
                  <c:pt idx="1399">
                    <c:v>0</c:v>
                  </c:pt>
                  <c:pt idx="1400">
                    <c:v>0</c:v>
                  </c:pt>
                  <c:pt idx="1401">
                    <c:v>0</c:v>
                  </c:pt>
                  <c:pt idx="1402">
                    <c:v>0</c:v>
                  </c:pt>
                  <c:pt idx="1403">
                    <c:v>0</c:v>
                  </c:pt>
                  <c:pt idx="1404">
                    <c:v>0</c:v>
                  </c:pt>
                  <c:pt idx="1405">
                    <c:v>0</c:v>
                  </c:pt>
                  <c:pt idx="1406">
                    <c:v>0</c:v>
                  </c:pt>
                  <c:pt idx="1407">
                    <c:v>0</c:v>
                  </c:pt>
                  <c:pt idx="1408">
                    <c:v>0</c:v>
                  </c:pt>
                  <c:pt idx="1409">
                    <c:v>0</c:v>
                  </c:pt>
                  <c:pt idx="1410">
                    <c:v>0</c:v>
                  </c:pt>
                  <c:pt idx="1411">
                    <c:v>0</c:v>
                  </c:pt>
                  <c:pt idx="1412">
                    <c:v>0</c:v>
                  </c:pt>
                  <c:pt idx="1413">
                    <c:v>0</c:v>
                  </c:pt>
                  <c:pt idx="1414">
                    <c:v>0</c:v>
                  </c:pt>
                  <c:pt idx="1415">
                    <c:v>0</c:v>
                  </c:pt>
                  <c:pt idx="1416">
                    <c:v>0</c:v>
                  </c:pt>
                  <c:pt idx="1417">
                    <c:v>0</c:v>
                  </c:pt>
                  <c:pt idx="1418">
                    <c:v>0</c:v>
                  </c:pt>
                  <c:pt idx="1419">
                    <c:v>0</c:v>
                  </c:pt>
                  <c:pt idx="1420">
                    <c:v>0</c:v>
                  </c:pt>
                  <c:pt idx="1421">
                    <c:v>0</c:v>
                  </c:pt>
                  <c:pt idx="1422">
                    <c:v>0</c:v>
                  </c:pt>
                  <c:pt idx="1423">
                    <c:v>0</c:v>
                  </c:pt>
                  <c:pt idx="1424">
                    <c:v>0</c:v>
                  </c:pt>
                  <c:pt idx="1425">
                    <c:v>0</c:v>
                  </c:pt>
                  <c:pt idx="1426">
                    <c:v>0</c:v>
                  </c:pt>
                  <c:pt idx="1427">
                    <c:v>0</c:v>
                  </c:pt>
                  <c:pt idx="1428">
                    <c:v>0</c:v>
                  </c:pt>
                  <c:pt idx="1429">
                    <c:v>0</c:v>
                  </c:pt>
                  <c:pt idx="1430">
                    <c:v>0</c:v>
                  </c:pt>
                  <c:pt idx="1431">
                    <c:v>0</c:v>
                  </c:pt>
                  <c:pt idx="1432">
                    <c:v>0</c:v>
                  </c:pt>
                  <c:pt idx="1433">
                    <c:v>0</c:v>
                  </c:pt>
                  <c:pt idx="1434">
                    <c:v>0</c:v>
                  </c:pt>
                  <c:pt idx="1435">
                    <c:v>0</c:v>
                  </c:pt>
                  <c:pt idx="1436">
                    <c:v>0</c:v>
                  </c:pt>
                  <c:pt idx="1437">
                    <c:v>0</c:v>
                  </c:pt>
                  <c:pt idx="1438">
                    <c:v>0</c:v>
                  </c:pt>
                  <c:pt idx="1439">
                    <c:v>0</c:v>
                  </c:pt>
                </c:numCache>
              </c:numRef>
            </c:plus>
            <c:minus>
              <c:numRef>
                <c:f>ChartData!$CL$7:$CL$1446</c:f>
                <c:numCache>
                  <c:formatCode>General</c:formatCode>
                  <c:ptCount val="1440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  <c:pt idx="161">
                    <c:v>0</c:v>
                  </c:pt>
                  <c:pt idx="162">
                    <c:v>0</c:v>
                  </c:pt>
                  <c:pt idx="163">
                    <c:v>0</c:v>
                  </c:pt>
                  <c:pt idx="164">
                    <c:v>0</c:v>
                  </c:pt>
                  <c:pt idx="165">
                    <c:v>0</c:v>
                  </c:pt>
                  <c:pt idx="166">
                    <c:v>0</c:v>
                  </c:pt>
                  <c:pt idx="167">
                    <c:v>0</c:v>
                  </c:pt>
                  <c:pt idx="168">
                    <c:v>0</c:v>
                  </c:pt>
                  <c:pt idx="169">
                    <c:v>0</c:v>
                  </c:pt>
                  <c:pt idx="170">
                    <c:v>0</c:v>
                  </c:pt>
                  <c:pt idx="171">
                    <c:v>0</c:v>
                  </c:pt>
                  <c:pt idx="172">
                    <c:v>0</c:v>
                  </c:pt>
                  <c:pt idx="173">
                    <c:v>0</c:v>
                  </c:pt>
                  <c:pt idx="174">
                    <c:v>0</c:v>
                  </c:pt>
                  <c:pt idx="175">
                    <c:v>0</c:v>
                  </c:pt>
                  <c:pt idx="176">
                    <c:v>0</c:v>
                  </c:pt>
                  <c:pt idx="177">
                    <c:v>0</c:v>
                  </c:pt>
                  <c:pt idx="178">
                    <c:v>0</c:v>
                  </c:pt>
                  <c:pt idx="179">
                    <c:v>0</c:v>
                  </c:pt>
                  <c:pt idx="180">
                    <c:v>0</c:v>
                  </c:pt>
                  <c:pt idx="181">
                    <c:v>0</c:v>
                  </c:pt>
                  <c:pt idx="182">
                    <c:v>0</c:v>
                  </c:pt>
                  <c:pt idx="183">
                    <c:v>0</c:v>
                  </c:pt>
                  <c:pt idx="184">
                    <c:v>0</c:v>
                  </c:pt>
                  <c:pt idx="185">
                    <c:v>0</c:v>
                  </c:pt>
                  <c:pt idx="186">
                    <c:v>0</c:v>
                  </c:pt>
                  <c:pt idx="187">
                    <c:v>0</c:v>
                  </c:pt>
                  <c:pt idx="188">
                    <c:v>0</c:v>
                  </c:pt>
                  <c:pt idx="189">
                    <c:v>0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  <c:pt idx="201">
                    <c:v>0</c:v>
                  </c:pt>
                  <c:pt idx="202">
                    <c:v>0</c:v>
                  </c:pt>
                  <c:pt idx="203">
                    <c:v>0</c:v>
                  </c:pt>
                  <c:pt idx="204">
                    <c:v>0</c:v>
                  </c:pt>
                  <c:pt idx="205">
                    <c:v>0</c:v>
                  </c:pt>
                  <c:pt idx="206">
                    <c:v>0</c:v>
                  </c:pt>
                  <c:pt idx="207">
                    <c:v>0</c:v>
                  </c:pt>
                  <c:pt idx="208">
                    <c:v>0</c:v>
                  </c:pt>
                  <c:pt idx="209">
                    <c:v>0</c:v>
                  </c:pt>
                  <c:pt idx="210">
                    <c:v>0</c:v>
                  </c:pt>
                  <c:pt idx="211">
                    <c:v>0</c:v>
                  </c:pt>
                  <c:pt idx="212">
                    <c:v>0</c:v>
                  </c:pt>
                  <c:pt idx="213">
                    <c:v>0</c:v>
                  </c:pt>
                  <c:pt idx="214">
                    <c:v>0</c:v>
                  </c:pt>
                  <c:pt idx="215">
                    <c:v>0</c:v>
                  </c:pt>
                  <c:pt idx="216">
                    <c:v>0</c:v>
                  </c:pt>
                  <c:pt idx="217">
                    <c:v>0</c:v>
                  </c:pt>
                  <c:pt idx="218">
                    <c:v>0</c:v>
                  </c:pt>
                  <c:pt idx="219">
                    <c:v>0</c:v>
                  </c:pt>
                  <c:pt idx="220">
                    <c:v>0</c:v>
                  </c:pt>
                  <c:pt idx="221">
                    <c:v>0</c:v>
                  </c:pt>
                  <c:pt idx="222">
                    <c:v>0</c:v>
                  </c:pt>
                  <c:pt idx="223">
                    <c:v>0</c:v>
                  </c:pt>
                  <c:pt idx="224">
                    <c:v>0</c:v>
                  </c:pt>
                  <c:pt idx="225">
                    <c:v>0</c:v>
                  </c:pt>
                  <c:pt idx="226">
                    <c:v>0</c:v>
                  </c:pt>
                  <c:pt idx="227">
                    <c:v>0</c:v>
                  </c:pt>
                  <c:pt idx="228">
                    <c:v>0</c:v>
                  </c:pt>
                  <c:pt idx="229">
                    <c:v>0</c:v>
                  </c:pt>
                  <c:pt idx="230">
                    <c:v>0</c:v>
                  </c:pt>
                  <c:pt idx="231">
                    <c:v>0</c:v>
                  </c:pt>
                  <c:pt idx="232">
                    <c:v>0</c:v>
                  </c:pt>
                  <c:pt idx="233">
                    <c:v>0</c:v>
                  </c:pt>
                  <c:pt idx="234">
                    <c:v>0</c:v>
                  </c:pt>
                  <c:pt idx="235">
                    <c:v>0</c:v>
                  </c:pt>
                  <c:pt idx="236">
                    <c:v>0</c:v>
                  </c:pt>
                  <c:pt idx="237">
                    <c:v>0</c:v>
                  </c:pt>
                  <c:pt idx="238">
                    <c:v>0</c:v>
                  </c:pt>
                  <c:pt idx="239">
                    <c:v>0</c:v>
                  </c:pt>
                  <c:pt idx="240">
                    <c:v>0</c:v>
                  </c:pt>
                  <c:pt idx="241">
                    <c:v>0</c:v>
                  </c:pt>
                  <c:pt idx="242">
                    <c:v>0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6">
                    <c:v>0</c:v>
                  </c:pt>
                  <c:pt idx="247">
                    <c:v>0</c:v>
                  </c:pt>
                  <c:pt idx="248">
                    <c:v>0</c:v>
                  </c:pt>
                  <c:pt idx="249">
                    <c:v>0</c:v>
                  </c:pt>
                  <c:pt idx="250">
                    <c:v>0</c:v>
                  </c:pt>
                  <c:pt idx="251">
                    <c:v>0</c:v>
                  </c:pt>
                  <c:pt idx="252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6">
                    <c:v>0</c:v>
                  </c:pt>
                  <c:pt idx="257">
                    <c:v>0</c:v>
                  </c:pt>
                  <c:pt idx="258">
                    <c:v>0</c:v>
                  </c:pt>
                  <c:pt idx="259">
                    <c:v>0</c:v>
                  </c:pt>
                  <c:pt idx="260">
                    <c:v>0</c:v>
                  </c:pt>
                  <c:pt idx="261">
                    <c:v>0</c:v>
                  </c:pt>
                  <c:pt idx="262">
                    <c:v>0</c:v>
                  </c:pt>
                  <c:pt idx="263">
                    <c:v>0</c:v>
                  </c:pt>
                  <c:pt idx="264">
                    <c:v>0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68">
                    <c:v>0</c:v>
                  </c:pt>
                  <c:pt idx="269">
                    <c:v>0</c:v>
                  </c:pt>
                  <c:pt idx="270">
                    <c:v>0</c:v>
                  </c:pt>
                  <c:pt idx="271">
                    <c:v>0</c:v>
                  </c:pt>
                  <c:pt idx="272">
                    <c:v>0</c:v>
                  </c:pt>
                  <c:pt idx="273">
                    <c:v>0</c:v>
                  </c:pt>
                  <c:pt idx="274">
                    <c:v>0</c:v>
                  </c:pt>
                  <c:pt idx="275">
                    <c:v>0</c:v>
                  </c:pt>
                  <c:pt idx="276">
                    <c:v>0</c:v>
                  </c:pt>
                  <c:pt idx="277">
                    <c:v>0</c:v>
                  </c:pt>
                  <c:pt idx="278">
                    <c:v>0</c:v>
                  </c:pt>
                  <c:pt idx="279">
                    <c:v>0</c:v>
                  </c:pt>
                  <c:pt idx="280">
                    <c:v>0</c:v>
                  </c:pt>
                  <c:pt idx="281">
                    <c:v>0</c:v>
                  </c:pt>
                  <c:pt idx="282">
                    <c:v>0</c:v>
                  </c:pt>
                  <c:pt idx="283">
                    <c:v>0</c:v>
                  </c:pt>
                  <c:pt idx="284">
                    <c:v>0</c:v>
                  </c:pt>
                  <c:pt idx="285">
                    <c:v>0</c:v>
                  </c:pt>
                  <c:pt idx="286">
                    <c:v>0</c:v>
                  </c:pt>
                  <c:pt idx="287">
                    <c:v>0</c:v>
                  </c:pt>
                  <c:pt idx="288">
                    <c:v>0</c:v>
                  </c:pt>
                  <c:pt idx="289">
                    <c:v>0</c:v>
                  </c:pt>
                  <c:pt idx="290">
                    <c:v>0</c:v>
                  </c:pt>
                  <c:pt idx="291">
                    <c:v>0</c:v>
                  </c:pt>
                  <c:pt idx="292">
                    <c:v>0</c:v>
                  </c:pt>
                  <c:pt idx="293">
                    <c:v>0</c:v>
                  </c:pt>
                  <c:pt idx="294">
                    <c:v>0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299">
                    <c:v>0</c:v>
                  </c:pt>
                  <c:pt idx="300">
                    <c:v>0</c:v>
                  </c:pt>
                  <c:pt idx="301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4">
                    <c:v>0</c:v>
                  </c:pt>
                  <c:pt idx="305">
                    <c:v>0</c:v>
                  </c:pt>
                  <c:pt idx="306">
                    <c:v>0</c:v>
                  </c:pt>
                  <c:pt idx="307">
                    <c:v>0</c:v>
                  </c:pt>
                  <c:pt idx="308">
                    <c:v>0</c:v>
                  </c:pt>
                  <c:pt idx="309">
                    <c:v>0</c:v>
                  </c:pt>
                  <c:pt idx="310">
                    <c:v>0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5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19">
                    <c:v>0</c:v>
                  </c:pt>
                  <c:pt idx="320">
                    <c:v>0</c:v>
                  </c:pt>
                  <c:pt idx="321">
                    <c:v>0</c:v>
                  </c:pt>
                  <c:pt idx="322">
                    <c:v>0</c:v>
                  </c:pt>
                  <c:pt idx="323">
                    <c:v>0</c:v>
                  </c:pt>
                  <c:pt idx="324">
                    <c:v>0</c:v>
                  </c:pt>
                  <c:pt idx="325">
                    <c:v>0</c:v>
                  </c:pt>
                  <c:pt idx="326">
                    <c:v>0</c:v>
                  </c:pt>
                  <c:pt idx="327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1">
                    <c:v>0</c:v>
                  </c:pt>
                  <c:pt idx="332">
                    <c:v>0</c:v>
                  </c:pt>
                  <c:pt idx="333">
                    <c:v>0</c:v>
                  </c:pt>
                  <c:pt idx="334">
                    <c:v>0</c:v>
                  </c:pt>
                  <c:pt idx="335">
                    <c:v>0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39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0</c:v>
                  </c:pt>
                  <c:pt idx="344">
                    <c:v>0</c:v>
                  </c:pt>
                  <c:pt idx="345">
                    <c:v>0</c:v>
                  </c:pt>
                  <c:pt idx="346">
                    <c:v>0</c:v>
                  </c:pt>
                  <c:pt idx="347">
                    <c:v>0</c:v>
                  </c:pt>
                  <c:pt idx="348">
                    <c:v>0</c:v>
                  </c:pt>
                  <c:pt idx="349">
                    <c:v>0</c:v>
                  </c:pt>
                  <c:pt idx="350">
                    <c:v>0</c:v>
                  </c:pt>
                  <c:pt idx="351">
                    <c:v>0</c:v>
                  </c:pt>
                  <c:pt idx="352">
                    <c:v>0</c:v>
                  </c:pt>
                  <c:pt idx="353">
                    <c:v>0</c:v>
                  </c:pt>
                  <c:pt idx="354">
                    <c:v>0</c:v>
                  </c:pt>
                  <c:pt idx="355">
                    <c:v>0</c:v>
                  </c:pt>
                  <c:pt idx="356">
                    <c:v>0</c:v>
                  </c:pt>
                  <c:pt idx="357">
                    <c:v>0</c:v>
                  </c:pt>
                  <c:pt idx="358">
                    <c:v>0</c:v>
                  </c:pt>
                  <c:pt idx="359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2">
                    <c:v>0</c:v>
                  </c:pt>
                  <c:pt idx="363">
                    <c:v>0</c:v>
                  </c:pt>
                  <c:pt idx="364">
                    <c:v>0</c:v>
                  </c:pt>
                  <c:pt idx="365">
                    <c:v>0</c:v>
                  </c:pt>
                  <c:pt idx="366">
                    <c:v>0</c:v>
                  </c:pt>
                  <c:pt idx="367">
                    <c:v>0</c:v>
                  </c:pt>
                  <c:pt idx="368">
                    <c:v>0</c:v>
                  </c:pt>
                  <c:pt idx="369">
                    <c:v>0</c:v>
                  </c:pt>
                  <c:pt idx="370">
                    <c:v>0</c:v>
                  </c:pt>
                  <c:pt idx="371">
                    <c:v>0</c:v>
                  </c:pt>
                  <c:pt idx="372">
                    <c:v>0</c:v>
                  </c:pt>
                  <c:pt idx="373">
                    <c:v>0</c:v>
                  </c:pt>
                  <c:pt idx="374">
                    <c:v>0</c:v>
                  </c:pt>
                  <c:pt idx="375">
                    <c:v>0</c:v>
                  </c:pt>
                  <c:pt idx="376">
                    <c:v>0</c:v>
                  </c:pt>
                  <c:pt idx="377">
                    <c:v>0</c:v>
                  </c:pt>
                  <c:pt idx="378">
                    <c:v>0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4">
                    <c:v>0</c:v>
                  </c:pt>
                  <c:pt idx="385">
                    <c:v>0</c:v>
                  </c:pt>
                  <c:pt idx="386">
                    <c:v>0</c:v>
                  </c:pt>
                  <c:pt idx="387">
                    <c:v>0</c:v>
                  </c:pt>
                  <c:pt idx="388">
                    <c:v>0</c:v>
                  </c:pt>
                  <c:pt idx="389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0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0</c:v>
                  </c:pt>
                  <c:pt idx="396">
                    <c:v>0</c:v>
                  </c:pt>
                  <c:pt idx="397">
                    <c:v>0</c:v>
                  </c:pt>
                  <c:pt idx="398">
                    <c:v>0</c:v>
                  </c:pt>
                  <c:pt idx="399">
                    <c:v>0</c:v>
                  </c:pt>
                  <c:pt idx="400">
                    <c:v>0</c:v>
                  </c:pt>
                  <c:pt idx="401">
                    <c:v>0</c:v>
                  </c:pt>
                  <c:pt idx="402">
                    <c:v>0</c:v>
                  </c:pt>
                  <c:pt idx="403">
                    <c:v>0</c:v>
                  </c:pt>
                  <c:pt idx="404">
                    <c:v>0</c:v>
                  </c:pt>
                  <c:pt idx="405">
                    <c:v>0</c:v>
                  </c:pt>
                  <c:pt idx="406">
                    <c:v>0</c:v>
                  </c:pt>
                  <c:pt idx="407">
                    <c:v>0</c:v>
                  </c:pt>
                  <c:pt idx="408">
                    <c:v>0</c:v>
                  </c:pt>
                  <c:pt idx="409">
                    <c:v>0</c:v>
                  </c:pt>
                  <c:pt idx="410">
                    <c:v>0</c:v>
                  </c:pt>
                  <c:pt idx="411">
                    <c:v>0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0</c:v>
                  </c:pt>
                  <c:pt idx="415">
                    <c:v>0</c:v>
                  </c:pt>
                  <c:pt idx="416">
                    <c:v>0</c:v>
                  </c:pt>
                  <c:pt idx="417">
                    <c:v>0</c:v>
                  </c:pt>
                  <c:pt idx="418">
                    <c:v>0</c:v>
                  </c:pt>
                  <c:pt idx="419">
                    <c:v>0</c:v>
                  </c:pt>
                  <c:pt idx="420">
                    <c:v>0</c:v>
                  </c:pt>
                  <c:pt idx="421">
                    <c:v>0</c:v>
                  </c:pt>
                  <c:pt idx="422">
                    <c:v>0</c:v>
                  </c:pt>
                  <c:pt idx="423">
                    <c:v>0</c:v>
                  </c:pt>
                  <c:pt idx="424">
                    <c:v>0</c:v>
                  </c:pt>
                  <c:pt idx="425">
                    <c:v>0</c:v>
                  </c:pt>
                  <c:pt idx="426">
                    <c:v>0</c:v>
                  </c:pt>
                  <c:pt idx="427">
                    <c:v>0</c:v>
                  </c:pt>
                  <c:pt idx="428">
                    <c:v>0</c:v>
                  </c:pt>
                  <c:pt idx="429">
                    <c:v>0</c:v>
                  </c:pt>
                  <c:pt idx="430">
                    <c:v>0</c:v>
                  </c:pt>
                  <c:pt idx="431">
                    <c:v>0</c:v>
                  </c:pt>
                  <c:pt idx="432">
                    <c:v>0</c:v>
                  </c:pt>
                  <c:pt idx="433">
                    <c:v>0</c:v>
                  </c:pt>
                  <c:pt idx="434">
                    <c:v>0</c:v>
                  </c:pt>
                  <c:pt idx="435">
                    <c:v>0</c:v>
                  </c:pt>
                  <c:pt idx="436">
                    <c:v>0</c:v>
                  </c:pt>
                  <c:pt idx="437">
                    <c:v>0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  <c:pt idx="441">
                    <c:v>0</c:v>
                  </c:pt>
                  <c:pt idx="442">
                    <c:v>0</c:v>
                  </c:pt>
                  <c:pt idx="443">
                    <c:v>0</c:v>
                  </c:pt>
                  <c:pt idx="444">
                    <c:v>0</c:v>
                  </c:pt>
                  <c:pt idx="445">
                    <c:v>0</c:v>
                  </c:pt>
                  <c:pt idx="446">
                    <c:v>0</c:v>
                  </c:pt>
                  <c:pt idx="447">
                    <c:v>0</c:v>
                  </c:pt>
                  <c:pt idx="448">
                    <c:v>0</c:v>
                  </c:pt>
                  <c:pt idx="449">
                    <c:v>0</c:v>
                  </c:pt>
                  <c:pt idx="450">
                    <c:v>0</c:v>
                  </c:pt>
                  <c:pt idx="451">
                    <c:v>0</c:v>
                  </c:pt>
                  <c:pt idx="452">
                    <c:v>0</c:v>
                  </c:pt>
                  <c:pt idx="453">
                    <c:v>0</c:v>
                  </c:pt>
                  <c:pt idx="454">
                    <c:v>0</c:v>
                  </c:pt>
                  <c:pt idx="455">
                    <c:v>0</c:v>
                  </c:pt>
                  <c:pt idx="456">
                    <c:v>0</c:v>
                  </c:pt>
                  <c:pt idx="457">
                    <c:v>0</c:v>
                  </c:pt>
                  <c:pt idx="458">
                    <c:v>0</c:v>
                  </c:pt>
                  <c:pt idx="459">
                    <c:v>0</c:v>
                  </c:pt>
                  <c:pt idx="460">
                    <c:v>0</c:v>
                  </c:pt>
                  <c:pt idx="461">
                    <c:v>0</c:v>
                  </c:pt>
                  <c:pt idx="462">
                    <c:v>0</c:v>
                  </c:pt>
                  <c:pt idx="463">
                    <c:v>0</c:v>
                  </c:pt>
                  <c:pt idx="464">
                    <c:v>0</c:v>
                  </c:pt>
                  <c:pt idx="465">
                    <c:v>0</c:v>
                  </c:pt>
                  <c:pt idx="466">
                    <c:v>0</c:v>
                  </c:pt>
                  <c:pt idx="467">
                    <c:v>0</c:v>
                  </c:pt>
                  <c:pt idx="468">
                    <c:v>0</c:v>
                  </c:pt>
                  <c:pt idx="469">
                    <c:v>0</c:v>
                  </c:pt>
                  <c:pt idx="470">
                    <c:v>0</c:v>
                  </c:pt>
                  <c:pt idx="471">
                    <c:v>0</c:v>
                  </c:pt>
                  <c:pt idx="472">
                    <c:v>0</c:v>
                  </c:pt>
                  <c:pt idx="473">
                    <c:v>0</c:v>
                  </c:pt>
                  <c:pt idx="474">
                    <c:v>0</c:v>
                  </c:pt>
                  <c:pt idx="475">
                    <c:v>0</c:v>
                  </c:pt>
                  <c:pt idx="476">
                    <c:v>0</c:v>
                  </c:pt>
                  <c:pt idx="477">
                    <c:v>0</c:v>
                  </c:pt>
                  <c:pt idx="478">
                    <c:v>0</c:v>
                  </c:pt>
                  <c:pt idx="479">
                    <c:v>0</c:v>
                  </c:pt>
                  <c:pt idx="480">
                    <c:v>0</c:v>
                  </c:pt>
                  <c:pt idx="481">
                    <c:v>0</c:v>
                  </c:pt>
                  <c:pt idx="482">
                    <c:v>0</c:v>
                  </c:pt>
                  <c:pt idx="483">
                    <c:v>0</c:v>
                  </c:pt>
                  <c:pt idx="484">
                    <c:v>0</c:v>
                  </c:pt>
                  <c:pt idx="485">
                    <c:v>0</c:v>
                  </c:pt>
                  <c:pt idx="486">
                    <c:v>0</c:v>
                  </c:pt>
                  <c:pt idx="487">
                    <c:v>0</c:v>
                  </c:pt>
                  <c:pt idx="488">
                    <c:v>0</c:v>
                  </c:pt>
                  <c:pt idx="489">
                    <c:v>0</c:v>
                  </c:pt>
                  <c:pt idx="490">
                    <c:v>0</c:v>
                  </c:pt>
                  <c:pt idx="491">
                    <c:v>0</c:v>
                  </c:pt>
                  <c:pt idx="492">
                    <c:v>0</c:v>
                  </c:pt>
                  <c:pt idx="493">
                    <c:v>0</c:v>
                  </c:pt>
                  <c:pt idx="494">
                    <c:v>0</c:v>
                  </c:pt>
                  <c:pt idx="495">
                    <c:v>0</c:v>
                  </c:pt>
                  <c:pt idx="496">
                    <c:v>0</c:v>
                  </c:pt>
                  <c:pt idx="497">
                    <c:v>0</c:v>
                  </c:pt>
                  <c:pt idx="498">
                    <c:v>0</c:v>
                  </c:pt>
                  <c:pt idx="499">
                    <c:v>0</c:v>
                  </c:pt>
                  <c:pt idx="500">
                    <c:v>0</c:v>
                  </c:pt>
                  <c:pt idx="501">
                    <c:v>0</c:v>
                  </c:pt>
                  <c:pt idx="502">
                    <c:v>0</c:v>
                  </c:pt>
                  <c:pt idx="503">
                    <c:v>0</c:v>
                  </c:pt>
                  <c:pt idx="504">
                    <c:v>0</c:v>
                  </c:pt>
                  <c:pt idx="505">
                    <c:v>0</c:v>
                  </c:pt>
                  <c:pt idx="506">
                    <c:v>0</c:v>
                  </c:pt>
                  <c:pt idx="507">
                    <c:v>0</c:v>
                  </c:pt>
                  <c:pt idx="508">
                    <c:v>0</c:v>
                  </c:pt>
                  <c:pt idx="509">
                    <c:v>0</c:v>
                  </c:pt>
                  <c:pt idx="510">
                    <c:v>0</c:v>
                  </c:pt>
                  <c:pt idx="511">
                    <c:v>0</c:v>
                  </c:pt>
                  <c:pt idx="512">
                    <c:v>0</c:v>
                  </c:pt>
                  <c:pt idx="513">
                    <c:v>0</c:v>
                  </c:pt>
                  <c:pt idx="514">
                    <c:v>0</c:v>
                  </c:pt>
                  <c:pt idx="515">
                    <c:v>0</c:v>
                  </c:pt>
                  <c:pt idx="516">
                    <c:v>0</c:v>
                  </c:pt>
                  <c:pt idx="517">
                    <c:v>0</c:v>
                  </c:pt>
                  <c:pt idx="518">
                    <c:v>0</c:v>
                  </c:pt>
                  <c:pt idx="519">
                    <c:v>0</c:v>
                  </c:pt>
                  <c:pt idx="520">
                    <c:v>0</c:v>
                  </c:pt>
                  <c:pt idx="521">
                    <c:v>0</c:v>
                  </c:pt>
                  <c:pt idx="522">
                    <c:v>0</c:v>
                  </c:pt>
                  <c:pt idx="523">
                    <c:v>0</c:v>
                  </c:pt>
                  <c:pt idx="524">
                    <c:v>0</c:v>
                  </c:pt>
                  <c:pt idx="525">
                    <c:v>0</c:v>
                  </c:pt>
                  <c:pt idx="526">
                    <c:v>0</c:v>
                  </c:pt>
                  <c:pt idx="527">
                    <c:v>0</c:v>
                  </c:pt>
                  <c:pt idx="528">
                    <c:v>0</c:v>
                  </c:pt>
                  <c:pt idx="529">
                    <c:v>0</c:v>
                  </c:pt>
                  <c:pt idx="530">
                    <c:v>0</c:v>
                  </c:pt>
                  <c:pt idx="531">
                    <c:v>0</c:v>
                  </c:pt>
                  <c:pt idx="532">
                    <c:v>0</c:v>
                  </c:pt>
                  <c:pt idx="533">
                    <c:v>0</c:v>
                  </c:pt>
                  <c:pt idx="534">
                    <c:v>0</c:v>
                  </c:pt>
                  <c:pt idx="535">
                    <c:v>0</c:v>
                  </c:pt>
                  <c:pt idx="536">
                    <c:v>0</c:v>
                  </c:pt>
                  <c:pt idx="537">
                    <c:v>0</c:v>
                  </c:pt>
                  <c:pt idx="538">
                    <c:v>0</c:v>
                  </c:pt>
                  <c:pt idx="539">
                    <c:v>0</c:v>
                  </c:pt>
                  <c:pt idx="540">
                    <c:v>0</c:v>
                  </c:pt>
                  <c:pt idx="541">
                    <c:v>0</c:v>
                  </c:pt>
                  <c:pt idx="542">
                    <c:v>0</c:v>
                  </c:pt>
                  <c:pt idx="543">
                    <c:v>0</c:v>
                  </c:pt>
                  <c:pt idx="544">
                    <c:v>0</c:v>
                  </c:pt>
                  <c:pt idx="545">
                    <c:v>0</c:v>
                  </c:pt>
                  <c:pt idx="546">
                    <c:v>0</c:v>
                  </c:pt>
                  <c:pt idx="547">
                    <c:v>0</c:v>
                  </c:pt>
                  <c:pt idx="548">
                    <c:v>0</c:v>
                  </c:pt>
                  <c:pt idx="549">
                    <c:v>0</c:v>
                  </c:pt>
                  <c:pt idx="550">
                    <c:v>0</c:v>
                  </c:pt>
                  <c:pt idx="551">
                    <c:v>0</c:v>
                  </c:pt>
                  <c:pt idx="552">
                    <c:v>0</c:v>
                  </c:pt>
                  <c:pt idx="553">
                    <c:v>0</c:v>
                  </c:pt>
                  <c:pt idx="554">
                    <c:v>0</c:v>
                  </c:pt>
                  <c:pt idx="555">
                    <c:v>0</c:v>
                  </c:pt>
                  <c:pt idx="556">
                    <c:v>0</c:v>
                  </c:pt>
                  <c:pt idx="557">
                    <c:v>0</c:v>
                  </c:pt>
                  <c:pt idx="558">
                    <c:v>0</c:v>
                  </c:pt>
                  <c:pt idx="559">
                    <c:v>0</c:v>
                  </c:pt>
                  <c:pt idx="560">
                    <c:v>0</c:v>
                  </c:pt>
                  <c:pt idx="561">
                    <c:v>0</c:v>
                  </c:pt>
                  <c:pt idx="562">
                    <c:v>0</c:v>
                  </c:pt>
                  <c:pt idx="563">
                    <c:v>0</c:v>
                  </c:pt>
                  <c:pt idx="564">
                    <c:v>0</c:v>
                  </c:pt>
                  <c:pt idx="565">
                    <c:v>0</c:v>
                  </c:pt>
                  <c:pt idx="566">
                    <c:v>0</c:v>
                  </c:pt>
                  <c:pt idx="567">
                    <c:v>0</c:v>
                  </c:pt>
                  <c:pt idx="568">
                    <c:v>0</c:v>
                  </c:pt>
                  <c:pt idx="569">
                    <c:v>0</c:v>
                  </c:pt>
                  <c:pt idx="570">
                    <c:v>0</c:v>
                  </c:pt>
                  <c:pt idx="571">
                    <c:v>0</c:v>
                  </c:pt>
                  <c:pt idx="572">
                    <c:v>0</c:v>
                  </c:pt>
                  <c:pt idx="573">
                    <c:v>0</c:v>
                  </c:pt>
                  <c:pt idx="574">
                    <c:v>0</c:v>
                  </c:pt>
                  <c:pt idx="575">
                    <c:v>0</c:v>
                  </c:pt>
                  <c:pt idx="576">
                    <c:v>0</c:v>
                  </c:pt>
                  <c:pt idx="577">
                    <c:v>0</c:v>
                  </c:pt>
                  <c:pt idx="578">
                    <c:v>0</c:v>
                  </c:pt>
                  <c:pt idx="579">
                    <c:v>0</c:v>
                  </c:pt>
                  <c:pt idx="580">
                    <c:v>0</c:v>
                  </c:pt>
                  <c:pt idx="581">
                    <c:v>0</c:v>
                  </c:pt>
                  <c:pt idx="582">
                    <c:v>0</c:v>
                  </c:pt>
                  <c:pt idx="583">
                    <c:v>0</c:v>
                  </c:pt>
                  <c:pt idx="584">
                    <c:v>0</c:v>
                  </c:pt>
                  <c:pt idx="585">
                    <c:v>0</c:v>
                  </c:pt>
                  <c:pt idx="586">
                    <c:v>0</c:v>
                  </c:pt>
                  <c:pt idx="587">
                    <c:v>0</c:v>
                  </c:pt>
                  <c:pt idx="588">
                    <c:v>0</c:v>
                  </c:pt>
                  <c:pt idx="589">
                    <c:v>0</c:v>
                  </c:pt>
                  <c:pt idx="590">
                    <c:v>0</c:v>
                  </c:pt>
                  <c:pt idx="591">
                    <c:v>0</c:v>
                  </c:pt>
                  <c:pt idx="592">
                    <c:v>0</c:v>
                  </c:pt>
                  <c:pt idx="593">
                    <c:v>0</c:v>
                  </c:pt>
                  <c:pt idx="594">
                    <c:v>0</c:v>
                  </c:pt>
                  <c:pt idx="595">
                    <c:v>0</c:v>
                  </c:pt>
                  <c:pt idx="596">
                    <c:v>0</c:v>
                  </c:pt>
                  <c:pt idx="597">
                    <c:v>0</c:v>
                  </c:pt>
                  <c:pt idx="598">
                    <c:v>0</c:v>
                  </c:pt>
                  <c:pt idx="599">
                    <c:v>0</c:v>
                  </c:pt>
                  <c:pt idx="600">
                    <c:v>0</c:v>
                  </c:pt>
                  <c:pt idx="601">
                    <c:v>0</c:v>
                  </c:pt>
                  <c:pt idx="602">
                    <c:v>0</c:v>
                  </c:pt>
                  <c:pt idx="603">
                    <c:v>0</c:v>
                  </c:pt>
                  <c:pt idx="604">
                    <c:v>0</c:v>
                  </c:pt>
                  <c:pt idx="605">
                    <c:v>0</c:v>
                  </c:pt>
                  <c:pt idx="606">
                    <c:v>0</c:v>
                  </c:pt>
                  <c:pt idx="607">
                    <c:v>0</c:v>
                  </c:pt>
                  <c:pt idx="608">
                    <c:v>0</c:v>
                  </c:pt>
                  <c:pt idx="609">
                    <c:v>0</c:v>
                  </c:pt>
                  <c:pt idx="610">
                    <c:v>0</c:v>
                  </c:pt>
                  <c:pt idx="611">
                    <c:v>0</c:v>
                  </c:pt>
                  <c:pt idx="612">
                    <c:v>0</c:v>
                  </c:pt>
                  <c:pt idx="613">
                    <c:v>0</c:v>
                  </c:pt>
                  <c:pt idx="614">
                    <c:v>0</c:v>
                  </c:pt>
                  <c:pt idx="615">
                    <c:v>0</c:v>
                  </c:pt>
                  <c:pt idx="616">
                    <c:v>0</c:v>
                  </c:pt>
                  <c:pt idx="617">
                    <c:v>0</c:v>
                  </c:pt>
                  <c:pt idx="618">
                    <c:v>0</c:v>
                  </c:pt>
                  <c:pt idx="619">
                    <c:v>0</c:v>
                  </c:pt>
                  <c:pt idx="620">
                    <c:v>0</c:v>
                  </c:pt>
                  <c:pt idx="621">
                    <c:v>0</c:v>
                  </c:pt>
                  <c:pt idx="622">
                    <c:v>0</c:v>
                  </c:pt>
                  <c:pt idx="623">
                    <c:v>0</c:v>
                  </c:pt>
                  <c:pt idx="624">
                    <c:v>0</c:v>
                  </c:pt>
                  <c:pt idx="625">
                    <c:v>0</c:v>
                  </c:pt>
                  <c:pt idx="626">
                    <c:v>0</c:v>
                  </c:pt>
                  <c:pt idx="627">
                    <c:v>0</c:v>
                  </c:pt>
                  <c:pt idx="628">
                    <c:v>0</c:v>
                  </c:pt>
                  <c:pt idx="629">
                    <c:v>0</c:v>
                  </c:pt>
                  <c:pt idx="630">
                    <c:v>0</c:v>
                  </c:pt>
                  <c:pt idx="631">
                    <c:v>0</c:v>
                  </c:pt>
                  <c:pt idx="632">
                    <c:v>0</c:v>
                  </c:pt>
                  <c:pt idx="633">
                    <c:v>0</c:v>
                  </c:pt>
                  <c:pt idx="634">
                    <c:v>0</c:v>
                  </c:pt>
                  <c:pt idx="635">
                    <c:v>0</c:v>
                  </c:pt>
                  <c:pt idx="636">
                    <c:v>0</c:v>
                  </c:pt>
                  <c:pt idx="637">
                    <c:v>0</c:v>
                  </c:pt>
                  <c:pt idx="638">
                    <c:v>0</c:v>
                  </c:pt>
                  <c:pt idx="639">
                    <c:v>0</c:v>
                  </c:pt>
                  <c:pt idx="640">
                    <c:v>0</c:v>
                  </c:pt>
                  <c:pt idx="641">
                    <c:v>0</c:v>
                  </c:pt>
                  <c:pt idx="642">
                    <c:v>0</c:v>
                  </c:pt>
                  <c:pt idx="643">
                    <c:v>0</c:v>
                  </c:pt>
                  <c:pt idx="644">
                    <c:v>0</c:v>
                  </c:pt>
                  <c:pt idx="645">
                    <c:v>0</c:v>
                  </c:pt>
                  <c:pt idx="646">
                    <c:v>0</c:v>
                  </c:pt>
                  <c:pt idx="647">
                    <c:v>0</c:v>
                  </c:pt>
                  <c:pt idx="648">
                    <c:v>0</c:v>
                  </c:pt>
                  <c:pt idx="649">
                    <c:v>0</c:v>
                  </c:pt>
                  <c:pt idx="650">
                    <c:v>0</c:v>
                  </c:pt>
                  <c:pt idx="651">
                    <c:v>0</c:v>
                  </c:pt>
                  <c:pt idx="652">
                    <c:v>0</c:v>
                  </c:pt>
                  <c:pt idx="653">
                    <c:v>0</c:v>
                  </c:pt>
                  <c:pt idx="654">
                    <c:v>0</c:v>
                  </c:pt>
                  <c:pt idx="655">
                    <c:v>0</c:v>
                  </c:pt>
                  <c:pt idx="656">
                    <c:v>0</c:v>
                  </c:pt>
                  <c:pt idx="657">
                    <c:v>0</c:v>
                  </c:pt>
                  <c:pt idx="658">
                    <c:v>0</c:v>
                  </c:pt>
                  <c:pt idx="659">
                    <c:v>0</c:v>
                  </c:pt>
                  <c:pt idx="660">
                    <c:v>0</c:v>
                  </c:pt>
                  <c:pt idx="661">
                    <c:v>0</c:v>
                  </c:pt>
                  <c:pt idx="662">
                    <c:v>0</c:v>
                  </c:pt>
                  <c:pt idx="663">
                    <c:v>0</c:v>
                  </c:pt>
                  <c:pt idx="664">
                    <c:v>0</c:v>
                  </c:pt>
                  <c:pt idx="665">
                    <c:v>0</c:v>
                  </c:pt>
                  <c:pt idx="666">
                    <c:v>0</c:v>
                  </c:pt>
                  <c:pt idx="667">
                    <c:v>0</c:v>
                  </c:pt>
                  <c:pt idx="668">
                    <c:v>0</c:v>
                  </c:pt>
                  <c:pt idx="669">
                    <c:v>0</c:v>
                  </c:pt>
                  <c:pt idx="670">
                    <c:v>0</c:v>
                  </c:pt>
                  <c:pt idx="671">
                    <c:v>0</c:v>
                  </c:pt>
                  <c:pt idx="672">
                    <c:v>0</c:v>
                  </c:pt>
                  <c:pt idx="673">
                    <c:v>0</c:v>
                  </c:pt>
                  <c:pt idx="674">
                    <c:v>0</c:v>
                  </c:pt>
                  <c:pt idx="675">
                    <c:v>0</c:v>
                  </c:pt>
                  <c:pt idx="676">
                    <c:v>0</c:v>
                  </c:pt>
                  <c:pt idx="677">
                    <c:v>0</c:v>
                  </c:pt>
                  <c:pt idx="678">
                    <c:v>0</c:v>
                  </c:pt>
                  <c:pt idx="679">
                    <c:v>0</c:v>
                  </c:pt>
                  <c:pt idx="680">
                    <c:v>0</c:v>
                  </c:pt>
                  <c:pt idx="681">
                    <c:v>0</c:v>
                  </c:pt>
                  <c:pt idx="682">
                    <c:v>0</c:v>
                  </c:pt>
                  <c:pt idx="683">
                    <c:v>0</c:v>
                  </c:pt>
                  <c:pt idx="684">
                    <c:v>0</c:v>
                  </c:pt>
                  <c:pt idx="685">
                    <c:v>0</c:v>
                  </c:pt>
                  <c:pt idx="686">
                    <c:v>0</c:v>
                  </c:pt>
                  <c:pt idx="687">
                    <c:v>0</c:v>
                  </c:pt>
                  <c:pt idx="688">
                    <c:v>0</c:v>
                  </c:pt>
                  <c:pt idx="689">
                    <c:v>0</c:v>
                  </c:pt>
                  <c:pt idx="690">
                    <c:v>0</c:v>
                  </c:pt>
                  <c:pt idx="691">
                    <c:v>0</c:v>
                  </c:pt>
                  <c:pt idx="692">
                    <c:v>0</c:v>
                  </c:pt>
                  <c:pt idx="693">
                    <c:v>0</c:v>
                  </c:pt>
                  <c:pt idx="694">
                    <c:v>0</c:v>
                  </c:pt>
                  <c:pt idx="695">
                    <c:v>0</c:v>
                  </c:pt>
                  <c:pt idx="696">
                    <c:v>0</c:v>
                  </c:pt>
                  <c:pt idx="697">
                    <c:v>0</c:v>
                  </c:pt>
                  <c:pt idx="698">
                    <c:v>0</c:v>
                  </c:pt>
                  <c:pt idx="699">
                    <c:v>0</c:v>
                  </c:pt>
                  <c:pt idx="700">
                    <c:v>0</c:v>
                  </c:pt>
                  <c:pt idx="701">
                    <c:v>0</c:v>
                  </c:pt>
                  <c:pt idx="702">
                    <c:v>0</c:v>
                  </c:pt>
                  <c:pt idx="703">
                    <c:v>0</c:v>
                  </c:pt>
                  <c:pt idx="704">
                    <c:v>0</c:v>
                  </c:pt>
                  <c:pt idx="705">
                    <c:v>0</c:v>
                  </c:pt>
                  <c:pt idx="706">
                    <c:v>0</c:v>
                  </c:pt>
                  <c:pt idx="707">
                    <c:v>0</c:v>
                  </c:pt>
                  <c:pt idx="708">
                    <c:v>0</c:v>
                  </c:pt>
                  <c:pt idx="709">
                    <c:v>0</c:v>
                  </c:pt>
                  <c:pt idx="710">
                    <c:v>0</c:v>
                  </c:pt>
                  <c:pt idx="711">
                    <c:v>0</c:v>
                  </c:pt>
                  <c:pt idx="712">
                    <c:v>0</c:v>
                  </c:pt>
                  <c:pt idx="713">
                    <c:v>0</c:v>
                  </c:pt>
                  <c:pt idx="714">
                    <c:v>0</c:v>
                  </c:pt>
                  <c:pt idx="715">
                    <c:v>0</c:v>
                  </c:pt>
                  <c:pt idx="716">
                    <c:v>0</c:v>
                  </c:pt>
                  <c:pt idx="717">
                    <c:v>0</c:v>
                  </c:pt>
                  <c:pt idx="718">
                    <c:v>0</c:v>
                  </c:pt>
                  <c:pt idx="719">
                    <c:v>0</c:v>
                  </c:pt>
                  <c:pt idx="720">
                    <c:v>0</c:v>
                  </c:pt>
                  <c:pt idx="721">
                    <c:v>0</c:v>
                  </c:pt>
                  <c:pt idx="722">
                    <c:v>0</c:v>
                  </c:pt>
                  <c:pt idx="723">
                    <c:v>0</c:v>
                  </c:pt>
                  <c:pt idx="724">
                    <c:v>0</c:v>
                  </c:pt>
                  <c:pt idx="725">
                    <c:v>0</c:v>
                  </c:pt>
                  <c:pt idx="726">
                    <c:v>0</c:v>
                  </c:pt>
                  <c:pt idx="727">
                    <c:v>0</c:v>
                  </c:pt>
                  <c:pt idx="728">
                    <c:v>0</c:v>
                  </c:pt>
                  <c:pt idx="729">
                    <c:v>0</c:v>
                  </c:pt>
                  <c:pt idx="730">
                    <c:v>0</c:v>
                  </c:pt>
                  <c:pt idx="731">
                    <c:v>0</c:v>
                  </c:pt>
                  <c:pt idx="732">
                    <c:v>0</c:v>
                  </c:pt>
                  <c:pt idx="733">
                    <c:v>0</c:v>
                  </c:pt>
                  <c:pt idx="734">
                    <c:v>0</c:v>
                  </c:pt>
                  <c:pt idx="735">
                    <c:v>0</c:v>
                  </c:pt>
                  <c:pt idx="736">
                    <c:v>0</c:v>
                  </c:pt>
                  <c:pt idx="737">
                    <c:v>0</c:v>
                  </c:pt>
                  <c:pt idx="738">
                    <c:v>0</c:v>
                  </c:pt>
                  <c:pt idx="739">
                    <c:v>0</c:v>
                  </c:pt>
                  <c:pt idx="740">
                    <c:v>0</c:v>
                  </c:pt>
                  <c:pt idx="741">
                    <c:v>0</c:v>
                  </c:pt>
                  <c:pt idx="742">
                    <c:v>0</c:v>
                  </c:pt>
                  <c:pt idx="743">
                    <c:v>0</c:v>
                  </c:pt>
                  <c:pt idx="744">
                    <c:v>0</c:v>
                  </c:pt>
                  <c:pt idx="745">
                    <c:v>0</c:v>
                  </c:pt>
                  <c:pt idx="746">
                    <c:v>0</c:v>
                  </c:pt>
                  <c:pt idx="747">
                    <c:v>0</c:v>
                  </c:pt>
                  <c:pt idx="748">
                    <c:v>0</c:v>
                  </c:pt>
                  <c:pt idx="749">
                    <c:v>0</c:v>
                  </c:pt>
                  <c:pt idx="750">
                    <c:v>0</c:v>
                  </c:pt>
                  <c:pt idx="751">
                    <c:v>0</c:v>
                  </c:pt>
                  <c:pt idx="752">
                    <c:v>0</c:v>
                  </c:pt>
                  <c:pt idx="753">
                    <c:v>0</c:v>
                  </c:pt>
                  <c:pt idx="754">
                    <c:v>0</c:v>
                  </c:pt>
                  <c:pt idx="755">
                    <c:v>0</c:v>
                  </c:pt>
                  <c:pt idx="756">
                    <c:v>0</c:v>
                  </c:pt>
                  <c:pt idx="757">
                    <c:v>0</c:v>
                  </c:pt>
                  <c:pt idx="758">
                    <c:v>0</c:v>
                  </c:pt>
                  <c:pt idx="759">
                    <c:v>0</c:v>
                  </c:pt>
                  <c:pt idx="760">
                    <c:v>0</c:v>
                  </c:pt>
                  <c:pt idx="761">
                    <c:v>0</c:v>
                  </c:pt>
                  <c:pt idx="762">
                    <c:v>0</c:v>
                  </c:pt>
                  <c:pt idx="763">
                    <c:v>0</c:v>
                  </c:pt>
                  <c:pt idx="764">
                    <c:v>0</c:v>
                  </c:pt>
                  <c:pt idx="765">
                    <c:v>0</c:v>
                  </c:pt>
                  <c:pt idx="766">
                    <c:v>0</c:v>
                  </c:pt>
                  <c:pt idx="767">
                    <c:v>0</c:v>
                  </c:pt>
                  <c:pt idx="768">
                    <c:v>0</c:v>
                  </c:pt>
                  <c:pt idx="769">
                    <c:v>0</c:v>
                  </c:pt>
                  <c:pt idx="770">
                    <c:v>0</c:v>
                  </c:pt>
                  <c:pt idx="771">
                    <c:v>0</c:v>
                  </c:pt>
                  <c:pt idx="772">
                    <c:v>0</c:v>
                  </c:pt>
                  <c:pt idx="773">
                    <c:v>0</c:v>
                  </c:pt>
                  <c:pt idx="774">
                    <c:v>0</c:v>
                  </c:pt>
                  <c:pt idx="775">
                    <c:v>0</c:v>
                  </c:pt>
                  <c:pt idx="776">
                    <c:v>0</c:v>
                  </c:pt>
                  <c:pt idx="777">
                    <c:v>0</c:v>
                  </c:pt>
                  <c:pt idx="778">
                    <c:v>0</c:v>
                  </c:pt>
                  <c:pt idx="779">
                    <c:v>0</c:v>
                  </c:pt>
                  <c:pt idx="780">
                    <c:v>0</c:v>
                  </c:pt>
                  <c:pt idx="781">
                    <c:v>0</c:v>
                  </c:pt>
                  <c:pt idx="782">
                    <c:v>0</c:v>
                  </c:pt>
                  <c:pt idx="783">
                    <c:v>0</c:v>
                  </c:pt>
                  <c:pt idx="784">
                    <c:v>0</c:v>
                  </c:pt>
                  <c:pt idx="785">
                    <c:v>0</c:v>
                  </c:pt>
                  <c:pt idx="786">
                    <c:v>0</c:v>
                  </c:pt>
                  <c:pt idx="787">
                    <c:v>0</c:v>
                  </c:pt>
                  <c:pt idx="788">
                    <c:v>0</c:v>
                  </c:pt>
                  <c:pt idx="789">
                    <c:v>0</c:v>
                  </c:pt>
                  <c:pt idx="790">
                    <c:v>0</c:v>
                  </c:pt>
                  <c:pt idx="791">
                    <c:v>0</c:v>
                  </c:pt>
                  <c:pt idx="792">
                    <c:v>0</c:v>
                  </c:pt>
                  <c:pt idx="793">
                    <c:v>0</c:v>
                  </c:pt>
                  <c:pt idx="794">
                    <c:v>0</c:v>
                  </c:pt>
                  <c:pt idx="795">
                    <c:v>0</c:v>
                  </c:pt>
                  <c:pt idx="796">
                    <c:v>0</c:v>
                  </c:pt>
                  <c:pt idx="797">
                    <c:v>0</c:v>
                  </c:pt>
                  <c:pt idx="798">
                    <c:v>0</c:v>
                  </c:pt>
                  <c:pt idx="799">
                    <c:v>0</c:v>
                  </c:pt>
                  <c:pt idx="800">
                    <c:v>0</c:v>
                  </c:pt>
                  <c:pt idx="801">
                    <c:v>0</c:v>
                  </c:pt>
                  <c:pt idx="802">
                    <c:v>0</c:v>
                  </c:pt>
                  <c:pt idx="803">
                    <c:v>0</c:v>
                  </c:pt>
                  <c:pt idx="804">
                    <c:v>0</c:v>
                  </c:pt>
                  <c:pt idx="805">
                    <c:v>0</c:v>
                  </c:pt>
                  <c:pt idx="806">
                    <c:v>0</c:v>
                  </c:pt>
                  <c:pt idx="807">
                    <c:v>0</c:v>
                  </c:pt>
                  <c:pt idx="808">
                    <c:v>0</c:v>
                  </c:pt>
                  <c:pt idx="809">
                    <c:v>0</c:v>
                  </c:pt>
                  <c:pt idx="810">
                    <c:v>0</c:v>
                  </c:pt>
                  <c:pt idx="811">
                    <c:v>0</c:v>
                  </c:pt>
                  <c:pt idx="812">
                    <c:v>0</c:v>
                  </c:pt>
                  <c:pt idx="813">
                    <c:v>0</c:v>
                  </c:pt>
                  <c:pt idx="814">
                    <c:v>0</c:v>
                  </c:pt>
                  <c:pt idx="815">
                    <c:v>0</c:v>
                  </c:pt>
                  <c:pt idx="816">
                    <c:v>0</c:v>
                  </c:pt>
                  <c:pt idx="817">
                    <c:v>0</c:v>
                  </c:pt>
                  <c:pt idx="818">
                    <c:v>0</c:v>
                  </c:pt>
                  <c:pt idx="819">
                    <c:v>0</c:v>
                  </c:pt>
                  <c:pt idx="820">
                    <c:v>0</c:v>
                  </c:pt>
                  <c:pt idx="821">
                    <c:v>0</c:v>
                  </c:pt>
                  <c:pt idx="822">
                    <c:v>0</c:v>
                  </c:pt>
                  <c:pt idx="823">
                    <c:v>0</c:v>
                  </c:pt>
                  <c:pt idx="824">
                    <c:v>0</c:v>
                  </c:pt>
                  <c:pt idx="825">
                    <c:v>0</c:v>
                  </c:pt>
                  <c:pt idx="826">
                    <c:v>0</c:v>
                  </c:pt>
                  <c:pt idx="827">
                    <c:v>0</c:v>
                  </c:pt>
                  <c:pt idx="828">
                    <c:v>0</c:v>
                  </c:pt>
                  <c:pt idx="829">
                    <c:v>0</c:v>
                  </c:pt>
                  <c:pt idx="830">
                    <c:v>0</c:v>
                  </c:pt>
                  <c:pt idx="831">
                    <c:v>0</c:v>
                  </c:pt>
                  <c:pt idx="832">
                    <c:v>0</c:v>
                  </c:pt>
                  <c:pt idx="833">
                    <c:v>0</c:v>
                  </c:pt>
                  <c:pt idx="834">
                    <c:v>0</c:v>
                  </c:pt>
                  <c:pt idx="835">
                    <c:v>0</c:v>
                  </c:pt>
                  <c:pt idx="836">
                    <c:v>0</c:v>
                  </c:pt>
                  <c:pt idx="837">
                    <c:v>0</c:v>
                  </c:pt>
                  <c:pt idx="838">
                    <c:v>0</c:v>
                  </c:pt>
                  <c:pt idx="839">
                    <c:v>0</c:v>
                  </c:pt>
                  <c:pt idx="840">
                    <c:v>0</c:v>
                  </c:pt>
                  <c:pt idx="841">
                    <c:v>0</c:v>
                  </c:pt>
                  <c:pt idx="842">
                    <c:v>0</c:v>
                  </c:pt>
                  <c:pt idx="843">
                    <c:v>0</c:v>
                  </c:pt>
                  <c:pt idx="844">
                    <c:v>0</c:v>
                  </c:pt>
                  <c:pt idx="845">
                    <c:v>0</c:v>
                  </c:pt>
                  <c:pt idx="846">
                    <c:v>0</c:v>
                  </c:pt>
                  <c:pt idx="847">
                    <c:v>0</c:v>
                  </c:pt>
                  <c:pt idx="848">
                    <c:v>0</c:v>
                  </c:pt>
                  <c:pt idx="849">
                    <c:v>0</c:v>
                  </c:pt>
                  <c:pt idx="850">
                    <c:v>0</c:v>
                  </c:pt>
                  <c:pt idx="851">
                    <c:v>0</c:v>
                  </c:pt>
                  <c:pt idx="852">
                    <c:v>0</c:v>
                  </c:pt>
                  <c:pt idx="853">
                    <c:v>0</c:v>
                  </c:pt>
                  <c:pt idx="854">
                    <c:v>0</c:v>
                  </c:pt>
                  <c:pt idx="855">
                    <c:v>0</c:v>
                  </c:pt>
                  <c:pt idx="856">
                    <c:v>0</c:v>
                  </c:pt>
                  <c:pt idx="857">
                    <c:v>0</c:v>
                  </c:pt>
                  <c:pt idx="858">
                    <c:v>0</c:v>
                  </c:pt>
                  <c:pt idx="859">
                    <c:v>0</c:v>
                  </c:pt>
                  <c:pt idx="860">
                    <c:v>0</c:v>
                  </c:pt>
                  <c:pt idx="861">
                    <c:v>0</c:v>
                  </c:pt>
                  <c:pt idx="862">
                    <c:v>0</c:v>
                  </c:pt>
                  <c:pt idx="863">
                    <c:v>0</c:v>
                  </c:pt>
                  <c:pt idx="864">
                    <c:v>0</c:v>
                  </c:pt>
                  <c:pt idx="865">
                    <c:v>0</c:v>
                  </c:pt>
                  <c:pt idx="866">
                    <c:v>0</c:v>
                  </c:pt>
                  <c:pt idx="867">
                    <c:v>0</c:v>
                  </c:pt>
                  <c:pt idx="868">
                    <c:v>0</c:v>
                  </c:pt>
                  <c:pt idx="869">
                    <c:v>0</c:v>
                  </c:pt>
                  <c:pt idx="870">
                    <c:v>0</c:v>
                  </c:pt>
                  <c:pt idx="871">
                    <c:v>0</c:v>
                  </c:pt>
                  <c:pt idx="872">
                    <c:v>0</c:v>
                  </c:pt>
                  <c:pt idx="873">
                    <c:v>0</c:v>
                  </c:pt>
                  <c:pt idx="874">
                    <c:v>0</c:v>
                  </c:pt>
                  <c:pt idx="875">
                    <c:v>0</c:v>
                  </c:pt>
                  <c:pt idx="876">
                    <c:v>0</c:v>
                  </c:pt>
                  <c:pt idx="877">
                    <c:v>0</c:v>
                  </c:pt>
                  <c:pt idx="878">
                    <c:v>0</c:v>
                  </c:pt>
                  <c:pt idx="879">
                    <c:v>0</c:v>
                  </c:pt>
                  <c:pt idx="880">
                    <c:v>0</c:v>
                  </c:pt>
                  <c:pt idx="881">
                    <c:v>0</c:v>
                  </c:pt>
                  <c:pt idx="882">
                    <c:v>0</c:v>
                  </c:pt>
                  <c:pt idx="883">
                    <c:v>0</c:v>
                  </c:pt>
                  <c:pt idx="884">
                    <c:v>0</c:v>
                  </c:pt>
                  <c:pt idx="885">
                    <c:v>0</c:v>
                  </c:pt>
                  <c:pt idx="886">
                    <c:v>0</c:v>
                  </c:pt>
                  <c:pt idx="887">
                    <c:v>0</c:v>
                  </c:pt>
                  <c:pt idx="888">
                    <c:v>0</c:v>
                  </c:pt>
                  <c:pt idx="889">
                    <c:v>0</c:v>
                  </c:pt>
                  <c:pt idx="890">
                    <c:v>0</c:v>
                  </c:pt>
                  <c:pt idx="891">
                    <c:v>0</c:v>
                  </c:pt>
                  <c:pt idx="892">
                    <c:v>0</c:v>
                  </c:pt>
                  <c:pt idx="893">
                    <c:v>0</c:v>
                  </c:pt>
                  <c:pt idx="894">
                    <c:v>0</c:v>
                  </c:pt>
                  <c:pt idx="895">
                    <c:v>0</c:v>
                  </c:pt>
                  <c:pt idx="896">
                    <c:v>0</c:v>
                  </c:pt>
                  <c:pt idx="897">
                    <c:v>0</c:v>
                  </c:pt>
                  <c:pt idx="898">
                    <c:v>0</c:v>
                  </c:pt>
                  <c:pt idx="899">
                    <c:v>0</c:v>
                  </c:pt>
                  <c:pt idx="900">
                    <c:v>0</c:v>
                  </c:pt>
                  <c:pt idx="901">
                    <c:v>0</c:v>
                  </c:pt>
                  <c:pt idx="902">
                    <c:v>0</c:v>
                  </c:pt>
                  <c:pt idx="903">
                    <c:v>0</c:v>
                  </c:pt>
                  <c:pt idx="904">
                    <c:v>0</c:v>
                  </c:pt>
                  <c:pt idx="905">
                    <c:v>0</c:v>
                  </c:pt>
                  <c:pt idx="906">
                    <c:v>0</c:v>
                  </c:pt>
                  <c:pt idx="907">
                    <c:v>0</c:v>
                  </c:pt>
                  <c:pt idx="908">
                    <c:v>0</c:v>
                  </c:pt>
                  <c:pt idx="909">
                    <c:v>0</c:v>
                  </c:pt>
                  <c:pt idx="910">
                    <c:v>0</c:v>
                  </c:pt>
                  <c:pt idx="911">
                    <c:v>0</c:v>
                  </c:pt>
                  <c:pt idx="912">
                    <c:v>0</c:v>
                  </c:pt>
                  <c:pt idx="913">
                    <c:v>0</c:v>
                  </c:pt>
                  <c:pt idx="914">
                    <c:v>0</c:v>
                  </c:pt>
                  <c:pt idx="915">
                    <c:v>0</c:v>
                  </c:pt>
                  <c:pt idx="916">
                    <c:v>0</c:v>
                  </c:pt>
                  <c:pt idx="917">
                    <c:v>0</c:v>
                  </c:pt>
                  <c:pt idx="918">
                    <c:v>0</c:v>
                  </c:pt>
                  <c:pt idx="919">
                    <c:v>0</c:v>
                  </c:pt>
                  <c:pt idx="920">
                    <c:v>0</c:v>
                  </c:pt>
                  <c:pt idx="921">
                    <c:v>0</c:v>
                  </c:pt>
                  <c:pt idx="922">
                    <c:v>0</c:v>
                  </c:pt>
                  <c:pt idx="923">
                    <c:v>0</c:v>
                  </c:pt>
                  <c:pt idx="924">
                    <c:v>0</c:v>
                  </c:pt>
                  <c:pt idx="925">
                    <c:v>0</c:v>
                  </c:pt>
                  <c:pt idx="926">
                    <c:v>0</c:v>
                  </c:pt>
                  <c:pt idx="927">
                    <c:v>0</c:v>
                  </c:pt>
                  <c:pt idx="928">
                    <c:v>0</c:v>
                  </c:pt>
                  <c:pt idx="929">
                    <c:v>0</c:v>
                  </c:pt>
                  <c:pt idx="930">
                    <c:v>0</c:v>
                  </c:pt>
                  <c:pt idx="931">
                    <c:v>0</c:v>
                  </c:pt>
                  <c:pt idx="932">
                    <c:v>0</c:v>
                  </c:pt>
                  <c:pt idx="933">
                    <c:v>0</c:v>
                  </c:pt>
                  <c:pt idx="934">
                    <c:v>0</c:v>
                  </c:pt>
                  <c:pt idx="935">
                    <c:v>0</c:v>
                  </c:pt>
                  <c:pt idx="936">
                    <c:v>0</c:v>
                  </c:pt>
                  <c:pt idx="937">
                    <c:v>0</c:v>
                  </c:pt>
                  <c:pt idx="938">
                    <c:v>0</c:v>
                  </c:pt>
                  <c:pt idx="939">
                    <c:v>0</c:v>
                  </c:pt>
                  <c:pt idx="940">
                    <c:v>0</c:v>
                  </c:pt>
                  <c:pt idx="941">
                    <c:v>0</c:v>
                  </c:pt>
                  <c:pt idx="942">
                    <c:v>0</c:v>
                  </c:pt>
                  <c:pt idx="943">
                    <c:v>0</c:v>
                  </c:pt>
                  <c:pt idx="944">
                    <c:v>0</c:v>
                  </c:pt>
                  <c:pt idx="945">
                    <c:v>0</c:v>
                  </c:pt>
                  <c:pt idx="946">
                    <c:v>0</c:v>
                  </c:pt>
                  <c:pt idx="947">
                    <c:v>0</c:v>
                  </c:pt>
                  <c:pt idx="948">
                    <c:v>0</c:v>
                  </c:pt>
                  <c:pt idx="949">
                    <c:v>0</c:v>
                  </c:pt>
                  <c:pt idx="950">
                    <c:v>0</c:v>
                  </c:pt>
                  <c:pt idx="951">
                    <c:v>0</c:v>
                  </c:pt>
                  <c:pt idx="952">
                    <c:v>0</c:v>
                  </c:pt>
                  <c:pt idx="953">
                    <c:v>0</c:v>
                  </c:pt>
                  <c:pt idx="954">
                    <c:v>0</c:v>
                  </c:pt>
                  <c:pt idx="955">
                    <c:v>0</c:v>
                  </c:pt>
                  <c:pt idx="956">
                    <c:v>0</c:v>
                  </c:pt>
                  <c:pt idx="957">
                    <c:v>0</c:v>
                  </c:pt>
                  <c:pt idx="958">
                    <c:v>0</c:v>
                  </c:pt>
                  <c:pt idx="959">
                    <c:v>0</c:v>
                  </c:pt>
                  <c:pt idx="960">
                    <c:v>0</c:v>
                  </c:pt>
                  <c:pt idx="961">
                    <c:v>0</c:v>
                  </c:pt>
                  <c:pt idx="962">
                    <c:v>0</c:v>
                  </c:pt>
                  <c:pt idx="963">
                    <c:v>0</c:v>
                  </c:pt>
                  <c:pt idx="964">
                    <c:v>0</c:v>
                  </c:pt>
                  <c:pt idx="965">
                    <c:v>0</c:v>
                  </c:pt>
                  <c:pt idx="966">
                    <c:v>0</c:v>
                  </c:pt>
                  <c:pt idx="967">
                    <c:v>0</c:v>
                  </c:pt>
                  <c:pt idx="968">
                    <c:v>0</c:v>
                  </c:pt>
                  <c:pt idx="969">
                    <c:v>0</c:v>
                  </c:pt>
                  <c:pt idx="970">
                    <c:v>0</c:v>
                  </c:pt>
                  <c:pt idx="971">
                    <c:v>0</c:v>
                  </c:pt>
                  <c:pt idx="972">
                    <c:v>0</c:v>
                  </c:pt>
                  <c:pt idx="973">
                    <c:v>0</c:v>
                  </c:pt>
                  <c:pt idx="974">
                    <c:v>0</c:v>
                  </c:pt>
                  <c:pt idx="975">
                    <c:v>0</c:v>
                  </c:pt>
                  <c:pt idx="976">
                    <c:v>0</c:v>
                  </c:pt>
                  <c:pt idx="977">
                    <c:v>0</c:v>
                  </c:pt>
                  <c:pt idx="978">
                    <c:v>0</c:v>
                  </c:pt>
                  <c:pt idx="979">
                    <c:v>0</c:v>
                  </c:pt>
                  <c:pt idx="980">
                    <c:v>0</c:v>
                  </c:pt>
                  <c:pt idx="981">
                    <c:v>0</c:v>
                  </c:pt>
                  <c:pt idx="982">
                    <c:v>0</c:v>
                  </c:pt>
                  <c:pt idx="983">
                    <c:v>0</c:v>
                  </c:pt>
                  <c:pt idx="984">
                    <c:v>0</c:v>
                  </c:pt>
                  <c:pt idx="985">
                    <c:v>0</c:v>
                  </c:pt>
                  <c:pt idx="986">
                    <c:v>0</c:v>
                  </c:pt>
                  <c:pt idx="987">
                    <c:v>0</c:v>
                  </c:pt>
                  <c:pt idx="988">
                    <c:v>0</c:v>
                  </c:pt>
                  <c:pt idx="989">
                    <c:v>0</c:v>
                  </c:pt>
                  <c:pt idx="990">
                    <c:v>0</c:v>
                  </c:pt>
                  <c:pt idx="991">
                    <c:v>0</c:v>
                  </c:pt>
                  <c:pt idx="992">
                    <c:v>0</c:v>
                  </c:pt>
                  <c:pt idx="993">
                    <c:v>0</c:v>
                  </c:pt>
                  <c:pt idx="994">
                    <c:v>0</c:v>
                  </c:pt>
                  <c:pt idx="995">
                    <c:v>0</c:v>
                  </c:pt>
                  <c:pt idx="996">
                    <c:v>0</c:v>
                  </c:pt>
                  <c:pt idx="997">
                    <c:v>0</c:v>
                  </c:pt>
                  <c:pt idx="998">
                    <c:v>0</c:v>
                  </c:pt>
                  <c:pt idx="999">
                    <c:v>0</c:v>
                  </c:pt>
                  <c:pt idx="1000">
                    <c:v>0</c:v>
                  </c:pt>
                  <c:pt idx="1001">
                    <c:v>0</c:v>
                  </c:pt>
                  <c:pt idx="1002">
                    <c:v>0</c:v>
                  </c:pt>
                  <c:pt idx="1003">
                    <c:v>0</c:v>
                  </c:pt>
                  <c:pt idx="1004">
                    <c:v>0</c:v>
                  </c:pt>
                  <c:pt idx="1005">
                    <c:v>0</c:v>
                  </c:pt>
                  <c:pt idx="1006">
                    <c:v>0</c:v>
                  </c:pt>
                  <c:pt idx="1007">
                    <c:v>0</c:v>
                  </c:pt>
                  <c:pt idx="1008">
                    <c:v>0</c:v>
                  </c:pt>
                  <c:pt idx="1009">
                    <c:v>0</c:v>
                  </c:pt>
                  <c:pt idx="1010">
                    <c:v>0</c:v>
                  </c:pt>
                  <c:pt idx="1011">
                    <c:v>0</c:v>
                  </c:pt>
                  <c:pt idx="1012">
                    <c:v>0</c:v>
                  </c:pt>
                  <c:pt idx="1013">
                    <c:v>0</c:v>
                  </c:pt>
                  <c:pt idx="1014">
                    <c:v>0</c:v>
                  </c:pt>
                  <c:pt idx="1015">
                    <c:v>0</c:v>
                  </c:pt>
                  <c:pt idx="1016">
                    <c:v>0</c:v>
                  </c:pt>
                  <c:pt idx="1017">
                    <c:v>0</c:v>
                  </c:pt>
                  <c:pt idx="1018">
                    <c:v>0</c:v>
                  </c:pt>
                  <c:pt idx="1019">
                    <c:v>0</c:v>
                  </c:pt>
                  <c:pt idx="1020">
                    <c:v>0</c:v>
                  </c:pt>
                  <c:pt idx="1021">
                    <c:v>0</c:v>
                  </c:pt>
                  <c:pt idx="1022">
                    <c:v>0</c:v>
                  </c:pt>
                  <c:pt idx="1023">
                    <c:v>0</c:v>
                  </c:pt>
                  <c:pt idx="1024">
                    <c:v>0</c:v>
                  </c:pt>
                  <c:pt idx="1025">
                    <c:v>0</c:v>
                  </c:pt>
                  <c:pt idx="1026">
                    <c:v>0</c:v>
                  </c:pt>
                  <c:pt idx="1027">
                    <c:v>0</c:v>
                  </c:pt>
                  <c:pt idx="1028">
                    <c:v>0</c:v>
                  </c:pt>
                  <c:pt idx="1029">
                    <c:v>0</c:v>
                  </c:pt>
                  <c:pt idx="1030">
                    <c:v>0</c:v>
                  </c:pt>
                  <c:pt idx="1031">
                    <c:v>0</c:v>
                  </c:pt>
                  <c:pt idx="1032">
                    <c:v>0</c:v>
                  </c:pt>
                  <c:pt idx="1033">
                    <c:v>0</c:v>
                  </c:pt>
                  <c:pt idx="1034">
                    <c:v>0</c:v>
                  </c:pt>
                  <c:pt idx="1035">
                    <c:v>0</c:v>
                  </c:pt>
                  <c:pt idx="1036">
                    <c:v>0</c:v>
                  </c:pt>
                  <c:pt idx="1037">
                    <c:v>0</c:v>
                  </c:pt>
                  <c:pt idx="1038">
                    <c:v>0</c:v>
                  </c:pt>
                  <c:pt idx="1039">
                    <c:v>0</c:v>
                  </c:pt>
                  <c:pt idx="1040">
                    <c:v>0</c:v>
                  </c:pt>
                  <c:pt idx="1041">
                    <c:v>0</c:v>
                  </c:pt>
                  <c:pt idx="1042">
                    <c:v>0</c:v>
                  </c:pt>
                  <c:pt idx="1043">
                    <c:v>0</c:v>
                  </c:pt>
                  <c:pt idx="1044">
                    <c:v>0</c:v>
                  </c:pt>
                  <c:pt idx="1045">
                    <c:v>0</c:v>
                  </c:pt>
                  <c:pt idx="1046">
                    <c:v>0</c:v>
                  </c:pt>
                  <c:pt idx="1047">
                    <c:v>0</c:v>
                  </c:pt>
                  <c:pt idx="1048">
                    <c:v>0</c:v>
                  </c:pt>
                  <c:pt idx="1049">
                    <c:v>0</c:v>
                  </c:pt>
                  <c:pt idx="1050">
                    <c:v>0</c:v>
                  </c:pt>
                  <c:pt idx="1051">
                    <c:v>0</c:v>
                  </c:pt>
                  <c:pt idx="1052">
                    <c:v>0</c:v>
                  </c:pt>
                  <c:pt idx="1053">
                    <c:v>0</c:v>
                  </c:pt>
                  <c:pt idx="1054">
                    <c:v>0</c:v>
                  </c:pt>
                  <c:pt idx="1055">
                    <c:v>0</c:v>
                  </c:pt>
                  <c:pt idx="1056">
                    <c:v>0</c:v>
                  </c:pt>
                  <c:pt idx="1057">
                    <c:v>0</c:v>
                  </c:pt>
                  <c:pt idx="1058">
                    <c:v>0</c:v>
                  </c:pt>
                  <c:pt idx="1059">
                    <c:v>0</c:v>
                  </c:pt>
                  <c:pt idx="1060">
                    <c:v>0</c:v>
                  </c:pt>
                  <c:pt idx="1061">
                    <c:v>0</c:v>
                  </c:pt>
                  <c:pt idx="1062">
                    <c:v>0</c:v>
                  </c:pt>
                  <c:pt idx="1063">
                    <c:v>0</c:v>
                  </c:pt>
                  <c:pt idx="1064">
                    <c:v>0</c:v>
                  </c:pt>
                  <c:pt idx="1065">
                    <c:v>0</c:v>
                  </c:pt>
                  <c:pt idx="1066">
                    <c:v>0</c:v>
                  </c:pt>
                  <c:pt idx="1067">
                    <c:v>0</c:v>
                  </c:pt>
                  <c:pt idx="1068">
                    <c:v>0</c:v>
                  </c:pt>
                  <c:pt idx="1069">
                    <c:v>0</c:v>
                  </c:pt>
                  <c:pt idx="1070">
                    <c:v>0</c:v>
                  </c:pt>
                  <c:pt idx="1071">
                    <c:v>0</c:v>
                  </c:pt>
                  <c:pt idx="1072">
                    <c:v>0</c:v>
                  </c:pt>
                  <c:pt idx="1073">
                    <c:v>0</c:v>
                  </c:pt>
                  <c:pt idx="1074">
                    <c:v>0</c:v>
                  </c:pt>
                  <c:pt idx="1075">
                    <c:v>0</c:v>
                  </c:pt>
                  <c:pt idx="1076">
                    <c:v>0</c:v>
                  </c:pt>
                  <c:pt idx="1077">
                    <c:v>0</c:v>
                  </c:pt>
                  <c:pt idx="1078">
                    <c:v>0</c:v>
                  </c:pt>
                  <c:pt idx="1079">
                    <c:v>0</c:v>
                  </c:pt>
                  <c:pt idx="1080">
                    <c:v>0</c:v>
                  </c:pt>
                  <c:pt idx="1081">
                    <c:v>0</c:v>
                  </c:pt>
                  <c:pt idx="1082">
                    <c:v>0</c:v>
                  </c:pt>
                  <c:pt idx="1083">
                    <c:v>0</c:v>
                  </c:pt>
                  <c:pt idx="1084">
                    <c:v>0</c:v>
                  </c:pt>
                  <c:pt idx="1085">
                    <c:v>0</c:v>
                  </c:pt>
                  <c:pt idx="1086">
                    <c:v>0</c:v>
                  </c:pt>
                  <c:pt idx="1087">
                    <c:v>0</c:v>
                  </c:pt>
                  <c:pt idx="1088">
                    <c:v>0</c:v>
                  </c:pt>
                  <c:pt idx="1089">
                    <c:v>0</c:v>
                  </c:pt>
                  <c:pt idx="1090">
                    <c:v>0</c:v>
                  </c:pt>
                  <c:pt idx="1091">
                    <c:v>0</c:v>
                  </c:pt>
                  <c:pt idx="1092">
                    <c:v>0</c:v>
                  </c:pt>
                  <c:pt idx="1093">
                    <c:v>0</c:v>
                  </c:pt>
                  <c:pt idx="1094">
                    <c:v>0</c:v>
                  </c:pt>
                  <c:pt idx="1095">
                    <c:v>0</c:v>
                  </c:pt>
                  <c:pt idx="1096">
                    <c:v>0</c:v>
                  </c:pt>
                  <c:pt idx="1097">
                    <c:v>0</c:v>
                  </c:pt>
                  <c:pt idx="1098">
                    <c:v>0</c:v>
                  </c:pt>
                  <c:pt idx="1099">
                    <c:v>0</c:v>
                  </c:pt>
                  <c:pt idx="1100">
                    <c:v>0</c:v>
                  </c:pt>
                  <c:pt idx="1101">
                    <c:v>0</c:v>
                  </c:pt>
                  <c:pt idx="1102">
                    <c:v>0</c:v>
                  </c:pt>
                  <c:pt idx="1103">
                    <c:v>0</c:v>
                  </c:pt>
                  <c:pt idx="1104">
                    <c:v>0</c:v>
                  </c:pt>
                  <c:pt idx="1105">
                    <c:v>0</c:v>
                  </c:pt>
                  <c:pt idx="1106">
                    <c:v>0</c:v>
                  </c:pt>
                  <c:pt idx="1107">
                    <c:v>0</c:v>
                  </c:pt>
                  <c:pt idx="1108">
                    <c:v>0</c:v>
                  </c:pt>
                  <c:pt idx="1109">
                    <c:v>0</c:v>
                  </c:pt>
                  <c:pt idx="1110">
                    <c:v>0</c:v>
                  </c:pt>
                  <c:pt idx="1111">
                    <c:v>0</c:v>
                  </c:pt>
                  <c:pt idx="1112">
                    <c:v>0</c:v>
                  </c:pt>
                  <c:pt idx="1113">
                    <c:v>0</c:v>
                  </c:pt>
                  <c:pt idx="1114">
                    <c:v>0</c:v>
                  </c:pt>
                  <c:pt idx="1115">
                    <c:v>0</c:v>
                  </c:pt>
                  <c:pt idx="1116">
                    <c:v>0</c:v>
                  </c:pt>
                  <c:pt idx="1117">
                    <c:v>0</c:v>
                  </c:pt>
                  <c:pt idx="1118">
                    <c:v>0</c:v>
                  </c:pt>
                  <c:pt idx="1119">
                    <c:v>0</c:v>
                  </c:pt>
                  <c:pt idx="1120">
                    <c:v>0</c:v>
                  </c:pt>
                  <c:pt idx="1121">
                    <c:v>0</c:v>
                  </c:pt>
                  <c:pt idx="1122">
                    <c:v>0</c:v>
                  </c:pt>
                  <c:pt idx="1123">
                    <c:v>0</c:v>
                  </c:pt>
                  <c:pt idx="1124">
                    <c:v>0</c:v>
                  </c:pt>
                  <c:pt idx="1125">
                    <c:v>0</c:v>
                  </c:pt>
                  <c:pt idx="1126">
                    <c:v>0</c:v>
                  </c:pt>
                  <c:pt idx="1127">
                    <c:v>0</c:v>
                  </c:pt>
                  <c:pt idx="1128">
                    <c:v>0</c:v>
                  </c:pt>
                  <c:pt idx="1129">
                    <c:v>0</c:v>
                  </c:pt>
                  <c:pt idx="1130">
                    <c:v>0</c:v>
                  </c:pt>
                  <c:pt idx="1131">
                    <c:v>0</c:v>
                  </c:pt>
                  <c:pt idx="1132">
                    <c:v>0</c:v>
                  </c:pt>
                  <c:pt idx="1133">
                    <c:v>0</c:v>
                  </c:pt>
                  <c:pt idx="1134">
                    <c:v>0</c:v>
                  </c:pt>
                  <c:pt idx="1135">
                    <c:v>0</c:v>
                  </c:pt>
                  <c:pt idx="1136">
                    <c:v>0</c:v>
                  </c:pt>
                  <c:pt idx="1137">
                    <c:v>0</c:v>
                  </c:pt>
                  <c:pt idx="1138">
                    <c:v>0</c:v>
                  </c:pt>
                  <c:pt idx="1139">
                    <c:v>0</c:v>
                  </c:pt>
                  <c:pt idx="1140">
                    <c:v>0</c:v>
                  </c:pt>
                  <c:pt idx="1141">
                    <c:v>0</c:v>
                  </c:pt>
                  <c:pt idx="1142">
                    <c:v>0</c:v>
                  </c:pt>
                  <c:pt idx="1143">
                    <c:v>0</c:v>
                  </c:pt>
                  <c:pt idx="1144">
                    <c:v>0</c:v>
                  </c:pt>
                  <c:pt idx="1145">
                    <c:v>0</c:v>
                  </c:pt>
                  <c:pt idx="1146">
                    <c:v>0</c:v>
                  </c:pt>
                  <c:pt idx="1147">
                    <c:v>0</c:v>
                  </c:pt>
                  <c:pt idx="1148">
                    <c:v>0</c:v>
                  </c:pt>
                  <c:pt idx="1149">
                    <c:v>0</c:v>
                  </c:pt>
                  <c:pt idx="1150">
                    <c:v>0</c:v>
                  </c:pt>
                  <c:pt idx="1151">
                    <c:v>0</c:v>
                  </c:pt>
                  <c:pt idx="1152">
                    <c:v>0</c:v>
                  </c:pt>
                  <c:pt idx="1153">
                    <c:v>0</c:v>
                  </c:pt>
                  <c:pt idx="1154">
                    <c:v>0</c:v>
                  </c:pt>
                  <c:pt idx="1155">
                    <c:v>0</c:v>
                  </c:pt>
                  <c:pt idx="1156">
                    <c:v>0</c:v>
                  </c:pt>
                  <c:pt idx="1157">
                    <c:v>0</c:v>
                  </c:pt>
                  <c:pt idx="1158">
                    <c:v>0</c:v>
                  </c:pt>
                  <c:pt idx="1159">
                    <c:v>0</c:v>
                  </c:pt>
                  <c:pt idx="1160">
                    <c:v>0</c:v>
                  </c:pt>
                  <c:pt idx="1161">
                    <c:v>0</c:v>
                  </c:pt>
                  <c:pt idx="1162">
                    <c:v>0</c:v>
                  </c:pt>
                  <c:pt idx="1163">
                    <c:v>0</c:v>
                  </c:pt>
                  <c:pt idx="1164">
                    <c:v>0</c:v>
                  </c:pt>
                  <c:pt idx="1165">
                    <c:v>0</c:v>
                  </c:pt>
                  <c:pt idx="1166">
                    <c:v>0</c:v>
                  </c:pt>
                  <c:pt idx="1167">
                    <c:v>0</c:v>
                  </c:pt>
                  <c:pt idx="1168">
                    <c:v>0</c:v>
                  </c:pt>
                  <c:pt idx="1169">
                    <c:v>0</c:v>
                  </c:pt>
                  <c:pt idx="1170">
                    <c:v>0</c:v>
                  </c:pt>
                  <c:pt idx="1171">
                    <c:v>0</c:v>
                  </c:pt>
                  <c:pt idx="1172">
                    <c:v>0</c:v>
                  </c:pt>
                  <c:pt idx="1173">
                    <c:v>0</c:v>
                  </c:pt>
                  <c:pt idx="1174">
                    <c:v>0</c:v>
                  </c:pt>
                  <c:pt idx="1175">
                    <c:v>0</c:v>
                  </c:pt>
                  <c:pt idx="1176">
                    <c:v>0</c:v>
                  </c:pt>
                  <c:pt idx="1177">
                    <c:v>0</c:v>
                  </c:pt>
                  <c:pt idx="1178">
                    <c:v>0</c:v>
                  </c:pt>
                  <c:pt idx="1179">
                    <c:v>0</c:v>
                  </c:pt>
                  <c:pt idx="1180">
                    <c:v>0</c:v>
                  </c:pt>
                  <c:pt idx="1181">
                    <c:v>0</c:v>
                  </c:pt>
                  <c:pt idx="1182">
                    <c:v>0</c:v>
                  </c:pt>
                  <c:pt idx="1183">
                    <c:v>0</c:v>
                  </c:pt>
                  <c:pt idx="1184">
                    <c:v>0</c:v>
                  </c:pt>
                  <c:pt idx="1185">
                    <c:v>0</c:v>
                  </c:pt>
                  <c:pt idx="1186">
                    <c:v>0</c:v>
                  </c:pt>
                  <c:pt idx="1187">
                    <c:v>0</c:v>
                  </c:pt>
                  <c:pt idx="1188">
                    <c:v>0</c:v>
                  </c:pt>
                  <c:pt idx="1189">
                    <c:v>0</c:v>
                  </c:pt>
                  <c:pt idx="1190">
                    <c:v>0</c:v>
                  </c:pt>
                  <c:pt idx="1191">
                    <c:v>0</c:v>
                  </c:pt>
                  <c:pt idx="1192">
                    <c:v>0</c:v>
                  </c:pt>
                  <c:pt idx="1193">
                    <c:v>0</c:v>
                  </c:pt>
                  <c:pt idx="1194">
                    <c:v>0</c:v>
                  </c:pt>
                  <c:pt idx="1195">
                    <c:v>0</c:v>
                  </c:pt>
                  <c:pt idx="1196">
                    <c:v>0</c:v>
                  </c:pt>
                  <c:pt idx="1197">
                    <c:v>0</c:v>
                  </c:pt>
                  <c:pt idx="1198">
                    <c:v>0</c:v>
                  </c:pt>
                  <c:pt idx="1199">
                    <c:v>0</c:v>
                  </c:pt>
                  <c:pt idx="1200">
                    <c:v>0</c:v>
                  </c:pt>
                  <c:pt idx="1201">
                    <c:v>0</c:v>
                  </c:pt>
                  <c:pt idx="1202">
                    <c:v>0</c:v>
                  </c:pt>
                  <c:pt idx="1203">
                    <c:v>0</c:v>
                  </c:pt>
                  <c:pt idx="1204">
                    <c:v>0</c:v>
                  </c:pt>
                  <c:pt idx="1205">
                    <c:v>0</c:v>
                  </c:pt>
                  <c:pt idx="1206">
                    <c:v>0</c:v>
                  </c:pt>
                  <c:pt idx="1207">
                    <c:v>0</c:v>
                  </c:pt>
                  <c:pt idx="1208">
                    <c:v>0</c:v>
                  </c:pt>
                  <c:pt idx="1209">
                    <c:v>0</c:v>
                  </c:pt>
                  <c:pt idx="1210">
                    <c:v>0</c:v>
                  </c:pt>
                  <c:pt idx="1211">
                    <c:v>0</c:v>
                  </c:pt>
                  <c:pt idx="1212">
                    <c:v>0</c:v>
                  </c:pt>
                  <c:pt idx="1213">
                    <c:v>0</c:v>
                  </c:pt>
                  <c:pt idx="1214">
                    <c:v>0</c:v>
                  </c:pt>
                  <c:pt idx="1215">
                    <c:v>0</c:v>
                  </c:pt>
                  <c:pt idx="1216">
                    <c:v>0</c:v>
                  </c:pt>
                  <c:pt idx="1217">
                    <c:v>0</c:v>
                  </c:pt>
                  <c:pt idx="1218">
                    <c:v>0</c:v>
                  </c:pt>
                  <c:pt idx="1219">
                    <c:v>0</c:v>
                  </c:pt>
                  <c:pt idx="1220">
                    <c:v>0</c:v>
                  </c:pt>
                  <c:pt idx="1221">
                    <c:v>0</c:v>
                  </c:pt>
                  <c:pt idx="1222">
                    <c:v>0</c:v>
                  </c:pt>
                  <c:pt idx="1223">
                    <c:v>0</c:v>
                  </c:pt>
                  <c:pt idx="1224">
                    <c:v>0</c:v>
                  </c:pt>
                  <c:pt idx="1225">
                    <c:v>0</c:v>
                  </c:pt>
                  <c:pt idx="1226">
                    <c:v>0</c:v>
                  </c:pt>
                  <c:pt idx="1227">
                    <c:v>0</c:v>
                  </c:pt>
                  <c:pt idx="1228">
                    <c:v>0</c:v>
                  </c:pt>
                  <c:pt idx="1229">
                    <c:v>0</c:v>
                  </c:pt>
                  <c:pt idx="1230">
                    <c:v>0</c:v>
                  </c:pt>
                  <c:pt idx="1231">
                    <c:v>0</c:v>
                  </c:pt>
                  <c:pt idx="1232">
                    <c:v>0</c:v>
                  </c:pt>
                  <c:pt idx="1233">
                    <c:v>0</c:v>
                  </c:pt>
                  <c:pt idx="1234">
                    <c:v>0</c:v>
                  </c:pt>
                  <c:pt idx="1235">
                    <c:v>0</c:v>
                  </c:pt>
                  <c:pt idx="1236">
                    <c:v>0</c:v>
                  </c:pt>
                  <c:pt idx="1237">
                    <c:v>0</c:v>
                  </c:pt>
                  <c:pt idx="1238">
                    <c:v>0</c:v>
                  </c:pt>
                  <c:pt idx="1239">
                    <c:v>0</c:v>
                  </c:pt>
                  <c:pt idx="1240">
                    <c:v>0</c:v>
                  </c:pt>
                  <c:pt idx="1241">
                    <c:v>0</c:v>
                  </c:pt>
                  <c:pt idx="1242">
                    <c:v>0</c:v>
                  </c:pt>
                  <c:pt idx="1243">
                    <c:v>0</c:v>
                  </c:pt>
                  <c:pt idx="1244">
                    <c:v>0</c:v>
                  </c:pt>
                  <c:pt idx="1245">
                    <c:v>0</c:v>
                  </c:pt>
                  <c:pt idx="1246">
                    <c:v>0</c:v>
                  </c:pt>
                  <c:pt idx="1247">
                    <c:v>0</c:v>
                  </c:pt>
                  <c:pt idx="1248">
                    <c:v>0</c:v>
                  </c:pt>
                  <c:pt idx="1249">
                    <c:v>0</c:v>
                  </c:pt>
                  <c:pt idx="1250">
                    <c:v>0</c:v>
                  </c:pt>
                  <c:pt idx="1251">
                    <c:v>0</c:v>
                  </c:pt>
                  <c:pt idx="1252">
                    <c:v>0</c:v>
                  </c:pt>
                  <c:pt idx="1253">
                    <c:v>0</c:v>
                  </c:pt>
                  <c:pt idx="1254">
                    <c:v>0</c:v>
                  </c:pt>
                  <c:pt idx="1255">
                    <c:v>0</c:v>
                  </c:pt>
                  <c:pt idx="1256">
                    <c:v>0</c:v>
                  </c:pt>
                  <c:pt idx="1257">
                    <c:v>0</c:v>
                  </c:pt>
                  <c:pt idx="1258">
                    <c:v>0</c:v>
                  </c:pt>
                  <c:pt idx="1259">
                    <c:v>0</c:v>
                  </c:pt>
                  <c:pt idx="1260">
                    <c:v>0</c:v>
                  </c:pt>
                  <c:pt idx="1261">
                    <c:v>0</c:v>
                  </c:pt>
                  <c:pt idx="1262">
                    <c:v>0</c:v>
                  </c:pt>
                  <c:pt idx="1263">
                    <c:v>0</c:v>
                  </c:pt>
                  <c:pt idx="1264">
                    <c:v>0</c:v>
                  </c:pt>
                  <c:pt idx="1265">
                    <c:v>0</c:v>
                  </c:pt>
                  <c:pt idx="1266">
                    <c:v>0</c:v>
                  </c:pt>
                  <c:pt idx="1267">
                    <c:v>0</c:v>
                  </c:pt>
                  <c:pt idx="1268">
                    <c:v>0</c:v>
                  </c:pt>
                  <c:pt idx="1269">
                    <c:v>0</c:v>
                  </c:pt>
                  <c:pt idx="1270">
                    <c:v>0</c:v>
                  </c:pt>
                  <c:pt idx="1271">
                    <c:v>0</c:v>
                  </c:pt>
                  <c:pt idx="1272">
                    <c:v>0</c:v>
                  </c:pt>
                  <c:pt idx="1273">
                    <c:v>0</c:v>
                  </c:pt>
                  <c:pt idx="1274">
                    <c:v>0</c:v>
                  </c:pt>
                  <c:pt idx="1275">
                    <c:v>0</c:v>
                  </c:pt>
                  <c:pt idx="1276">
                    <c:v>0</c:v>
                  </c:pt>
                  <c:pt idx="1277">
                    <c:v>0</c:v>
                  </c:pt>
                  <c:pt idx="1278">
                    <c:v>0</c:v>
                  </c:pt>
                  <c:pt idx="1279">
                    <c:v>0</c:v>
                  </c:pt>
                  <c:pt idx="1280">
                    <c:v>0</c:v>
                  </c:pt>
                  <c:pt idx="1281">
                    <c:v>0</c:v>
                  </c:pt>
                  <c:pt idx="1282">
                    <c:v>0</c:v>
                  </c:pt>
                  <c:pt idx="1283">
                    <c:v>0</c:v>
                  </c:pt>
                  <c:pt idx="1284">
                    <c:v>0</c:v>
                  </c:pt>
                  <c:pt idx="1285">
                    <c:v>0</c:v>
                  </c:pt>
                  <c:pt idx="1286">
                    <c:v>0</c:v>
                  </c:pt>
                  <c:pt idx="1287">
                    <c:v>0</c:v>
                  </c:pt>
                  <c:pt idx="1288">
                    <c:v>0</c:v>
                  </c:pt>
                  <c:pt idx="1289">
                    <c:v>0</c:v>
                  </c:pt>
                  <c:pt idx="1290">
                    <c:v>0</c:v>
                  </c:pt>
                  <c:pt idx="1291">
                    <c:v>0</c:v>
                  </c:pt>
                  <c:pt idx="1292">
                    <c:v>0</c:v>
                  </c:pt>
                  <c:pt idx="1293">
                    <c:v>0</c:v>
                  </c:pt>
                  <c:pt idx="1294">
                    <c:v>0</c:v>
                  </c:pt>
                  <c:pt idx="1295">
                    <c:v>0</c:v>
                  </c:pt>
                  <c:pt idx="1296">
                    <c:v>0</c:v>
                  </c:pt>
                  <c:pt idx="1297">
                    <c:v>0</c:v>
                  </c:pt>
                  <c:pt idx="1298">
                    <c:v>0</c:v>
                  </c:pt>
                  <c:pt idx="1299">
                    <c:v>0</c:v>
                  </c:pt>
                  <c:pt idx="1300">
                    <c:v>0</c:v>
                  </c:pt>
                  <c:pt idx="1301">
                    <c:v>0</c:v>
                  </c:pt>
                  <c:pt idx="1302">
                    <c:v>0</c:v>
                  </c:pt>
                  <c:pt idx="1303">
                    <c:v>0</c:v>
                  </c:pt>
                  <c:pt idx="1304">
                    <c:v>0</c:v>
                  </c:pt>
                  <c:pt idx="1305">
                    <c:v>0</c:v>
                  </c:pt>
                  <c:pt idx="1306">
                    <c:v>0</c:v>
                  </c:pt>
                  <c:pt idx="1307">
                    <c:v>0</c:v>
                  </c:pt>
                  <c:pt idx="1308">
                    <c:v>0</c:v>
                  </c:pt>
                  <c:pt idx="1309">
                    <c:v>0</c:v>
                  </c:pt>
                  <c:pt idx="1310">
                    <c:v>0</c:v>
                  </c:pt>
                  <c:pt idx="1311">
                    <c:v>0</c:v>
                  </c:pt>
                  <c:pt idx="1312">
                    <c:v>0</c:v>
                  </c:pt>
                  <c:pt idx="1313">
                    <c:v>0</c:v>
                  </c:pt>
                  <c:pt idx="1314">
                    <c:v>0</c:v>
                  </c:pt>
                  <c:pt idx="1315">
                    <c:v>0</c:v>
                  </c:pt>
                  <c:pt idx="1316">
                    <c:v>0</c:v>
                  </c:pt>
                  <c:pt idx="1317">
                    <c:v>0</c:v>
                  </c:pt>
                  <c:pt idx="1318">
                    <c:v>0</c:v>
                  </c:pt>
                  <c:pt idx="1319">
                    <c:v>0</c:v>
                  </c:pt>
                  <c:pt idx="1320">
                    <c:v>0</c:v>
                  </c:pt>
                  <c:pt idx="1321">
                    <c:v>0</c:v>
                  </c:pt>
                  <c:pt idx="1322">
                    <c:v>0</c:v>
                  </c:pt>
                  <c:pt idx="1323">
                    <c:v>0</c:v>
                  </c:pt>
                  <c:pt idx="1324">
                    <c:v>0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0</c:v>
                  </c:pt>
                  <c:pt idx="1329">
                    <c:v>0</c:v>
                  </c:pt>
                  <c:pt idx="1330">
                    <c:v>0</c:v>
                  </c:pt>
                  <c:pt idx="1331">
                    <c:v>0</c:v>
                  </c:pt>
                  <c:pt idx="1332">
                    <c:v>0</c:v>
                  </c:pt>
                  <c:pt idx="1333">
                    <c:v>0</c:v>
                  </c:pt>
                  <c:pt idx="1334">
                    <c:v>0</c:v>
                  </c:pt>
                  <c:pt idx="1335">
                    <c:v>0</c:v>
                  </c:pt>
                  <c:pt idx="1336">
                    <c:v>0</c:v>
                  </c:pt>
                  <c:pt idx="1337">
                    <c:v>0</c:v>
                  </c:pt>
                  <c:pt idx="1338">
                    <c:v>0</c:v>
                  </c:pt>
                  <c:pt idx="1339">
                    <c:v>0</c:v>
                  </c:pt>
                  <c:pt idx="1340">
                    <c:v>0</c:v>
                  </c:pt>
                  <c:pt idx="1341">
                    <c:v>0</c:v>
                  </c:pt>
                  <c:pt idx="1342">
                    <c:v>0</c:v>
                  </c:pt>
                  <c:pt idx="1343">
                    <c:v>0</c:v>
                  </c:pt>
                  <c:pt idx="1344">
                    <c:v>0</c:v>
                  </c:pt>
                  <c:pt idx="1345">
                    <c:v>0</c:v>
                  </c:pt>
                  <c:pt idx="1346">
                    <c:v>0</c:v>
                  </c:pt>
                  <c:pt idx="1347">
                    <c:v>0</c:v>
                  </c:pt>
                  <c:pt idx="1348">
                    <c:v>0</c:v>
                  </c:pt>
                  <c:pt idx="1349">
                    <c:v>0</c:v>
                  </c:pt>
                  <c:pt idx="1350">
                    <c:v>0</c:v>
                  </c:pt>
                  <c:pt idx="1351">
                    <c:v>0</c:v>
                  </c:pt>
                  <c:pt idx="1352">
                    <c:v>0</c:v>
                  </c:pt>
                  <c:pt idx="1353">
                    <c:v>0</c:v>
                  </c:pt>
                  <c:pt idx="1354">
                    <c:v>0</c:v>
                  </c:pt>
                  <c:pt idx="1355">
                    <c:v>0</c:v>
                  </c:pt>
                  <c:pt idx="1356">
                    <c:v>0</c:v>
                  </c:pt>
                  <c:pt idx="1357">
                    <c:v>0</c:v>
                  </c:pt>
                  <c:pt idx="1358">
                    <c:v>0</c:v>
                  </c:pt>
                  <c:pt idx="1359">
                    <c:v>0</c:v>
                  </c:pt>
                  <c:pt idx="1360">
                    <c:v>0</c:v>
                  </c:pt>
                  <c:pt idx="1361">
                    <c:v>0</c:v>
                  </c:pt>
                  <c:pt idx="1362">
                    <c:v>0</c:v>
                  </c:pt>
                  <c:pt idx="1363">
                    <c:v>0</c:v>
                  </c:pt>
                  <c:pt idx="1364">
                    <c:v>0</c:v>
                  </c:pt>
                  <c:pt idx="1365">
                    <c:v>0</c:v>
                  </c:pt>
                  <c:pt idx="1366">
                    <c:v>0</c:v>
                  </c:pt>
                  <c:pt idx="1367">
                    <c:v>0</c:v>
                  </c:pt>
                  <c:pt idx="1368">
                    <c:v>0</c:v>
                  </c:pt>
                  <c:pt idx="1369">
                    <c:v>0</c:v>
                  </c:pt>
                  <c:pt idx="1370">
                    <c:v>0</c:v>
                  </c:pt>
                  <c:pt idx="1371">
                    <c:v>0</c:v>
                  </c:pt>
                  <c:pt idx="1372">
                    <c:v>0</c:v>
                  </c:pt>
                  <c:pt idx="1373">
                    <c:v>0</c:v>
                  </c:pt>
                  <c:pt idx="1374">
                    <c:v>0</c:v>
                  </c:pt>
                  <c:pt idx="1375">
                    <c:v>0</c:v>
                  </c:pt>
                  <c:pt idx="1376">
                    <c:v>0</c:v>
                  </c:pt>
                  <c:pt idx="1377">
                    <c:v>0</c:v>
                  </c:pt>
                  <c:pt idx="1378">
                    <c:v>0</c:v>
                  </c:pt>
                  <c:pt idx="1379">
                    <c:v>0</c:v>
                  </c:pt>
                  <c:pt idx="1380">
                    <c:v>0</c:v>
                  </c:pt>
                  <c:pt idx="1381">
                    <c:v>0</c:v>
                  </c:pt>
                  <c:pt idx="1382">
                    <c:v>0</c:v>
                  </c:pt>
                  <c:pt idx="1383">
                    <c:v>0</c:v>
                  </c:pt>
                  <c:pt idx="1384">
                    <c:v>0</c:v>
                  </c:pt>
                  <c:pt idx="1385">
                    <c:v>0</c:v>
                  </c:pt>
                  <c:pt idx="1386">
                    <c:v>0</c:v>
                  </c:pt>
                  <c:pt idx="1387">
                    <c:v>0</c:v>
                  </c:pt>
                  <c:pt idx="1388">
                    <c:v>0</c:v>
                  </c:pt>
                  <c:pt idx="1389">
                    <c:v>0</c:v>
                  </c:pt>
                  <c:pt idx="1390">
                    <c:v>0</c:v>
                  </c:pt>
                  <c:pt idx="1391">
                    <c:v>0</c:v>
                  </c:pt>
                  <c:pt idx="1392">
                    <c:v>0</c:v>
                  </c:pt>
                  <c:pt idx="1393">
                    <c:v>0</c:v>
                  </c:pt>
                  <c:pt idx="1394">
                    <c:v>0</c:v>
                  </c:pt>
                  <c:pt idx="1395">
                    <c:v>0</c:v>
                  </c:pt>
                  <c:pt idx="1396">
                    <c:v>0</c:v>
                  </c:pt>
                  <c:pt idx="1397">
                    <c:v>0</c:v>
                  </c:pt>
                  <c:pt idx="1398">
                    <c:v>0</c:v>
                  </c:pt>
                  <c:pt idx="1399">
                    <c:v>0</c:v>
                  </c:pt>
                  <c:pt idx="1400">
                    <c:v>0</c:v>
                  </c:pt>
                  <c:pt idx="1401">
                    <c:v>0</c:v>
                  </c:pt>
                  <c:pt idx="1402">
                    <c:v>0</c:v>
                  </c:pt>
                  <c:pt idx="1403">
                    <c:v>0</c:v>
                  </c:pt>
                  <c:pt idx="1404">
                    <c:v>0</c:v>
                  </c:pt>
                  <c:pt idx="1405">
                    <c:v>0</c:v>
                  </c:pt>
                  <c:pt idx="1406">
                    <c:v>0</c:v>
                  </c:pt>
                  <c:pt idx="1407">
                    <c:v>0</c:v>
                  </c:pt>
                  <c:pt idx="1408">
                    <c:v>0</c:v>
                  </c:pt>
                  <c:pt idx="1409">
                    <c:v>0</c:v>
                  </c:pt>
                  <c:pt idx="1410">
                    <c:v>0</c:v>
                  </c:pt>
                  <c:pt idx="1411">
                    <c:v>0</c:v>
                  </c:pt>
                  <c:pt idx="1412">
                    <c:v>0</c:v>
                  </c:pt>
                  <c:pt idx="1413">
                    <c:v>0</c:v>
                  </c:pt>
                  <c:pt idx="1414">
                    <c:v>0</c:v>
                  </c:pt>
                  <c:pt idx="1415">
                    <c:v>0</c:v>
                  </c:pt>
                  <c:pt idx="1416">
                    <c:v>0</c:v>
                  </c:pt>
                  <c:pt idx="1417">
                    <c:v>0</c:v>
                  </c:pt>
                  <c:pt idx="1418">
                    <c:v>0</c:v>
                  </c:pt>
                  <c:pt idx="1419">
                    <c:v>0</c:v>
                  </c:pt>
                  <c:pt idx="1420">
                    <c:v>0</c:v>
                  </c:pt>
                  <c:pt idx="1421">
                    <c:v>0</c:v>
                  </c:pt>
                  <c:pt idx="1422">
                    <c:v>0</c:v>
                  </c:pt>
                  <c:pt idx="1423">
                    <c:v>0</c:v>
                  </c:pt>
                  <c:pt idx="1424">
                    <c:v>0</c:v>
                  </c:pt>
                  <c:pt idx="1425">
                    <c:v>0</c:v>
                  </c:pt>
                  <c:pt idx="1426">
                    <c:v>0</c:v>
                  </c:pt>
                  <c:pt idx="1427">
                    <c:v>0</c:v>
                  </c:pt>
                  <c:pt idx="1428">
                    <c:v>0</c:v>
                  </c:pt>
                  <c:pt idx="1429">
                    <c:v>0</c:v>
                  </c:pt>
                  <c:pt idx="1430">
                    <c:v>0</c:v>
                  </c:pt>
                  <c:pt idx="1431">
                    <c:v>0</c:v>
                  </c:pt>
                  <c:pt idx="1432">
                    <c:v>0</c:v>
                  </c:pt>
                  <c:pt idx="1433">
                    <c:v>0</c:v>
                  </c:pt>
                  <c:pt idx="1434">
                    <c:v>0</c:v>
                  </c:pt>
                  <c:pt idx="1435">
                    <c:v>0</c:v>
                  </c:pt>
                  <c:pt idx="1436">
                    <c:v>0</c:v>
                  </c:pt>
                  <c:pt idx="1437">
                    <c:v>0</c:v>
                  </c:pt>
                  <c:pt idx="1438">
                    <c:v>0</c:v>
                  </c:pt>
                  <c:pt idx="1439">
                    <c:v>0</c:v>
                  </c:pt>
                </c:numCache>
              </c:numRef>
            </c:minus>
            <c:spPr>
              <a:ln w="15875" cap="flat">
                <a:solidFill>
                  <a:srgbClr val="C55A11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ChartData!$CM$7:$CM$1446</c:f>
                <c:numCache>
                  <c:formatCode>General</c:formatCode>
                  <c:ptCount val="1440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  <c:pt idx="161">
                    <c:v>0</c:v>
                  </c:pt>
                  <c:pt idx="162">
                    <c:v>0</c:v>
                  </c:pt>
                  <c:pt idx="163">
                    <c:v>0</c:v>
                  </c:pt>
                  <c:pt idx="164">
                    <c:v>0</c:v>
                  </c:pt>
                  <c:pt idx="165">
                    <c:v>0</c:v>
                  </c:pt>
                  <c:pt idx="166">
                    <c:v>0</c:v>
                  </c:pt>
                  <c:pt idx="167">
                    <c:v>0</c:v>
                  </c:pt>
                  <c:pt idx="168">
                    <c:v>0</c:v>
                  </c:pt>
                  <c:pt idx="169">
                    <c:v>0</c:v>
                  </c:pt>
                  <c:pt idx="170">
                    <c:v>0</c:v>
                  </c:pt>
                  <c:pt idx="171">
                    <c:v>0</c:v>
                  </c:pt>
                  <c:pt idx="172">
                    <c:v>0</c:v>
                  </c:pt>
                  <c:pt idx="173">
                    <c:v>0</c:v>
                  </c:pt>
                  <c:pt idx="174">
                    <c:v>0</c:v>
                  </c:pt>
                  <c:pt idx="175">
                    <c:v>0</c:v>
                  </c:pt>
                  <c:pt idx="176">
                    <c:v>0</c:v>
                  </c:pt>
                  <c:pt idx="177">
                    <c:v>0</c:v>
                  </c:pt>
                  <c:pt idx="178">
                    <c:v>0</c:v>
                  </c:pt>
                  <c:pt idx="179">
                    <c:v>0</c:v>
                  </c:pt>
                  <c:pt idx="180">
                    <c:v>0</c:v>
                  </c:pt>
                  <c:pt idx="181">
                    <c:v>0</c:v>
                  </c:pt>
                  <c:pt idx="182">
                    <c:v>0</c:v>
                  </c:pt>
                  <c:pt idx="183">
                    <c:v>0</c:v>
                  </c:pt>
                  <c:pt idx="184">
                    <c:v>0</c:v>
                  </c:pt>
                  <c:pt idx="185">
                    <c:v>0</c:v>
                  </c:pt>
                  <c:pt idx="186">
                    <c:v>0</c:v>
                  </c:pt>
                  <c:pt idx="187">
                    <c:v>0</c:v>
                  </c:pt>
                  <c:pt idx="188">
                    <c:v>0</c:v>
                  </c:pt>
                  <c:pt idx="189">
                    <c:v>0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  <c:pt idx="201">
                    <c:v>0</c:v>
                  </c:pt>
                  <c:pt idx="202">
                    <c:v>0</c:v>
                  </c:pt>
                  <c:pt idx="203">
                    <c:v>0</c:v>
                  </c:pt>
                  <c:pt idx="204">
                    <c:v>0</c:v>
                  </c:pt>
                  <c:pt idx="205">
                    <c:v>0</c:v>
                  </c:pt>
                  <c:pt idx="206">
                    <c:v>0</c:v>
                  </c:pt>
                  <c:pt idx="207">
                    <c:v>0</c:v>
                  </c:pt>
                  <c:pt idx="208">
                    <c:v>0</c:v>
                  </c:pt>
                  <c:pt idx="209">
                    <c:v>0</c:v>
                  </c:pt>
                  <c:pt idx="210">
                    <c:v>0</c:v>
                  </c:pt>
                  <c:pt idx="211">
                    <c:v>0</c:v>
                  </c:pt>
                  <c:pt idx="212">
                    <c:v>0</c:v>
                  </c:pt>
                  <c:pt idx="213">
                    <c:v>0</c:v>
                  </c:pt>
                  <c:pt idx="214">
                    <c:v>0</c:v>
                  </c:pt>
                  <c:pt idx="215">
                    <c:v>0</c:v>
                  </c:pt>
                  <c:pt idx="216">
                    <c:v>0</c:v>
                  </c:pt>
                  <c:pt idx="217">
                    <c:v>0</c:v>
                  </c:pt>
                  <c:pt idx="218">
                    <c:v>0</c:v>
                  </c:pt>
                  <c:pt idx="219">
                    <c:v>0</c:v>
                  </c:pt>
                  <c:pt idx="220">
                    <c:v>0</c:v>
                  </c:pt>
                  <c:pt idx="221">
                    <c:v>0</c:v>
                  </c:pt>
                  <c:pt idx="222">
                    <c:v>0</c:v>
                  </c:pt>
                  <c:pt idx="223">
                    <c:v>0</c:v>
                  </c:pt>
                  <c:pt idx="224">
                    <c:v>0</c:v>
                  </c:pt>
                  <c:pt idx="225">
                    <c:v>0</c:v>
                  </c:pt>
                  <c:pt idx="226">
                    <c:v>0</c:v>
                  </c:pt>
                  <c:pt idx="227">
                    <c:v>0</c:v>
                  </c:pt>
                  <c:pt idx="228">
                    <c:v>0</c:v>
                  </c:pt>
                  <c:pt idx="229">
                    <c:v>0</c:v>
                  </c:pt>
                  <c:pt idx="230">
                    <c:v>0</c:v>
                  </c:pt>
                  <c:pt idx="231">
                    <c:v>0</c:v>
                  </c:pt>
                  <c:pt idx="232">
                    <c:v>0</c:v>
                  </c:pt>
                  <c:pt idx="233">
                    <c:v>0</c:v>
                  </c:pt>
                  <c:pt idx="234">
                    <c:v>0</c:v>
                  </c:pt>
                  <c:pt idx="235">
                    <c:v>0</c:v>
                  </c:pt>
                  <c:pt idx="236">
                    <c:v>0</c:v>
                  </c:pt>
                  <c:pt idx="237">
                    <c:v>0</c:v>
                  </c:pt>
                  <c:pt idx="238">
                    <c:v>0</c:v>
                  </c:pt>
                  <c:pt idx="239">
                    <c:v>0</c:v>
                  </c:pt>
                  <c:pt idx="240">
                    <c:v>0</c:v>
                  </c:pt>
                  <c:pt idx="241">
                    <c:v>0</c:v>
                  </c:pt>
                  <c:pt idx="242">
                    <c:v>0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6">
                    <c:v>0</c:v>
                  </c:pt>
                  <c:pt idx="247">
                    <c:v>0</c:v>
                  </c:pt>
                  <c:pt idx="248">
                    <c:v>0</c:v>
                  </c:pt>
                  <c:pt idx="249">
                    <c:v>0</c:v>
                  </c:pt>
                  <c:pt idx="250">
                    <c:v>0</c:v>
                  </c:pt>
                  <c:pt idx="251">
                    <c:v>0</c:v>
                  </c:pt>
                  <c:pt idx="252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6">
                    <c:v>0</c:v>
                  </c:pt>
                  <c:pt idx="257">
                    <c:v>0</c:v>
                  </c:pt>
                  <c:pt idx="258">
                    <c:v>0</c:v>
                  </c:pt>
                  <c:pt idx="259">
                    <c:v>0</c:v>
                  </c:pt>
                  <c:pt idx="260">
                    <c:v>0</c:v>
                  </c:pt>
                  <c:pt idx="261">
                    <c:v>0</c:v>
                  </c:pt>
                  <c:pt idx="262">
                    <c:v>0</c:v>
                  </c:pt>
                  <c:pt idx="263">
                    <c:v>0</c:v>
                  </c:pt>
                  <c:pt idx="264">
                    <c:v>0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68">
                    <c:v>0</c:v>
                  </c:pt>
                  <c:pt idx="269">
                    <c:v>0</c:v>
                  </c:pt>
                  <c:pt idx="270">
                    <c:v>0</c:v>
                  </c:pt>
                  <c:pt idx="271">
                    <c:v>0</c:v>
                  </c:pt>
                  <c:pt idx="272">
                    <c:v>0</c:v>
                  </c:pt>
                  <c:pt idx="273">
                    <c:v>0</c:v>
                  </c:pt>
                  <c:pt idx="274">
                    <c:v>0</c:v>
                  </c:pt>
                  <c:pt idx="275">
                    <c:v>0</c:v>
                  </c:pt>
                  <c:pt idx="276">
                    <c:v>0</c:v>
                  </c:pt>
                  <c:pt idx="277">
                    <c:v>0</c:v>
                  </c:pt>
                  <c:pt idx="278">
                    <c:v>0</c:v>
                  </c:pt>
                  <c:pt idx="279">
                    <c:v>0</c:v>
                  </c:pt>
                  <c:pt idx="280">
                    <c:v>0</c:v>
                  </c:pt>
                  <c:pt idx="281">
                    <c:v>0</c:v>
                  </c:pt>
                  <c:pt idx="282">
                    <c:v>0</c:v>
                  </c:pt>
                  <c:pt idx="283">
                    <c:v>0</c:v>
                  </c:pt>
                  <c:pt idx="284">
                    <c:v>0</c:v>
                  </c:pt>
                  <c:pt idx="285">
                    <c:v>0</c:v>
                  </c:pt>
                  <c:pt idx="286">
                    <c:v>0</c:v>
                  </c:pt>
                  <c:pt idx="287">
                    <c:v>0</c:v>
                  </c:pt>
                  <c:pt idx="288">
                    <c:v>0</c:v>
                  </c:pt>
                  <c:pt idx="289">
                    <c:v>0</c:v>
                  </c:pt>
                  <c:pt idx="290">
                    <c:v>0</c:v>
                  </c:pt>
                  <c:pt idx="291">
                    <c:v>0</c:v>
                  </c:pt>
                  <c:pt idx="292">
                    <c:v>0</c:v>
                  </c:pt>
                  <c:pt idx="293">
                    <c:v>0</c:v>
                  </c:pt>
                  <c:pt idx="294">
                    <c:v>0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299">
                    <c:v>0</c:v>
                  </c:pt>
                  <c:pt idx="300">
                    <c:v>0</c:v>
                  </c:pt>
                  <c:pt idx="301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4">
                    <c:v>0</c:v>
                  </c:pt>
                  <c:pt idx="305">
                    <c:v>0</c:v>
                  </c:pt>
                  <c:pt idx="306">
                    <c:v>0</c:v>
                  </c:pt>
                  <c:pt idx="307">
                    <c:v>0</c:v>
                  </c:pt>
                  <c:pt idx="308">
                    <c:v>0</c:v>
                  </c:pt>
                  <c:pt idx="309">
                    <c:v>0</c:v>
                  </c:pt>
                  <c:pt idx="310">
                    <c:v>0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5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19">
                    <c:v>0</c:v>
                  </c:pt>
                  <c:pt idx="320">
                    <c:v>0</c:v>
                  </c:pt>
                  <c:pt idx="321">
                    <c:v>0</c:v>
                  </c:pt>
                  <c:pt idx="322">
                    <c:v>0</c:v>
                  </c:pt>
                  <c:pt idx="323">
                    <c:v>0</c:v>
                  </c:pt>
                  <c:pt idx="324">
                    <c:v>0</c:v>
                  </c:pt>
                  <c:pt idx="325">
                    <c:v>0</c:v>
                  </c:pt>
                  <c:pt idx="326">
                    <c:v>0</c:v>
                  </c:pt>
                  <c:pt idx="327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1">
                    <c:v>0</c:v>
                  </c:pt>
                  <c:pt idx="332">
                    <c:v>0</c:v>
                  </c:pt>
                  <c:pt idx="333">
                    <c:v>0</c:v>
                  </c:pt>
                  <c:pt idx="334">
                    <c:v>0</c:v>
                  </c:pt>
                  <c:pt idx="335">
                    <c:v>0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39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0</c:v>
                  </c:pt>
                  <c:pt idx="344">
                    <c:v>0</c:v>
                  </c:pt>
                  <c:pt idx="345">
                    <c:v>0</c:v>
                  </c:pt>
                  <c:pt idx="346">
                    <c:v>0</c:v>
                  </c:pt>
                  <c:pt idx="347">
                    <c:v>0</c:v>
                  </c:pt>
                  <c:pt idx="348">
                    <c:v>0</c:v>
                  </c:pt>
                  <c:pt idx="349">
                    <c:v>0</c:v>
                  </c:pt>
                  <c:pt idx="350">
                    <c:v>0</c:v>
                  </c:pt>
                  <c:pt idx="351">
                    <c:v>0</c:v>
                  </c:pt>
                  <c:pt idx="352">
                    <c:v>0</c:v>
                  </c:pt>
                  <c:pt idx="353">
                    <c:v>0</c:v>
                  </c:pt>
                  <c:pt idx="354">
                    <c:v>0</c:v>
                  </c:pt>
                  <c:pt idx="355">
                    <c:v>0</c:v>
                  </c:pt>
                  <c:pt idx="356">
                    <c:v>0</c:v>
                  </c:pt>
                  <c:pt idx="357">
                    <c:v>0</c:v>
                  </c:pt>
                  <c:pt idx="358">
                    <c:v>0</c:v>
                  </c:pt>
                  <c:pt idx="359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2">
                    <c:v>0</c:v>
                  </c:pt>
                  <c:pt idx="363">
                    <c:v>0</c:v>
                  </c:pt>
                  <c:pt idx="364">
                    <c:v>0</c:v>
                  </c:pt>
                  <c:pt idx="365">
                    <c:v>0</c:v>
                  </c:pt>
                  <c:pt idx="366">
                    <c:v>0</c:v>
                  </c:pt>
                  <c:pt idx="367">
                    <c:v>0</c:v>
                  </c:pt>
                  <c:pt idx="368">
                    <c:v>0</c:v>
                  </c:pt>
                  <c:pt idx="369">
                    <c:v>0</c:v>
                  </c:pt>
                  <c:pt idx="370">
                    <c:v>0</c:v>
                  </c:pt>
                  <c:pt idx="371">
                    <c:v>0</c:v>
                  </c:pt>
                  <c:pt idx="372">
                    <c:v>0</c:v>
                  </c:pt>
                  <c:pt idx="373">
                    <c:v>0</c:v>
                  </c:pt>
                  <c:pt idx="374">
                    <c:v>0</c:v>
                  </c:pt>
                  <c:pt idx="375">
                    <c:v>0</c:v>
                  </c:pt>
                  <c:pt idx="376">
                    <c:v>0</c:v>
                  </c:pt>
                  <c:pt idx="377">
                    <c:v>0</c:v>
                  </c:pt>
                  <c:pt idx="378">
                    <c:v>0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4">
                    <c:v>0</c:v>
                  </c:pt>
                  <c:pt idx="385">
                    <c:v>0</c:v>
                  </c:pt>
                  <c:pt idx="386">
                    <c:v>0</c:v>
                  </c:pt>
                  <c:pt idx="387">
                    <c:v>0</c:v>
                  </c:pt>
                  <c:pt idx="388">
                    <c:v>0</c:v>
                  </c:pt>
                  <c:pt idx="389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0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0</c:v>
                  </c:pt>
                  <c:pt idx="396">
                    <c:v>0</c:v>
                  </c:pt>
                  <c:pt idx="397">
                    <c:v>0</c:v>
                  </c:pt>
                  <c:pt idx="398">
                    <c:v>0</c:v>
                  </c:pt>
                  <c:pt idx="399">
                    <c:v>0</c:v>
                  </c:pt>
                  <c:pt idx="400">
                    <c:v>0</c:v>
                  </c:pt>
                  <c:pt idx="401">
                    <c:v>0</c:v>
                  </c:pt>
                  <c:pt idx="402">
                    <c:v>0</c:v>
                  </c:pt>
                  <c:pt idx="403">
                    <c:v>0</c:v>
                  </c:pt>
                  <c:pt idx="404">
                    <c:v>0</c:v>
                  </c:pt>
                  <c:pt idx="405">
                    <c:v>0</c:v>
                  </c:pt>
                  <c:pt idx="406">
                    <c:v>0</c:v>
                  </c:pt>
                  <c:pt idx="407">
                    <c:v>0</c:v>
                  </c:pt>
                  <c:pt idx="408">
                    <c:v>0</c:v>
                  </c:pt>
                  <c:pt idx="409">
                    <c:v>0</c:v>
                  </c:pt>
                  <c:pt idx="410">
                    <c:v>0</c:v>
                  </c:pt>
                  <c:pt idx="411">
                    <c:v>0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0</c:v>
                  </c:pt>
                  <c:pt idx="415">
                    <c:v>0</c:v>
                  </c:pt>
                  <c:pt idx="416">
                    <c:v>0</c:v>
                  </c:pt>
                  <c:pt idx="417">
                    <c:v>0</c:v>
                  </c:pt>
                  <c:pt idx="418">
                    <c:v>0</c:v>
                  </c:pt>
                  <c:pt idx="419">
                    <c:v>0</c:v>
                  </c:pt>
                  <c:pt idx="420">
                    <c:v>0</c:v>
                  </c:pt>
                  <c:pt idx="421">
                    <c:v>0</c:v>
                  </c:pt>
                  <c:pt idx="422">
                    <c:v>0</c:v>
                  </c:pt>
                  <c:pt idx="423">
                    <c:v>0</c:v>
                  </c:pt>
                  <c:pt idx="424">
                    <c:v>0</c:v>
                  </c:pt>
                  <c:pt idx="425">
                    <c:v>0</c:v>
                  </c:pt>
                  <c:pt idx="426">
                    <c:v>0</c:v>
                  </c:pt>
                  <c:pt idx="427">
                    <c:v>0</c:v>
                  </c:pt>
                  <c:pt idx="428">
                    <c:v>0</c:v>
                  </c:pt>
                  <c:pt idx="429">
                    <c:v>0</c:v>
                  </c:pt>
                  <c:pt idx="430">
                    <c:v>0</c:v>
                  </c:pt>
                  <c:pt idx="431">
                    <c:v>0</c:v>
                  </c:pt>
                  <c:pt idx="432">
                    <c:v>0</c:v>
                  </c:pt>
                  <c:pt idx="433">
                    <c:v>0</c:v>
                  </c:pt>
                  <c:pt idx="434">
                    <c:v>0</c:v>
                  </c:pt>
                  <c:pt idx="435">
                    <c:v>0</c:v>
                  </c:pt>
                  <c:pt idx="436">
                    <c:v>0</c:v>
                  </c:pt>
                  <c:pt idx="437">
                    <c:v>0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  <c:pt idx="441">
                    <c:v>0</c:v>
                  </c:pt>
                  <c:pt idx="442">
                    <c:v>0</c:v>
                  </c:pt>
                  <c:pt idx="443">
                    <c:v>0</c:v>
                  </c:pt>
                  <c:pt idx="444">
                    <c:v>0</c:v>
                  </c:pt>
                  <c:pt idx="445">
                    <c:v>0</c:v>
                  </c:pt>
                  <c:pt idx="446">
                    <c:v>0</c:v>
                  </c:pt>
                  <c:pt idx="447">
                    <c:v>0</c:v>
                  </c:pt>
                  <c:pt idx="448">
                    <c:v>0</c:v>
                  </c:pt>
                  <c:pt idx="449">
                    <c:v>0</c:v>
                  </c:pt>
                  <c:pt idx="450">
                    <c:v>0</c:v>
                  </c:pt>
                  <c:pt idx="451">
                    <c:v>0</c:v>
                  </c:pt>
                  <c:pt idx="452">
                    <c:v>0</c:v>
                  </c:pt>
                  <c:pt idx="453">
                    <c:v>0</c:v>
                  </c:pt>
                  <c:pt idx="454">
                    <c:v>0</c:v>
                  </c:pt>
                  <c:pt idx="455">
                    <c:v>0</c:v>
                  </c:pt>
                  <c:pt idx="456">
                    <c:v>0</c:v>
                  </c:pt>
                  <c:pt idx="457">
                    <c:v>0</c:v>
                  </c:pt>
                  <c:pt idx="458">
                    <c:v>0</c:v>
                  </c:pt>
                  <c:pt idx="459">
                    <c:v>0</c:v>
                  </c:pt>
                  <c:pt idx="460">
                    <c:v>0</c:v>
                  </c:pt>
                  <c:pt idx="461">
                    <c:v>0</c:v>
                  </c:pt>
                  <c:pt idx="462">
                    <c:v>0</c:v>
                  </c:pt>
                  <c:pt idx="463">
                    <c:v>0</c:v>
                  </c:pt>
                  <c:pt idx="464">
                    <c:v>0</c:v>
                  </c:pt>
                  <c:pt idx="465">
                    <c:v>0</c:v>
                  </c:pt>
                  <c:pt idx="466">
                    <c:v>0</c:v>
                  </c:pt>
                  <c:pt idx="467">
                    <c:v>0</c:v>
                  </c:pt>
                  <c:pt idx="468">
                    <c:v>0</c:v>
                  </c:pt>
                  <c:pt idx="469">
                    <c:v>0</c:v>
                  </c:pt>
                  <c:pt idx="470">
                    <c:v>0</c:v>
                  </c:pt>
                  <c:pt idx="471">
                    <c:v>0</c:v>
                  </c:pt>
                  <c:pt idx="472">
                    <c:v>0</c:v>
                  </c:pt>
                  <c:pt idx="473">
                    <c:v>0</c:v>
                  </c:pt>
                  <c:pt idx="474">
                    <c:v>0</c:v>
                  </c:pt>
                  <c:pt idx="475">
                    <c:v>0</c:v>
                  </c:pt>
                  <c:pt idx="476">
                    <c:v>0</c:v>
                  </c:pt>
                  <c:pt idx="477">
                    <c:v>0</c:v>
                  </c:pt>
                  <c:pt idx="478">
                    <c:v>0</c:v>
                  </c:pt>
                  <c:pt idx="479">
                    <c:v>0</c:v>
                  </c:pt>
                  <c:pt idx="480">
                    <c:v>0</c:v>
                  </c:pt>
                  <c:pt idx="481">
                    <c:v>0</c:v>
                  </c:pt>
                  <c:pt idx="482">
                    <c:v>0</c:v>
                  </c:pt>
                  <c:pt idx="483">
                    <c:v>0</c:v>
                  </c:pt>
                  <c:pt idx="484">
                    <c:v>0</c:v>
                  </c:pt>
                  <c:pt idx="485">
                    <c:v>0</c:v>
                  </c:pt>
                  <c:pt idx="486">
                    <c:v>0</c:v>
                  </c:pt>
                  <c:pt idx="487">
                    <c:v>0</c:v>
                  </c:pt>
                  <c:pt idx="488">
                    <c:v>0</c:v>
                  </c:pt>
                  <c:pt idx="489">
                    <c:v>0</c:v>
                  </c:pt>
                  <c:pt idx="490">
                    <c:v>0</c:v>
                  </c:pt>
                  <c:pt idx="491">
                    <c:v>0</c:v>
                  </c:pt>
                  <c:pt idx="492">
                    <c:v>0</c:v>
                  </c:pt>
                  <c:pt idx="493">
                    <c:v>0</c:v>
                  </c:pt>
                  <c:pt idx="494">
                    <c:v>0</c:v>
                  </c:pt>
                  <c:pt idx="495">
                    <c:v>0</c:v>
                  </c:pt>
                  <c:pt idx="496">
                    <c:v>0</c:v>
                  </c:pt>
                  <c:pt idx="497">
                    <c:v>0</c:v>
                  </c:pt>
                  <c:pt idx="498">
                    <c:v>0</c:v>
                  </c:pt>
                  <c:pt idx="499">
                    <c:v>0</c:v>
                  </c:pt>
                  <c:pt idx="500">
                    <c:v>0</c:v>
                  </c:pt>
                  <c:pt idx="501">
                    <c:v>0</c:v>
                  </c:pt>
                  <c:pt idx="502">
                    <c:v>0</c:v>
                  </c:pt>
                  <c:pt idx="503">
                    <c:v>0</c:v>
                  </c:pt>
                  <c:pt idx="504">
                    <c:v>0</c:v>
                  </c:pt>
                  <c:pt idx="505">
                    <c:v>0</c:v>
                  </c:pt>
                  <c:pt idx="506">
                    <c:v>0</c:v>
                  </c:pt>
                  <c:pt idx="507">
                    <c:v>0</c:v>
                  </c:pt>
                  <c:pt idx="508">
                    <c:v>0</c:v>
                  </c:pt>
                  <c:pt idx="509">
                    <c:v>0</c:v>
                  </c:pt>
                  <c:pt idx="510">
                    <c:v>0</c:v>
                  </c:pt>
                  <c:pt idx="511">
                    <c:v>0</c:v>
                  </c:pt>
                  <c:pt idx="512">
                    <c:v>0</c:v>
                  </c:pt>
                  <c:pt idx="513">
                    <c:v>0</c:v>
                  </c:pt>
                  <c:pt idx="514">
                    <c:v>0</c:v>
                  </c:pt>
                  <c:pt idx="515">
                    <c:v>0</c:v>
                  </c:pt>
                  <c:pt idx="516">
                    <c:v>0</c:v>
                  </c:pt>
                  <c:pt idx="517">
                    <c:v>0</c:v>
                  </c:pt>
                  <c:pt idx="518">
                    <c:v>0</c:v>
                  </c:pt>
                  <c:pt idx="519">
                    <c:v>0</c:v>
                  </c:pt>
                  <c:pt idx="520">
                    <c:v>0</c:v>
                  </c:pt>
                  <c:pt idx="521">
                    <c:v>0</c:v>
                  </c:pt>
                  <c:pt idx="522">
                    <c:v>0</c:v>
                  </c:pt>
                  <c:pt idx="523">
                    <c:v>0</c:v>
                  </c:pt>
                  <c:pt idx="524">
                    <c:v>0</c:v>
                  </c:pt>
                  <c:pt idx="525">
                    <c:v>0</c:v>
                  </c:pt>
                  <c:pt idx="526">
                    <c:v>0</c:v>
                  </c:pt>
                  <c:pt idx="527">
                    <c:v>0</c:v>
                  </c:pt>
                  <c:pt idx="528">
                    <c:v>0</c:v>
                  </c:pt>
                  <c:pt idx="529">
                    <c:v>0</c:v>
                  </c:pt>
                  <c:pt idx="530">
                    <c:v>0</c:v>
                  </c:pt>
                  <c:pt idx="531">
                    <c:v>0</c:v>
                  </c:pt>
                  <c:pt idx="532">
                    <c:v>0</c:v>
                  </c:pt>
                  <c:pt idx="533">
                    <c:v>0</c:v>
                  </c:pt>
                  <c:pt idx="534">
                    <c:v>0</c:v>
                  </c:pt>
                  <c:pt idx="535">
                    <c:v>0</c:v>
                  </c:pt>
                  <c:pt idx="536">
                    <c:v>0</c:v>
                  </c:pt>
                  <c:pt idx="537">
                    <c:v>0</c:v>
                  </c:pt>
                  <c:pt idx="538">
                    <c:v>0</c:v>
                  </c:pt>
                  <c:pt idx="539">
                    <c:v>0</c:v>
                  </c:pt>
                  <c:pt idx="540">
                    <c:v>0</c:v>
                  </c:pt>
                  <c:pt idx="541">
                    <c:v>0</c:v>
                  </c:pt>
                  <c:pt idx="542">
                    <c:v>0</c:v>
                  </c:pt>
                  <c:pt idx="543">
                    <c:v>0</c:v>
                  </c:pt>
                  <c:pt idx="544">
                    <c:v>0</c:v>
                  </c:pt>
                  <c:pt idx="545">
                    <c:v>0</c:v>
                  </c:pt>
                  <c:pt idx="546">
                    <c:v>0</c:v>
                  </c:pt>
                  <c:pt idx="547">
                    <c:v>0</c:v>
                  </c:pt>
                  <c:pt idx="548">
                    <c:v>0</c:v>
                  </c:pt>
                  <c:pt idx="549">
                    <c:v>0</c:v>
                  </c:pt>
                  <c:pt idx="550">
                    <c:v>0</c:v>
                  </c:pt>
                  <c:pt idx="551">
                    <c:v>0</c:v>
                  </c:pt>
                  <c:pt idx="552">
                    <c:v>0</c:v>
                  </c:pt>
                  <c:pt idx="553">
                    <c:v>0</c:v>
                  </c:pt>
                  <c:pt idx="554">
                    <c:v>0</c:v>
                  </c:pt>
                  <c:pt idx="555">
                    <c:v>0</c:v>
                  </c:pt>
                  <c:pt idx="556">
                    <c:v>0</c:v>
                  </c:pt>
                  <c:pt idx="557">
                    <c:v>0</c:v>
                  </c:pt>
                  <c:pt idx="558">
                    <c:v>0</c:v>
                  </c:pt>
                  <c:pt idx="559">
                    <c:v>0</c:v>
                  </c:pt>
                  <c:pt idx="560">
                    <c:v>0</c:v>
                  </c:pt>
                  <c:pt idx="561">
                    <c:v>0</c:v>
                  </c:pt>
                  <c:pt idx="562">
                    <c:v>0</c:v>
                  </c:pt>
                  <c:pt idx="563">
                    <c:v>0</c:v>
                  </c:pt>
                  <c:pt idx="564">
                    <c:v>0</c:v>
                  </c:pt>
                  <c:pt idx="565">
                    <c:v>0</c:v>
                  </c:pt>
                  <c:pt idx="566">
                    <c:v>0</c:v>
                  </c:pt>
                  <c:pt idx="567">
                    <c:v>0</c:v>
                  </c:pt>
                  <c:pt idx="568">
                    <c:v>0</c:v>
                  </c:pt>
                  <c:pt idx="569">
                    <c:v>0</c:v>
                  </c:pt>
                  <c:pt idx="570">
                    <c:v>0</c:v>
                  </c:pt>
                  <c:pt idx="571">
                    <c:v>0</c:v>
                  </c:pt>
                  <c:pt idx="572">
                    <c:v>0</c:v>
                  </c:pt>
                  <c:pt idx="573">
                    <c:v>0</c:v>
                  </c:pt>
                  <c:pt idx="574">
                    <c:v>0</c:v>
                  </c:pt>
                  <c:pt idx="575">
                    <c:v>0</c:v>
                  </c:pt>
                  <c:pt idx="576">
                    <c:v>0</c:v>
                  </c:pt>
                  <c:pt idx="577">
                    <c:v>0</c:v>
                  </c:pt>
                  <c:pt idx="578">
                    <c:v>0</c:v>
                  </c:pt>
                  <c:pt idx="579">
                    <c:v>0</c:v>
                  </c:pt>
                  <c:pt idx="580">
                    <c:v>0</c:v>
                  </c:pt>
                  <c:pt idx="581">
                    <c:v>0</c:v>
                  </c:pt>
                  <c:pt idx="582">
                    <c:v>0</c:v>
                  </c:pt>
                  <c:pt idx="583">
                    <c:v>0</c:v>
                  </c:pt>
                  <c:pt idx="584">
                    <c:v>0</c:v>
                  </c:pt>
                  <c:pt idx="585">
                    <c:v>0</c:v>
                  </c:pt>
                  <c:pt idx="586">
                    <c:v>0</c:v>
                  </c:pt>
                  <c:pt idx="587">
                    <c:v>0</c:v>
                  </c:pt>
                  <c:pt idx="588">
                    <c:v>0</c:v>
                  </c:pt>
                  <c:pt idx="589">
                    <c:v>0</c:v>
                  </c:pt>
                  <c:pt idx="590">
                    <c:v>0</c:v>
                  </c:pt>
                  <c:pt idx="591">
                    <c:v>0</c:v>
                  </c:pt>
                  <c:pt idx="592">
                    <c:v>0</c:v>
                  </c:pt>
                  <c:pt idx="593">
                    <c:v>0</c:v>
                  </c:pt>
                  <c:pt idx="594">
                    <c:v>0</c:v>
                  </c:pt>
                  <c:pt idx="595">
                    <c:v>0</c:v>
                  </c:pt>
                  <c:pt idx="596">
                    <c:v>0</c:v>
                  </c:pt>
                  <c:pt idx="597">
                    <c:v>0</c:v>
                  </c:pt>
                  <c:pt idx="598">
                    <c:v>0</c:v>
                  </c:pt>
                  <c:pt idx="599">
                    <c:v>0</c:v>
                  </c:pt>
                  <c:pt idx="600">
                    <c:v>0</c:v>
                  </c:pt>
                  <c:pt idx="601">
                    <c:v>0</c:v>
                  </c:pt>
                  <c:pt idx="602">
                    <c:v>0</c:v>
                  </c:pt>
                  <c:pt idx="603">
                    <c:v>0</c:v>
                  </c:pt>
                  <c:pt idx="604">
                    <c:v>0</c:v>
                  </c:pt>
                  <c:pt idx="605">
                    <c:v>0</c:v>
                  </c:pt>
                  <c:pt idx="606">
                    <c:v>0</c:v>
                  </c:pt>
                  <c:pt idx="607">
                    <c:v>0</c:v>
                  </c:pt>
                  <c:pt idx="608">
                    <c:v>0</c:v>
                  </c:pt>
                  <c:pt idx="609">
                    <c:v>0</c:v>
                  </c:pt>
                  <c:pt idx="610">
                    <c:v>0</c:v>
                  </c:pt>
                  <c:pt idx="611">
                    <c:v>0</c:v>
                  </c:pt>
                  <c:pt idx="612">
                    <c:v>0</c:v>
                  </c:pt>
                  <c:pt idx="613">
                    <c:v>0</c:v>
                  </c:pt>
                  <c:pt idx="614">
                    <c:v>0</c:v>
                  </c:pt>
                  <c:pt idx="615">
                    <c:v>0</c:v>
                  </c:pt>
                  <c:pt idx="616">
                    <c:v>0</c:v>
                  </c:pt>
                  <c:pt idx="617">
                    <c:v>0</c:v>
                  </c:pt>
                  <c:pt idx="618">
                    <c:v>0</c:v>
                  </c:pt>
                  <c:pt idx="619">
                    <c:v>0</c:v>
                  </c:pt>
                  <c:pt idx="620">
                    <c:v>0</c:v>
                  </c:pt>
                  <c:pt idx="621">
                    <c:v>0</c:v>
                  </c:pt>
                  <c:pt idx="622">
                    <c:v>0</c:v>
                  </c:pt>
                  <c:pt idx="623">
                    <c:v>0</c:v>
                  </c:pt>
                  <c:pt idx="624">
                    <c:v>0</c:v>
                  </c:pt>
                  <c:pt idx="625">
                    <c:v>0</c:v>
                  </c:pt>
                  <c:pt idx="626">
                    <c:v>0</c:v>
                  </c:pt>
                  <c:pt idx="627">
                    <c:v>0</c:v>
                  </c:pt>
                  <c:pt idx="628">
                    <c:v>0</c:v>
                  </c:pt>
                  <c:pt idx="629">
                    <c:v>0</c:v>
                  </c:pt>
                  <c:pt idx="630">
                    <c:v>0</c:v>
                  </c:pt>
                  <c:pt idx="631">
                    <c:v>0</c:v>
                  </c:pt>
                  <c:pt idx="632">
                    <c:v>0</c:v>
                  </c:pt>
                  <c:pt idx="633">
                    <c:v>0</c:v>
                  </c:pt>
                  <c:pt idx="634">
                    <c:v>0</c:v>
                  </c:pt>
                  <c:pt idx="635">
                    <c:v>0</c:v>
                  </c:pt>
                  <c:pt idx="636">
                    <c:v>0</c:v>
                  </c:pt>
                  <c:pt idx="637">
                    <c:v>0</c:v>
                  </c:pt>
                  <c:pt idx="638">
                    <c:v>0</c:v>
                  </c:pt>
                  <c:pt idx="639">
                    <c:v>0</c:v>
                  </c:pt>
                  <c:pt idx="640">
                    <c:v>0</c:v>
                  </c:pt>
                  <c:pt idx="641">
                    <c:v>0</c:v>
                  </c:pt>
                  <c:pt idx="642">
                    <c:v>0</c:v>
                  </c:pt>
                  <c:pt idx="643">
                    <c:v>0</c:v>
                  </c:pt>
                  <c:pt idx="644">
                    <c:v>0</c:v>
                  </c:pt>
                  <c:pt idx="645">
                    <c:v>0</c:v>
                  </c:pt>
                  <c:pt idx="646">
                    <c:v>0</c:v>
                  </c:pt>
                  <c:pt idx="647">
                    <c:v>0</c:v>
                  </c:pt>
                  <c:pt idx="648">
                    <c:v>0</c:v>
                  </c:pt>
                  <c:pt idx="649">
                    <c:v>0</c:v>
                  </c:pt>
                  <c:pt idx="650">
                    <c:v>0</c:v>
                  </c:pt>
                  <c:pt idx="651">
                    <c:v>0</c:v>
                  </c:pt>
                  <c:pt idx="652">
                    <c:v>0</c:v>
                  </c:pt>
                  <c:pt idx="653">
                    <c:v>0</c:v>
                  </c:pt>
                  <c:pt idx="654">
                    <c:v>0</c:v>
                  </c:pt>
                  <c:pt idx="655">
                    <c:v>0</c:v>
                  </c:pt>
                  <c:pt idx="656">
                    <c:v>0</c:v>
                  </c:pt>
                  <c:pt idx="657">
                    <c:v>0</c:v>
                  </c:pt>
                  <c:pt idx="658">
                    <c:v>0</c:v>
                  </c:pt>
                  <c:pt idx="659">
                    <c:v>0</c:v>
                  </c:pt>
                  <c:pt idx="660">
                    <c:v>0</c:v>
                  </c:pt>
                  <c:pt idx="661">
                    <c:v>0</c:v>
                  </c:pt>
                  <c:pt idx="662">
                    <c:v>0</c:v>
                  </c:pt>
                  <c:pt idx="663">
                    <c:v>0</c:v>
                  </c:pt>
                  <c:pt idx="664">
                    <c:v>0</c:v>
                  </c:pt>
                  <c:pt idx="665">
                    <c:v>0</c:v>
                  </c:pt>
                  <c:pt idx="666">
                    <c:v>0</c:v>
                  </c:pt>
                  <c:pt idx="667">
                    <c:v>0</c:v>
                  </c:pt>
                  <c:pt idx="668">
                    <c:v>0</c:v>
                  </c:pt>
                  <c:pt idx="669">
                    <c:v>0</c:v>
                  </c:pt>
                  <c:pt idx="670">
                    <c:v>0</c:v>
                  </c:pt>
                  <c:pt idx="671">
                    <c:v>0</c:v>
                  </c:pt>
                  <c:pt idx="672">
                    <c:v>0</c:v>
                  </c:pt>
                  <c:pt idx="673">
                    <c:v>0</c:v>
                  </c:pt>
                  <c:pt idx="674">
                    <c:v>0</c:v>
                  </c:pt>
                  <c:pt idx="675">
                    <c:v>0</c:v>
                  </c:pt>
                  <c:pt idx="676">
                    <c:v>0</c:v>
                  </c:pt>
                  <c:pt idx="677">
                    <c:v>0</c:v>
                  </c:pt>
                  <c:pt idx="678">
                    <c:v>0</c:v>
                  </c:pt>
                  <c:pt idx="679">
                    <c:v>0</c:v>
                  </c:pt>
                  <c:pt idx="680">
                    <c:v>0</c:v>
                  </c:pt>
                  <c:pt idx="681">
                    <c:v>0</c:v>
                  </c:pt>
                  <c:pt idx="682">
                    <c:v>0</c:v>
                  </c:pt>
                  <c:pt idx="683">
                    <c:v>0</c:v>
                  </c:pt>
                  <c:pt idx="684">
                    <c:v>0</c:v>
                  </c:pt>
                  <c:pt idx="685">
                    <c:v>0</c:v>
                  </c:pt>
                  <c:pt idx="686">
                    <c:v>0</c:v>
                  </c:pt>
                  <c:pt idx="687">
                    <c:v>0</c:v>
                  </c:pt>
                  <c:pt idx="688">
                    <c:v>0</c:v>
                  </c:pt>
                  <c:pt idx="689">
                    <c:v>0</c:v>
                  </c:pt>
                  <c:pt idx="690">
                    <c:v>0</c:v>
                  </c:pt>
                  <c:pt idx="691">
                    <c:v>0</c:v>
                  </c:pt>
                  <c:pt idx="692">
                    <c:v>0</c:v>
                  </c:pt>
                  <c:pt idx="693">
                    <c:v>0</c:v>
                  </c:pt>
                  <c:pt idx="694">
                    <c:v>0</c:v>
                  </c:pt>
                  <c:pt idx="695">
                    <c:v>0</c:v>
                  </c:pt>
                  <c:pt idx="696">
                    <c:v>0</c:v>
                  </c:pt>
                  <c:pt idx="697">
                    <c:v>0</c:v>
                  </c:pt>
                  <c:pt idx="698">
                    <c:v>0</c:v>
                  </c:pt>
                  <c:pt idx="699">
                    <c:v>0</c:v>
                  </c:pt>
                  <c:pt idx="700">
                    <c:v>0</c:v>
                  </c:pt>
                  <c:pt idx="701">
                    <c:v>0</c:v>
                  </c:pt>
                  <c:pt idx="702">
                    <c:v>0</c:v>
                  </c:pt>
                  <c:pt idx="703">
                    <c:v>0</c:v>
                  </c:pt>
                  <c:pt idx="704">
                    <c:v>0</c:v>
                  </c:pt>
                  <c:pt idx="705">
                    <c:v>0</c:v>
                  </c:pt>
                  <c:pt idx="706">
                    <c:v>0</c:v>
                  </c:pt>
                  <c:pt idx="707">
                    <c:v>0</c:v>
                  </c:pt>
                  <c:pt idx="708">
                    <c:v>0</c:v>
                  </c:pt>
                  <c:pt idx="709">
                    <c:v>0</c:v>
                  </c:pt>
                  <c:pt idx="710">
                    <c:v>0</c:v>
                  </c:pt>
                  <c:pt idx="711">
                    <c:v>0</c:v>
                  </c:pt>
                  <c:pt idx="712">
                    <c:v>0</c:v>
                  </c:pt>
                  <c:pt idx="713">
                    <c:v>0</c:v>
                  </c:pt>
                  <c:pt idx="714">
                    <c:v>0</c:v>
                  </c:pt>
                  <c:pt idx="715">
                    <c:v>0</c:v>
                  </c:pt>
                  <c:pt idx="716">
                    <c:v>0</c:v>
                  </c:pt>
                  <c:pt idx="717">
                    <c:v>0</c:v>
                  </c:pt>
                  <c:pt idx="718">
                    <c:v>0</c:v>
                  </c:pt>
                  <c:pt idx="719">
                    <c:v>0</c:v>
                  </c:pt>
                  <c:pt idx="720">
                    <c:v>0</c:v>
                  </c:pt>
                  <c:pt idx="721">
                    <c:v>0</c:v>
                  </c:pt>
                  <c:pt idx="722">
                    <c:v>0</c:v>
                  </c:pt>
                  <c:pt idx="723">
                    <c:v>0</c:v>
                  </c:pt>
                  <c:pt idx="724">
                    <c:v>0</c:v>
                  </c:pt>
                  <c:pt idx="725">
                    <c:v>0</c:v>
                  </c:pt>
                  <c:pt idx="726">
                    <c:v>0</c:v>
                  </c:pt>
                  <c:pt idx="727">
                    <c:v>0</c:v>
                  </c:pt>
                  <c:pt idx="728">
                    <c:v>0</c:v>
                  </c:pt>
                  <c:pt idx="729">
                    <c:v>0</c:v>
                  </c:pt>
                  <c:pt idx="730">
                    <c:v>0</c:v>
                  </c:pt>
                  <c:pt idx="731">
                    <c:v>0</c:v>
                  </c:pt>
                  <c:pt idx="732">
                    <c:v>0</c:v>
                  </c:pt>
                  <c:pt idx="733">
                    <c:v>0</c:v>
                  </c:pt>
                  <c:pt idx="734">
                    <c:v>0</c:v>
                  </c:pt>
                  <c:pt idx="735">
                    <c:v>0</c:v>
                  </c:pt>
                  <c:pt idx="736">
                    <c:v>0</c:v>
                  </c:pt>
                  <c:pt idx="737">
                    <c:v>0</c:v>
                  </c:pt>
                  <c:pt idx="738">
                    <c:v>0</c:v>
                  </c:pt>
                  <c:pt idx="739">
                    <c:v>0</c:v>
                  </c:pt>
                  <c:pt idx="740">
                    <c:v>0</c:v>
                  </c:pt>
                  <c:pt idx="741">
                    <c:v>0</c:v>
                  </c:pt>
                  <c:pt idx="742">
                    <c:v>0</c:v>
                  </c:pt>
                  <c:pt idx="743">
                    <c:v>0</c:v>
                  </c:pt>
                  <c:pt idx="744">
                    <c:v>0</c:v>
                  </c:pt>
                  <c:pt idx="745">
                    <c:v>0</c:v>
                  </c:pt>
                  <c:pt idx="746">
                    <c:v>0</c:v>
                  </c:pt>
                  <c:pt idx="747">
                    <c:v>0</c:v>
                  </c:pt>
                  <c:pt idx="748">
                    <c:v>0</c:v>
                  </c:pt>
                  <c:pt idx="749">
                    <c:v>0</c:v>
                  </c:pt>
                  <c:pt idx="750">
                    <c:v>0</c:v>
                  </c:pt>
                  <c:pt idx="751">
                    <c:v>0</c:v>
                  </c:pt>
                  <c:pt idx="752">
                    <c:v>0</c:v>
                  </c:pt>
                  <c:pt idx="753">
                    <c:v>0</c:v>
                  </c:pt>
                  <c:pt idx="754">
                    <c:v>0</c:v>
                  </c:pt>
                  <c:pt idx="755">
                    <c:v>0</c:v>
                  </c:pt>
                  <c:pt idx="756">
                    <c:v>0</c:v>
                  </c:pt>
                  <c:pt idx="757">
                    <c:v>0</c:v>
                  </c:pt>
                  <c:pt idx="758">
                    <c:v>0</c:v>
                  </c:pt>
                  <c:pt idx="759">
                    <c:v>0</c:v>
                  </c:pt>
                  <c:pt idx="760">
                    <c:v>0</c:v>
                  </c:pt>
                  <c:pt idx="761">
                    <c:v>0</c:v>
                  </c:pt>
                  <c:pt idx="762">
                    <c:v>0</c:v>
                  </c:pt>
                  <c:pt idx="763">
                    <c:v>0</c:v>
                  </c:pt>
                  <c:pt idx="764">
                    <c:v>0</c:v>
                  </c:pt>
                  <c:pt idx="765">
                    <c:v>0</c:v>
                  </c:pt>
                  <c:pt idx="766">
                    <c:v>0</c:v>
                  </c:pt>
                  <c:pt idx="767">
                    <c:v>0</c:v>
                  </c:pt>
                  <c:pt idx="768">
                    <c:v>0</c:v>
                  </c:pt>
                  <c:pt idx="769">
                    <c:v>0</c:v>
                  </c:pt>
                  <c:pt idx="770">
                    <c:v>0</c:v>
                  </c:pt>
                  <c:pt idx="771">
                    <c:v>0</c:v>
                  </c:pt>
                  <c:pt idx="772">
                    <c:v>0</c:v>
                  </c:pt>
                  <c:pt idx="773">
                    <c:v>0</c:v>
                  </c:pt>
                  <c:pt idx="774">
                    <c:v>0</c:v>
                  </c:pt>
                  <c:pt idx="775">
                    <c:v>0</c:v>
                  </c:pt>
                  <c:pt idx="776">
                    <c:v>0</c:v>
                  </c:pt>
                  <c:pt idx="777">
                    <c:v>0</c:v>
                  </c:pt>
                  <c:pt idx="778">
                    <c:v>0</c:v>
                  </c:pt>
                  <c:pt idx="779">
                    <c:v>0</c:v>
                  </c:pt>
                  <c:pt idx="780">
                    <c:v>0</c:v>
                  </c:pt>
                  <c:pt idx="781">
                    <c:v>0</c:v>
                  </c:pt>
                  <c:pt idx="782">
                    <c:v>0</c:v>
                  </c:pt>
                  <c:pt idx="783">
                    <c:v>0</c:v>
                  </c:pt>
                  <c:pt idx="784">
                    <c:v>0</c:v>
                  </c:pt>
                  <c:pt idx="785">
                    <c:v>0</c:v>
                  </c:pt>
                  <c:pt idx="786">
                    <c:v>0</c:v>
                  </c:pt>
                  <c:pt idx="787">
                    <c:v>0</c:v>
                  </c:pt>
                  <c:pt idx="788">
                    <c:v>0</c:v>
                  </c:pt>
                  <c:pt idx="789">
                    <c:v>0</c:v>
                  </c:pt>
                  <c:pt idx="790">
                    <c:v>0</c:v>
                  </c:pt>
                  <c:pt idx="791">
                    <c:v>0</c:v>
                  </c:pt>
                  <c:pt idx="792">
                    <c:v>0</c:v>
                  </c:pt>
                  <c:pt idx="793">
                    <c:v>0</c:v>
                  </c:pt>
                  <c:pt idx="794">
                    <c:v>0</c:v>
                  </c:pt>
                  <c:pt idx="795">
                    <c:v>0</c:v>
                  </c:pt>
                  <c:pt idx="796">
                    <c:v>0</c:v>
                  </c:pt>
                  <c:pt idx="797">
                    <c:v>0</c:v>
                  </c:pt>
                  <c:pt idx="798">
                    <c:v>0</c:v>
                  </c:pt>
                  <c:pt idx="799">
                    <c:v>0</c:v>
                  </c:pt>
                  <c:pt idx="800">
                    <c:v>0</c:v>
                  </c:pt>
                  <c:pt idx="801">
                    <c:v>0</c:v>
                  </c:pt>
                  <c:pt idx="802">
                    <c:v>0</c:v>
                  </c:pt>
                  <c:pt idx="803">
                    <c:v>0</c:v>
                  </c:pt>
                  <c:pt idx="804">
                    <c:v>0</c:v>
                  </c:pt>
                  <c:pt idx="805">
                    <c:v>0</c:v>
                  </c:pt>
                  <c:pt idx="806">
                    <c:v>0</c:v>
                  </c:pt>
                  <c:pt idx="807">
                    <c:v>0</c:v>
                  </c:pt>
                  <c:pt idx="808">
                    <c:v>0</c:v>
                  </c:pt>
                  <c:pt idx="809">
                    <c:v>0</c:v>
                  </c:pt>
                  <c:pt idx="810">
                    <c:v>0</c:v>
                  </c:pt>
                  <c:pt idx="811">
                    <c:v>0</c:v>
                  </c:pt>
                  <c:pt idx="812">
                    <c:v>0</c:v>
                  </c:pt>
                  <c:pt idx="813">
                    <c:v>0</c:v>
                  </c:pt>
                  <c:pt idx="814">
                    <c:v>0</c:v>
                  </c:pt>
                  <c:pt idx="815">
                    <c:v>0</c:v>
                  </c:pt>
                  <c:pt idx="816">
                    <c:v>0</c:v>
                  </c:pt>
                  <c:pt idx="817">
                    <c:v>0</c:v>
                  </c:pt>
                  <c:pt idx="818">
                    <c:v>0</c:v>
                  </c:pt>
                  <c:pt idx="819">
                    <c:v>0</c:v>
                  </c:pt>
                  <c:pt idx="820">
                    <c:v>0</c:v>
                  </c:pt>
                  <c:pt idx="821">
                    <c:v>0</c:v>
                  </c:pt>
                  <c:pt idx="822">
                    <c:v>0</c:v>
                  </c:pt>
                  <c:pt idx="823">
                    <c:v>0</c:v>
                  </c:pt>
                  <c:pt idx="824">
                    <c:v>0</c:v>
                  </c:pt>
                  <c:pt idx="825">
                    <c:v>0</c:v>
                  </c:pt>
                  <c:pt idx="826">
                    <c:v>0</c:v>
                  </c:pt>
                  <c:pt idx="827">
                    <c:v>0</c:v>
                  </c:pt>
                  <c:pt idx="828">
                    <c:v>0</c:v>
                  </c:pt>
                  <c:pt idx="829">
                    <c:v>0</c:v>
                  </c:pt>
                  <c:pt idx="830">
                    <c:v>0</c:v>
                  </c:pt>
                  <c:pt idx="831">
                    <c:v>0</c:v>
                  </c:pt>
                  <c:pt idx="832">
                    <c:v>0</c:v>
                  </c:pt>
                  <c:pt idx="833">
                    <c:v>0</c:v>
                  </c:pt>
                  <c:pt idx="834">
                    <c:v>0</c:v>
                  </c:pt>
                  <c:pt idx="835">
                    <c:v>0</c:v>
                  </c:pt>
                  <c:pt idx="836">
                    <c:v>0</c:v>
                  </c:pt>
                  <c:pt idx="837">
                    <c:v>0</c:v>
                  </c:pt>
                  <c:pt idx="838">
                    <c:v>0</c:v>
                  </c:pt>
                  <c:pt idx="839">
                    <c:v>0</c:v>
                  </c:pt>
                  <c:pt idx="840">
                    <c:v>0</c:v>
                  </c:pt>
                  <c:pt idx="841">
                    <c:v>0</c:v>
                  </c:pt>
                  <c:pt idx="842">
                    <c:v>0</c:v>
                  </c:pt>
                  <c:pt idx="843">
                    <c:v>0</c:v>
                  </c:pt>
                  <c:pt idx="844">
                    <c:v>0</c:v>
                  </c:pt>
                  <c:pt idx="845">
                    <c:v>0</c:v>
                  </c:pt>
                  <c:pt idx="846">
                    <c:v>0</c:v>
                  </c:pt>
                  <c:pt idx="847">
                    <c:v>0</c:v>
                  </c:pt>
                  <c:pt idx="848">
                    <c:v>0</c:v>
                  </c:pt>
                  <c:pt idx="849">
                    <c:v>0</c:v>
                  </c:pt>
                  <c:pt idx="850">
                    <c:v>0</c:v>
                  </c:pt>
                  <c:pt idx="851">
                    <c:v>0</c:v>
                  </c:pt>
                  <c:pt idx="852">
                    <c:v>0</c:v>
                  </c:pt>
                  <c:pt idx="853">
                    <c:v>0</c:v>
                  </c:pt>
                  <c:pt idx="854">
                    <c:v>0</c:v>
                  </c:pt>
                  <c:pt idx="855">
                    <c:v>0</c:v>
                  </c:pt>
                  <c:pt idx="856">
                    <c:v>0</c:v>
                  </c:pt>
                  <c:pt idx="857">
                    <c:v>0</c:v>
                  </c:pt>
                  <c:pt idx="858">
                    <c:v>0</c:v>
                  </c:pt>
                  <c:pt idx="859">
                    <c:v>0</c:v>
                  </c:pt>
                  <c:pt idx="860">
                    <c:v>0</c:v>
                  </c:pt>
                  <c:pt idx="861">
                    <c:v>0</c:v>
                  </c:pt>
                  <c:pt idx="862">
                    <c:v>0</c:v>
                  </c:pt>
                  <c:pt idx="863">
                    <c:v>0</c:v>
                  </c:pt>
                  <c:pt idx="864">
                    <c:v>0</c:v>
                  </c:pt>
                  <c:pt idx="865">
                    <c:v>0</c:v>
                  </c:pt>
                  <c:pt idx="866">
                    <c:v>0</c:v>
                  </c:pt>
                  <c:pt idx="867">
                    <c:v>0</c:v>
                  </c:pt>
                  <c:pt idx="868">
                    <c:v>0</c:v>
                  </c:pt>
                  <c:pt idx="869">
                    <c:v>0</c:v>
                  </c:pt>
                  <c:pt idx="870">
                    <c:v>0</c:v>
                  </c:pt>
                  <c:pt idx="871">
                    <c:v>0</c:v>
                  </c:pt>
                  <c:pt idx="872">
                    <c:v>0</c:v>
                  </c:pt>
                  <c:pt idx="873">
                    <c:v>0</c:v>
                  </c:pt>
                  <c:pt idx="874">
                    <c:v>0</c:v>
                  </c:pt>
                  <c:pt idx="875">
                    <c:v>0</c:v>
                  </c:pt>
                  <c:pt idx="876">
                    <c:v>0</c:v>
                  </c:pt>
                  <c:pt idx="877">
                    <c:v>0</c:v>
                  </c:pt>
                  <c:pt idx="878">
                    <c:v>0</c:v>
                  </c:pt>
                  <c:pt idx="879">
                    <c:v>0</c:v>
                  </c:pt>
                  <c:pt idx="880">
                    <c:v>0</c:v>
                  </c:pt>
                  <c:pt idx="881">
                    <c:v>0</c:v>
                  </c:pt>
                  <c:pt idx="882">
                    <c:v>0</c:v>
                  </c:pt>
                  <c:pt idx="883">
                    <c:v>0</c:v>
                  </c:pt>
                  <c:pt idx="884">
                    <c:v>0</c:v>
                  </c:pt>
                  <c:pt idx="885">
                    <c:v>0</c:v>
                  </c:pt>
                  <c:pt idx="886">
                    <c:v>0</c:v>
                  </c:pt>
                  <c:pt idx="887">
                    <c:v>0</c:v>
                  </c:pt>
                  <c:pt idx="888">
                    <c:v>0</c:v>
                  </c:pt>
                  <c:pt idx="889">
                    <c:v>0</c:v>
                  </c:pt>
                  <c:pt idx="890">
                    <c:v>0</c:v>
                  </c:pt>
                  <c:pt idx="891">
                    <c:v>0</c:v>
                  </c:pt>
                  <c:pt idx="892">
                    <c:v>0</c:v>
                  </c:pt>
                  <c:pt idx="893">
                    <c:v>0</c:v>
                  </c:pt>
                  <c:pt idx="894">
                    <c:v>0</c:v>
                  </c:pt>
                  <c:pt idx="895">
                    <c:v>0</c:v>
                  </c:pt>
                  <c:pt idx="896">
                    <c:v>0</c:v>
                  </c:pt>
                  <c:pt idx="897">
                    <c:v>0</c:v>
                  </c:pt>
                  <c:pt idx="898">
                    <c:v>0</c:v>
                  </c:pt>
                  <c:pt idx="899">
                    <c:v>0</c:v>
                  </c:pt>
                  <c:pt idx="900">
                    <c:v>0</c:v>
                  </c:pt>
                  <c:pt idx="901">
                    <c:v>0</c:v>
                  </c:pt>
                  <c:pt idx="902">
                    <c:v>0</c:v>
                  </c:pt>
                  <c:pt idx="903">
                    <c:v>0</c:v>
                  </c:pt>
                  <c:pt idx="904">
                    <c:v>0</c:v>
                  </c:pt>
                  <c:pt idx="905">
                    <c:v>0</c:v>
                  </c:pt>
                  <c:pt idx="906">
                    <c:v>0</c:v>
                  </c:pt>
                  <c:pt idx="907">
                    <c:v>0</c:v>
                  </c:pt>
                  <c:pt idx="908">
                    <c:v>0</c:v>
                  </c:pt>
                  <c:pt idx="909">
                    <c:v>0</c:v>
                  </c:pt>
                  <c:pt idx="910">
                    <c:v>0</c:v>
                  </c:pt>
                  <c:pt idx="911">
                    <c:v>0</c:v>
                  </c:pt>
                  <c:pt idx="912">
                    <c:v>0</c:v>
                  </c:pt>
                  <c:pt idx="913">
                    <c:v>0</c:v>
                  </c:pt>
                  <c:pt idx="914">
                    <c:v>0</c:v>
                  </c:pt>
                  <c:pt idx="915">
                    <c:v>0</c:v>
                  </c:pt>
                  <c:pt idx="916">
                    <c:v>0</c:v>
                  </c:pt>
                  <c:pt idx="917">
                    <c:v>0</c:v>
                  </c:pt>
                  <c:pt idx="918">
                    <c:v>0</c:v>
                  </c:pt>
                  <c:pt idx="919">
                    <c:v>0</c:v>
                  </c:pt>
                  <c:pt idx="920">
                    <c:v>0</c:v>
                  </c:pt>
                  <c:pt idx="921">
                    <c:v>0</c:v>
                  </c:pt>
                  <c:pt idx="922">
                    <c:v>0</c:v>
                  </c:pt>
                  <c:pt idx="923">
                    <c:v>0</c:v>
                  </c:pt>
                  <c:pt idx="924">
                    <c:v>0</c:v>
                  </c:pt>
                  <c:pt idx="925">
                    <c:v>0</c:v>
                  </c:pt>
                  <c:pt idx="926">
                    <c:v>0</c:v>
                  </c:pt>
                  <c:pt idx="927">
                    <c:v>0</c:v>
                  </c:pt>
                  <c:pt idx="928">
                    <c:v>0</c:v>
                  </c:pt>
                  <c:pt idx="929">
                    <c:v>0</c:v>
                  </c:pt>
                  <c:pt idx="930">
                    <c:v>0</c:v>
                  </c:pt>
                  <c:pt idx="931">
                    <c:v>0</c:v>
                  </c:pt>
                  <c:pt idx="932">
                    <c:v>0</c:v>
                  </c:pt>
                  <c:pt idx="933">
                    <c:v>0</c:v>
                  </c:pt>
                  <c:pt idx="934">
                    <c:v>0</c:v>
                  </c:pt>
                  <c:pt idx="935">
                    <c:v>0</c:v>
                  </c:pt>
                  <c:pt idx="936">
                    <c:v>0</c:v>
                  </c:pt>
                  <c:pt idx="937">
                    <c:v>0</c:v>
                  </c:pt>
                  <c:pt idx="938">
                    <c:v>0</c:v>
                  </c:pt>
                  <c:pt idx="939">
                    <c:v>0</c:v>
                  </c:pt>
                  <c:pt idx="940">
                    <c:v>0</c:v>
                  </c:pt>
                  <c:pt idx="941">
                    <c:v>0</c:v>
                  </c:pt>
                  <c:pt idx="942">
                    <c:v>0</c:v>
                  </c:pt>
                  <c:pt idx="943">
                    <c:v>0</c:v>
                  </c:pt>
                  <c:pt idx="944">
                    <c:v>0</c:v>
                  </c:pt>
                  <c:pt idx="945">
                    <c:v>0</c:v>
                  </c:pt>
                  <c:pt idx="946">
                    <c:v>0</c:v>
                  </c:pt>
                  <c:pt idx="947">
                    <c:v>0</c:v>
                  </c:pt>
                  <c:pt idx="948">
                    <c:v>0</c:v>
                  </c:pt>
                  <c:pt idx="949">
                    <c:v>0</c:v>
                  </c:pt>
                  <c:pt idx="950">
                    <c:v>0</c:v>
                  </c:pt>
                  <c:pt idx="951">
                    <c:v>0</c:v>
                  </c:pt>
                  <c:pt idx="952">
                    <c:v>0</c:v>
                  </c:pt>
                  <c:pt idx="953">
                    <c:v>0</c:v>
                  </c:pt>
                  <c:pt idx="954">
                    <c:v>0</c:v>
                  </c:pt>
                  <c:pt idx="955">
                    <c:v>0</c:v>
                  </c:pt>
                  <c:pt idx="956">
                    <c:v>0</c:v>
                  </c:pt>
                  <c:pt idx="957">
                    <c:v>0</c:v>
                  </c:pt>
                  <c:pt idx="958">
                    <c:v>0</c:v>
                  </c:pt>
                  <c:pt idx="959">
                    <c:v>0</c:v>
                  </c:pt>
                  <c:pt idx="960">
                    <c:v>0</c:v>
                  </c:pt>
                  <c:pt idx="961">
                    <c:v>0</c:v>
                  </c:pt>
                  <c:pt idx="962">
                    <c:v>0</c:v>
                  </c:pt>
                  <c:pt idx="963">
                    <c:v>0</c:v>
                  </c:pt>
                  <c:pt idx="964">
                    <c:v>0</c:v>
                  </c:pt>
                  <c:pt idx="965">
                    <c:v>0</c:v>
                  </c:pt>
                  <c:pt idx="966">
                    <c:v>0</c:v>
                  </c:pt>
                  <c:pt idx="967">
                    <c:v>0</c:v>
                  </c:pt>
                  <c:pt idx="968">
                    <c:v>0</c:v>
                  </c:pt>
                  <c:pt idx="969">
                    <c:v>0</c:v>
                  </c:pt>
                  <c:pt idx="970">
                    <c:v>0</c:v>
                  </c:pt>
                  <c:pt idx="971">
                    <c:v>0</c:v>
                  </c:pt>
                  <c:pt idx="972">
                    <c:v>0</c:v>
                  </c:pt>
                  <c:pt idx="973">
                    <c:v>0</c:v>
                  </c:pt>
                  <c:pt idx="974">
                    <c:v>0</c:v>
                  </c:pt>
                  <c:pt idx="975">
                    <c:v>0</c:v>
                  </c:pt>
                  <c:pt idx="976">
                    <c:v>0</c:v>
                  </c:pt>
                  <c:pt idx="977">
                    <c:v>0</c:v>
                  </c:pt>
                  <c:pt idx="978">
                    <c:v>0</c:v>
                  </c:pt>
                  <c:pt idx="979">
                    <c:v>0</c:v>
                  </c:pt>
                  <c:pt idx="980">
                    <c:v>0</c:v>
                  </c:pt>
                  <c:pt idx="981">
                    <c:v>0</c:v>
                  </c:pt>
                  <c:pt idx="982">
                    <c:v>0</c:v>
                  </c:pt>
                  <c:pt idx="983">
                    <c:v>0</c:v>
                  </c:pt>
                  <c:pt idx="984">
                    <c:v>0</c:v>
                  </c:pt>
                  <c:pt idx="985">
                    <c:v>0</c:v>
                  </c:pt>
                  <c:pt idx="986">
                    <c:v>0</c:v>
                  </c:pt>
                  <c:pt idx="987">
                    <c:v>0</c:v>
                  </c:pt>
                  <c:pt idx="988">
                    <c:v>0</c:v>
                  </c:pt>
                  <c:pt idx="989">
                    <c:v>0</c:v>
                  </c:pt>
                  <c:pt idx="990">
                    <c:v>0</c:v>
                  </c:pt>
                  <c:pt idx="991">
                    <c:v>0</c:v>
                  </c:pt>
                  <c:pt idx="992">
                    <c:v>0</c:v>
                  </c:pt>
                  <c:pt idx="993">
                    <c:v>0</c:v>
                  </c:pt>
                  <c:pt idx="994">
                    <c:v>0</c:v>
                  </c:pt>
                  <c:pt idx="995">
                    <c:v>0</c:v>
                  </c:pt>
                  <c:pt idx="996">
                    <c:v>0</c:v>
                  </c:pt>
                  <c:pt idx="997">
                    <c:v>0</c:v>
                  </c:pt>
                  <c:pt idx="998">
                    <c:v>0</c:v>
                  </c:pt>
                  <c:pt idx="999">
                    <c:v>0</c:v>
                  </c:pt>
                  <c:pt idx="1000">
                    <c:v>0</c:v>
                  </c:pt>
                  <c:pt idx="1001">
                    <c:v>0</c:v>
                  </c:pt>
                  <c:pt idx="1002">
                    <c:v>0</c:v>
                  </c:pt>
                  <c:pt idx="1003">
                    <c:v>0</c:v>
                  </c:pt>
                  <c:pt idx="1004">
                    <c:v>0</c:v>
                  </c:pt>
                  <c:pt idx="1005">
                    <c:v>0</c:v>
                  </c:pt>
                  <c:pt idx="1006">
                    <c:v>0</c:v>
                  </c:pt>
                  <c:pt idx="1007">
                    <c:v>0</c:v>
                  </c:pt>
                  <c:pt idx="1008">
                    <c:v>0</c:v>
                  </c:pt>
                  <c:pt idx="1009">
                    <c:v>0</c:v>
                  </c:pt>
                  <c:pt idx="1010">
                    <c:v>0</c:v>
                  </c:pt>
                  <c:pt idx="1011">
                    <c:v>0</c:v>
                  </c:pt>
                  <c:pt idx="1012">
                    <c:v>0</c:v>
                  </c:pt>
                  <c:pt idx="1013">
                    <c:v>0</c:v>
                  </c:pt>
                  <c:pt idx="1014">
                    <c:v>0</c:v>
                  </c:pt>
                  <c:pt idx="1015">
                    <c:v>0</c:v>
                  </c:pt>
                  <c:pt idx="1016">
                    <c:v>0</c:v>
                  </c:pt>
                  <c:pt idx="1017">
                    <c:v>0</c:v>
                  </c:pt>
                  <c:pt idx="1018">
                    <c:v>0</c:v>
                  </c:pt>
                  <c:pt idx="1019">
                    <c:v>0</c:v>
                  </c:pt>
                  <c:pt idx="1020">
                    <c:v>0</c:v>
                  </c:pt>
                  <c:pt idx="1021">
                    <c:v>0</c:v>
                  </c:pt>
                  <c:pt idx="1022">
                    <c:v>0</c:v>
                  </c:pt>
                  <c:pt idx="1023">
                    <c:v>0</c:v>
                  </c:pt>
                  <c:pt idx="1024">
                    <c:v>0</c:v>
                  </c:pt>
                  <c:pt idx="1025">
                    <c:v>0</c:v>
                  </c:pt>
                  <c:pt idx="1026">
                    <c:v>0</c:v>
                  </c:pt>
                  <c:pt idx="1027">
                    <c:v>0</c:v>
                  </c:pt>
                  <c:pt idx="1028">
                    <c:v>0</c:v>
                  </c:pt>
                  <c:pt idx="1029">
                    <c:v>0</c:v>
                  </c:pt>
                  <c:pt idx="1030">
                    <c:v>0</c:v>
                  </c:pt>
                  <c:pt idx="1031">
                    <c:v>0</c:v>
                  </c:pt>
                  <c:pt idx="1032">
                    <c:v>0</c:v>
                  </c:pt>
                  <c:pt idx="1033">
                    <c:v>0</c:v>
                  </c:pt>
                  <c:pt idx="1034">
                    <c:v>0</c:v>
                  </c:pt>
                  <c:pt idx="1035">
                    <c:v>0</c:v>
                  </c:pt>
                  <c:pt idx="1036">
                    <c:v>0</c:v>
                  </c:pt>
                  <c:pt idx="1037">
                    <c:v>0</c:v>
                  </c:pt>
                  <c:pt idx="1038">
                    <c:v>0</c:v>
                  </c:pt>
                  <c:pt idx="1039">
                    <c:v>0</c:v>
                  </c:pt>
                  <c:pt idx="1040">
                    <c:v>0</c:v>
                  </c:pt>
                  <c:pt idx="1041">
                    <c:v>0</c:v>
                  </c:pt>
                  <c:pt idx="1042">
                    <c:v>0</c:v>
                  </c:pt>
                  <c:pt idx="1043">
                    <c:v>0</c:v>
                  </c:pt>
                  <c:pt idx="1044">
                    <c:v>0</c:v>
                  </c:pt>
                  <c:pt idx="1045">
                    <c:v>0</c:v>
                  </c:pt>
                  <c:pt idx="1046">
                    <c:v>0</c:v>
                  </c:pt>
                  <c:pt idx="1047">
                    <c:v>0</c:v>
                  </c:pt>
                  <c:pt idx="1048">
                    <c:v>0</c:v>
                  </c:pt>
                  <c:pt idx="1049">
                    <c:v>0</c:v>
                  </c:pt>
                  <c:pt idx="1050">
                    <c:v>0</c:v>
                  </c:pt>
                  <c:pt idx="1051">
                    <c:v>0</c:v>
                  </c:pt>
                  <c:pt idx="1052">
                    <c:v>0</c:v>
                  </c:pt>
                  <c:pt idx="1053">
                    <c:v>0</c:v>
                  </c:pt>
                  <c:pt idx="1054">
                    <c:v>0</c:v>
                  </c:pt>
                  <c:pt idx="1055">
                    <c:v>0</c:v>
                  </c:pt>
                  <c:pt idx="1056">
                    <c:v>0</c:v>
                  </c:pt>
                  <c:pt idx="1057">
                    <c:v>0</c:v>
                  </c:pt>
                  <c:pt idx="1058">
                    <c:v>0</c:v>
                  </c:pt>
                  <c:pt idx="1059">
                    <c:v>0</c:v>
                  </c:pt>
                  <c:pt idx="1060">
                    <c:v>0</c:v>
                  </c:pt>
                  <c:pt idx="1061">
                    <c:v>0</c:v>
                  </c:pt>
                  <c:pt idx="1062">
                    <c:v>0</c:v>
                  </c:pt>
                  <c:pt idx="1063">
                    <c:v>0</c:v>
                  </c:pt>
                  <c:pt idx="1064">
                    <c:v>0</c:v>
                  </c:pt>
                  <c:pt idx="1065">
                    <c:v>0</c:v>
                  </c:pt>
                  <c:pt idx="1066">
                    <c:v>0</c:v>
                  </c:pt>
                  <c:pt idx="1067">
                    <c:v>0</c:v>
                  </c:pt>
                  <c:pt idx="1068">
                    <c:v>0</c:v>
                  </c:pt>
                  <c:pt idx="1069">
                    <c:v>0</c:v>
                  </c:pt>
                  <c:pt idx="1070">
                    <c:v>0</c:v>
                  </c:pt>
                  <c:pt idx="1071">
                    <c:v>0</c:v>
                  </c:pt>
                  <c:pt idx="1072">
                    <c:v>0</c:v>
                  </c:pt>
                  <c:pt idx="1073">
                    <c:v>0</c:v>
                  </c:pt>
                  <c:pt idx="1074">
                    <c:v>0</c:v>
                  </c:pt>
                  <c:pt idx="1075">
                    <c:v>0</c:v>
                  </c:pt>
                  <c:pt idx="1076">
                    <c:v>0</c:v>
                  </c:pt>
                  <c:pt idx="1077">
                    <c:v>0</c:v>
                  </c:pt>
                  <c:pt idx="1078">
                    <c:v>0</c:v>
                  </c:pt>
                  <c:pt idx="1079">
                    <c:v>0</c:v>
                  </c:pt>
                  <c:pt idx="1080">
                    <c:v>0</c:v>
                  </c:pt>
                  <c:pt idx="1081">
                    <c:v>0</c:v>
                  </c:pt>
                  <c:pt idx="1082">
                    <c:v>0</c:v>
                  </c:pt>
                  <c:pt idx="1083">
                    <c:v>0</c:v>
                  </c:pt>
                  <c:pt idx="1084">
                    <c:v>0</c:v>
                  </c:pt>
                  <c:pt idx="1085">
                    <c:v>0</c:v>
                  </c:pt>
                  <c:pt idx="1086">
                    <c:v>0</c:v>
                  </c:pt>
                  <c:pt idx="1087">
                    <c:v>0</c:v>
                  </c:pt>
                  <c:pt idx="1088">
                    <c:v>0</c:v>
                  </c:pt>
                  <c:pt idx="1089">
                    <c:v>0</c:v>
                  </c:pt>
                  <c:pt idx="1090">
                    <c:v>0</c:v>
                  </c:pt>
                  <c:pt idx="1091">
                    <c:v>0</c:v>
                  </c:pt>
                  <c:pt idx="1092">
                    <c:v>0</c:v>
                  </c:pt>
                  <c:pt idx="1093">
                    <c:v>0</c:v>
                  </c:pt>
                  <c:pt idx="1094">
                    <c:v>0</c:v>
                  </c:pt>
                  <c:pt idx="1095">
                    <c:v>0</c:v>
                  </c:pt>
                  <c:pt idx="1096">
                    <c:v>0</c:v>
                  </c:pt>
                  <c:pt idx="1097">
                    <c:v>0</c:v>
                  </c:pt>
                  <c:pt idx="1098">
                    <c:v>0</c:v>
                  </c:pt>
                  <c:pt idx="1099">
                    <c:v>0</c:v>
                  </c:pt>
                  <c:pt idx="1100">
                    <c:v>0</c:v>
                  </c:pt>
                  <c:pt idx="1101">
                    <c:v>0</c:v>
                  </c:pt>
                  <c:pt idx="1102">
                    <c:v>0</c:v>
                  </c:pt>
                  <c:pt idx="1103">
                    <c:v>0</c:v>
                  </c:pt>
                  <c:pt idx="1104">
                    <c:v>0</c:v>
                  </c:pt>
                  <c:pt idx="1105">
                    <c:v>0</c:v>
                  </c:pt>
                  <c:pt idx="1106">
                    <c:v>0</c:v>
                  </c:pt>
                  <c:pt idx="1107">
                    <c:v>0</c:v>
                  </c:pt>
                  <c:pt idx="1108">
                    <c:v>0</c:v>
                  </c:pt>
                  <c:pt idx="1109">
                    <c:v>0</c:v>
                  </c:pt>
                  <c:pt idx="1110">
                    <c:v>0</c:v>
                  </c:pt>
                  <c:pt idx="1111">
                    <c:v>0</c:v>
                  </c:pt>
                  <c:pt idx="1112">
                    <c:v>0</c:v>
                  </c:pt>
                  <c:pt idx="1113">
                    <c:v>0</c:v>
                  </c:pt>
                  <c:pt idx="1114">
                    <c:v>0</c:v>
                  </c:pt>
                  <c:pt idx="1115">
                    <c:v>0</c:v>
                  </c:pt>
                  <c:pt idx="1116">
                    <c:v>0</c:v>
                  </c:pt>
                  <c:pt idx="1117">
                    <c:v>0</c:v>
                  </c:pt>
                  <c:pt idx="1118">
                    <c:v>0</c:v>
                  </c:pt>
                  <c:pt idx="1119">
                    <c:v>0</c:v>
                  </c:pt>
                  <c:pt idx="1120">
                    <c:v>0</c:v>
                  </c:pt>
                  <c:pt idx="1121">
                    <c:v>0</c:v>
                  </c:pt>
                  <c:pt idx="1122">
                    <c:v>0</c:v>
                  </c:pt>
                  <c:pt idx="1123">
                    <c:v>0</c:v>
                  </c:pt>
                  <c:pt idx="1124">
                    <c:v>0</c:v>
                  </c:pt>
                  <c:pt idx="1125">
                    <c:v>0</c:v>
                  </c:pt>
                  <c:pt idx="1126">
                    <c:v>0</c:v>
                  </c:pt>
                  <c:pt idx="1127">
                    <c:v>0</c:v>
                  </c:pt>
                  <c:pt idx="1128">
                    <c:v>0</c:v>
                  </c:pt>
                  <c:pt idx="1129">
                    <c:v>0</c:v>
                  </c:pt>
                  <c:pt idx="1130">
                    <c:v>0</c:v>
                  </c:pt>
                  <c:pt idx="1131">
                    <c:v>0</c:v>
                  </c:pt>
                  <c:pt idx="1132">
                    <c:v>0</c:v>
                  </c:pt>
                  <c:pt idx="1133">
                    <c:v>0</c:v>
                  </c:pt>
                  <c:pt idx="1134">
                    <c:v>0</c:v>
                  </c:pt>
                  <c:pt idx="1135">
                    <c:v>0</c:v>
                  </c:pt>
                  <c:pt idx="1136">
                    <c:v>0</c:v>
                  </c:pt>
                  <c:pt idx="1137">
                    <c:v>0</c:v>
                  </c:pt>
                  <c:pt idx="1138">
                    <c:v>0</c:v>
                  </c:pt>
                  <c:pt idx="1139">
                    <c:v>0</c:v>
                  </c:pt>
                  <c:pt idx="1140">
                    <c:v>0</c:v>
                  </c:pt>
                  <c:pt idx="1141">
                    <c:v>0</c:v>
                  </c:pt>
                  <c:pt idx="1142">
                    <c:v>0</c:v>
                  </c:pt>
                  <c:pt idx="1143">
                    <c:v>0</c:v>
                  </c:pt>
                  <c:pt idx="1144">
                    <c:v>0</c:v>
                  </c:pt>
                  <c:pt idx="1145">
                    <c:v>0</c:v>
                  </c:pt>
                  <c:pt idx="1146">
                    <c:v>0</c:v>
                  </c:pt>
                  <c:pt idx="1147">
                    <c:v>0</c:v>
                  </c:pt>
                  <c:pt idx="1148">
                    <c:v>0</c:v>
                  </c:pt>
                  <c:pt idx="1149">
                    <c:v>0</c:v>
                  </c:pt>
                  <c:pt idx="1150">
                    <c:v>0</c:v>
                  </c:pt>
                  <c:pt idx="1151">
                    <c:v>0</c:v>
                  </c:pt>
                  <c:pt idx="1152">
                    <c:v>0</c:v>
                  </c:pt>
                  <c:pt idx="1153">
                    <c:v>0</c:v>
                  </c:pt>
                  <c:pt idx="1154">
                    <c:v>0</c:v>
                  </c:pt>
                  <c:pt idx="1155">
                    <c:v>0</c:v>
                  </c:pt>
                  <c:pt idx="1156">
                    <c:v>0</c:v>
                  </c:pt>
                  <c:pt idx="1157">
                    <c:v>0</c:v>
                  </c:pt>
                  <c:pt idx="1158">
                    <c:v>0</c:v>
                  </c:pt>
                  <c:pt idx="1159">
                    <c:v>0</c:v>
                  </c:pt>
                  <c:pt idx="1160">
                    <c:v>0</c:v>
                  </c:pt>
                  <c:pt idx="1161">
                    <c:v>0</c:v>
                  </c:pt>
                  <c:pt idx="1162">
                    <c:v>0</c:v>
                  </c:pt>
                  <c:pt idx="1163">
                    <c:v>0</c:v>
                  </c:pt>
                  <c:pt idx="1164">
                    <c:v>0</c:v>
                  </c:pt>
                  <c:pt idx="1165">
                    <c:v>0</c:v>
                  </c:pt>
                  <c:pt idx="1166">
                    <c:v>0</c:v>
                  </c:pt>
                  <c:pt idx="1167">
                    <c:v>0</c:v>
                  </c:pt>
                  <c:pt idx="1168">
                    <c:v>0</c:v>
                  </c:pt>
                  <c:pt idx="1169">
                    <c:v>0</c:v>
                  </c:pt>
                  <c:pt idx="1170">
                    <c:v>0</c:v>
                  </c:pt>
                  <c:pt idx="1171">
                    <c:v>0</c:v>
                  </c:pt>
                  <c:pt idx="1172">
                    <c:v>0</c:v>
                  </c:pt>
                  <c:pt idx="1173">
                    <c:v>0</c:v>
                  </c:pt>
                  <c:pt idx="1174">
                    <c:v>0</c:v>
                  </c:pt>
                  <c:pt idx="1175">
                    <c:v>0</c:v>
                  </c:pt>
                  <c:pt idx="1176">
                    <c:v>0</c:v>
                  </c:pt>
                  <c:pt idx="1177">
                    <c:v>0</c:v>
                  </c:pt>
                  <c:pt idx="1178">
                    <c:v>0</c:v>
                  </c:pt>
                  <c:pt idx="1179">
                    <c:v>0</c:v>
                  </c:pt>
                  <c:pt idx="1180">
                    <c:v>0</c:v>
                  </c:pt>
                  <c:pt idx="1181">
                    <c:v>0</c:v>
                  </c:pt>
                  <c:pt idx="1182">
                    <c:v>0</c:v>
                  </c:pt>
                  <c:pt idx="1183">
                    <c:v>0</c:v>
                  </c:pt>
                  <c:pt idx="1184">
                    <c:v>0</c:v>
                  </c:pt>
                  <c:pt idx="1185">
                    <c:v>0</c:v>
                  </c:pt>
                  <c:pt idx="1186">
                    <c:v>0</c:v>
                  </c:pt>
                  <c:pt idx="1187">
                    <c:v>0</c:v>
                  </c:pt>
                  <c:pt idx="1188">
                    <c:v>0</c:v>
                  </c:pt>
                  <c:pt idx="1189">
                    <c:v>0</c:v>
                  </c:pt>
                  <c:pt idx="1190">
                    <c:v>0</c:v>
                  </c:pt>
                  <c:pt idx="1191">
                    <c:v>0</c:v>
                  </c:pt>
                  <c:pt idx="1192">
                    <c:v>0</c:v>
                  </c:pt>
                  <c:pt idx="1193">
                    <c:v>0</c:v>
                  </c:pt>
                  <c:pt idx="1194">
                    <c:v>0</c:v>
                  </c:pt>
                  <c:pt idx="1195">
                    <c:v>0</c:v>
                  </c:pt>
                  <c:pt idx="1196">
                    <c:v>0</c:v>
                  </c:pt>
                  <c:pt idx="1197">
                    <c:v>0</c:v>
                  </c:pt>
                  <c:pt idx="1198">
                    <c:v>0</c:v>
                  </c:pt>
                  <c:pt idx="1199">
                    <c:v>0</c:v>
                  </c:pt>
                  <c:pt idx="1200">
                    <c:v>0</c:v>
                  </c:pt>
                  <c:pt idx="1201">
                    <c:v>0</c:v>
                  </c:pt>
                  <c:pt idx="1202">
                    <c:v>0</c:v>
                  </c:pt>
                  <c:pt idx="1203">
                    <c:v>0</c:v>
                  </c:pt>
                  <c:pt idx="1204">
                    <c:v>0</c:v>
                  </c:pt>
                  <c:pt idx="1205">
                    <c:v>0</c:v>
                  </c:pt>
                  <c:pt idx="1206">
                    <c:v>0</c:v>
                  </c:pt>
                  <c:pt idx="1207">
                    <c:v>0</c:v>
                  </c:pt>
                  <c:pt idx="1208">
                    <c:v>0</c:v>
                  </c:pt>
                  <c:pt idx="1209">
                    <c:v>0</c:v>
                  </c:pt>
                  <c:pt idx="1210">
                    <c:v>0</c:v>
                  </c:pt>
                  <c:pt idx="1211">
                    <c:v>0</c:v>
                  </c:pt>
                  <c:pt idx="1212">
                    <c:v>0</c:v>
                  </c:pt>
                  <c:pt idx="1213">
                    <c:v>0</c:v>
                  </c:pt>
                  <c:pt idx="1214">
                    <c:v>0</c:v>
                  </c:pt>
                  <c:pt idx="1215">
                    <c:v>0</c:v>
                  </c:pt>
                  <c:pt idx="1216">
                    <c:v>0</c:v>
                  </c:pt>
                  <c:pt idx="1217">
                    <c:v>0</c:v>
                  </c:pt>
                  <c:pt idx="1218">
                    <c:v>0</c:v>
                  </c:pt>
                  <c:pt idx="1219">
                    <c:v>0</c:v>
                  </c:pt>
                  <c:pt idx="1220">
                    <c:v>0</c:v>
                  </c:pt>
                  <c:pt idx="1221">
                    <c:v>0</c:v>
                  </c:pt>
                  <c:pt idx="1222">
                    <c:v>0</c:v>
                  </c:pt>
                  <c:pt idx="1223">
                    <c:v>0</c:v>
                  </c:pt>
                  <c:pt idx="1224">
                    <c:v>0</c:v>
                  </c:pt>
                  <c:pt idx="1225">
                    <c:v>0</c:v>
                  </c:pt>
                  <c:pt idx="1226">
                    <c:v>0</c:v>
                  </c:pt>
                  <c:pt idx="1227">
                    <c:v>0</c:v>
                  </c:pt>
                  <c:pt idx="1228">
                    <c:v>0</c:v>
                  </c:pt>
                  <c:pt idx="1229">
                    <c:v>0</c:v>
                  </c:pt>
                  <c:pt idx="1230">
                    <c:v>0</c:v>
                  </c:pt>
                  <c:pt idx="1231">
                    <c:v>0</c:v>
                  </c:pt>
                  <c:pt idx="1232">
                    <c:v>0</c:v>
                  </c:pt>
                  <c:pt idx="1233">
                    <c:v>0</c:v>
                  </c:pt>
                  <c:pt idx="1234">
                    <c:v>0</c:v>
                  </c:pt>
                  <c:pt idx="1235">
                    <c:v>0</c:v>
                  </c:pt>
                  <c:pt idx="1236">
                    <c:v>0</c:v>
                  </c:pt>
                  <c:pt idx="1237">
                    <c:v>0</c:v>
                  </c:pt>
                  <c:pt idx="1238">
                    <c:v>0</c:v>
                  </c:pt>
                  <c:pt idx="1239">
                    <c:v>0</c:v>
                  </c:pt>
                  <c:pt idx="1240">
                    <c:v>0</c:v>
                  </c:pt>
                  <c:pt idx="1241">
                    <c:v>0</c:v>
                  </c:pt>
                  <c:pt idx="1242">
                    <c:v>0</c:v>
                  </c:pt>
                  <c:pt idx="1243">
                    <c:v>0</c:v>
                  </c:pt>
                  <c:pt idx="1244">
                    <c:v>0</c:v>
                  </c:pt>
                  <c:pt idx="1245">
                    <c:v>0</c:v>
                  </c:pt>
                  <c:pt idx="1246">
                    <c:v>0</c:v>
                  </c:pt>
                  <c:pt idx="1247">
                    <c:v>0</c:v>
                  </c:pt>
                  <c:pt idx="1248">
                    <c:v>0</c:v>
                  </c:pt>
                  <c:pt idx="1249">
                    <c:v>0</c:v>
                  </c:pt>
                  <c:pt idx="1250">
                    <c:v>0</c:v>
                  </c:pt>
                  <c:pt idx="1251">
                    <c:v>0</c:v>
                  </c:pt>
                  <c:pt idx="1252">
                    <c:v>0</c:v>
                  </c:pt>
                  <c:pt idx="1253">
                    <c:v>0</c:v>
                  </c:pt>
                  <c:pt idx="1254">
                    <c:v>0</c:v>
                  </c:pt>
                  <c:pt idx="1255">
                    <c:v>0</c:v>
                  </c:pt>
                  <c:pt idx="1256">
                    <c:v>0</c:v>
                  </c:pt>
                  <c:pt idx="1257">
                    <c:v>0</c:v>
                  </c:pt>
                  <c:pt idx="1258">
                    <c:v>0</c:v>
                  </c:pt>
                  <c:pt idx="1259">
                    <c:v>0</c:v>
                  </c:pt>
                  <c:pt idx="1260">
                    <c:v>0</c:v>
                  </c:pt>
                  <c:pt idx="1261">
                    <c:v>0</c:v>
                  </c:pt>
                  <c:pt idx="1262">
                    <c:v>0</c:v>
                  </c:pt>
                  <c:pt idx="1263">
                    <c:v>0</c:v>
                  </c:pt>
                  <c:pt idx="1264">
                    <c:v>0</c:v>
                  </c:pt>
                  <c:pt idx="1265">
                    <c:v>0</c:v>
                  </c:pt>
                  <c:pt idx="1266">
                    <c:v>0</c:v>
                  </c:pt>
                  <c:pt idx="1267">
                    <c:v>0</c:v>
                  </c:pt>
                  <c:pt idx="1268">
                    <c:v>0</c:v>
                  </c:pt>
                  <c:pt idx="1269">
                    <c:v>0</c:v>
                  </c:pt>
                  <c:pt idx="1270">
                    <c:v>0</c:v>
                  </c:pt>
                  <c:pt idx="1271">
                    <c:v>0</c:v>
                  </c:pt>
                  <c:pt idx="1272">
                    <c:v>0</c:v>
                  </c:pt>
                  <c:pt idx="1273">
                    <c:v>0</c:v>
                  </c:pt>
                  <c:pt idx="1274">
                    <c:v>0</c:v>
                  </c:pt>
                  <c:pt idx="1275">
                    <c:v>0</c:v>
                  </c:pt>
                  <c:pt idx="1276">
                    <c:v>0</c:v>
                  </c:pt>
                  <c:pt idx="1277">
                    <c:v>0</c:v>
                  </c:pt>
                  <c:pt idx="1278">
                    <c:v>0</c:v>
                  </c:pt>
                  <c:pt idx="1279">
                    <c:v>0</c:v>
                  </c:pt>
                  <c:pt idx="1280">
                    <c:v>0</c:v>
                  </c:pt>
                  <c:pt idx="1281">
                    <c:v>0</c:v>
                  </c:pt>
                  <c:pt idx="1282">
                    <c:v>0</c:v>
                  </c:pt>
                  <c:pt idx="1283">
                    <c:v>0</c:v>
                  </c:pt>
                  <c:pt idx="1284">
                    <c:v>0</c:v>
                  </c:pt>
                  <c:pt idx="1285">
                    <c:v>0</c:v>
                  </c:pt>
                  <c:pt idx="1286">
                    <c:v>0</c:v>
                  </c:pt>
                  <c:pt idx="1287">
                    <c:v>0</c:v>
                  </c:pt>
                  <c:pt idx="1288">
                    <c:v>0</c:v>
                  </c:pt>
                  <c:pt idx="1289">
                    <c:v>0</c:v>
                  </c:pt>
                  <c:pt idx="1290">
                    <c:v>0</c:v>
                  </c:pt>
                  <c:pt idx="1291">
                    <c:v>0</c:v>
                  </c:pt>
                  <c:pt idx="1292">
                    <c:v>0</c:v>
                  </c:pt>
                  <c:pt idx="1293">
                    <c:v>0</c:v>
                  </c:pt>
                  <c:pt idx="1294">
                    <c:v>0</c:v>
                  </c:pt>
                  <c:pt idx="1295">
                    <c:v>0</c:v>
                  </c:pt>
                  <c:pt idx="1296">
                    <c:v>0</c:v>
                  </c:pt>
                  <c:pt idx="1297">
                    <c:v>0</c:v>
                  </c:pt>
                  <c:pt idx="1298">
                    <c:v>0</c:v>
                  </c:pt>
                  <c:pt idx="1299">
                    <c:v>0</c:v>
                  </c:pt>
                  <c:pt idx="1300">
                    <c:v>0</c:v>
                  </c:pt>
                  <c:pt idx="1301">
                    <c:v>0</c:v>
                  </c:pt>
                  <c:pt idx="1302">
                    <c:v>0</c:v>
                  </c:pt>
                  <c:pt idx="1303">
                    <c:v>0</c:v>
                  </c:pt>
                  <c:pt idx="1304">
                    <c:v>0</c:v>
                  </c:pt>
                  <c:pt idx="1305">
                    <c:v>0</c:v>
                  </c:pt>
                  <c:pt idx="1306">
                    <c:v>0</c:v>
                  </c:pt>
                  <c:pt idx="1307">
                    <c:v>0</c:v>
                  </c:pt>
                  <c:pt idx="1308">
                    <c:v>0</c:v>
                  </c:pt>
                  <c:pt idx="1309">
                    <c:v>0</c:v>
                  </c:pt>
                  <c:pt idx="1310">
                    <c:v>0</c:v>
                  </c:pt>
                  <c:pt idx="1311">
                    <c:v>0</c:v>
                  </c:pt>
                  <c:pt idx="1312">
                    <c:v>0</c:v>
                  </c:pt>
                  <c:pt idx="1313">
                    <c:v>0</c:v>
                  </c:pt>
                  <c:pt idx="1314">
                    <c:v>0</c:v>
                  </c:pt>
                  <c:pt idx="1315">
                    <c:v>0</c:v>
                  </c:pt>
                  <c:pt idx="1316">
                    <c:v>0</c:v>
                  </c:pt>
                  <c:pt idx="1317">
                    <c:v>0</c:v>
                  </c:pt>
                  <c:pt idx="1318">
                    <c:v>0</c:v>
                  </c:pt>
                  <c:pt idx="1319">
                    <c:v>0</c:v>
                  </c:pt>
                  <c:pt idx="1320">
                    <c:v>0</c:v>
                  </c:pt>
                  <c:pt idx="1321">
                    <c:v>0</c:v>
                  </c:pt>
                  <c:pt idx="1322">
                    <c:v>0</c:v>
                  </c:pt>
                  <c:pt idx="1323">
                    <c:v>0</c:v>
                  </c:pt>
                  <c:pt idx="1324">
                    <c:v>0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0</c:v>
                  </c:pt>
                  <c:pt idx="1329">
                    <c:v>0</c:v>
                  </c:pt>
                  <c:pt idx="1330">
                    <c:v>0</c:v>
                  </c:pt>
                  <c:pt idx="1331">
                    <c:v>0</c:v>
                  </c:pt>
                  <c:pt idx="1332">
                    <c:v>0</c:v>
                  </c:pt>
                  <c:pt idx="1333">
                    <c:v>0</c:v>
                  </c:pt>
                  <c:pt idx="1334">
                    <c:v>0</c:v>
                  </c:pt>
                  <c:pt idx="1335">
                    <c:v>0</c:v>
                  </c:pt>
                  <c:pt idx="1336">
                    <c:v>0</c:v>
                  </c:pt>
                  <c:pt idx="1337">
                    <c:v>0</c:v>
                  </c:pt>
                  <c:pt idx="1338">
                    <c:v>0</c:v>
                  </c:pt>
                  <c:pt idx="1339">
                    <c:v>0</c:v>
                  </c:pt>
                  <c:pt idx="1340">
                    <c:v>0</c:v>
                  </c:pt>
                  <c:pt idx="1341">
                    <c:v>0</c:v>
                  </c:pt>
                  <c:pt idx="1342">
                    <c:v>0</c:v>
                  </c:pt>
                  <c:pt idx="1343">
                    <c:v>0</c:v>
                  </c:pt>
                  <c:pt idx="1344">
                    <c:v>0</c:v>
                  </c:pt>
                  <c:pt idx="1345">
                    <c:v>0</c:v>
                  </c:pt>
                  <c:pt idx="1346">
                    <c:v>0</c:v>
                  </c:pt>
                  <c:pt idx="1347">
                    <c:v>0</c:v>
                  </c:pt>
                  <c:pt idx="1348">
                    <c:v>0</c:v>
                  </c:pt>
                  <c:pt idx="1349">
                    <c:v>0</c:v>
                  </c:pt>
                  <c:pt idx="1350">
                    <c:v>0</c:v>
                  </c:pt>
                  <c:pt idx="1351">
                    <c:v>0</c:v>
                  </c:pt>
                  <c:pt idx="1352">
                    <c:v>0</c:v>
                  </c:pt>
                  <c:pt idx="1353">
                    <c:v>0</c:v>
                  </c:pt>
                  <c:pt idx="1354">
                    <c:v>0</c:v>
                  </c:pt>
                  <c:pt idx="1355">
                    <c:v>0</c:v>
                  </c:pt>
                  <c:pt idx="1356">
                    <c:v>0</c:v>
                  </c:pt>
                  <c:pt idx="1357">
                    <c:v>0</c:v>
                  </c:pt>
                  <c:pt idx="1358">
                    <c:v>0</c:v>
                  </c:pt>
                  <c:pt idx="1359">
                    <c:v>0</c:v>
                  </c:pt>
                  <c:pt idx="1360">
                    <c:v>0</c:v>
                  </c:pt>
                  <c:pt idx="1361">
                    <c:v>0</c:v>
                  </c:pt>
                  <c:pt idx="1362">
                    <c:v>0</c:v>
                  </c:pt>
                  <c:pt idx="1363">
                    <c:v>0</c:v>
                  </c:pt>
                  <c:pt idx="1364">
                    <c:v>0</c:v>
                  </c:pt>
                  <c:pt idx="1365">
                    <c:v>0</c:v>
                  </c:pt>
                  <c:pt idx="1366">
                    <c:v>0</c:v>
                  </c:pt>
                  <c:pt idx="1367">
                    <c:v>0</c:v>
                  </c:pt>
                  <c:pt idx="1368">
                    <c:v>0</c:v>
                  </c:pt>
                  <c:pt idx="1369">
                    <c:v>0</c:v>
                  </c:pt>
                  <c:pt idx="1370">
                    <c:v>0</c:v>
                  </c:pt>
                  <c:pt idx="1371">
                    <c:v>0</c:v>
                  </c:pt>
                  <c:pt idx="1372">
                    <c:v>0</c:v>
                  </c:pt>
                  <c:pt idx="1373">
                    <c:v>0</c:v>
                  </c:pt>
                  <c:pt idx="1374">
                    <c:v>0</c:v>
                  </c:pt>
                  <c:pt idx="1375">
                    <c:v>0</c:v>
                  </c:pt>
                  <c:pt idx="1376">
                    <c:v>0</c:v>
                  </c:pt>
                  <c:pt idx="1377">
                    <c:v>0</c:v>
                  </c:pt>
                  <c:pt idx="1378">
                    <c:v>0</c:v>
                  </c:pt>
                  <c:pt idx="1379">
                    <c:v>0</c:v>
                  </c:pt>
                  <c:pt idx="1380">
                    <c:v>0</c:v>
                  </c:pt>
                  <c:pt idx="1381">
                    <c:v>0</c:v>
                  </c:pt>
                  <c:pt idx="1382">
                    <c:v>0</c:v>
                  </c:pt>
                  <c:pt idx="1383">
                    <c:v>0</c:v>
                  </c:pt>
                  <c:pt idx="1384">
                    <c:v>0</c:v>
                  </c:pt>
                  <c:pt idx="1385">
                    <c:v>0</c:v>
                  </c:pt>
                  <c:pt idx="1386">
                    <c:v>0</c:v>
                  </c:pt>
                  <c:pt idx="1387">
                    <c:v>0</c:v>
                  </c:pt>
                  <c:pt idx="1388">
                    <c:v>0</c:v>
                  </c:pt>
                  <c:pt idx="1389">
                    <c:v>0</c:v>
                  </c:pt>
                  <c:pt idx="1390">
                    <c:v>0</c:v>
                  </c:pt>
                  <c:pt idx="1391">
                    <c:v>0</c:v>
                  </c:pt>
                  <c:pt idx="1392">
                    <c:v>0</c:v>
                  </c:pt>
                  <c:pt idx="1393">
                    <c:v>0</c:v>
                  </c:pt>
                  <c:pt idx="1394">
                    <c:v>0</c:v>
                  </c:pt>
                  <c:pt idx="1395">
                    <c:v>0</c:v>
                  </c:pt>
                  <c:pt idx="1396">
                    <c:v>0</c:v>
                  </c:pt>
                  <c:pt idx="1397">
                    <c:v>0</c:v>
                  </c:pt>
                  <c:pt idx="1398">
                    <c:v>0</c:v>
                  </c:pt>
                  <c:pt idx="1399">
                    <c:v>0</c:v>
                  </c:pt>
                  <c:pt idx="1400">
                    <c:v>0</c:v>
                  </c:pt>
                  <c:pt idx="1401">
                    <c:v>0</c:v>
                  </c:pt>
                  <c:pt idx="1402">
                    <c:v>0</c:v>
                  </c:pt>
                  <c:pt idx="1403">
                    <c:v>0</c:v>
                  </c:pt>
                  <c:pt idx="1404">
                    <c:v>0</c:v>
                  </c:pt>
                  <c:pt idx="1405">
                    <c:v>0</c:v>
                  </c:pt>
                  <c:pt idx="1406">
                    <c:v>0</c:v>
                  </c:pt>
                  <c:pt idx="1407">
                    <c:v>0</c:v>
                  </c:pt>
                  <c:pt idx="1408">
                    <c:v>0</c:v>
                  </c:pt>
                  <c:pt idx="1409">
                    <c:v>0</c:v>
                  </c:pt>
                  <c:pt idx="1410">
                    <c:v>0</c:v>
                  </c:pt>
                  <c:pt idx="1411">
                    <c:v>0</c:v>
                  </c:pt>
                  <c:pt idx="1412">
                    <c:v>0</c:v>
                  </c:pt>
                  <c:pt idx="1413">
                    <c:v>0</c:v>
                  </c:pt>
                  <c:pt idx="1414">
                    <c:v>0</c:v>
                  </c:pt>
                  <c:pt idx="1415">
                    <c:v>0</c:v>
                  </c:pt>
                  <c:pt idx="1416">
                    <c:v>0</c:v>
                  </c:pt>
                  <c:pt idx="1417">
                    <c:v>0</c:v>
                  </c:pt>
                  <c:pt idx="1418">
                    <c:v>0</c:v>
                  </c:pt>
                  <c:pt idx="1419">
                    <c:v>0</c:v>
                  </c:pt>
                  <c:pt idx="1420">
                    <c:v>0</c:v>
                  </c:pt>
                  <c:pt idx="1421">
                    <c:v>0</c:v>
                  </c:pt>
                  <c:pt idx="1422">
                    <c:v>0</c:v>
                  </c:pt>
                  <c:pt idx="1423">
                    <c:v>0</c:v>
                  </c:pt>
                  <c:pt idx="1424">
                    <c:v>0</c:v>
                  </c:pt>
                  <c:pt idx="1425">
                    <c:v>0</c:v>
                  </c:pt>
                  <c:pt idx="1426">
                    <c:v>0</c:v>
                  </c:pt>
                  <c:pt idx="1427">
                    <c:v>0</c:v>
                  </c:pt>
                  <c:pt idx="1428">
                    <c:v>0</c:v>
                  </c:pt>
                  <c:pt idx="1429">
                    <c:v>0</c:v>
                  </c:pt>
                  <c:pt idx="1430">
                    <c:v>0</c:v>
                  </c:pt>
                  <c:pt idx="1431">
                    <c:v>0</c:v>
                  </c:pt>
                  <c:pt idx="1432">
                    <c:v>0</c:v>
                  </c:pt>
                  <c:pt idx="1433">
                    <c:v>0</c:v>
                  </c:pt>
                  <c:pt idx="1434">
                    <c:v>0</c:v>
                  </c:pt>
                  <c:pt idx="1435">
                    <c:v>0</c:v>
                  </c:pt>
                  <c:pt idx="1436">
                    <c:v>0</c:v>
                  </c:pt>
                  <c:pt idx="1437">
                    <c:v>0</c:v>
                  </c:pt>
                  <c:pt idx="1438">
                    <c:v>0</c:v>
                  </c:pt>
                  <c:pt idx="1439">
                    <c:v>0</c:v>
                  </c:pt>
                </c:numCache>
              </c:numRef>
            </c:plus>
            <c:minus>
              <c:numRef>
                <c:f>ChartData!$CN$7:$CN$1446</c:f>
                <c:numCache>
                  <c:formatCode>General</c:formatCode>
                  <c:ptCount val="1440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  <c:pt idx="161">
                    <c:v>0</c:v>
                  </c:pt>
                  <c:pt idx="162">
                    <c:v>0</c:v>
                  </c:pt>
                  <c:pt idx="163">
                    <c:v>0</c:v>
                  </c:pt>
                  <c:pt idx="164">
                    <c:v>0</c:v>
                  </c:pt>
                  <c:pt idx="165">
                    <c:v>0</c:v>
                  </c:pt>
                  <c:pt idx="166">
                    <c:v>0</c:v>
                  </c:pt>
                  <c:pt idx="167">
                    <c:v>0</c:v>
                  </c:pt>
                  <c:pt idx="168">
                    <c:v>0</c:v>
                  </c:pt>
                  <c:pt idx="169">
                    <c:v>0</c:v>
                  </c:pt>
                  <c:pt idx="170">
                    <c:v>0</c:v>
                  </c:pt>
                  <c:pt idx="171">
                    <c:v>0</c:v>
                  </c:pt>
                  <c:pt idx="172">
                    <c:v>0</c:v>
                  </c:pt>
                  <c:pt idx="173">
                    <c:v>0</c:v>
                  </c:pt>
                  <c:pt idx="174">
                    <c:v>0</c:v>
                  </c:pt>
                  <c:pt idx="175">
                    <c:v>0</c:v>
                  </c:pt>
                  <c:pt idx="176">
                    <c:v>0</c:v>
                  </c:pt>
                  <c:pt idx="177">
                    <c:v>0</c:v>
                  </c:pt>
                  <c:pt idx="178">
                    <c:v>0</c:v>
                  </c:pt>
                  <c:pt idx="179">
                    <c:v>0</c:v>
                  </c:pt>
                  <c:pt idx="180">
                    <c:v>0</c:v>
                  </c:pt>
                  <c:pt idx="181">
                    <c:v>0</c:v>
                  </c:pt>
                  <c:pt idx="182">
                    <c:v>0</c:v>
                  </c:pt>
                  <c:pt idx="183">
                    <c:v>0</c:v>
                  </c:pt>
                  <c:pt idx="184">
                    <c:v>0</c:v>
                  </c:pt>
                  <c:pt idx="185">
                    <c:v>0</c:v>
                  </c:pt>
                  <c:pt idx="186">
                    <c:v>0</c:v>
                  </c:pt>
                  <c:pt idx="187">
                    <c:v>0</c:v>
                  </c:pt>
                  <c:pt idx="188">
                    <c:v>0</c:v>
                  </c:pt>
                  <c:pt idx="189">
                    <c:v>0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  <c:pt idx="201">
                    <c:v>0</c:v>
                  </c:pt>
                  <c:pt idx="202">
                    <c:v>0</c:v>
                  </c:pt>
                  <c:pt idx="203">
                    <c:v>0</c:v>
                  </c:pt>
                  <c:pt idx="204">
                    <c:v>0</c:v>
                  </c:pt>
                  <c:pt idx="205">
                    <c:v>0</c:v>
                  </c:pt>
                  <c:pt idx="206">
                    <c:v>0</c:v>
                  </c:pt>
                  <c:pt idx="207">
                    <c:v>0</c:v>
                  </c:pt>
                  <c:pt idx="208">
                    <c:v>0</c:v>
                  </c:pt>
                  <c:pt idx="209">
                    <c:v>0</c:v>
                  </c:pt>
                  <c:pt idx="210">
                    <c:v>0</c:v>
                  </c:pt>
                  <c:pt idx="211">
                    <c:v>0</c:v>
                  </c:pt>
                  <c:pt idx="212">
                    <c:v>0</c:v>
                  </c:pt>
                  <c:pt idx="213">
                    <c:v>0</c:v>
                  </c:pt>
                  <c:pt idx="214">
                    <c:v>0</c:v>
                  </c:pt>
                  <c:pt idx="215">
                    <c:v>0</c:v>
                  </c:pt>
                  <c:pt idx="216">
                    <c:v>0</c:v>
                  </c:pt>
                  <c:pt idx="217">
                    <c:v>0</c:v>
                  </c:pt>
                  <c:pt idx="218">
                    <c:v>0</c:v>
                  </c:pt>
                  <c:pt idx="219">
                    <c:v>0</c:v>
                  </c:pt>
                  <c:pt idx="220">
                    <c:v>0</c:v>
                  </c:pt>
                  <c:pt idx="221">
                    <c:v>0</c:v>
                  </c:pt>
                  <c:pt idx="222">
                    <c:v>0</c:v>
                  </c:pt>
                  <c:pt idx="223">
                    <c:v>0</c:v>
                  </c:pt>
                  <c:pt idx="224">
                    <c:v>0</c:v>
                  </c:pt>
                  <c:pt idx="225">
                    <c:v>0</c:v>
                  </c:pt>
                  <c:pt idx="226">
                    <c:v>0</c:v>
                  </c:pt>
                  <c:pt idx="227">
                    <c:v>0</c:v>
                  </c:pt>
                  <c:pt idx="228">
                    <c:v>0</c:v>
                  </c:pt>
                  <c:pt idx="229">
                    <c:v>0</c:v>
                  </c:pt>
                  <c:pt idx="230">
                    <c:v>0</c:v>
                  </c:pt>
                  <c:pt idx="231">
                    <c:v>0</c:v>
                  </c:pt>
                  <c:pt idx="232">
                    <c:v>0</c:v>
                  </c:pt>
                  <c:pt idx="233">
                    <c:v>0</c:v>
                  </c:pt>
                  <c:pt idx="234">
                    <c:v>0</c:v>
                  </c:pt>
                  <c:pt idx="235">
                    <c:v>0</c:v>
                  </c:pt>
                  <c:pt idx="236">
                    <c:v>0</c:v>
                  </c:pt>
                  <c:pt idx="237">
                    <c:v>0</c:v>
                  </c:pt>
                  <c:pt idx="238">
                    <c:v>0</c:v>
                  </c:pt>
                  <c:pt idx="239">
                    <c:v>0</c:v>
                  </c:pt>
                  <c:pt idx="240">
                    <c:v>0</c:v>
                  </c:pt>
                  <c:pt idx="241">
                    <c:v>0</c:v>
                  </c:pt>
                  <c:pt idx="242">
                    <c:v>0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6">
                    <c:v>0</c:v>
                  </c:pt>
                  <c:pt idx="247">
                    <c:v>0</c:v>
                  </c:pt>
                  <c:pt idx="248">
                    <c:v>0</c:v>
                  </c:pt>
                  <c:pt idx="249">
                    <c:v>0</c:v>
                  </c:pt>
                  <c:pt idx="250">
                    <c:v>0</c:v>
                  </c:pt>
                  <c:pt idx="251">
                    <c:v>0</c:v>
                  </c:pt>
                  <c:pt idx="252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6">
                    <c:v>0</c:v>
                  </c:pt>
                  <c:pt idx="257">
                    <c:v>0</c:v>
                  </c:pt>
                  <c:pt idx="258">
                    <c:v>0</c:v>
                  </c:pt>
                  <c:pt idx="259">
                    <c:v>0</c:v>
                  </c:pt>
                  <c:pt idx="260">
                    <c:v>0</c:v>
                  </c:pt>
                  <c:pt idx="261">
                    <c:v>0</c:v>
                  </c:pt>
                  <c:pt idx="262">
                    <c:v>0</c:v>
                  </c:pt>
                  <c:pt idx="263">
                    <c:v>0</c:v>
                  </c:pt>
                  <c:pt idx="264">
                    <c:v>0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68">
                    <c:v>0</c:v>
                  </c:pt>
                  <c:pt idx="269">
                    <c:v>0</c:v>
                  </c:pt>
                  <c:pt idx="270">
                    <c:v>0</c:v>
                  </c:pt>
                  <c:pt idx="271">
                    <c:v>0</c:v>
                  </c:pt>
                  <c:pt idx="272">
                    <c:v>0</c:v>
                  </c:pt>
                  <c:pt idx="273">
                    <c:v>0</c:v>
                  </c:pt>
                  <c:pt idx="274">
                    <c:v>0</c:v>
                  </c:pt>
                  <c:pt idx="275">
                    <c:v>0</c:v>
                  </c:pt>
                  <c:pt idx="276">
                    <c:v>0</c:v>
                  </c:pt>
                  <c:pt idx="277">
                    <c:v>0</c:v>
                  </c:pt>
                  <c:pt idx="278">
                    <c:v>0</c:v>
                  </c:pt>
                  <c:pt idx="279">
                    <c:v>0</c:v>
                  </c:pt>
                  <c:pt idx="280">
                    <c:v>0</c:v>
                  </c:pt>
                  <c:pt idx="281">
                    <c:v>0</c:v>
                  </c:pt>
                  <c:pt idx="282">
                    <c:v>0</c:v>
                  </c:pt>
                  <c:pt idx="283">
                    <c:v>0</c:v>
                  </c:pt>
                  <c:pt idx="284">
                    <c:v>0</c:v>
                  </c:pt>
                  <c:pt idx="285">
                    <c:v>0</c:v>
                  </c:pt>
                  <c:pt idx="286">
                    <c:v>0</c:v>
                  </c:pt>
                  <c:pt idx="287">
                    <c:v>0</c:v>
                  </c:pt>
                  <c:pt idx="288">
                    <c:v>0</c:v>
                  </c:pt>
                  <c:pt idx="289">
                    <c:v>0</c:v>
                  </c:pt>
                  <c:pt idx="290">
                    <c:v>0</c:v>
                  </c:pt>
                  <c:pt idx="291">
                    <c:v>0</c:v>
                  </c:pt>
                  <c:pt idx="292">
                    <c:v>0</c:v>
                  </c:pt>
                  <c:pt idx="293">
                    <c:v>0</c:v>
                  </c:pt>
                  <c:pt idx="294">
                    <c:v>0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299">
                    <c:v>0</c:v>
                  </c:pt>
                  <c:pt idx="300">
                    <c:v>0</c:v>
                  </c:pt>
                  <c:pt idx="301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4">
                    <c:v>0</c:v>
                  </c:pt>
                  <c:pt idx="305">
                    <c:v>0</c:v>
                  </c:pt>
                  <c:pt idx="306">
                    <c:v>0</c:v>
                  </c:pt>
                  <c:pt idx="307">
                    <c:v>0</c:v>
                  </c:pt>
                  <c:pt idx="308">
                    <c:v>0</c:v>
                  </c:pt>
                  <c:pt idx="309">
                    <c:v>0</c:v>
                  </c:pt>
                  <c:pt idx="310">
                    <c:v>0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5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19">
                    <c:v>0</c:v>
                  </c:pt>
                  <c:pt idx="320">
                    <c:v>0</c:v>
                  </c:pt>
                  <c:pt idx="321">
                    <c:v>0</c:v>
                  </c:pt>
                  <c:pt idx="322">
                    <c:v>0</c:v>
                  </c:pt>
                  <c:pt idx="323">
                    <c:v>0</c:v>
                  </c:pt>
                  <c:pt idx="324">
                    <c:v>0</c:v>
                  </c:pt>
                  <c:pt idx="325">
                    <c:v>0</c:v>
                  </c:pt>
                  <c:pt idx="326">
                    <c:v>0</c:v>
                  </c:pt>
                  <c:pt idx="327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1">
                    <c:v>0</c:v>
                  </c:pt>
                  <c:pt idx="332">
                    <c:v>0</c:v>
                  </c:pt>
                  <c:pt idx="333">
                    <c:v>0</c:v>
                  </c:pt>
                  <c:pt idx="334">
                    <c:v>0</c:v>
                  </c:pt>
                  <c:pt idx="335">
                    <c:v>0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39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0</c:v>
                  </c:pt>
                  <c:pt idx="344">
                    <c:v>0</c:v>
                  </c:pt>
                  <c:pt idx="345">
                    <c:v>0</c:v>
                  </c:pt>
                  <c:pt idx="346">
                    <c:v>0</c:v>
                  </c:pt>
                  <c:pt idx="347">
                    <c:v>0</c:v>
                  </c:pt>
                  <c:pt idx="348">
                    <c:v>0</c:v>
                  </c:pt>
                  <c:pt idx="349">
                    <c:v>0</c:v>
                  </c:pt>
                  <c:pt idx="350">
                    <c:v>0</c:v>
                  </c:pt>
                  <c:pt idx="351">
                    <c:v>0</c:v>
                  </c:pt>
                  <c:pt idx="352">
                    <c:v>0</c:v>
                  </c:pt>
                  <c:pt idx="353">
                    <c:v>0</c:v>
                  </c:pt>
                  <c:pt idx="354">
                    <c:v>0</c:v>
                  </c:pt>
                  <c:pt idx="355">
                    <c:v>0</c:v>
                  </c:pt>
                  <c:pt idx="356">
                    <c:v>0</c:v>
                  </c:pt>
                  <c:pt idx="357">
                    <c:v>0</c:v>
                  </c:pt>
                  <c:pt idx="358">
                    <c:v>0</c:v>
                  </c:pt>
                  <c:pt idx="359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2">
                    <c:v>0</c:v>
                  </c:pt>
                  <c:pt idx="363">
                    <c:v>0</c:v>
                  </c:pt>
                  <c:pt idx="364">
                    <c:v>0</c:v>
                  </c:pt>
                  <c:pt idx="365">
                    <c:v>0</c:v>
                  </c:pt>
                  <c:pt idx="366">
                    <c:v>0</c:v>
                  </c:pt>
                  <c:pt idx="367">
                    <c:v>0</c:v>
                  </c:pt>
                  <c:pt idx="368">
                    <c:v>0</c:v>
                  </c:pt>
                  <c:pt idx="369">
                    <c:v>0</c:v>
                  </c:pt>
                  <c:pt idx="370">
                    <c:v>0</c:v>
                  </c:pt>
                  <c:pt idx="371">
                    <c:v>0</c:v>
                  </c:pt>
                  <c:pt idx="372">
                    <c:v>0</c:v>
                  </c:pt>
                  <c:pt idx="373">
                    <c:v>0</c:v>
                  </c:pt>
                  <c:pt idx="374">
                    <c:v>0</c:v>
                  </c:pt>
                  <c:pt idx="375">
                    <c:v>0</c:v>
                  </c:pt>
                  <c:pt idx="376">
                    <c:v>0</c:v>
                  </c:pt>
                  <c:pt idx="377">
                    <c:v>0</c:v>
                  </c:pt>
                  <c:pt idx="378">
                    <c:v>0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4">
                    <c:v>0</c:v>
                  </c:pt>
                  <c:pt idx="385">
                    <c:v>0</c:v>
                  </c:pt>
                  <c:pt idx="386">
                    <c:v>0</c:v>
                  </c:pt>
                  <c:pt idx="387">
                    <c:v>0</c:v>
                  </c:pt>
                  <c:pt idx="388">
                    <c:v>0</c:v>
                  </c:pt>
                  <c:pt idx="389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0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0</c:v>
                  </c:pt>
                  <c:pt idx="396">
                    <c:v>0</c:v>
                  </c:pt>
                  <c:pt idx="397">
                    <c:v>0</c:v>
                  </c:pt>
                  <c:pt idx="398">
                    <c:v>0</c:v>
                  </c:pt>
                  <c:pt idx="399">
                    <c:v>0</c:v>
                  </c:pt>
                  <c:pt idx="400">
                    <c:v>0</c:v>
                  </c:pt>
                  <c:pt idx="401">
                    <c:v>0</c:v>
                  </c:pt>
                  <c:pt idx="402">
                    <c:v>0</c:v>
                  </c:pt>
                  <c:pt idx="403">
                    <c:v>0</c:v>
                  </c:pt>
                  <c:pt idx="404">
                    <c:v>0</c:v>
                  </c:pt>
                  <c:pt idx="405">
                    <c:v>0</c:v>
                  </c:pt>
                  <c:pt idx="406">
                    <c:v>0</c:v>
                  </c:pt>
                  <c:pt idx="407">
                    <c:v>0</c:v>
                  </c:pt>
                  <c:pt idx="408">
                    <c:v>0</c:v>
                  </c:pt>
                  <c:pt idx="409">
                    <c:v>0</c:v>
                  </c:pt>
                  <c:pt idx="410">
                    <c:v>0</c:v>
                  </c:pt>
                  <c:pt idx="411">
                    <c:v>0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0</c:v>
                  </c:pt>
                  <c:pt idx="415">
                    <c:v>0</c:v>
                  </c:pt>
                  <c:pt idx="416">
                    <c:v>0</c:v>
                  </c:pt>
                  <c:pt idx="417">
                    <c:v>0</c:v>
                  </c:pt>
                  <c:pt idx="418">
                    <c:v>0</c:v>
                  </c:pt>
                  <c:pt idx="419">
                    <c:v>0</c:v>
                  </c:pt>
                  <c:pt idx="420">
                    <c:v>0</c:v>
                  </c:pt>
                  <c:pt idx="421">
                    <c:v>0</c:v>
                  </c:pt>
                  <c:pt idx="422">
                    <c:v>0</c:v>
                  </c:pt>
                  <c:pt idx="423">
                    <c:v>0</c:v>
                  </c:pt>
                  <c:pt idx="424">
                    <c:v>0</c:v>
                  </c:pt>
                  <c:pt idx="425">
                    <c:v>0</c:v>
                  </c:pt>
                  <c:pt idx="426">
                    <c:v>0</c:v>
                  </c:pt>
                  <c:pt idx="427">
                    <c:v>0</c:v>
                  </c:pt>
                  <c:pt idx="428">
                    <c:v>0</c:v>
                  </c:pt>
                  <c:pt idx="429">
                    <c:v>0</c:v>
                  </c:pt>
                  <c:pt idx="430">
                    <c:v>0</c:v>
                  </c:pt>
                  <c:pt idx="431">
                    <c:v>0</c:v>
                  </c:pt>
                  <c:pt idx="432">
                    <c:v>0</c:v>
                  </c:pt>
                  <c:pt idx="433">
                    <c:v>0</c:v>
                  </c:pt>
                  <c:pt idx="434">
                    <c:v>0</c:v>
                  </c:pt>
                  <c:pt idx="435">
                    <c:v>0</c:v>
                  </c:pt>
                  <c:pt idx="436">
                    <c:v>0</c:v>
                  </c:pt>
                  <c:pt idx="437">
                    <c:v>0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  <c:pt idx="441">
                    <c:v>0</c:v>
                  </c:pt>
                  <c:pt idx="442">
                    <c:v>0</c:v>
                  </c:pt>
                  <c:pt idx="443">
                    <c:v>0</c:v>
                  </c:pt>
                  <c:pt idx="444">
                    <c:v>0</c:v>
                  </c:pt>
                  <c:pt idx="445">
                    <c:v>0</c:v>
                  </c:pt>
                  <c:pt idx="446">
                    <c:v>0</c:v>
                  </c:pt>
                  <c:pt idx="447">
                    <c:v>0</c:v>
                  </c:pt>
                  <c:pt idx="448">
                    <c:v>0</c:v>
                  </c:pt>
                  <c:pt idx="449">
                    <c:v>0</c:v>
                  </c:pt>
                  <c:pt idx="450">
                    <c:v>0</c:v>
                  </c:pt>
                  <c:pt idx="451">
                    <c:v>0</c:v>
                  </c:pt>
                  <c:pt idx="452">
                    <c:v>0</c:v>
                  </c:pt>
                  <c:pt idx="453">
                    <c:v>0</c:v>
                  </c:pt>
                  <c:pt idx="454">
                    <c:v>0</c:v>
                  </c:pt>
                  <c:pt idx="455">
                    <c:v>0</c:v>
                  </c:pt>
                  <c:pt idx="456">
                    <c:v>0</c:v>
                  </c:pt>
                  <c:pt idx="457">
                    <c:v>0</c:v>
                  </c:pt>
                  <c:pt idx="458">
                    <c:v>0</c:v>
                  </c:pt>
                  <c:pt idx="459">
                    <c:v>0</c:v>
                  </c:pt>
                  <c:pt idx="460">
                    <c:v>0</c:v>
                  </c:pt>
                  <c:pt idx="461">
                    <c:v>0</c:v>
                  </c:pt>
                  <c:pt idx="462">
                    <c:v>0</c:v>
                  </c:pt>
                  <c:pt idx="463">
                    <c:v>0</c:v>
                  </c:pt>
                  <c:pt idx="464">
                    <c:v>0</c:v>
                  </c:pt>
                  <c:pt idx="465">
                    <c:v>0</c:v>
                  </c:pt>
                  <c:pt idx="466">
                    <c:v>0</c:v>
                  </c:pt>
                  <c:pt idx="467">
                    <c:v>0</c:v>
                  </c:pt>
                  <c:pt idx="468">
                    <c:v>0</c:v>
                  </c:pt>
                  <c:pt idx="469">
                    <c:v>0</c:v>
                  </c:pt>
                  <c:pt idx="470">
                    <c:v>0</c:v>
                  </c:pt>
                  <c:pt idx="471">
                    <c:v>0</c:v>
                  </c:pt>
                  <c:pt idx="472">
                    <c:v>0</c:v>
                  </c:pt>
                  <c:pt idx="473">
                    <c:v>0</c:v>
                  </c:pt>
                  <c:pt idx="474">
                    <c:v>0</c:v>
                  </c:pt>
                  <c:pt idx="475">
                    <c:v>0</c:v>
                  </c:pt>
                  <c:pt idx="476">
                    <c:v>0</c:v>
                  </c:pt>
                  <c:pt idx="477">
                    <c:v>0</c:v>
                  </c:pt>
                  <c:pt idx="478">
                    <c:v>0</c:v>
                  </c:pt>
                  <c:pt idx="479">
                    <c:v>0</c:v>
                  </c:pt>
                  <c:pt idx="480">
                    <c:v>0</c:v>
                  </c:pt>
                  <c:pt idx="481">
                    <c:v>0</c:v>
                  </c:pt>
                  <c:pt idx="482">
                    <c:v>0</c:v>
                  </c:pt>
                  <c:pt idx="483">
                    <c:v>0</c:v>
                  </c:pt>
                  <c:pt idx="484">
                    <c:v>0</c:v>
                  </c:pt>
                  <c:pt idx="485">
                    <c:v>0</c:v>
                  </c:pt>
                  <c:pt idx="486">
                    <c:v>0</c:v>
                  </c:pt>
                  <c:pt idx="487">
                    <c:v>0</c:v>
                  </c:pt>
                  <c:pt idx="488">
                    <c:v>0</c:v>
                  </c:pt>
                  <c:pt idx="489">
                    <c:v>0</c:v>
                  </c:pt>
                  <c:pt idx="490">
                    <c:v>0</c:v>
                  </c:pt>
                  <c:pt idx="491">
                    <c:v>0</c:v>
                  </c:pt>
                  <c:pt idx="492">
                    <c:v>0</c:v>
                  </c:pt>
                  <c:pt idx="493">
                    <c:v>0</c:v>
                  </c:pt>
                  <c:pt idx="494">
                    <c:v>0</c:v>
                  </c:pt>
                  <c:pt idx="495">
                    <c:v>0</c:v>
                  </c:pt>
                  <c:pt idx="496">
                    <c:v>0</c:v>
                  </c:pt>
                  <c:pt idx="497">
                    <c:v>0</c:v>
                  </c:pt>
                  <c:pt idx="498">
                    <c:v>0</c:v>
                  </c:pt>
                  <c:pt idx="499">
                    <c:v>0</c:v>
                  </c:pt>
                  <c:pt idx="500">
                    <c:v>0</c:v>
                  </c:pt>
                  <c:pt idx="501">
                    <c:v>0</c:v>
                  </c:pt>
                  <c:pt idx="502">
                    <c:v>0</c:v>
                  </c:pt>
                  <c:pt idx="503">
                    <c:v>0</c:v>
                  </c:pt>
                  <c:pt idx="504">
                    <c:v>0</c:v>
                  </c:pt>
                  <c:pt idx="505">
                    <c:v>0</c:v>
                  </c:pt>
                  <c:pt idx="506">
                    <c:v>0</c:v>
                  </c:pt>
                  <c:pt idx="507">
                    <c:v>0</c:v>
                  </c:pt>
                  <c:pt idx="508">
                    <c:v>0</c:v>
                  </c:pt>
                  <c:pt idx="509">
                    <c:v>0</c:v>
                  </c:pt>
                  <c:pt idx="510">
                    <c:v>0</c:v>
                  </c:pt>
                  <c:pt idx="511">
                    <c:v>0</c:v>
                  </c:pt>
                  <c:pt idx="512">
                    <c:v>0</c:v>
                  </c:pt>
                  <c:pt idx="513">
                    <c:v>0</c:v>
                  </c:pt>
                  <c:pt idx="514">
                    <c:v>0</c:v>
                  </c:pt>
                  <c:pt idx="515">
                    <c:v>0</c:v>
                  </c:pt>
                  <c:pt idx="516">
                    <c:v>0</c:v>
                  </c:pt>
                  <c:pt idx="517">
                    <c:v>0</c:v>
                  </c:pt>
                  <c:pt idx="518">
                    <c:v>0</c:v>
                  </c:pt>
                  <c:pt idx="519">
                    <c:v>0</c:v>
                  </c:pt>
                  <c:pt idx="520">
                    <c:v>0</c:v>
                  </c:pt>
                  <c:pt idx="521">
                    <c:v>0</c:v>
                  </c:pt>
                  <c:pt idx="522">
                    <c:v>0</c:v>
                  </c:pt>
                  <c:pt idx="523">
                    <c:v>0</c:v>
                  </c:pt>
                  <c:pt idx="524">
                    <c:v>0</c:v>
                  </c:pt>
                  <c:pt idx="525">
                    <c:v>0</c:v>
                  </c:pt>
                  <c:pt idx="526">
                    <c:v>0</c:v>
                  </c:pt>
                  <c:pt idx="527">
                    <c:v>0</c:v>
                  </c:pt>
                  <c:pt idx="528">
                    <c:v>0</c:v>
                  </c:pt>
                  <c:pt idx="529">
                    <c:v>0</c:v>
                  </c:pt>
                  <c:pt idx="530">
                    <c:v>0</c:v>
                  </c:pt>
                  <c:pt idx="531">
                    <c:v>0</c:v>
                  </c:pt>
                  <c:pt idx="532">
                    <c:v>0</c:v>
                  </c:pt>
                  <c:pt idx="533">
                    <c:v>0</c:v>
                  </c:pt>
                  <c:pt idx="534">
                    <c:v>0</c:v>
                  </c:pt>
                  <c:pt idx="535">
                    <c:v>0</c:v>
                  </c:pt>
                  <c:pt idx="536">
                    <c:v>0</c:v>
                  </c:pt>
                  <c:pt idx="537">
                    <c:v>0</c:v>
                  </c:pt>
                  <c:pt idx="538">
                    <c:v>0</c:v>
                  </c:pt>
                  <c:pt idx="539">
                    <c:v>0</c:v>
                  </c:pt>
                  <c:pt idx="540">
                    <c:v>0</c:v>
                  </c:pt>
                  <c:pt idx="541">
                    <c:v>0</c:v>
                  </c:pt>
                  <c:pt idx="542">
                    <c:v>0</c:v>
                  </c:pt>
                  <c:pt idx="543">
                    <c:v>0</c:v>
                  </c:pt>
                  <c:pt idx="544">
                    <c:v>0</c:v>
                  </c:pt>
                  <c:pt idx="545">
                    <c:v>0</c:v>
                  </c:pt>
                  <c:pt idx="546">
                    <c:v>0</c:v>
                  </c:pt>
                  <c:pt idx="547">
                    <c:v>0</c:v>
                  </c:pt>
                  <c:pt idx="548">
                    <c:v>0</c:v>
                  </c:pt>
                  <c:pt idx="549">
                    <c:v>0</c:v>
                  </c:pt>
                  <c:pt idx="550">
                    <c:v>0</c:v>
                  </c:pt>
                  <c:pt idx="551">
                    <c:v>0</c:v>
                  </c:pt>
                  <c:pt idx="552">
                    <c:v>0</c:v>
                  </c:pt>
                  <c:pt idx="553">
                    <c:v>0</c:v>
                  </c:pt>
                  <c:pt idx="554">
                    <c:v>0</c:v>
                  </c:pt>
                  <c:pt idx="555">
                    <c:v>0</c:v>
                  </c:pt>
                  <c:pt idx="556">
                    <c:v>0</c:v>
                  </c:pt>
                  <c:pt idx="557">
                    <c:v>0</c:v>
                  </c:pt>
                  <c:pt idx="558">
                    <c:v>0</c:v>
                  </c:pt>
                  <c:pt idx="559">
                    <c:v>0</c:v>
                  </c:pt>
                  <c:pt idx="560">
                    <c:v>0</c:v>
                  </c:pt>
                  <c:pt idx="561">
                    <c:v>0</c:v>
                  </c:pt>
                  <c:pt idx="562">
                    <c:v>0</c:v>
                  </c:pt>
                  <c:pt idx="563">
                    <c:v>0</c:v>
                  </c:pt>
                  <c:pt idx="564">
                    <c:v>0</c:v>
                  </c:pt>
                  <c:pt idx="565">
                    <c:v>0</c:v>
                  </c:pt>
                  <c:pt idx="566">
                    <c:v>0</c:v>
                  </c:pt>
                  <c:pt idx="567">
                    <c:v>0</c:v>
                  </c:pt>
                  <c:pt idx="568">
                    <c:v>0</c:v>
                  </c:pt>
                  <c:pt idx="569">
                    <c:v>0</c:v>
                  </c:pt>
                  <c:pt idx="570">
                    <c:v>0</c:v>
                  </c:pt>
                  <c:pt idx="571">
                    <c:v>0</c:v>
                  </c:pt>
                  <c:pt idx="572">
                    <c:v>0</c:v>
                  </c:pt>
                  <c:pt idx="573">
                    <c:v>0</c:v>
                  </c:pt>
                  <c:pt idx="574">
                    <c:v>0</c:v>
                  </c:pt>
                  <c:pt idx="575">
                    <c:v>0</c:v>
                  </c:pt>
                  <c:pt idx="576">
                    <c:v>0</c:v>
                  </c:pt>
                  <c:pt idx="577">
                    <c:v>0</c:v>
                  </c:pt>
                  <c:pt idx="578">
                    <c:v>0</c:v>
                  </c:pt>
                  <c:pt idx="579">
                    <c:v>0</c:v>
                  </c:pt>
                  <c:pt idx="580">
                    <c:v>0</c:v>
                  </c:pt>
                  <c:pt idx="581">
                    <c:v>0</c:v>
                  </c:pt>
                  <c:pt idx="582">
                    <c:v>0</c:v>
                  </c:pt>
                  <c:pt idx="583">
                    <c:v>0</c:v>
                  </c:pt>
                  <c:pt idx="584">
                    <c:v>0</c:v>
                  </c:pt>
                  <c:pt idx="585">
                    <c:v>0</c:v>
                  </c:pt>
                  <c:pt idx="586">
                    <c:v>0</c:v>
                  </c:pt>
                  <c:pt idx="587">
                    <c:v>0</c:v>
                  </c:pt>
                  <c:pt idx="588">
                    <c:v>0</c:v>
                  </c:pt>
                  <c:pt idx="589">
                    <c:v>0</c:v>
                  </c:pt>
                  <c:pt idx="590">
                    <c:v>0</c:v>
                  </c:pt>
                  <c:pt idx="591">
                    <c:v>0</c:v>
                  </c:pt>
                  <c:pt idx="592">
                    <c:v>0</c:v>
                  </c:pt>
                  <c:pt idx="593">
                    <c:v>0</c:v>
                  </c:pt>
                  <c:pt idx="594">
                    <c:v>0</c:v>
                  </c:pt>
                  <c:pt idx="595">
                    <c:v>0</c:v>
                  </c:pt>
                  <c:pt idx="596">
                    <c:v>0</c:v>
                  </c:pt>
                  <c:pt idx="597">
                    <c:v>0</c:v>
                  </c:pt>
                  <c:pt idx="598">
                    <c:v>0</c:v>
                  </c:pt>
                  <c:pt idx="599">
                    <c:v>0</c:v>
                  </c:pt>
                  <c:pt idx="600">
                    <c:v>0</c:v>
                  </c:pt>
                  <c:pt idx="601">
                    <c:v>0</c:v>
                  </c:pt>
                  <c:pt idx="602">
                    <c:v>0</c:v>
                  </c:pt>
                  <c:pt idx="603">
                    <c:v>0</c:v>
                  </c:pt>
                  <c:pt idx="604">
                    <c:v>0</c:v>
                  </c:pt>
                  <c:pt idx="605">
                    <c:v>0</c:v>
                  </c:pt>
                  <c:pt idx="606">
                    <c:v>0</c:v>
                  </c:pt>
                  <c:pt idx="607">
                    <c:v>0</c:v>
                  </c:pt>
                  <c:pt idx="608">
                    <c:v>0</c:v>
                  </c:pt>
                  <c:pt idx="609">
                    <c:v>0</c:v>
                  </c:pt>
                  <c:pt idx="610">
                    <c:v>0</c:v>
                  </c:pt>
                  <c:pt idx="611">
                    <c:v>0</c:v>
                  </c:pt>
                  <c:pt idx="612">
                    <c:v>0</c:v>
                  </c:pt>
                  <c:pt idx="613">
                    <c:v>0</c:v>
                  </c:pt>
                  <c:pt idx="614">
                    <c:v>0</c:v>
                  </c:pt>
                  <c:pt idx="615">
                    <c:v>0</c:v>
                  </c:pt>
                  <c:pt idx="616">
                    <c:v>0</c:v>
                  </c:pt>
                  <c:pt idx="617">
                    <c:v>0</c:v>
                  </c:pt>
                  <c:pt idx="618">
                    <c:v>0</c:v>
                  </c:pt>
                  <c:pt idx="619">
                    <c:v>0</c:v>
                  </c:pt>
                  <c:pt idx="620">
                    <c:v>0</c:v>
                  </c:pt>
                  <c:pt idx="621">
                    <c:v>0</c:v>
                  </c:pt>
                  <c:pt idx="622">
                    <c:v>0</c:v>
                  </c:pt>
                  <c:pt idx="623">
                    <c:v>0</c:v>
                  </c:pt>
                  <c:pt idx="624">
                    <c:v>0</c:v>
                  </c:pt>
                  <c:pt idx="625">
                    <c:v>0</c:v>
                  </c:pt>
                  <c:pt idx="626">
                    <c:v>0</c:v>
                  </c:pt>
                  <c:pt idx="627">
                    <c:v>0</c:v>
                  </c:pt>
                  <c:pt idx="628">
                    <c:v>0</c:v>
                  </c:pt>
                  <c:pt idx="629">
                    <c:v>0</c:v>
                  </c:pt>
                  <c:pt idx="630">
                    <c:v>0</c:v>
                  </c:pt>
                  <c:pt idx="631">
                    <c:v>0</c:v>
                  </c:pt>
                  <c:pt idx="632">
                    <c:v>0</c:v>
                  </c:pt>
                  <c:pt idx="633">
                    <c:v>0</c:v>
                  </c:pt>
                  <c:pt idx="634">
                    <c:v>0</c:v>
                  </c:pt>
                  <c:pt idx="635">
                    <c:v>0</c:v>
                  </c:pt>
                  <c:pt idx="636">
                    <c:v>0</c:v>
                  </c:pt>
                  <c:pt idx="637">
                    <c:v>0</c:v>
                  </c:pt>
                  <c:pt idx="638">
                    <c:v>0</c:v>
                  </c:pt>
                  <c:pt idx="639">
                    <c:v>0</c:v>
                  </c:pt>
                  <c:pt idx="640">
                    <c:v>0</c:v>
                  </c:pt>
                  <c:pt idx="641">
                    <c:v>0</c:v>
                  </c:pt>
                  <c:pt idx="642">
                    <c:v>0</c:v>
                  </c:pt>
                  <c:pt idx="643">
                    <c:v>0</c:v>
                  </c:pt>
                  <c:pt idx="644">
                    <c:v>0</c:v>
                  </c:pt>
                  <c:pt idx="645">
                    <c:v>0</c:v>
                  </c:pt>
                  <c:pt idx="646">
                    <c:v>0</c:v>
                  </c:pt>
                  <c:pt idx="647">
                    <c:v>0</c:v>
                  </c:pt>
                  <c:pt idx="648">
                    <c:v>0</c:v>
                  </c:pt>
                  <c:pt idx="649">
                    <c:v>0</c:v>
                  </c:pt>
                  <c:pt idx="650">
                    <c:v>0</c:v>
                  </c:pt>
                  <c:pt idx="651">
                    <c:v>0</c:v>
                  </c:pt>
                  <c:pt idx="652">
                    <c:v>0</c:v>
                  </c:pt>
                  <c:pt idx="653">
                    <c:v>0</c:v>
                  </c:pt>
                  <c:pt idx="654">
                    <c:v>0</c:v>
                  </c:pt>
                  <c:pt idx="655">
                    <c:v>0</c:v>
                  </c:pt>
                  <c:pt idx="656">
                    <c:v>0</c:v>
                  </c:pt>
                  <c:pt idx="657">
                    <c:v>0</c:v>
                  </c:pt>
                  <c:pt idx="658">
                    <c:v>0</c:v>
                  </c:pt>
                  <c:pt idx="659">
                    <c:v>0</c:v>
                  </c:pt>
                  <c:pt idx="660">
                    <c:v>0</c:v>
                  </c:pt>
                  <c:pt idx="661">
                    <c:v>0</c:v>
                  </c:pt>
                  <c:pt idx="662">
                    <c:v>0</c:v>
                  </c:pt>
                  <c:pt idx="663">
                    <c:v>0</c:v>
                  </c:pt>
                  <c:pt idx="664">
                    <c:v>0</c:v>
                  </c:pt>
                  <c:pt idx="665">
                    <c:v>0</c:v>
                  </c:pt>
                  <c:pt idx="666">
                    <c:v>0</c:v>
                  </c:pt>
                  <c:pt idx="667">
                    <c:v>0</c:v>
                  </c:pt>
                  <c:pt idx="668">
                    <c:v>0</c:v>
                  </c:pt>
                  <c:pt idx="669">
                    <c:v>0</c:v>
                  </c:pt>
                  <c:pt idx="670">
                    <c:v>0</c:v>
                  </c:pt>
                  <c:pt idx="671">
                    <c:v>0</c:v>
                  </c:pt>
                  <c:pt idx="672">
                    <c:v>0</c:v>
                  </c:pt>
                  <c:pt idx="673">
                    <c:v>0</c:v>
                  </c:pt>
                  <c:pt idx="674">
                    <c:v>0</c:v>
                  </c:pt>
                  <c:pt idx="675">
                    <c:v>0</c:v>
                  </c:pt>
                  <c:pt idx="676">
                    <c:v>0</c:v>
                  </c:pt>
                  <c:pt idx="677">
                    <c:v>0</c:v>
                  </c:pt>
                  <c:pt idx="678">
                    <c:v>0</c:v>
                  </c:pt>
                  <c:pt idx="679">
                    <c:v>0</c:v>
                  </c:pt>
                  <c:pt idx="680">
                    <c:v>0</c:v>
                  </c:pt>
                  <c:pt idx="681">
                    <c:v>0</c:v>
                  </c:pt>
                  <c:pt idx="682">
                    <c:v>0</c:v>
                  </c:pt>
                  <c:pt idx="683">
                    <c:v>0</c:v>
                  </c:pt>
                  <c:pt idx="684">
                    <c:v>0</c:v>
                  </c:pt>
                  <c:pt idx="685">
                    <c:v>0</c:v>
                  </c:pt>
                  <c:pt idx="686">
                    <c:v>0</c:v>
                  </c:pt>
                  <c:pt idx="687">
                    <c:v>0</c:v>
                  </c:pt>
                  <c:pt idx="688">
                    <c:v>0</c:v>
                  </c:pt>
                  <c:pt idx="689">
                    <c:v>0</c:v>
                  </c:pt>
                  <c:pt idx="690">
                    <c:v>0</c:v>
                  </c:pt>
                  <c:pt idx="691">
                    <c:v>0</c:v>
                  </c:pt>
                  <c:pt idx="692">
                    <c:v>0</c:v>
                  </c:pt>
                  <c:pt idx="693">
                    <c:v>0</c:v>
                  </c:pt>
                  <c:pt idx="694">
                    <c:v>0</c:v>
                  </c:pt>
                  <c:pt idx="695">
                    <c:v>0</c:v>
                  </c:pt>
                  <c:pt idx="696">
                    <c:v>0</c:v>
                  </c:pt>
                  <c:pt idx="697">
                    <c:v>0</c:v>
                  </c:pt>
                  <c:pt idx="698">
                    <c:v>0</c:v>
                  </c:pt>
                  <c:pt idx="699">
                    <c:v>0</c:v>
                  </c:pt>
                  <c:pt idx="700">
                    <c:v>0</c:v>
                  </c:pt>
                  <c:pt idx="701">
                    <c:v>0</c:v>
                  </c:pt>
                  <c:pt idx="702">
                    <c:v>0</c:v>
                  </c:pt>
                  <c:pt idx="703">
                    <c:v>0</c:v>
                  </c:pt>
                  <c:pt idx="704">
                    <c:v>0</c:v>
                  </c:pt>
                  <c:pt idx="705">
                    <c:v>0</c:v>
                  </c:pt>
                  <c:pt idx="706">
                    <c:v>0</c:v>
                  </c:pt>
                  <c:pt idx="707">
                    <c:v>0</c:v>
                  </c:pt>
                  <c:pt idx="708">
                    <c:v>0</c:v>
                  </c:pt>
                  <c:pt idx="709">
                    <c:v>0</c:v>
                  </c:pt>
                  <c:pt idx="710">
                    <c:v>0</c:v>
                  </c:pt>
                  <c:pt idx="711">
                    <c:v>0</c:v>
                  </c:pt>
                  <c:pt idx="712">
                    <c:v>0</c:v>
                  </c:pt>
                  <c:pt idx="713">
                    <c:v>0</c:v>
                  </c:pt>
                  <c:pt idx="714">
                    <c:v>0</c:v>
                  </c:pt>
                  <c:pt idx="715">
                    <c:v>0</c:v>
                  </c:pt>
                  <c:pt idx="716">
                    <c:v>0</c:v>
                  </c:pt>
                  <c:pt idx="717">
                    <c:v>0</c:v>
                  </c:pt>
                  <c:pt idx="718">
                    <c:v>0</c:v>
                  </c:pt>
                  <c:pt idx="719">
                    <c:v>0</c:v>
                  </c:pt>
                  <c:pt idx="720">
                    <c:v>0</c:v>
                  </c:pt>
                  <c:pt idx="721">
                    <c:v>0</c:v>
                  </c:pt>
                  <c:pt idx="722">
                    <c:v>0</c:v>
                  </c:pt>
                  <c:pt idx="723">
                    <c:v>0</c:v>
                  </c:pt>
                  <c:pt idx="724">
                    <c:v>0</c:v>
                  </c:pt>
                  <c:pt idx="725">
                    <c:v>0</c:v>
                  </c:pt>
                  <c:pt idx="726">
                    <c:v>0</c:v>
                  </c:pt>
                  <c:pt idx="727">
                    <c:v>0</c:v>
                  </c:pt>
                  <c:pt idx="728">
                    <c:v>0</c:v>
                  </c:pt>
                  <c:pt idx="729">
                    <c:v>0</c:v>
                  </c:pt>
                  <c:pt idx="730">
                    <c:v>0</c:v>
                  </c:pt>
                  <c:pt idx="731">
                    <c:v>0</c:v>
                  </c:pt>
                  <c:pt idx="732">
                    <c:v>0</c:v>
                  </c:pt>
                  <c:pt idx="733">
                    <c:v>0</c:v>
                  </c:pt>
                  <c:pt idx="734">
                    <c:v>0</c:v>
                  </c:pt>
                  <c:pt idx="735">
                    <c:v>0</c:v>
                  </c:pt>
                  <c:pt idx="736">
                    <c:v>0</c:v>
                  </c:pt>
                  <c:pt idx="737">
                    <c:v>0</c:v>
                  </c:pt>
                  <c:pt idx="738">
                    <c:v>0</c:v>
                  </c:pt>
                  <c:pt idx="739">
                    <c:v>0</c:v>
                  </c:pt>
                  <c:pt idx="740">
                    <c:v>0</c:v>
                  </c:pt>
                  <c:pt idx="741">
                    <c:v>0</c:v>
                  </c:pt>
                  <c:pt idx="742">
                    <c:v>0</c:v>
                  </c:pt>
                  <c:pt idx="743">
                    <c:v>0</c:v>
                  </c:pt>
                  <c:pt idx="744">
                    <c:v>0</c:v>
                  </c:pt>
                  <c:pt idx="745">
                    <c:v>0</c:v>
                  </c:pt>
                  <c:pt idx="746">
                    <c:v>0</c:v>
                  </c:pt>
                  <c:pt idx="747">
                    <c:v>0</c:v>
                  </c:pt>
                  <c:pt idx="748">
                    <c:v>0</c:v>
                  </c:pt>
                  <c:pt idx="749">
                    <c:v>0</c:v>
                  </c:pt>
                  <c:pt idx="750">
                    <c:v>0</c:v>
                  </c:pt>
                  <c:pt idx="751">
                    <c:v>0</c:v>
                  </c:pt>
                  <c:pt idx="752">
                    <c:v>0</c:v>
                  </c:pt>
                  <c:pt idx="753">
                    <c:v>0</c:v>
                  </c:pt>
                  <c:pt idx="754">
                    <c:v>0</c:v>
                  </c:pt>
                  <c:pt idx="755">
                    <c:v>0</c:v>
                  </c:pt>
                  <c:pt idx="756">
                    <c:v>0</c:v>
                  </c:pt>
                  <c:pt idx="757">
                    <c:v>0</c:v>
                  </c:pt>
                  <c:pt idx="758">
                    <c:v>0</c:v>
                  </c:pt>
                  <c:pt idx="759">
                    <c:v>0</c:v>
                  </c:pt>
                  <c:pt idx="760">
                    <c:v>0</c:v>
                  </c:pt>
                  <c:pt idx="761">
                    <c:v>0</c:v>
                  </c:pt>
                  <c:pt idx="762">
                    <c:v>0</c:v>
                  </c:pt>
                  <c:pt idx="763">
                    <c:v>0</c:v>
                  </c:pt>
                  <c:pt idx="764">
                    <c:v>0</c:v>
                  </c:pt>
                  <c:pt idx="765">
                    <c:v>0</c:v>
                  </c:pt>
                  <c:pt idx="766">
                    <c:v>0</c:v>
                  </c:pt>
                  <c:pt idx="767">
                    <c:v>0</c:v>
                  </c:pt>
                  <c:pt idx="768">
                    <c:v>0</c:v>
                  </c:pt>
                  <c:pt idx="769">
                    <c:v>0</c:v>
                  </c:pt>
                  <c:pt idx="770">
                    <c:v>0</c:v>
                  </c:pt>
                  <c:pt idx="771">
                    <c:v>0</c:v>
                  </c:pt>
                  <c:pt idx="772">
                    <c:v>0</c:v>
                  </c:pt>
                  <c:pt idx="773">
                    <c:v>0</c:v>
                  </c:pt>
                  <c:pt idx="774">
                    <c:v>0</c:v>
                  </c:pt>
                  <c:pt idx="775">
                    <c:v>0</c:v>
                  </c:pt>
                  <c:pt idx="776">
                    <c:v>0</c:v>
                  </c:pt>
                  <c:pt idx="777">
                    <c:v>0</c:v>
                  </c:pt>
                  <c:pt idx="778">
                    <c:v>0</c:v>
                  </c:pt>
                  <c:pt idx="779">
                    <c:v>0</c:v>
                  </c:pt>
                  <c:pt idx="780">
                    <c:v>0</c:v>
                  </c:pt>
                  <c:pt idx="781">
                    <c:v>0</c:v>
                  </c:pt>
                  <c:pt idx="782">
                    <c:v>0</c:v>
                  </c:pt>
                  <c:pt idx="783">
                    <c:v>0</c:v>
                  </c:pt>
                  <c:pt idx="784">
                    <c:v>0</c:v>
                  </c:pt>
                  <c:pt idx="785">
                    <c:v>0</c:v>
                  </c:pt>
                  <c:pt idx="786">
                    <c:v>0</c:v>
                  </c:pt>
                  <c:pt idx="787">
                    <c:v>0</c:v>
                  </c:pt>
                  <c:pt idx="788">
                    <c:v>0</c:v>
                  </c:pt>
                  <c:pt idx="789">
                    <c:v>0</c:v>
                  </c:pt>
                  <c:pt idx="790">
                    <c:v>0</c:v>
                  </c:pt>
                  <c:pt idx="791">
                    <c:v>0</c:v>
                  </c:pt>
                  <c:pt idx="792">
                    <c:v>0</c:v>
                  </c:pt>
                  <c:pt idx="793">
                    <c:v>0</c:v>
                  </c:pt>
                  <c:pt idx="794">
                    <c:v>0</c:v>
                  </c:pt>
                  <c:pt idx="795">
                    <c:v>0</c:v>
                  </c:pt>
                  <c:pt idx="796">
                    <c:v>0</c:v>
                  </c:pt>
                  <c:pt idx="797">
                    <c:v>0</c:v>
                  </c:pt>
                  <c:pt idx="798">
                    <c:v>0</c:v>
                  </c:pt>
                  <c:pt idx="799">
                    <c:v>0</c:v>
                  </c:pt>
                  <c:pt idx="800">
                    <c:v>0</c:v>
                  </c:pt>
                  <c:pt idx="801">
                    <c:v>0</c:v>
                  </c:pt>
                  <c:pt idx="802">
                    <c:v>0</c:v>
                  </c:pt>
                  <c:pt idx="803">
                    <c:v>0</c:v>
                  </c:pt>
                  <c:pt idx="804">
                    <c:v>0</c:v>
                  </c:pt>
                  <c:pt idx="805">
                    <c:v>0</c:v>
                  </c:pt>
                  <c:pt idx="806">
                    <c:v>0</c:v>
                  </c:pt>
                  <c:pt idx="807">
                    <c:v>0</c:v>
                  </c:pt>
                  <c:pt idx="808">
                    <c:v>0</c:v>
                  </c:pt>
                  <c:pt idx="809">
                    <c:v>0</c:v>
                  </c:pt>
                  <c:pt idx="810">
                    <c:v>0</c:v>
                  </c:pt>
                  <c:pt idx="811">
                    <c:v>0</c:v>
                  </c:pt>
                  <c:pt idx="812">
                    <c:v>0</c:v>
                  </c:pt>
                  <c:pt idx="813">
                    <c:v>0</c:v>
                  </c:pt>
                  <c:pt idx="814">
                    <c:v>0</c:v>
                  </c:pt>
                  <c:pt idx="815">
                    <c:v>0</c:v>
                  </c:pt>
                  <c:pt idx="816">
                    <c:v>0</c:v>
                  </c:pt>
                  <c:pt idx="817">
                    <c:v>0</c:v>
                  </c:pt>
                  <c:pt idx="818">
                    <c:v>0</c:v>
                  </c:pt>
                  <c:pt idx="819">
                    <c:v>0</c:v>
                  </c:pt>
                  <c:pt idx="820">
                    <c:v>0</c:v>
                  </c:pt>
                  <c:pt idx="821">
                    <c:v>0</c:v>
                  </c:pt>
                  <c:pt idx="822">
                    <c:v>0</c:v>
                  </c:pt>
                  <c:pt idx="823">
                    <c:v>0</c:v>
                  </c:pt>
                  <c:pt idx="824">
                    <c:v>0</c:v>
                  </c:pt>
                  <c:pt idx="825">
                    <c:v>0</c:v>
                  </c:pt>
                  <c:pt idx="826">
                    <c:v>0</c:v>
                  </c:pt>
                  <c:pt idx="827">
                    <c:v>0</c:v>
                  </c:pt>
                  <c:pt idx="828">
                    <c:v>0</c:v>
                  </c:pt>
                  <c:pt idx="829">
                    <c:v>0</c:v>
                  </c:pt>
                  <c:pt idx="830">
                    <c:v>0</c:v>
                  </c:pt>
                  <c:pt idx="831">
                    <c:v>0</c:v>
                  </c:pt>
                  <c:pt idx="832">
                    <c:v>0</c:v>
                  </c:pt>
                  <c:pt idx="833">
                    <c:v>0</c:v>
                  </c:pt>
                  <c:pt idx="834">
                    <c:v>0</c:v>
                  </c:pt>
                  <c:pt idx="835">
                    <c:v>0</c:v>
                  </c:pt>
                  <c:pt idx="836">
                    <c:v>0</c:v>
                  </c:pt>
                  <c:pt idx="837">
                    <c:v>0</c:v>
                  </c:pt>
                  <c:pt idx="838">
                    <c:v>0</c:v>
                  </c:pt>
                  <c:pt idx="839">
                    <c:v>0</c:v>
                  </c:pt>
                  <c:pt idx="840">
                    <c:v>0</c:v>
                  </c:pt>
                  <c:pt idx="841">
                    <c:v>0</c:v>
                  </c:pt>
                  <c:pt idx="842">
                    <c:v>0</c:v>
                  </c:pt>
                  <c:pt idx="843">
                    <c:v>0</c:v>
                  </c:pt>
                  <c:pt idx="844">
                    <c:v>0</c:v>
                  </c:pt>
                  <c:pt idx="845">
                    <c:v>0</c:v>
                  </c:pt>
                  <c:pt idx="846">
                    <c:v>0</c:v>
                  </c:pt>
                  <c:pt idx="847">
                    <c:v>0</c:v>
                  </c:pt>
                  <c:pt idx="848">
                    <c:v>0</c:v>
                  </c:pt>
                  <c:pt idx="849">
                    <c:v>0</c:v>
                  </c:pt>
                  <c:pt idx="850">
                    <c:v>0</c:v>
                  </c:pt>
                  <c:pt idx="851">
                    <c:v>0</c:v>
                  </c:pt>
                  <c:pt idx="852">
                    <c:v>0</c:v>
                  </c:pt>
                  <c:pt idx="853">
                    <c:v>0</c:v>
                  </c:pt>
                  <c:pt idx="854">
                    <c:v>0</c:v>
                  </c:pt>
                  <c:pt idx="855">
                    <c:v>0</c:v>
                  </c:pt>
                  <c:pt idx="856">
                    <c:v>0</c:v>
                  </c:pt>
                  <c:pt idx="857">
                    <c:v>0</c:v>
                  </c:pt>
                  <c:pt idx="858">
                    <c:v>0</c:v>
                  </c:pt>
                  <c:pt idx="859">
                    <c:v>0</c:v>
                  </c:pt>
                  <c:pt idx="860">
                    <c:v>0</c:v>
                  </c:pt>
                  <c:pt idx="861">
                    <c:v>0</c:v>
                  </c:pt>
                  <c:pt idx="862">
                    <c:v>0</c:v>
                  </c:pt>
                  <c:pt idx="863">
                    <c:v>0</c:v>
                  </c:pt>
                  <c:pt idx="864">
                    <c:v>0</c:v>
                  </c:pt>
                  <c:pt idx="865">
                    <c:v>0</c:v>
                  </c:pt>
                  <c:pt idx="866">
                    <c:v>0</c:v>
                  </c:pt>
                  <c:pt idx="867">
                    <c:v>0</c:v>
                  </c:pt>
                  <c:pt idx="868">
                    <c:v>0</c:v>
                  </c:pt>
                  <c:pt idx="869">
                    <c:v>0</c:v>
                  </c:pt>
                  <c:pt idx="870">
                    <c:v>0</c:v>
                  </c:pt>
                  <c:pt idx="871">
                    <c:v>0</c:v>
                  </c:pt>
                  <c:pt idx="872">
                    <c:v>0</c:v>
                  </c:pt>
                  <c:pt idx="873">
                    <c:v>0</c:v>
                  </c:pt>
                  <c:pt idx="874">
                    <c:v>0</c:v>
                  </c:pt>
                  <c:pt idx="875">
                    <c:v>0</c:v>
                  </c:pt>
                  <c:pt idx="876">
                    <c:v>0</c:v>
                  </c:pt>
                  <c:pt idx="877">
                    <c:v>0</c:v>
                  </c:pt>
                  <c:pt idx="878">
                    <c:v>0</c:v>
                  </c:pt>
                  <c:pt idx="879">
                    <c:v>0</c:v>
                  </c:pt>
                  <c:pt idx="880">
                    <c:v>0</c:v>
                  </c:pt>
                  <c:pt idx="881">
                    <c:v>0</c:v>
                  </c:pt>
                  <c:pt idx="882">
                    <c:v>0</c:v>
                  </c:pt>
                  <c:pt idx="883">
                    <c:v>0</c:v>
                  </c:pt>
                  <c:pt idx="884">
                    <c:v>0</c:v>
                  </c:pt>
                  <c:pt idx="885">
                    <c:v>0</c:v>
                  </c:pt>
                  <c:pt idx="886">
                    <c:v>0</c:v>
                  </c:pt>
                  <c:pt idx="887">
                    <c:v>0</c:v>
                  </c:pt>
                  <c:pt idx="888">
                    <c:v>0</c:v>
                  </c:pt>
                  <c:pt idx="889">
                    <c:v>0</c:v>
                  </c:pt>
                  <c:pt idx="890">
                    <c:v>0</c:v>
                  </c:pt>
                  <c:pt idx="891">
                    <c:v>0</c:v>
                  </c:pt>
                  <c:pt idx="892">
                    <c:v>0</c:v>
                  </c:pt>
                  <c:pt idx="893">
                    <c:v>0</c:v>
                  </c:pt>
                  <c:pt idx="894">
                    <c:v>0</c:v>
                  </c:pt>
                  <c:pt idx="895">
                    <c:v>0</c:v>
                  </c:pt>
                  <c:pt idx="896">
                    <c:v>0</c:v>
                  </c:pt>
                  <c:pt idx="897">
                    <c:v>0</c:v>
                  </c:pt>
                  <c:pt idx="898">
                    <c:v>0</c:v>
                  </c:pt>
                  <c:pt idx="899">
                    <c:v>0</c:v>
                  </c:pt>
                  <c:pt idx="900">
                    <c:v>0</c:v>
                  </c:pt>
                  <c:pt idx="901">
                    <c:v>0</c:v>
                  </c:pt>
                  <c:pt idx="902">
                    <c:v>0</c:v>
                  </c:pt>
                  <c:pt idx="903">
                    <c:v>0</c:v>
                  </c:pt>
                  <c:pt idx="904">
                    <c:v>0</c:v>
                  </c:pt>
                  <c:pt idx="905">
                    <c:v>0</c:v>
                  </c:pt>
                  <c:pt idx="906">
                    <c:v>0</c:v>
                  </c:pt>
                  <c:pt idx="907">
                    <c:v>0</c:v>
                  </c:pt>
                  <c:pt idx="908">
                    <c:v>0</c:v>
                  </c:pt>
                  <c:pt idx="909">
                    <c:v>0</c:v>
                  </c:pt>
                  <c:pt idx="910">
                    <c:v>0</c:v>
                  </c:pt>
                  <c:pt idx="911">
                    <c:v>0</c:v>
                  </c:pt>
                  <c:pt idx="912">
                    <c:v>0</c:v>
                  </c:pt>
                  <c:pt idx="913">
                    <c:v>0</c:v>
                  </c:pt>
                  <c:pt idx="914">
                    <c:v>0</c:v>
                  </c:pt>
                  <c:pt idx="915">
                    <c:v>0</c:v>
                  </c:pt>
                  <c:pt idx="916">
                    <c:v>0</c:v>
                  </c:pt>
                  <c:pt idx="917">
                    <c:v>0</c:v>
                  </c:pt>
                  <c:pt idx="918">
                    <c:v>0</c:v>
                  </c:pt>
                  <c:pt idx="919">
                    <c:v>0</c:v>
                  </c:pt>
                  <c:pt idx="920">
                    <c:v>0</c:v>
                  </c:pt>
                  <c:pt idx="921">
                    <c:v>0</c:v>
                  </c:pt>
                  <c:pt idx="922">
                    <c:v>0</c:v>
                  </c:pt>
                  <c:pt idx="923">
                    <c:v>0</c:v>
                  </c:pt>
                  <c:pt idx="924">
                    <c:v>0</c:v>
                  </c:pt>
                  <c:pt idx="925">
                    <c:v>0</c:v>
                  </c:pt>
                  <c:pt idx="926">
                    <c:v>0</c:v>
                  </c:pt>
                  <c:pt idx="927">
                    <c:v>0</c:v>
                  </c:pt>
                  <c:pt idx="928">
                    <c:v>0</c:v>
                  </c:pt>
                  <c:pt idx="929">
                    <c:v>0</c:v>
                  </c:pt>
                  <c:pt idx="930">
                    <c:v>0</c:v>
                  </c:pt>
                  <c:pt idx="931">
                    <c:v>0</c:v>
                  </c:pt>
                  <c:pt idx="932">
                    <c:v>0</c:v>
                  </c:pt>
                  <c:pt idx="933">
                    <c:v>0</c:v>
                  </c:pt>
                  <c:pt idx="934">
                    <c:v>0</c:v>
                  </c:pt>
                  <c:pt idx="935">
                    <c:v>0</c:v>
                  </c:pt>
                  <c:pt idx="936">
                    <c:v>0</c:v>
                  </c:pt>
                  <c:pt idx="937">
                    <c:v>0</c:v>
                  </c:pt>
                  <c:pt idx="938">
                    <c:v>0</c:v>
                  </c:pt>
                  <c:pt idx="939">
                    <c:v>0</c:v>
                  </c:pt>
                  <c:pt idx="940">
                    <c:v>0</c:v>
                  </c:pt>
                  <c:pt idx="941">
                    <c:v>0</c:v>
                  </c:pt>
                  <c:pt idx="942">
                    <c:v>0</c:v>
                  </c:pt>
                  <c:pt idx="943">
                    <c:v>0</c:v>
                  </c:pt>
                  <c:pt idx="944">
                    <c:v>0</c:v>
                  </c:pt>
                  <c:pt idx="945">
                    <c:v>0</c:v>
                  </c:pt>
                  <c:pt idx="946">
                    <c:v>0</c:v>
                  </c:pt>
                  <c:pt idx="947">
                    <c:v>0</c:v>
                  </c:pt>
                  <c:pt idx="948">
                    <c:v>0</c:v>
                  </c:pt>
                  <c:pt idx="949">
                    <c:v>0</c:v>
                  </c:pt>
                  <c:pt idx="950">
                    <c:v>0</c:v>
                  </c:pt>
                  <c:pt idx="951">
                    <c:v>0</c:v>
                  </c:pt>
                  <c:pt idx="952">
                    <c:v>0</c:v>
                  </c:pt>
                  <c:pt idx="953">
                    <c:v>0</c:v>
                  </c:pt>
                  <c:pt idx="954">
                    <c:v>0</c:v>
                  </c:pt>
                  <c:pt idx="955">
                    <c:v>0</c:v>
                  </c:pt>
                  <c:pt idx="956">
                    <c:v>0</c:v>
                  </c:pt>
                  <c:pt idx="957">
                    <c:v>0</c:v>
                  </c:pt>
                  <c:pt idx="958">
                    <c:v>0</c:v>
                  </c:pt>
                  <c:pt idx="959">
                    <c:v>0</c:v>
                  </c:pt>
                  <c:pt idx="960">
                    <c:v>0</c:v>
                  </c:pt>
                  <c:pt idx="961">
                    <c:v>0</c:v>
                  </c:pt>
                  <c:pt idx="962">
                    <c:v>0</c:v>
                  </c:pt>
                  <c:pt idx="963">
                    <c:v>0</c:v>
                  </c:pt>
                  <c:pt idx="964">
                    <c:v>0</c:v>
                  </c:pt>
                  <c:pt idx="965">
                    <c:v>0</c:v>
                  </c:pt>
                  <c:pt idx="966">
                    <c:v>0</c:v>
                  </c:pt>
                  <c:pt idx="967">
                    <c:v>0</c:v>
                  </c:pt>
                  <c:pt idx="968">
                    <c:v>0</c:v>
                  </c:pt>
                  <c:pt idx="969">
                    <c:v>0</c:v>
                  </c:pt>
                  <c:pt idx="970">
                    <c:v>0</c:v>
                  </c:pt>
                  <c:pt idx="971">
                    <c:v>0</c:v>
                  </c:pt>
                  <c:pt idx="972">
                    <c:v>0</c:v>
                  </c:pt>
                  <c:pt idx="973">
                    <c:v>0</c:v>
                  </c:pt>
                  <c:pt idx="974">
                    <c:v>0</c:v>
                  </c:pt>
                  <c:pt idx="975">
                    <c:v>0</c:v>
                  </c:pt>
                  <c:pt idx="976">
                    <c:v>0</c:v>
                  </c:pt>
                  <c:pt idx="977">
                    <c:v>0</c:v>
                  </c:pt>
                  <c:pt idx="978">
                    <c:v>0</c:v>
                  </c:pt>
                  <c:pt idx="979">
                    <c:v>0</c:v>
                  </c:pt>
                  <c:pt idx="980">
                    <c:v>0</c:v>
                  </c:pt>
                  <c:pt idx="981">
                    <c:v>0</c:v>
                  </c:pt>
                  <c:pt idx="982">
                    <c:v>0</c:v>
                  </c:pt>
                  <c:pt idx="983">
                    <c:v>0</c:v>
                  </c:pt>
                  <c:pt idx="984">
                    <c:v>0</c:v>
                  </c:pt>
                  <c:pt idx="985">
                    <c:v>0</c:v>
                  </c:pt>
                  <c:pt idx="986">
                    <c:v>0</c:v>
                  </c:pt>
                  <c:pt idx="987">
                    <c:v>0</c:v>
                  </c:pt>
                  <c:pt idx="988">
                    <c:v>0</c:v>
                  </c:pt>
                  <c:pt idx="989">
                    <c:v>0</c:v>
                  </c:pt>
                  <c:pt idx="990">
                    <c:v>0</c:v>
                  </c:pt>
                  <c:pt idx="991">
                    <c:v>0</c:v>
                  </c:pt>
                  <c:pt idx="992">
                    <c:v>0</c:v>
                  </c:pt>
                  <c:pt idx="993">
                    <c:v>0</c:v>
                  </c:pt>
                  <c:pt idx="994">
                    <c:v>0</c:v>
                  </c:pt>
                  <c:pt idx="995">
                    <c:v>0</c:v>
                  </c:pt>
                  <c:pt idx="996">
                    <c:v>0</c:v>
                  </c:pt>
                  <c:pt idx="997">
                    <c:v>0</c:v>
                  </c:pt>
                  <c:pt idx="998">
                    <c:v>0</c:v>
                  </c:pt>
                  <c:pt idx="999">
                    <c:v>0</c:v>
                  </c:pt>
                  <c:pt idx="1000">
                    <c:v>0</c:v>
                  </c:pt>
                  <c:pt idx="1001">
                    <c:v>0</c:v>
                  </c:pt>
                  <c:pt idx="1002">
                    <c:v>0</c:v>
                  </c:pt>
                  <c:pt idx="1003">
                    <c:v>0</c:v>
                  </c:pt>
                  <c:pt idx="1004">
                    <c:v>0</c:v>
                  </c:pt>
                  <c:pt idx="1005">
                    <c:v>0</c:v>
                  </c:pt>
                  <c:pt idx="1006">
                    <c:v>0</c:v>
                  </c:pt>
                  <c:pt idx="1007">
                    <c:v>0</c:v>
                  </c:pt>
                  <c:pt idx="1008">
                    <c:v>0</c:v>
                  </c:pt>
                  <c:pt idx="1009">
                    <c:v>0</c:v>
                  </c:pt>
                  <c:pt idx="1010">
                    <c:v>0</c:v>
                  </c:pt>
                  <c:pt idx="1011">
                    <c:v>0</c:v>
                  </c:pt>
                  <c:pt idx="1012">
                    <c:v>0</c:v>
                  </c:pt>
                  <c:pt idx="1013">
                    <c:v>0</c:v>
                  </c:pt>
                  <c:pt idx="1014">
                    <c:v>0</c:v>
                  </c:pt>
                  <c:pt idx="1015">
                    <c:v>0</c:v>
                  </c:pt>
                  <c:pt idx="1016">
                    <c:v>0</c:v>
                  </c:pt>
                  <c:pt idx="1017">
                    <c:v>0</c:v>
                  </c:pt>
                  <c:pt idx="1018">
                    <c:v>0</c:v>
                  </c:pt>
                  <c:pt idx="1019">
                    <c:v>0</c:v>
                  </c:pt>
                  <c:pt idx="1020">
                    <c:v>0</c:v>
                  </c:pt>
                  <c:pt idx="1021">
                    <c:v>0</c:v>
                  </c:pt>
                  <c:pt idx="1022">
                    <c:v>0</c:v>
                  </c:pt>
                  <c:pt idx="1023">
                    <c:v>0</c:v>
                  </c:pt>
                  <c:pt idx="1024">
                    <c:v>0</c:v>
                  </c:pt>
                  <c:pt idx="1025">
                    <c:v>0</c:v>
                  </c:pt>
                  <c:pt idx="1026">
                    <c:v>0</c:v>
                  </c:pt>
                  <c:pt idx="1027">
                    <c:v>0</c:v>
                  </c:pt>
                  <c:pt idx="1028">
                    <c:v>0</c:v>
                  </c:pt>
                  <c:pt idx="1029">
                    <c:v>0</c:v>
                  </c:pt>
                  <c:pt idx="1030">
                    <c:v>0</c:v>
                  </c:pt>
                  <c:pt idx="1031">
                    <c:v>0</c:v>
                  </c:pt>
                  <c:pt idx="1032">
                    <c:v>0</c:v>
                  </c:pt>
                  <c:pt idx="1033">
                    <c:v>0</c:v>
                  </c:pt>
                  <c:pt idx="1034">
                    <c:v>0</c:v>
                  </c:pt>
                  <c:pt idx="1035">
                    <c:v>0</c:v>
                  </c:pt>
                  <c:pt idx="1036">
                    <c:v>0</c:v>
                  </c:pt>
                  <c:pt idx="1037">
                    <c:v>0</c:v>
                  </c:pt>
                  <c:pt idx="1038">
                    <c:v>0</c:v>
                  </c:pt>
                  <c:pt idx="1039">
                    <c:v>0</c:v>
                  </c:pt>
                  <c:pt idx="1040">
                    <c:v>0</c:v>
                  </c:pt>
                  <c:pt idx="1041">
                    <c:v>0</c:v>
                  </c:pt>
                  <c:pt idx="1042">
                    <c:v>0</c:v>
                  </c:pt>
                  <c:pt idx="1043">
                    <c:v>0</c:v>
                  </c:pt>
                  <c:pt idx="1044">
                    <c:v>0</c:v>
                  </c:pt>
                  <c:pt idx="1045">
                    <c:v>0</c:v>
                  </c:pt>
                  <c:pt idx="1046">
                    <c:v>0</c:v>
                  </c:pt>
                  <c:pt idx="1047">
                    <c:v>0</c:v>
                  </c:pt>
                  <c:pt idx="1048">
                    <c:v>0</c:v>
                  </c:pt>
                  <c:pt idx="1049">
                    <c:v>0</c:v>
                  </c:pt>
                  <c:pt idx="1050">
                    <c:v>0</c:v>
                  </c:pt>
                  <c:pt idx="1051">
                    <c:v>0</c:v>
                  </c:pt>
                  <c:pt idx="1052">
                    <c:v>0</c:v>
                  </c:pt>
                  <c:pt idx="1053">
                    <c:v>0</c:v>
                  </c:pt>
                  <c:pt idx="1054">
                    <c:v>0</c:v>
                  </c:pt>
                  <c:pt idx="1055">
                    <c:v>0</c:v>
                  </c:pt>
                  <c:pt idx="1056">
                    <c:v>0</c:v>
                  </c:pt>
                  <c:pt idx="1057">
                    <c:v>0</c:v>
                  </c:pt>
                  <c:pt idx="1058">
                    <c:v>0</c:v>
                  </c:pt>
                  <c:pt idx="1059">
                    <c:v>0</c:v>
                  </c:pt>
                  <c:pt idx="1060">
                    <c:v>0</c:v>
                  </c:pt>
                  <c:pt idx="1061">
                    <c:v>0</c:v>
                  </c:pt>
                  <c:pt idx="1062">
                    <c:v>0</c:v>
                  </c:pt>
                  <c:pt idx="1063">
                    <c:v>0</c:v>
                  </c:pt>
                  <c:pt idx="1064">
                    <c:v>0</c:v>
                  </c:pt>
                  <c:pt idx="1065">
                    <c:v>0</c:v>
                  </c:pt>
                  <c:pt idx="1066">
                    <c:v>0</c:v>
                  </c:pt>
                  <c:pt idx="1067">
                    <c:v>0</c:v>
                  </c:pt>
                  <c:pt idx="1068">
                    <c:v>0</c:v>
                  </c:pt>
                  <c:pt idx="1069">
                    <c:v>0</c:v>
                  </c:pt>
                  <c:pt idx="1070">
                    <c:v>0</c:v>
                  </c:pt>
                  <c:pt idx="1071">
                    <c:v>0</c:v>
                  </c:pt>
                  <c:pt idx="1072">
                    <c:v>0</c:v>
                  </c:pt>
                  <c:pt idx="1073">
                    <c:v>0</c:v>
                  </c:pt>
                  <c:pt idx="1074">
                    <c:v>0</c:v>
                  </c:pt>
                  <c:pt idx="1075">
                    <c:v>0</c:v>
                  </c:pt>
                  <c:pt idx="1076">
                    <c:v>0</c:v>
                  </c:pt>
                  <c:pt idx="1077">
                    <c:v>0</c:v>
                  </c:pt>
                  <c:pt idx="1078">
                    <c:v>0</c:v>
                  </c:pt>
                  <c:pt idx="1079">
                    <c:v>0</c:v>
                  </c:pt>
                  <c:pt idx="1080">
                    <c:v>0</c:v>
                  </c:pt>
                  <c:pt idx="1081">
                    <c:v>0</c:v>
                  </c:pt>
                  <c:pt idx="1082">
                    <c:v>0</c:v>
                  </c:pt>
                  <c:pt idx="1083">
                    <c:v>0</c:v>
                  </c:pt>
                  <c:pt idx="1084">
                    <c:v>0</c:v>
                  </c:pt>
                  <c:pt idx="1085">
                    <c:v>0</c:v>
                  </c:pt>
                  <c:pt idx="1086">
                    <c:v>0</c:v>
                  </c:pt>
                  <c:pt idx="1087">
                    <c:v>0</c:v>
                  </c:pt>
                  <c:pt idx="1088">
                    <c:v>0</c:v>
                  </c:pt>
                  <c:pt idx="1089">
                    <c:v>0</c:v>
                  </c:pt>
                  <c:pt idx="1090">
                    <c:v>0</c:v>
                  </c:pt>
                  <c:pt idx="1091">
                    <c:v>0</c:v>
                  </c:pt>
                  <c:pt idx="1092">
                    <c:v>0</c:v>
                  </c:pt>
                  <c:pt idx="1093">
                    <c:v>0</c:v>
                  </c:pt>
                  <c:pt idx="1094">
                    <c:v>0</c:v>
                  </c:pt>
                  <c:pt idx="1095">
                    <c:v>0</c:v>
                  </c:pt>
                  <c:pt idx="1096">
                    <c:v>0</c:v>
                  </c:pt>
                  <c:pt idx="1097">
                    <c:v>0</c:v>
                  </c:pt>
                  <c:pt idx="1098">
                    <c:v>0</c:v>
                  </c:pt>
                  <c:pt idx="1099">
                    <c:v>0</c:v>
                  </c:pt>
                  <c:pt idx="1100">
                    <c:v>0</c:v>
                  </c:pt>
                  <c:pt idx="1101">
                    <c:v>0</c:v>
                  </c:pt>
                  <c:pt idx="1102">
                    <c:v>0</c:v>
                  </c:pt>
                  <c:pt idx="1103">
                    <c:v>0</c:v>
                  </c:pt>
                  <c:pt idx="1104">
                    <c:v>0</c:v>
                  </c:pt>
                  <c:pt idx="1105">
                    <c:v>0</c:v>
                  </c:pt>
                  <c:pt idx="1106">
                    <c:v>0</c:v>
                  </c:pt>
                  <c:pt idx="1107">
                    <c:v>0</c:v>
                  </c:pt>
                  <c:pt idx="1108">
                    <c:v>0</c:v>
                  </c:pt>
                  <c:pt idx="1109">
                    <c:v>0</c:v>
                  </c:pt>
                  <c:pt idx="1110">
                    <c:v>0</c:v>
                  </c:pt>
                  <c:pt idx="1111">
                    <c:v>0</c:v>
                  </c:pt>
                  <c:pt idx="1112">
                    <c:v>0</c:v>
                  </c:pt>
                  <c:pt idx="1113">
                    <c:v>0</c:v>
                  </c:pt>
                  <c:pt idx="1114">
                    <c:v>0</c:v>
                  </c:pt>
                  <c:pt idx="1115">
                    <c:v>0</c:v>
                  </c:pt>
                  <c:pt idx="1116">
                    <c:v>0</c:v>
                  </c:pt>
                  <c:pt idx="1117">
                    <c:v>0</c:v>
                  </c:pt>
                  <c:pt idx="1118">
                    <c:v>0</c:v>
                  </c:pt>
                  <c:pt idx="1119">
                    <c:v>0</c:v>
                  </c:pt>
                  <c:pt idx="1120">
                    <c:v>0</c:v>
                  </c:pt>
                  <c:pt idx="1121">
                    <c:v>0</c:v>
                  </c:pt>
                  <c:pt idx="1122">
                    <c:v>0</c:v>
                  </c:pt>
                  <c:pt idx="1123">
                    <c:v>0</c:v>
                  </c:pt>
                  <c:pt idx="1124">
                    <c:v>0</c:v>
                  </c:pt>
                  <c:pt idx="1125">
                    <c:v>0</c:v>
                  </c:pt>
                  <c:pt idx="1126">
                    <c:v>0</c:v>
                  </c:pt>
                  <c:pt idx="1127">
                    <c:v>0</c:v>
                  </c:pt>
                  <c:pt idx="1128">
                    <c:v>0</c:v>
                  </c:pt>
                  <c:pt idx="1129">
                    <c:v>0</c:v>
                  </c:pt>
                  <c:pt idx="1130">
                    <c:v>0</c:v>
                  </c:pt>
                  <c:pt idx="1131">
                    <c:v>0</c:v>
                  </c:pt>
                  <c:pt idx="1132">
                    <c:v>0</c:v>
                  </c:pt>
                  <c:pt idx="1133">
                    <c:v>0</c:v>
                  </c:pt>
                  <c:pt idx="1134">
                    <c:v>0</c:v>
                  </c:pt>
                  <c:pt idx="1135">
                    <c:v>0</c:v>
                  </c:pt>
                  <c:pt idx="1136">
                    <c:v>0</c:v>
                  </c:pt>
                  <c:pt idx="1137">
                    <c:v>0</c:v>
                  </c:pt>
                  <c:pt idx="1138">
                    <c:v>0</c:v>
                  </c:pt>
                  <c:pt idx="1139">
                    <c:v>0</c:v>
                  </c:pt>
                  <c:pt idx="1140">
                    <c:v>0</c:v>
                  </c:pt>
                  <c:pt idx="1141">
                    <c:v>0</c:v>
                  </c:pt>
                  <c:pt idx="1142">
                    <c:v>0</c:v>
                  </c:pt>
                  <c:pt idx="1143">
                    <c:v>0</c:v>
                  </c:pt>
                  <c:pt idx="1144">
                    <c:v>0</c:v>
                  </c:pt>
                  <c:pt idx="1145">
                    <c:v>0</c:v>
                  </c:pt>
                  <c:pt idx="1146">
                    <c:v>0</c:v>
                  </c:pt>
                  <c:pt idx="1147">
                    <c:v>0</c:v>
                  </c:pt>
                  <c:pt idx="1148">
                    <c:v>0</c:v>
                  </c:pt>
                  <c:pt idx="1149">
                    <c:v>0</c:v>
                  </c:pt>
                  <c:pt idx="1150">
                    <c:v>0</c:v>
                  </c:pt>
                  <c:pt idx="1151">
                    <c:v>0</c:v>
                  </c:pt>
                  <c:pt idx="1152">
                    <c:v>0</c:v>
                  </c:pt>
                  <c:pt idx="1153">
                    <c:v>0</c:v>
                  </c:pt>
                  <c:pt idx="1154">
                    <c:v>0</c:v>
                  </c:pt>
                  <c:pt idx="1155">
                    <c:v>0</c:v>
                  </c:pt>
                  <c:pt idx="1156">
                    <c:v>0</c:v>
                  </c:pt>
                  <c:pt idx="1157">
                    <c:v>0</c:v>
                  </c:pt>
                  <c:pt idx="1158">
                    <c:v>0</c:v>
                  </c:pt>
                  <c:pt idx="1159">
                    <c:v>0</c:v>
                  </c:pt>
                  <c:pt idx="1160">
                    <c:v>0</c:v>
                  </c:pt>
                  <c:pt idx="1161">
                    <c:v>0</c:v>
                  </c:pt>
                  <c:pt idx="1162">
                    <c:v>0</c:v>
                  </c:pt>
                  <c:pt idx="1163">
                    <c:v>0</c:v>
                  </c:pt>
                  <c:pt idx="1164">
                    <c:v>0</c:v>
                  </c:pt>
                  <c:pt idx="1165">
                    <c:v>0</c:v>
                  </c:pt>
                  <c:pt idx="1166">
                    <c:v>0</c:v>
                  </c:pt>
                  <c:pt idx="1167">
                    <c:v>0</c:v>
                  </c:pt>
                  <c:pt idx="1168">
                    <c:v>0</c:v>
                  </c:pt>
                  <c:pt idx="1169">
                    <c:v>0</c:v>
                  </c:pt>
                  <c:pt idx="1170">
                    <c:v>0</c:v>
                  </c:pt>
                  <c:pt idx="1171">
                    <c:v>0</c:v>
                  </c:pt>
                  <c:pt idx="1172">
                    <c:v>0</c:v>
                  </c:pt>
                  <c:pt idx="1173">
                    <c:v>0</c:v>
                  </c:pt>
                  <c:pt idx="1174">
                    <c:v>0</c:v>
                  </c:pt>
                  <c:pt idx="1175">
                    <c:v>0</c:v>
                  </c:pt>
                  <c:pt idx="1176">
                    <c:v>0</c:v>
                  </c:pt>
                  <c:pt idx="1177">
                    <c:v>0</c:v>
                  </c:pt>
                  <c:pt idx="1178">
                    <c:v>0</c:v>
                  </c:pt>
                  <c:pt idx="1179">
                    <c:v>0</c:v>
                  </c:pt>
                  <c:pt idx="1180">
                    <c:v>0</c:v>
                  </c:pt>
                  <c:pt idx="1181">
                    <c:v>0</c:v>
                  </c:pt>
                  <c:pt idx="1182">
                    <c:v>0</c:v>
                  </c:pt>
                  <c:pt idx="1183">
                    <c:v>0</c:v>
                  </c:pt>
                  <c:pt idx="1184">
                    <c:v>0</c:v>
                  </c:pt>
                  <c:pt idx="1185">
                    <c:v>0</c:v>
                  </c:pt>
                  <c:pt idx="1186">
                    <c:v>0</c:v>
                  </c:pt>
                  <c:pt idx="1187">
                    <c:v>0</c:v>
                  </c:pt>
                  <c:pt idx="1188">
                    <c:v>0</c:v>
                  </c:pt>
                  <c:pt idx="1189">
                    <c:v>0</c:v>
                  </c:pt>
                  <c:pt idx="1190">
                    <c:v>0</c:v>
                  </c:pt>
                  <c:pt idx="1191">
                    <c:v>0</c:v>
                  </c:pt>
                  <c:pt idx="1192">
                    <c:v>0</c:v>
                  </c:pt>
                  <c:pt idx="1193">
                    <c:v>0</c:v>
                  </c:pt>
                  <c:pt idx="1194">
                    <c:v>0</c:v>
                  </c:pt>
                  <c:pt idx="1195">
                    <c:v>0</c:v>
                  </c:pt>
                  <c:pt idx="1196">
                    <c:v>0</c:v>
                  </c:pt>
                  <c:pt idx="1197">
                    <c:v>0</c:v>
                  </c:pt>
                  <c:pt idx="1198">
                    <c:v>0</c:v>
                  </c:pt>
                  <c:pt idx="1199">
                    <c:v>0</c:v>
                  </c:pt>
                  <c:pt idx="1200">
                    <c:v>0</c:v>
                  </c:pt>
                  <c:pt idx="1201">
                    <c:v>0</c:v>
                  </c:pt>
                  <c:pt idx="1202">
                    <c:v>0</c:v>
                  </c:pt>
                  <c:pt idx="1203">
                    <c:v>0</c:v>
                  </c:pt>
                  <c:pt idx="1204">
                    <c:v>0</c:v>
                  </c:pt>
                  <c:pt idx="1205">
                    <c:v>0</c:v>
                  </c:pt>
                  <c:pt idx="1206">
                    <c:v>0</c:v>
                  </c:pt>
                  <c:pt idx="1207">
                    <c:v>0</c:v>
                  </c:pt>
                  <c:pt idx="1208">
                    <c:v>0</c:v>
                  </c:pt>
                  <c:pt idx="1209">
                    <c:v>0</c:v>
                  </c:pt>
                  <c:pt idx="1210">
                    <c:v>0</c:v>
                  </c:pt>
                  <c:pt idx="1211">
                    <c:v>0</c:v>
                  </c:pt>
                  <c:pt idx="1212">
                    <c:v>0</c:v>
                  </c:pt>
                  <c:pt idx="1213">
                    <c:v>0</c:v>
                  </c:pt>
                  <c:pt idx="1214">
                    <c:v>0</c:v>
                  </c:pt>
                  <c:pt idx="1215">
                    <c:v>0</c:v>
                  </c:pt>
                  <c:pt idx="1216">
                    <c:v>0</c:v>
                  </c:pt>
                  <c:pt idx="1217">
                    <c:v>0</c:v>
                  </c:pt>
                  <c:pt idx="1218">
                    <c:v>0</c:v>
                  </c:pt>
                  <c:pt idx="1219">
                    <c:v>0</c:v>
                  </c:pt>
                  <c:pt idx="1220">
                    <c:v>0</c:v>
                  </c:pt>
                  <c:pt idx="1221">
                    <c:v>0</c:v>
                  </c:pt>
                  <c:pt idx="1222">
                    <c:v>0</c:v>
                  </c:pt>
                  <c:pt idx="1223">
                    <c:v>0</c:v>
                  </c:pt>
                  <c:pt idx="1224">
                    <c:v>0</c:v>
                  </c:pt>
                  <c:pt idx="1225">
                    <c:v>0</c:v>
                  </c:pt>
                  <c:pt idx="1226">
                    <c:v>0</c:v>
                  </c:pt>
                  <c:pt idx="1227">
                    <c:v>0</c:v>
                  </c:pt>
                  <c:pt idx="1228">
                    <c:v>0</c:v>
                  </c:pt>
                  <c:pt idx="1229">
                    <c:v>0</c:v>
                  </c:pt>
                  <c:pt idx="1230">
                    <c:v>0</c:v>
                  </c:pt>
                  <c:pt idx="1231">
                    <c:v>0</c:v>
                  </c:pt>
                  <c:pt idx="1232">
                    <c:v>0</c:v>
                  </c:pt>
                  <c:pt idx="1233">
                    <c:v>0</c:v>
                  </c:pt>
                  <c:pt idx="1234">
                    <c:v>0</c:v>
                  </c:pt>
                  <c:pt idx="1235">
                    <c:v>0</c:v>
                  </c:pt>
                  <c:pt idx="1236">
                    <c:v>0</c:v>
                  </c:pt>
                  <c:pt idx="1237">
                    <c:v>0</c:v>
                  </c:pt>
                  <c:pt idx="1238">
                    <c:v>0</c:v>
                  </c:pt>
                  <c:pt idx="1239">
                    <c:v>0</c:v>
                  </c:pt>
                  <c:pt idx="1240">
                    <c:v>0</c:v>
                  </c:pt>
                  <c:pt idx="1241">
                    <c:v>0</c:v>
                  </c:pt>
                  <c:pt idx="1242">
                    <c:v>0</c:v>
                  </c:pt>
                  <c:pt idx="1243">
                    <c:v>0</c:v>
                  </c:pt>
                  <c:pt idx="1244">
                    <c:v>0</c:v>
                  </c:pt>
                  <c:pt idx="1245">
                    <c:v>0</c:v>
                  </c:pt>
                  <c:pt idx="1246">
                    <c:v>0</c:v>
                  </c:pt>
                  <c:pt idx="1247">
                    <c:v>0</c:v>
                  </c:pt>
                  <c:pt idx="1248">
                    <c:v>0</c:v>
                  </c:pt>
                  <c:pt idx="1249">
                    <c:v>0</c:v>
                  </c:pt>
                  <c:pt idx="1250">
                    <c:v>0</c:v>
                  </c:pt>
                  <c:pt idx="1251">
                    <c:v>0</c:v>
                  </c:pt>
                  <c:pt idx="1252">
                    <c:v>0</c:v>
                  </c:pt>
                  <c:pt idx="1253">
                    <c:v>0</c:v>
                  </c:pt>
                  <c:pt idx="1254">
                    <c:v>0</c:v>
                  </c:pt>
                  <c:pt idx="1255">
                    <c:v>0</c:v>
                  </c:pt>
                  <c:pt idx="1256">
                    <c:v>0</c:v>
                  </c:pt>
                  <c:pt idx="1257">
                    <c:v>0</c:v>
                  </c:pt>
                  <c:pt idx="1258">
                    <c:v>0</c:v>
                  </c:pt>
                  <c:pt idx="1259">
                    <c:v>0</c:v>
                  </c:pt>
                  <c:pt idx="1260">
                    <c:v>0</c:v>
                  </c:pt>
                  <c:pt idx="1261">
                    <c:v>0</c:v>
                  </c:pt>
                  <c:pt idx="1262">
                    <c:v>0</c:v>
                  </c:pt>
                  <c:pt idx="1263">
                    <c:v>0</c:v>
                  </c:pt>
                  <c:pt idx="1264">
                    <c:v>0</c:v>
                  </c:pt>
                  <c:pt idx="1265">
                    <c:v>0</c:v>
                  </c:pt>
                  <c:pt idx="1266">
                    <c:v>0</c:v>
                  </c:pt>
                  <c:pt idx="1267">
                    <c:v>0</c:v>
                  </c:pt>
                  <c:pt idx="1268">
                    <c:v>0</c:v>
                  </c:pt>
                  <c:pt idx="1269">
                    <c:v>0</c:v>
                  </c:pt>
                  <c:pt idx="1270">
                    <c:v>0</c:v>
                  </c:pt>
                  <c:pt idx="1271">
                    <c:v>0</c:v>
                  </c:pt>
                  <c:pt idx="1272">
                    <c:v>0</c:v>
                  </c:pt>
                  <c:pt idx="1273">
                    <c:v>0</c:v>
                  </c:pt>
                  <c:pt idx="1274">
                    <c:v>0</c:v>
                  </c:pt>
                  <c:pt idx="1275">
                    <c:v>0</c:v>
                  </c:pt>
                  <c:pt idx="1276">
                    <c:v>0</c:v>
                  </c:pt>
                  <c:pt idx="1277">
                    <c:v>0</c:v>
                  </c:pt>
                  <c:pt idx="1278">
                    <c:v>0</c:v>
                  </c:pt>
                  <c:pt idx="1279">
                    <c:v>0</c:v>
                  </c:pt>
                  <c:pt idx="1280">
                    <c:v>0</c:v>
                  </c:pt>
                  <c:pt idx="1281">
                    <c:v>0</c:v>
                  </c:pt>
                  <c:pt idx="1282">
                    <c:v>0</c:v>
                  </c:pt>
                  <c:pt idx="1283">
                    <c:v>0</c:v>
                  </c:pt>
                  <c:pt idx="1284">
                    <c:v>0</c:v>
                  </c:pt>
                  <c:pt idx="1285">
                    <c:v>0</c:v>
                  </c:pt>
                  <c:pt idx="1286">
                    <c:v>0</c:v>
                  </c:pt>
                  <c:pt idx="1287">
                    <c:v>0</c:v>
                  </c:pt>
                  <c:pt idx="1288">
                    <c:v>0</c:v>
                  </c:pt>
                  <c:pt idx="1289">
                    <c:v>0</c:v>
                  </c:pt>
                  <c:pt idx="1290">
                    <c:v>0</c:v>
                  </c:pt>
                  <c:pt idx="1291">
                    <c:v>0</c:v>
                  </c:pt>
                  <c:pt idx="1292">
                    <c:v>0</c:v>
                  </c:pt>
                  <c:pt idx="1293">
                    <c:v>0</c:v>
                  </c:pt>
                  <c:pt idx="1294">
                    <c:v>0</c:v>
                  </c:pt>
                  <c:pt idx="1295">
                    <c:v>0</c:v>
                  </c:pt>
                  <c:pt idx="1296">
                    <c:v>0</c:v>
                  </c:pt>
                  <c:pt idx="1297">
                    <c:v>0</c:v>
                  </c:pt>
                  <c:pt idx="1298">
                    <c:v>0</c:v>
                  </c:pt>
                  <c:pt idx="1299">
                    <c:v>0</c:v>
                  </c:pt>
                  <c:pt idx="1300">
                    <c:v>0</c:v>
                  </c:pt>
                  <c:pt idx="1301">
                    <c:v>0</c:v>
                  </c:pt>
                  <c:pt idx="1302">
                    <c:v>0</c:v>
                  </c:pt>
                  <c:pt idx="1303">
                    <c:v>0</c:v>
                  </c:pt>
                  <c:pt idx="1304">
                    <c:v>0</c:v>
                  </c:pt>
                  <c:pt idx="1305">
                    <c:v>0</c:v>
                  </c:pt>
                  <c:pt idx="1306">
                    <c:v>0</c:v>
                  </c:pt>
                  <c:pt idx="1307">
                    <c:v>0</c:v>
                  </c:pt>
                  <c:pt idx="1308">
                    <c:v>0</c:v>
                  </c:pt>
                  <c:pt idx="1309">
                    <c:v>0</c:v>
                  </c:pt>
                  <c:pt idx="1310">
                    <c:v>0</c:v>
                  </c:pt>
                  <c:pt idx="1311">
                    <c:v>0</c:v>
                  </c:pt>
                  <c:pt idx="1312">
                    <c:v>0</c:v>
                  </c:pt>
                  <c:pt idx="1313">
                    <c:v>0</c:v>
                  </c:pt>
                  <c:pt idx="1314">
                    <c:v>0</c:v>
                  </c:pt>
                  <c:pt idx="1315">
                    <c:v>0</c:v>
                  </c:pt>
                  <c:pt idx="1316">
                    <c:v>0</c:v>
                  </c:pt>
                  <c:pt idx="1317">
                    <c:v>0</c:v>
                  </c:pt>
                  <c:pt idx="1318">
                    <c:v>0</c:v>
                  </c:pt>
                  <c:pt idx="1319">
                    <c:v>0</c:v>
                  </c:pt>
                  <c:pt idx="1320">
                    <c:v>0</c:v>
                  </c:pt>
                  <c:pt idx="1321">
                    <c:v>0</c:v>
                  </c:pt>
                  <c:pt idx="1322">
                    <c:v>0</c:v>
                  </c:pt>
                  <c:pt idx="1323">
                    <c:v>0</c:v>
                  </c:pt>
                  <c:pt idx="1324">
                    <c:v>0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0</c:v>
                  </c:pt>
                  <c:pt idx="1329">
                    <c:v>0</c:v>
                  </c:pt>
                  <c:pt idx="1330">
                    <c:v>0</c:v>
                  </c:pt>
                  <c:pt idx="1331">
                    <c:v>0</c:v>
                  </c:pt>
                  <c:pt idx="1332">
                    <c:v>0</c:v>
                  </c:pt>
                  <c:pt idx="1333">
                    <c:v>0</c:v>
                  </c:pt>
                  <c:pt idx="1334">
                    <c:v>0</c:v>
                  </c:pt>
                  <c:pt idx="1335">
                    <c:v>0</c:v>
                  </c:pt>
                  <c:pt idx="1336">
                    <c:v>0</c:v>
                  </c:pt>
                  <c:pt idx="1337">
                    <c:v>0</c:v>
                  </c:pt>
                  <c:pt idx="1338">
                    <c:v>0</c:v>
                  </c:pt>
                  <c:pt idx="1339">
                    <c:v>0</c:v>
                  </c:pt>
                  <c:pt idx="1340">
                    <c:v>0</c:v>
                  </c:pt>
                  <c:pt idx="1341">
                    <c:v>0</c:v>
                  </c:pt>
                  <c:pt idx="1342">
                    <c:v>0</c:v>
                  </c:pt>
                  <c:pt idx="1343">
                    <c:v>0</c:v>
                  </c:pt>
                  <c:pt idx="1344">
                    <c:v>0</c:v>
                  </c:pt>
                  <c:pt idx="1345">
                    <c:v>0</c:v>
                  </c:pt>
                  <c:pt idx="1346">
                    <c:v>0</c:v>
                  </c:pt>
                  <c:pt idx="1347">
                    <c:v>0</c:v>
                  </c:pt>
                  <c:pt idx="1348">
                    <c:v>0</c:v>
                  </c:pt>
                  <c:pt idx="1349">
                    <c:v>0</c:v>
                  </c:pt>
                  <c:pt idx="1350">
                    <c:v>0</c:v>
                  </c:pt>
                  <c:pt idx="1351">
                    <c:v>0</c:v>
                  </c:pt>
                  <c:pt idx="1352">
                    <c:v>0</c:v>
                  </c:pt>
                  <c:pt idx="1353">
                    <c:v>0</c:v>
                  </c:pt>
                  <c:pt idx="1354">
                    <c:v>0</c:v>
                  </c:pt>
                  <c:pt idx="1355">
                    <c:v>0</c:v>
                  </c:pt>
                  <c:pt idx="1356">
                    <c:v>0</c:v>
                  </c:pt>
                  <c:pt idx="1357">
                    <c:v>0</c:v>
                  </c:pt>
                  <c:pt idx="1358">
                    <c:v>0</c:v>
                  </c:pt>
                  <c:pt idx="1359">
                    <c:v>0</c:v>
                  </c:pt>
                  <c:pt idx="1360">
                    <c:v>0</c:v>
                  </c:pt>
                  <c:pt idx="1361">
                    <c:v>0</c:v>
                  </c:pt>
                  <c:pt idx="1362">
                    <c:v>0</c:v>
                  </c:pt>
                  <c:pt idx="1363">
                    <c:v>0</c:v>
                  </c:pt>
                  <c:pt idx="1364">
                    <c:v>0</c:v>
                  </c:pt>
                  <c:pt idx="1365">
                    <c:v>0</c:v>
                  </c:pt>
                  <c:pt idx="1366">
                    <c:v>0</c:v>
                  </c:pt>
                  <c:pt idx="1367">
                    <c:v>0</c:v>
                  </c:pt>
                  <c:pt idx="1368">
                    <c:v>0</c:v>
                  </c:pt>
                  <c:pt idx="1369">
                    <c:v>0</c:v>
                  </c:pt>
                  <c:pt idx="1370">
                    <c:v>0</c:v>
                  </c:pt>
                  <c:pt idx="1371">
                    <c:v>0</c:v>
                  </c:pt>
                  <c:pt idx="1372">
                    <c:v>0</c:v>
                  </c:pt>
                  <c:pt idx="1373">
                    <c:v>0</c:v>
                  </c:pt>
                  <c:pt idx="1374">
                    <c:v>0</c:v>
                  </c:pt>
                  <c:pt idx="1375">
                    <c:v>0</c:v>
                  </c:pt>
                  <c:pt idx="1376">
                    <c:v>0</c:v>
                  </c:pt>
                  <c:pt idx="1377">
                    <c:v>0</c:v>
                  </c:pt>
                  <c:pt idx="1378">
                    <c:v>0</c:v>
                  </c:pt>
                  <c:pt idx="1379">
                    <c:v>0</c:v>
                  </c:pt>
                  <c:pt idx="1380">
                    <c:v>0</c:v>
                  </c:pt>
                  <c:pt idx="1381">
                    <c:v>0</c:v>
                  </c:pt>
                  <c:pt idx="1382">
                    <c:v>0</c:v>
                  </c:pt>
                  <c:pt idx="1383">
                    <c:v>0</c:v>
                  </c:pt>
                  <c:pt idx="1384">
                    <c:v>0</c:v>
                  </c:pt>
                  <c:pt idx="1385">
                    <c:v>0</c:v>
                  </c:pt>
                  <c:pt idx="1386">
                    <c:v>0</c:v>
                  </c:pt>
                  <c:pt idx="1387">
                    <c:v>0</c:v>
                  </c:pt>
                  <c:pt idx="1388">
                    <c:v>0</c:v>
                  </c:pt>
                  <c:pt idx="1389">
                    <c:v>0</c:v>
                  </c:pt>
                  <c:pt idx="1390">
                    <c:v>0</c:v>
                  </c:pt>
                  <c:pt idx="1391">
                    <c:v>0</c:v>
                  </c:pt>
                  <c:pt idx="1392">
                    <c:v>0</c:v>
                  </c:pt>
                  <c:pt idx="1393">
                    <c:v>0</c:v>
                  </c:pt>
                  <c:pt idx="1394">
                    <c:v>0</c:v>
                  </c:pt>
                  <c:pt idx="1395">
                    <c:v>0</c:v>
                  </c:pt>
                  <c:pt idx="1396">
                    <c:v>0</c:v>
                  </c:pt>
                  <c:pt idx="1397">
                    <c:v>0</c:v>
                  </c:pt>
                  <c:pt idx="1398">
                    <c:v>0</c:v>
                  </c:pt>
                  <c:pt idx="1399">
                    <c:v>0</c:v>
                  </c:pt>
                  <c:pt idx="1400">
                    <c:v>0</c:v>
                  </c:pt>
                  <c:pt idx="1401">
                    <c:v>0</c:v>
                  </c:pt>
                  <c:pt idx="1402">
                    <c:v>0</c:v>
                  </c:pt>
                  <c:pt idx="1403">
                    <c:v>0</c:v>
                  </c:pt>
                  <c:pt idx="1404">
                    <c:v>0</c:v>
                  </c:pt>
                  <c:pt idx="1405">
                    <c:v>0</c:v>
                  </c:pt>
                  <c:pt idx="1406">
                    <c:v>0</c:v>
                  </c:pt>
                  <c:pt idx="1407">
                    <c:v>0</c:v>
                  </c:pt>
                  <c:pt idx="1408">
                    <c:v>0</c:v>
                  </c:pt>
                  <c:pt idx="1409">
                    <c:v>0</c:v>
                  </c:pt>
                  <c:pt idx="1410">
                    <c:v>0</c:v>
                  </c:pt>
                  <c:pt idx="1411">
                    <c:v>0</c:v>
                  </c:pt>
                  <c:pt idx="1412">
                    <c:v>0</c:v>
                  </c:pt>
                  <c:pt idx="1413">
                    <c:v>0</c:v>
                  </c:pt>
                  <c:pt idx="1414">
                    <c:v>0</c:v>
                  </c:pt>
                  <c:pt idx="1415">
                    <c:v>0</c:v>
                  </c:pt>
                  <c:pt idx="1416">
                    <c:v>0</c:v>
                  </c:pt>
                  <c:pt idx="1417">
                    <c:v>0</c:v>
                  </c:pt>
                  <c:pt idx="1418">
                    <c:v>0</c:v>
                  </c:pt>
                  <c:pt idx="1419">
                    <c:v>0</c:v>
                  </c:pt>
                  <c:pt idx="1420">
                    <c:v>0</c:v>
                  </c:pt>
                  <c:pt idx="1421">
                    <c:v>0</c:v>
                  </c:pt>
                  <c:pt idx="1422">
                    <c:v>0</c:v>
                  </c:pt>
                  <c:pt idx="1423">
                    <c:v>0</c:v>
                  </c:pt>
                  <c:pt idx="1424">
                    <c:v>0</c:v>
                  </c:pt>
                  <c:pt idx="1425">
                    <c:v>0</c:v>
                  </c:pt>
                  <c:pt idx="1426">
                    <c:v>0</c:v>
                  </c:pt>
                  <c:pt idx="1427">
                    <c:v>0</c:v>
                  </c:pt>
                  <c:pt idx="1428">
                    <c:v>0</c:v>
                  </c:pt>
                  <c:pt idx="1429">
                    <c:v>0</c:v>
                  </c:pt>
                  <c:pt idx="1430">
                    <c:v>0</c:v>
                  </c:pt>
                  <c:pt idx="1431">
                    <c:v>0</c:v>
                  </c:pt>
                  <c:pt idx="1432">
                    <c:v>0</c:v>
                  </c:pt>
                  <c:pt idx="1433">
                    <c:v>0</c:v>
                  </c:pt>
                  <c:pt idx="1434">
                    <c:v>0</c:v>
                  </c:pt>
                  <c:pt idx="1435">
                    <c:v>0</c:v>
                  </c:pt>
                  <c:pt idx="1436">
                    <c:v>0</c:v>
                  </c:pt>
                  <c:pt idx="1437">
                    <c:v>0</c:v>
                  </c:pt>
                  <c:pt idx="1438">
                    <c:v>0</c:v>
                  </c:pt>
                  <c:pt idx="1439">
                    <c:v>0</c:v>
                  </c:pt>
                </c:numCache>
              </c:numRef>
            </c:minus>
            <c:spPr>
              <a:ln w="15875" cap="flat">
                <a:solidFill>
                  <a:srgbClr val="C55A11"/>
                </a:solidFill>
              </a:ln>
            </c:spPr>
          </c:errBars>
          <c:xVal>
            <c:numRef>
              <c:f>ChartData!$CI$7:$CI$1446</c:f>
              <c:numCache>
                <c:formatCode>General</c:formatCode>
                <c:ptCount val="14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</c:numCache>
            </c:numRef>
          </c:xVal>
          <c:yVal>
            <c:numRef>
              <c:f>ChartData!$CJ$7:$CJ$1446</c:f>
              <c:numCache>
                <c:formatCode>General</c:formatCode>
                <c:ptCount val="14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31D-4B0F-BBD0-858F9096381F}"/>
            </c:ext>
          </c:extLst>
        </c:ser>
        <c:ser>
          <c:idx val="9"/>
          <c:order val="9"/>
          <c:tx>
            <c:v>Heads gc</c:v>
          </c:tx>
          <c:spPr>
            <a:ln>
              <a:noFill/>
              <a:prstDash val="solid"/>
            </a:ln>
          </c:spPr>
          <c:marker>
            <c:symbol val="none"/>
          </c:marker>
          <c:errBars>
            <c:errDir val="x"/>
            <c:errBarType val="plus"/>
            <c:errValType val="fixedVal"/>
            <c:noEndCap val="1"/>
            <c:val val="3"/>
            <c:spPr>
              <a:ln w="15875" cap="flat">
                <a:solidFill>
                  <a:srgbClr val="C55A11"/>
                </a:solidFill>
                <a:prstDash val="solid"/>
                <a:tailEnd type="triangle" w="med" len="med"/>
              </a:ln>
            </c:spPr>
          </c:errBars>
          <c:xVal>
            <c:numRef>
              <c:f>ChartData!$AX$7:$AX$486</c:f>
              <c:numCache>
                <c:formatCode>General</c:formatCode>
                <c:ptCount val="4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</c:numCache>
            </c:numRef>
          </c:xVal>
          <c:yVal>
            <c:numRef>
              <c:f>ChartData!$AY$7:$AY$486</c:f>
              <c:numCache>
                <c:formatCode>General</c:formatCode>
                <c:ptCount val="4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31D-4B0F-BBD0-858F9096381F}"/>
            </c:ext>
          </c:extLst>
        </c:ser>
        <c:ser>
          <c:idx val="10"/>
          <c:order val="10"/>
          <c:tx>
            <c:v>Today</c:v>
          </c:tx>
          <c:spPr>
            <a:ln w="15875" cap="flat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ChartData!$J$3:$K$3</c:f>
              <c:numCache>
                <c:formatCode>General</c:formatCode>
                <c:ptCount val="2"/>
                <c:pt idx="0">
                  <c:v>269.5</c:v>
                </c:pt>
                <c:pt idx="1">
                  <c:v>269.5</c:v>
                </c:pt>
              </c:numCache>
            </c:numRef>
          </c:xVal>
          <c:yVal>
            <c:numRef>
              <c:f>ChartData!$J$4:$K$4</c:f>
              <c:numCache>
                <c:formatCode>General</c:formatCode>
                <c:ptCount val="2"/>
                <c:pt idx="0">
                  <c:v>-1.2</c:v>
                </c:pt>
                <c:pt idx="1">
                  <c:v>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31D-4B0F-BBD0-858F9096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336"/>
          <c:min val="0"/>
        </c:scaling>
        <c:delete val="0"/>
        <c:axPos val="t"/>
        <c:majorGridlines>
          <c:spPr>
            <a:ln w="3175">
              <a:solidFill>
                <a:srgbClr val="E3E3E3"/>
              </a:solidFill>
              <a:prstDash val="solid"/>
            </a:ln>
          </c:spPr>
        </c:majorGridlines>
        <c:numFmt formatCode="0" sourceLinked="0"/>
        <c:majorTickMark val="none"/>
        <c:minorTickMark val="none"/>
        <c:tickLblPos val="none"/>
        <c:spPr>
          <a:ln>
            <a:noFill/>
            <a:prstDash val="solid"/>
          </a:ln>
        </c:spPr>
        <c:crossAx val="20"/>
        <c:crosses val="min"/>
        <c:crossBetween val="midCat"/>
        <c:majorUnit val="7"/>
      </c:valAx>
      <c:valAx>
        <c:axId val="20"/>
        <c:scaling>
          <c:orientation val="maxMin"/>
          <c:min val="-1.5"/>
        </c:scaling>
        <c:delete val="0"/>
        <c:axPos val="l"/>
        <c:majorGridlines>
          <c:spPr>
            <a:ln w="3175">
              <a:solidFill>
                <a:srgbClr val="F0F0F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>
            <a:noFill/>
            <a:prstDash val="solid"/>
          </a:ln>
        </c:spPr>
        <c:crossAx val="10"/>
        <c:crosses val="min"/>
        <c:crossBetween val="midCat"/>
        <c:majorUnit val="1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2" fmlaLink="$AC$4" horiz="1" max="1" page="48" val="0"/>
</file>

<file path=xl/ctrlProps/ctrlProp2.xml><?xml version="1.0" encoding="utf-8"?>
<formControlPr xmlns="http://schemas.microsoft.com/office/spreadsheetml/2009/9/main" objectType="Scroll" dx="22" fmlaLink="$AC$4" horiz="1" max="1" page="48" val="0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57</xdr:col>
      <xdr:colOff>0</xdr:colOff>
      <xdr:row>35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35</xdr:row>
          <xdr:rowOff>38100</xdr:rowOff>
        </xdr:from>
        <xdr:to>
          <xdr:col>56</xdr:col>
          <xdr:colOff>137160</xdr:colOff>
          <xdr:row>35</xdr:row>
          <xdr:rowOff>266700</xdr:rowOff>
        </xdr:to>
        <xdr:sp macro="" textlink="">
          <xdr:nvSpPr>
            <xdr:cNvPr id="1100" name="Scroll Bar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30480</xdr:colOff>
          <xdr:row>3</xdr:row>
          <xdr:rowOff>30480</xdr:rowOff>
        </xdr:from>
        <xdr:to>
          <xdr:col>56</xdr:col>
          <xdr:colOff>137160</xdr:colOff>
          <xdr:row>3</xdr:row>
          <xdr:rowOff>213360</xdr:rowOff>
        </xdr:to>
        <xdr:sp macro="" textlink="">
          <xdr:nvSpPr>
            <xdr:cNvPr id="1101" name="Scroll Bar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</xdr:colOff>
          <xdr:row>4</xdr:row>
          <xdr:rowOff>22860</xdr:rowOff>
        </xdr:from>
        <xdr:to>
          <xdr:col>30</xdr:col>
          <xdr:colOff>0</xdr:colOff>
          <xdr:row>4</xdr:row>
          <xdr:rowOff>220980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</xdr:row>
      <xdr:rowOff>0</xdr:rowOff>
    </xdr:from>
    <xdr:ext cx="15120000" cy="86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anttPlan" displayName="GanttPlan" ref="A7:CB35" headerRowCount="0">
  <tableColumns count="80">
    <tableColumn id="1" xr3:uid="{00000000-0010-0000-0000-000001000000}" name="WBS"/>
    <tableColumn id="2" xr3:uid="{00000000-0010-0000-0000-000002000000}" name="Task"/>
    <tableColumn id="3" xr3:uid="{00000000-0010-0000-0000-000003000000}" name="Start">
      <calculatedColumnFormula>IF($A7="","",IF(BM7=1,MIN(C8:INDEX($C:$C,BS7)),BO7))</calculatedColumnFormula>
    </tableColumn>
    <tableColumn id="4" xr3:uid="{00000000-0010-0000-0000-000004000000}" name="Finish">
      <calculatedColumnFormula>IF($A7="","",IF(BM7=1,MAX(D8:INDEX($D:$D,BS7)),IF(C7="","",IF(N($I7)&lt;=0,C7,WORKDAY(C7,$I7)))))</calculatedColumnFormula>
    </tableColumn>
    <tableColumn id="5" xr3:uid="{00000000-0010-0000-0000-000005000000}" name="Duration">
      <calculatedColumnFormula>IF(OR(C7="",D7=""),"",IF(D7=C7,"0d",TEXT(NETWORKDAYS(C7,D7)-1,"0")&amp;"d"))</calculatedColumnFormula>
    </tableColumn>
    <tableColumn id="6" xr3:uid="{00000000-0010-0000-0000-000006000000}" name="Progress" dataDxfId="5">
      <calculatedColumnFormula>IFERROR(SUMPRODUCT((BM8:INDEX($BM:$BM,$BS7)=0)*F8:INDEX($F:$F,$BS7)*(I8:INDEX($I:$I,$BS7)+1))/SUMPRODUCT((BM8:INDEX($BM:$BM,$BS7)=0)*(I8:INDEX($I:$I,$BS7)+1)),0)</calculatedColumnFormula>
    </tableColumn>
    <tableColumn id="7" xr3:uid="{00000000-0010-0000-0000-000007000000}" name="Pred"/>
    <tableColumn id="8" xr3:uid="{00000000-0010-0000-0000-000008000000}" name="Lag"/>
    <tableColumn id="9" xr3:uid="{00000000-0010-0000-0000-000009000000}" name="Days"/>
    <tableColumn id="10" xr3:uid="{00000000-0010-0000-0000-00000A000000}" name="W01">
      <calculatedColumnFormula>IF($C7="","",IF(AND(J$6&lt;=$D7,K$6&gt;$C7),IF($C7=$D7,"◆",1),""))</calculatedColumnFormula>
    </tableColumn>
    <tableColumn id="11" xr3:uid="{00000000-0010-0000-0000-00000B000000}" name="W02">
      <calculatedColumnFormula>IF($C7="","",IF(AND(K$6&lt;=$D7,L$6&gt;$C7),IF($C7=$D7,"◆",1),""))</calculatedColumnFormula>
    </tableColumn>
    <tableColumn id="12" xr3:uid="{00000000-0010-0000-0000-00000C000000}" name="W03">
      <calculatedColumnFormula>IF($C7="","",IF(AND(L$6&lt;=$D7,M$6&gt;$C7),IF($C7=$D7,"◆",1),""))</calculatedColumnFormula>
    </tableColumn>
    <tableColumn id="13" xr3:uid="{00000000-0010-0000-0000-00000D000000}" name="W04">
      <calculatedColumnFormula>IF($C7="","",IF(AND(M$6&lt;=$D7,N$6&gt;$C7),IF($C7=$D7,"◆",1),""))</calculatedColumnFormula>
    </tableColumn>
    <tableColumn id="14" xr3:uid="{00000000-0010-0000-0000-00000E000000}" name="W05">
      <calculatedColumnFormula>IF($C7="","",IF(AND(N$6&lt;=$D7,O$6&gt;$C7),IF($C7=$D7,"◆",1),""))</calculatedColumnFormula>
    </tableColumn>
    <tableColumn id="15" xr3:uid="{00000000-0010-0000-0000-00000F000000}" name="W06">
      <calculatedColumnFormula>IF($C7="","",IF(AND(O$6&lt;=$D7,P$6&gt;$C7),IF($C7=$D7,"◆",1),""))</calculatedColumnFormula>
    </tableColumn>
    <tableColumn id="16" xr3:uid="{00000000-0010-0000-0000-000010000000}" name="W07">
      <calculatedColumnFormula>IF($C7="","",IF(AND(P$6&lt;=$D7,Q$6&gt;$C7),IF($C7=$D7,"◆",1),""))</calculatedColumnFormula>
    </tableColumn>
    <tableColumn id="17" xr3:uid="{00000000-0010-0000-0000-000011000000}" name="W08">
      <calculatedColumnFormula>IF($C7="","",IF(AND(Q$6&lt;=$D7,R$6&gt;$C7),IF($C7=$D7,"◆",1),""))</calculatedColumnFormula>
    </tableColumn>
    <tableColumn id="18" xr3:uid="{00000000-0010-0000-0000-000012000000}" name="W09">
      <calculatedColumnFormula>IF($C7="","",IF(AND(R$6&lt;=$D7,S$6&gt;$C7),IF($C7=$D7,"◆",1),""))</calculatedColumnFormula>
    </tableColumn>
    <tableColumn id="19" xr3:uid="{00000000-0010-0000-0000-000013000000}" name="W10">
      <calculatedColumnFormula>IF($C7="","",IF(AND(S$6&lt;=$D7,T$6&gt;$C7),IF($C7=$D7,"◆",1),""))</calculatedColumnFormula>
    </tableColumn>
    <tableColumn id="20" xr3:uid="{00000000-0010-0000-0000-000014000000}" name="W11">
      <calculatedColumnFormula>IF($C7="","",IF(AND(T$6&lt;=$D7,U$6&gt;$C7),IF($C7=$D7,"◆",1),""))</calculatedColumnFormula>
    </tableColumn>
    <tableColumn id="21" xr3:uid="{00000000-0010-0000-0000-000015000000}" name="W12">
      <calculatedColumnFormula>IF($C7="","",IF(AND(U$6&lt;=$D7,V$6&gt;$C7),IF($C7=$D7,"◆",1),""))</calculatedColumnFormula>
    </tableColumn>
    <tableColumn id="22" xr3:uid="{00000000-0010-0000-0000-000016000000}" name="W13">
      <calculatedColumnFormula>IF($C7="","",IF(AND(V$6&lt;=$D7,W$6&gt;$C7),IF($C7=$D7,"◆",1),""))</calculatedColumnFormula>
    </tableColumn>
    <tableColumn id="23" xr3:uid="{00000000-0010-0000-0000-000017000000}" name="W14">
      <calculatedColumnFormula>IF($C7="","",IF(AND(W$6&lt;=$D7,X$6&gt;$C7),IF($C7=$D7,"◆",1),""))</calculatedColumnFormula>
    </tableColumn>
    <tableColumn id="24" xr3:uid="{00000000-0010-0000-0000-000018000000}" name="W15">
      <calculatedColumnFormula>IF($C7="","",IF(AND(X$6&lt;=$D7,Y$6&gt;$C7),IF($C7=$D7,"◆",1),""))</calculatedColumnFormula>
    </tableColumn>
    <tableColumn id="25" xr3:uid="{00000000-0010-0000-0000-000019000000}" name="W16">
      <calculatedColumnFormula>IF($C7="","",IF(AND(Y$6&lt;=$D7,Z$6&gt;$C7),IF($C7=$D7,"◆",1),""))</calculatedColumnFormula>
    </tableColumn>
    <tableColumn id="26" xr3:uid="{00000000-0010-0000-0000-00001A000000}" name="W17">
      <calculatedColumnFormula>IF($C7="","",IF(AND(Z$6&lt;=$D7,AA$6&gt;$C7),IF($C7=$D7,"◆",1),""))</calculatedColumnFormula>
    </tableColumn>
    <tableColumn id="27" xr3:uid="{00000000-0010-0000-0000-00001B000000}" name="W18">
      <calculatedColumnFormula>IF($C7="","",IF(AND(AA$6&lt;=$D7,AB$6&gt;$C7),IF($C7=$D7,"◆",1),""))</calculatedColumnFormula>
    </tableColumn>
    <tableColumn id="28" xr3:uid="{00000000-0010-0000-0000-00001C000000}" name="W19">
      <calculatedColumnFormula>IF($C7="","",IF(AND(AB$6&lt;=$D7,AC$6&gt;$C7),IF($C7=$D7,"◆",1),""))</calculatedColumnFormula>
    </tableColumn>
    <tableColumn id="29" xr3:uid="{00000000-0010-0000-0000-00001D000000}" name="W20">
      <calculatedColumnFormula>IF($C7="","",IF(AND(AC$6&lt;=$D7,AD$6&gt;$C7),IF($C7=$D7,"◆",1),""))</calculatedColumnFormula>
    </tableColumn>
    <tableColumn id="30" xr3:uid="{00000000-0010-0000-0000-00001E000000}" name="W21">
      <calculatedColumnFormula>IF($C7="","",IF(AND(AD$6&lt;=$D7,AE$6&gt;$C7),IF($C7=$D7,"◆",1),""))</calculatedColumnFormula>
    </tableColumn>
    <tableColumn id="31" xr3:uid="{00000000-0010-0000-0000-00001F000000}" name="W22">
      <calculatedColumnFormula>IF($C7="","",IF(AND(AE$6&lt;=$D7,AF$6&gt;$C7),IF($C7=$D7,"◆",1),""))</calculatedColumnFormula>
    </tableColumn>
    <tableColumn id="32" xr3:uid="{00000000-0010-0000-0000-000020000000}" name="W23">
      <calculatedColumnFormula>IF($C7="","",IF(AND(AF$6&lt;=$D7,AG$6&gt;$C7),IF($C7=$D7,"◆",1),""))</calculatedColumnFormula>
    </tableColumn>
    <tableColumn id="33" xr3:uid="{00000000-0010-0000-0000-000021000000}" name="W24">
      <calculatedColumnFormula>IF($C7="","",IF(AND(AG$6&lt;=$D7,AH$6&gt;$C7),IF($C7=$D7,"◆",1),""))</calculatedColumnFormula>
    </tableColumn>
    <tableColumn id="34" xr3:uid="{00000000-0010-0000-0000-000022000000}" name="W25">
      <calculatedColumnFormula>IF($C7="","",IF(AND(AH$6&lt;=$D7,AI$6&gt;$C7),IF($C7=$D7,"◆",1),""))</calculatedColumnFormula>
    </tableColumn>
    <tableColumn id="35" xr3:uid="{00000000-0010-0000-0000-000023000000}" name="W26">
      <calculatedColumnFormula>IF($C7="","",IF(AND(AI$6&lt;=$D7,AJ$6&gt;$C7),IF($C7=$D7,"◆",1),""))</calculatedColumnFormula>
    </tableColumn>
    <tableColumn id="36" xr3:uid="{00000000-0010-0000-0000-000024000000}" name="W27">
      <calculatedColumnFormula>IF($C7="","",IF(AND(AJ$6&lt;=$D7,AK$6&gt;$C7),IF($C7=$D7,"◆",1),""))</calculatedColumnFormula>
    </tableColumn>
    <tableColumn id="37" xr3:uid="{00000000-0010-0000-0000-000025000000}" name="W28">
      <calculatedColumnFormula>IF($C7="","",IF(AND(AK$6&lt;=$D7,AL$6&gt;$C7),IF($C7=$D7,"◆",1),""))</calculatedColumnFormula>
    </tableColumn>
    <tableColumn id="38" xr3:uid="{00000000-0010-0000-0000-000026000000}" name="W29">
      <calculatedColumnFormula>IF($C7="","",IF(AND(AL$6&lt;=$D7,AM$6&gt;$C7),IF($C7=$D7,"◆",1),""))</calculatedColumnFormula>
    </tableColumn>
    <tableColumn id="39" xr3:uid="{00000000-0010-0000-0000-000027000000}" name="W30">
      <calculatedColumnFormula>IF($C7="","",IF(AND(AM$6&lt;=$D7,AN$6&gt;$C7),IF($C7=$D7,"◆",1),""))</calculatedColumnFormula>
    </tableColumn>
    <tableColumn id="40" xr3:uid="{00000000-0010-0000-0000-000028000000}" name="W31">
      <calculatedColumnFormula>IF($C7="","",IF(AND(AN$6&lt;=$D7,AO$6&gt;$C7),IF($C7=$D7,"◆",1),""))</calculatedColumnFormula>
    </tableColumn>
    <tableColumn id="41" xr3:uid="{00000000-0010-0000-0000-000029000000}" name="W32">
      <calculatedColumnFormula>IF($C7="","",IF(AND(AO$6&lt;=$D7,AP$6&gt;$C7),IF($C7=$D7,"◆",1),""))</calculatedColumnFormula>
    </tableColumn>
    <tableColumn id="42" xr3:uid="{00000000-0010-0000-0000-00002A000000}" name="W33">
      <calculatedColumnFormula>IF($C7="","",IF(AND(AP$6&lt;=$D7,AQ$6&gt;$C7),IF($C7=$D7,"◆",1),""))</calculatedColumnFormula>
    </tableColumn>
    <tableColumn id="43" xr3:uid="{00000000-0010-0000-0000-00002B000000}" name="W34">
      <calculatedColumnFormula>IF($C7="","",IF(AND(AQ$6&lt;=$D7,AR$6&gt;$C7),IF($C7=$D7,"◆",1),""))</calculatedColumnFormula>
    </tableColumn>
    <tableColumn id="44" xr3:uid="{00000000-0010-0000-0000-00002C000000}" name="W35">
      <calculatedColumnFormula>IF($C7="","",IF(AND(AR$6&lt;=$D7,AS$6&gt;$C7),IF($C7=$D7,"◆",1),""))</calculatedColumnFormula>
    </tableColumn>
    <tableColumn id="45" xr3:uid="{00000000-0010-0000-0000-00002D000000}" name="W36">
      <calculatedColumnFormula>IF($C7="","",IF(AND(AS$6&lt;=$D7,AT$6&gt;$C7),IF($C7=$D7,"◆",1),""))</calculatedColumnFormula>
    </tableColumn>
    <tableColumn id="46" xr3:uid="{00000000-0010-0000-0000-00002E000000}" name="W37">
      <calculatedColumnFormula>IF($C7="","",IF(AND(AT$6&lt;=$D7,AU$6&gt;$C7),IF($C7=$D7,"◆",1),""))</calculatedColumnFormula>
    </tableColumn>
    <tableColumn id="47" xr3:uid="{00000000-0010-0000-0000-00002F000000}" name="W38">
      <calculatedColumnFormula>IF($C7="","",IF(AND(AU$6&lt;=$D7,AV$6&gt;$C7),IF($C7=$D7,"◆",1),""))</calculatedColumnFormula>
    </tableColumn>
    <tableColumn id="48" xr3:uid="{00000000-0010-0000-0000-000030000000}" name="W39">
      <calculatedColumnFormula>IF($C7="","",IF(AND(AV$6&lt;=$D7,AW$6&gt;$C7),IF($C7=$D7,"◆",1),""))</calculatedColumnFormula>
    </tableColumn>
    <tableColumn id="49" xr3:uid="{00000000-0010-0000-0000-000031000000}" name="W40">
      <calculatedColumnFormula>IF($C7="","",IF(AND(AW$6&lt;=$D7,AX$6&gt;$C7),IF($C7=$D7,"◆",1),""))</calculatedColumnFormula>
    </tableColumn>
    <tableColumn id="50" xr3:uid="{00000000-0010-0000-0000-000032000000}" name="W41">
      <calculatedColumnFormula>IF($C7="","",IF(AND(AX$6&lt;=$D7,AY$6&gt;$C7),IF($C7=$D7,"◆",1),""))</calculatedColumnFormula>
    </tableColumn>
    <tableColumn id="51" xr3:uid="{00000000-0010-0000-0000-000033000000}" name="W42">
      <calculatedColumnFormula>IF($C7="","",IF(AND(AY$6&lt;=$D7,AZ$6&gt;$C7),IF($C7=$D7,"◆",1),""))</calculatedColumnFormula>
    </tableColumn>
    <tableColumn id="52" xr3:uid="{00000000-0010-0000-0000-000034000000}" name="W43">
      <calculatedColumnFormula>IF($C7="","",IF(AND(AZ$6&lt;=$D7,BA$6&gt;$C7),IF($C7=$D7,"◆",1),""))</calculatedColumnFormula>
    </tableColumn>
    <tableColumn id="53" xr3:uid="{00000000-0010-0000-0000-000035000000}" name="W44">
      <calculatedColumnFormula>IF($C7="","",IF(AND(BA$6&lt;=$D7,BB$6&gt;$C7),IF($C7=$D7,"◆",1),""))</calculatedColumnFormula>
    </tableColumn>
    <tableColumn id="54" xr3:uid="{00000000-0010-0000-0000-000036000000}" name="W45">
      <calculatedColumnFormula>IF($C7="","",IF(AND(BB$6&lt;=$D7,BC$6&gt;$C7),IF($C7=$D7,"◆",1),""))</calculatedColumnFormula>
    </tableColumn>
    <tableColumn id="55" xr3:uid="{00000000-0010-0000-0000-000037000000}" name="W46">
      <calculatedColumnFormula>IF($C7="","",IF(AND(BC$6&lt;=$D7,BD$6&gt;$C7),IF($C7=$D7,"◆",1),""))</calculatedColumnFormula>
    </tableColumn>
    <tableColumn id="56" xr3:uid="{00000000-0010-0000-0000-000038000000}" name="W47">
      <calculatedColumnFormula>IF($C7="","",IF(AND(BD$6&lt;=$D7,BE$6&gt;$C7),IF($C7=$D7,"◆",1),""))</calculatedColumnFormula>
    </tableColumn>
    <tableColumn id="57" xr3:uid="{00000000-0010-0000-0000-000039000000}" name="W48">
      <calculatedColumnFormula>IF($C7="","",IF(AND(BE$6&lt;=$D7,BF$6&gt;$C7),IF($C7=$D7,"◆",1),""))</calculatedColumnFormula>
    </tableColumn>
    <tableColumn id="58" xr3:uid="{00000000-0010-0000-0000-00003A000000}" name="c58"/>
    <tableColumn id="59" xr3:uid="{00000000-0010-0000-0000-00003B000000}" name="Report"/>
    <tableColumn id="60" xr3:uid="{00000000-0010-0000-0000-00003C000000}" name="Responsible"/>
    <tableColumn id="61" xr3:uid="{00000000-0010-0000-0000-00003D000000}" name="Remarks"/>
    <tableColumn id="62" xr3:uid="{00000000-0010-0000-0000-00003E000000}" name="c62"/>
    <tableColumn id="63" xr3:uid="{00000000-0010-0000-0000-00003F000000}" name="c63"/>
    <tableColumn id="64" xr3:uid="{00000000-0010-0000-0000-000040000000}" name="xLVL">
      <calculatedColumnFormula>IF($A7="","",LEN($A7)-LEN(SUBSTITUTE($A7,".",""))+1)</calculatedColumnFormula>
    </tableColumn>
    <tableColumn id="65" xr3:uid="{00000000-0010-0000-0000-000041000000}" name="xSUM">
      <calculatedColumnFormula>IF(BS7&gt;ROW(),1,0)</calculatedColumnFormula>
    </tableColumn>
    <tableColumn id="66" xr3:uid="{00000000-0010-0000-0000-000042000000}" name="xKIND">
      <calculatedColumnFormula>IF($A7="","",IF(BM7=0,3,IF(BL7=1,1,2)))</calculatedColumnFormula>
    </tableColumn>
    <tableColumn id="67" xr3:uid="{00000000-0010-0000-0000-000043000000}" name="xLS">
      <calculatedColumnFormula>IF($A7="",0,IF($G7="",WORKDAY($H$4,N($H7)),WORKDAY($BP7,1+N($H7))))</calculatedColumnFormula>
    </tableColumn>
    <tableColumn id="68" xr3:uid="{00000000-0010-0000-0000-000044000000}" name="xMAXF">
      <calculatedColumnFormula>IF($G7="",0,MAX(INDEX($D$7:$D$36,MATCH($BV7,$A$7:$A$36,0)),IF($BW7="",0,IFERROR(INDEX($D$7:$D$36,MATCH($BW7,$A$7:$A$36,0)),0)),IF($BX7="",0,IFERROR(INDEX($D$7:$D$36,MATCH($BX7,$A$7:$A$36,0)),0)),IF($BY7="",0,IFERROR(INDEX($D$7:$D$36,MATCH($BY7,$A$7:$A$36,0)),0))))</calculatedColumnFormula>
    </tableColumn>
    <tableColumn id="69" xr3:uid="{00000000-0010-0000-0000-000045000000}" name="xPR1">
      <calculatedColumnFormula>IF($BV7="",9999,IFERROR(MATCH($BV7,$A$7:$A$36,0)+ROW($A$7)-1,9999))</calculatedColumnFormula>
    </tableColumn>
    <tableColumn id="70" xr3:uid="{00000000-0010-0000-0000-000046000000}" name="xPR2">
      <calculatedColumnFormula>IF($BW7="",9999,IFERROR(MATCH($BW7,$A$7:$A$36,0)+ROW($A$7)-1,9999))</calculatedColumnFormula>
    </tableColumn>
    <tableColumn id="71" xr3:uid="{00000000-0010-0000-0000-000047000000}" name="xEND">
      <calculatedColumnFormula>ROW()+IF($A7="",0,COUNTIF($A8:$A$36,$A7&amp;".*"))</calculatedColumnFormula>
    </tableColumn>
    <tableColumn id="72" xr3:uid="{00000000-0010-0000-0000-000048000000}" name="xPR3">
      <calculatedColumnFormula>IF($BX7="",9999,IFERROR(MATCH($BX7,$A$7:$A$36,0)+ROW($A$7)-1,9999))</calculatedColumnFormula>
    </tableColumn>
    <tableColumn id="73" xr3:uid="{00000000-0010-0000-0000-000049000000}" name="xPR4">
      <calculatedColumnFormula>IF($BY7="",9999,IFERROR(MATCH($BY7,$A$7:$A$36,0)+ROW($A$7)-1,9999))</calculatedColumnFormula>
    </tableColumn>
    <tableColumn id="74" xr3:uid="{00000000-0010-0000-0000-00004A000000}" name="xTK1">
      <calculatedColumnFormula>IF($G7="","",TRIM(MID(SUBSTITUTE(SUBSTITUTE($G7,",",";"),";",REPT(" ",99)),1,99)))</calculatedColumnFormula>
    </tableColumn>
    <tableColumn id="75" xr3:uid="{00000000-0010-0000-0000-00004B000000}" name="xTK2">
      <calculatedColumnFormula>IF($G7="","",TRIM(MID(SUBSTITUTE(SUBSTITUTE($G7,",",";"),";",REPT(" ",99)),100,99)))</calculatedColumnFormula>
    </tableColumn>
    <tableColumn id="76" xr3:uid="{00000000-0010-0000-0000-00004C000000}" name="xTK3">
      <calculatedColumnFormula>IF($G7="","",TRIM(MID(SUBSTITUTE(SUBSTITUTE($G7,",",";"),";",REPT(" ",99)),199,99)))</calculatedColumnFormula>
    </tableColumn>
    <tableColumn id="77" xr3:uid="{00000000-0010-0000-0000-00004D000000}" name="xTK4">
      <calculatedColumnFormula>IF($G7="","",TRIM(MID(SUBSTITUTE(SUBSTITUTE($G7,",",";"),";",REPT(" ",99)),298,99)))</calculatedColumnFormula>
    </tableColumn>
    <tableColumn id="78" xr3:uid="{00000000-0010-0000-0000-00004E000000}" name="xRN">
      <calculatedColumnFormula>IF($BG7="",0,COUNTA($BG$7:$BG7))</calculatedColumnFormula>
    </tableColumn>
    <tableColumn id="79" xr3:uid="{00000000-0010-0000-0000-00004F000000}" name="xAUTO">
      <calculatedColumnFormula>IF($A7="","",IF(N($F7)&gt;=1,"Completed "&amp;RIGHT("0"&amp;DAY($D7),2)&amp;"."&amp;RIGHT("0"&amp;MONTH($D7),2)&amp;"."&amp;YEAR($D7),IF(N($F7)&gt;0,"In progress ("&amp;ROUND(N($F7)*100,0)&amp;"%) – finish planned "&amp;RIGHT("0"&amp;DAY($D7),2)&amp;"."&amp;RIGHT("0"&amp;MONTH($D7),2)&amp;"."&amp;YEAR($D7),IF($D7&lt;TODAY(),"Overdue – planned finish "&amp;RIGHT("0"&amp;DAY($D7),2)&amp;"."&amp;RIGHT("0"&amp;MONTH($D7),2)&amp;"."&amp;YEAR($D7),IF($C7=$D7,"Planned "&amp;RIGHT("0"&amp;DAY($D7),2)&amp;"."&amp;RIGHT("0"&amp;MONTH($D7),2)&amp;"."&amp;YEAR($D7),"Planned "&amp;RIGHT("0"&amp;DAY($C7),2)&amp;"."&amp;RIGHT("0"&amp;MONTH($C7),2)&amp;"."&amp;YEAR($C7)&amp;" – "&amp;RIGHT("0"&amp;DAY($D7),2)&amp;"."&amp;RIGHT("0"&amp;MONTH($D7),2)&amp;"."&amp;YEAR($D7)))))&amp;IF(AND(N($F7)&lt;1,$G7&lt;&gt;"")," | after "&amp;$G7,""))</calculatedColumnFormula>
    </tableColumn>
    <tableColumn id="80" xr3:uid="{00000000-0010-0000-0000-000050000000}" name="xARESP">
      <calculatedColumnFormula>IF($A7="","",IF(ISERROR(FIND(".",$A7)),"Sanifoam",IFERROR(IF(INDEX($BH$7:$BH$36,MATCH(LEFT($A7,FIND("~",SUBSTITUTE($A7,".","~",LEN($A7)-LEN(SUBSTITUTE($A7,".",""))))-1),$A$7:$A$36,0))&amp;""="","Sanifoam",INDEX($BH$7:$BH$36,MATCH(LEFT($A7,FIND("~",SUBSTITUTE($A7,".","~",LEN($A7)-LEN(SUBSTITUTE($A7,".",""))))-1),$A$7:$A$36,0))&amp;""),"Sanifoam")))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B52"/>
  <sheetViews>
    <sheetView showGridLines="0" tabSelected="1" zoomScale="80" zoomScaleNormal="80" workbookViewId="0">
      <pane xSplit="9" ySplit="6" topLeftCell="J7" activePane="bottomRight" state="frozen"/>
      <selection pane="topRight" activeCell="J1" sqref="J1"/>
      <selection pane="bottomLeft" activeCell="A7" sqref="A7"/>
      <selection pane="bottomRight" sqref="A1:B3"/>
    </sheetView>
  </sheetViews>
  <sheetFormatPr defaultColWidth="8.6640625" defaultRowHeight="14.4" x14ac:dyDescent="0.3"/>
  <cols>
    <col min="1" max="1" width="8" customWidth="1"/>
    <col min="2" max="2" width="44" customWidth="1"/>
    <col min="3" max="5" width="9" customWidth="1"/>
    <col min="6" max="6" width="8" customWidth="1"/>
    <col min="7" max="7" width="15" customWidth="1"/>
    <col min="8" max="9" width="5" customWidth="1"/>
    <col min="10" max="57" width="2.44140625" customWidth="1"/>
    <col min="58" max="58" width="5.44140625" customWidth="1"/>
    <col min="59" max="59" width="7" customWidth="1"/>
    <col min="60" max="60" width="17" customWidth="1"/>
    <col min="61" max="61" width="55" customWidth="1"/>
    <col min="62" max="80" width="13" hidden="1" customWidth="1"/>
  </cols>
  <sheetData>
    <row r="1" spans="1:80" ht="19.5" customHeight="1" x14ac:dyDescent="0.3">
      <c r="A1" s="48" t="s">
        <v>0</v>
      </c>
      <c r="B1" s="49"/>
      <c r="C1" s="57" t="s">
        <v>1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6" t="s">
        <v>2</v>
      </c>
      <c r="AX1" s="44"/>
      <c r="AY1" s="44"/>
      <c r="AZ1" s="44"/>
      <c r="BA1" s="44"/>
      <c r="BB1" s="45"/>
      <c r="BC1" s="47" t="s">
        <v>3</v>
      </c>
      <c r="BD1" s="44"/>
      <c r="BE1" s="44"/>
      <c r="BF1" s="45"/>
    </row>
    <row r="2" spans="1:80" ht="19.5" customHeight="1" x14ac:dyDescent="0.3">
      <c r="A2" s="49"/>
      <c r="B2" s="49"/>
      <c r="C2" s="56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6" t="s">
        <v>4</v>
      </c>
      <c r="AX2" s="44"/>
      <c r="AY2" s="44"/>
      <c r="AZ2" s="44"/>
      <c r="BA2" s="44"/>
      <c r="BB2" s="45"/>
      <c r="BC2" s="43" t="s">
        <v>154</v>
      </c>
      <c r="BD2" s="44"/>
      <c r="BE2" s="44"/>
      <c r="BF2" s="45"/>
    </row>
    <row r="3" spans="1:80" ht="19.5" customHeight="1" x14ac:dyDescent="0.3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6" t="s">
        <v>5</v>
      </c>
      <c r="AX3" s="44"/>
      <c r="AY3" s="44"/>
      <c r="AZ3" s="44"/>
      <c r="BA3" s="44"/>
      <c r="BB3" s="45"/>
      <c r="BC3" s="43"/>
      <c r="BD3" s="44"/>
      <c r="BE3" s="44"/>
      <c r="BF3" s="45"/>
    </row>
    <row r="4" spans="1:80" ht="24" customHeight="1" x14ac:dyDescent="0.3">
      <c r="A4" s="16" t="s">
        <v>6</v>
      </c>
      <c r="B4" s="2"/>
      <c r="C4" s="1" t="s">
        <v>7</v>
      </c>
      <c r="D4" s="52"/>
      <c r="E4" s="44"/>
      <c r="F4" s="44"/>
      <c r="G4" s="1" t="s">
        <v>8</v>
      </c>
      <c r="H4" s="50">
        <v>46027</v>
      </c>
      <c r="I4" s="44"/>
      <c r="J4" s="44"/>
      <c r="K4" s="44"/>
      <c r="L4" s="44"/>
      <c r="M4" s="44"/>
      <c r="N4" s="45"/>
      <c r="P4" s="51" t="s">
        <v>9</v>
      </c>
      <c r="Q4" s="44"/>
      <c r="R4" s="44"/>
      <c r="S4" s="45"/>
      <c r="T4" s="55" t="s">
        <v>10</v>
      </c>
      <c r="U4" s="44"/>
      <c r="V4" s="44"/>
      <c r="W4" s="45"/>
      <c r="Y4" s="51" t="s">
        <v>11</v>
      </c>
      <c r="Z4" s="44"/>
      <c r="AA4" s="44"/>
      <c r="AB4" s="45"/>
      <c r="AC4" s="54">
        <v>0</v>
      </c>
      <c r="AD4" s="45"/>
    </row>
    <row r="5" spans="1:80" ht="24" customHeight="1" x14ac:dyDescent="0.3">
      <c r="A5" s="16" t="s">
        <v>12</v>
      </c>
      <c r="B5" s="2"/>
      <c r="C5" s="1" t="s">
        <v>13</v>
      </c>
      <c r="D5" s="52"/>
      <c r="E5" s="44"/>
      <c r="F5" s="44"/>
      <c r="G5" s="1" t="s">
        <v>14</v>
      </c>
      <c r="H5" s="50">
        <f>D7</f>
        <v>46031</v>
      </c>
      <c r="I5" s="44"/>
      <c r="J5" s="44"/>
      <c r="K5" s="44"/>
      <c r="L5" s="44"/>
      <c r="M5" s="44"/>
      <c r="N5" s="45"/>
      <c r="P5" s="51" t="s">
        <v>15</v>
      </c>
      <c r="Q5" s="44"/>
      <c r="R5" s="44"/>
      <c r="S5" s="45"/>
      <c r="T5" s="53"/>
      <c r="U5" s="44"/>
      <c r="V5" s="44"/>
      <c r="W5" s="45"/>
    </row>
    <row r="6" spans="1:80" ht="42" customHeight="1" x14ac:dyDescent="0.3">
      <c r="A6" s="3" t="s">
        <v>16</v>
      </c>
      <c r="B6" s="3" t="s">
        <v>17</v>
      </c>
      <c r="C6" s="3" t="s">
        <v>8</v>
      </c>
      <c r="D6" s="3" t="s">
        <v>14</v>
      </c>
      <c r="E6" s="3" t="s">
        <v>18</v>
      </c>
      <c r="F6" s="3" t="s">
        <v>19</v>
      </c>
      <c r="G6" s="3" t="s">
        <v>20</v>
      </c>
      <c r="H6" s="3" t="s">
        <v>21</v>
      </c>
      <c r="I6" s="3" t="s">
        <v>22</v>
      </c>
      <c r="J6" s="23">
        <f>IF($T$4="Day",$BK$6+$BM$6,IF($T$4="Month",DATE(YEAR($BK$6),MONTH($BK$6)+$BM$6,1),IF($T$4="Year",DATE(YEAR($BK$6)+$BM$6,1,1),$BK$6+7*$BM$6)))</f>
        <v>46027</v>
      </c>
      <c r="K6" s="23">
        <f t="shared" ref="K6:BF6" si="0">IF($T$4="Day",J6+1,IF($T$4="Month",DATE(YEAR(J6),MONTH(J6)+1,1),IF($T$4="Year",DATE(YEAR(J6)+1,1,1),J6+7)))</f>
        <v>46034</v>
      </c>
      <c r="L6" s="23">
        <f t="shared" si="0"/>
        <v>46041</v>
      </c>
      <c r="M6" s="23">
        <f t="shared" si="0"/>
        <v>46048</v>
      </c>
      <c r="N6" s="23">
        <f t="shared" si="0"/>
        <v>46055</v>
      </c>
      <c r="O6" s="23">
        <f t="shared" si="0"/>
        <v>46062</v>
      </c>
      <c r="P6" s="23">
        <f t="shared" si="0"/>
        <v>46069</v>
      </c>
      <c r="Q6" s="23">
        <f t="shared" si="0"/>
        <v>46076</v>
      </c>
      <c r="R6" s="23">
        <f t="shared" si="0"/>
        <v>46083</v>
      </c>
      <c r="S6" s="23">
        <f t="shared" si="0"/>
        <v>46090</v>
      </c>
      <c r="T6" s="23">
        <f t="shared" si="0"/>
        <v>46097</v>
      </c>
      <c r="U6" s="23">
        <f t="shared" si="0"/>
        <v>46104</v>
      </c>
      <c r="V6" s="23">
        <f t="shared" si="0"/>
        <v>46111</v>
      </c>
      <c r="W6" s="23">
        <f t="shared" si="0"/>
        <v>46118</v>
      </c>
      <c r="X6" s="23">
        <f t="shared" si="0"/>
        <v>46125</v>
      </c>
      <c r="Y6" s="23">
        <f t="shared" si="0"/>
        <v>46132</v>
      </c>
      <c r="Z6" s="23">
        <f t="shared" si="0"/>
        <v>46139</v>
      </c>
      <c r="AA6" s="23">
        <f t="shared" si="0"/>
        <v>46146</v>
      </c>
      <c r="AB6" s="23">
        <f t="shared" si="0"/>
        <v>46153</v>
      </c>
      <c r="AC6" s="23">
        <f t="shared" si="0"/>
        <v>46160</v>
      </c>
      <c r="AD6" s="23">
        <f t="shared" si="0"/>
        <v>46167</v>
      </c>
      <c r="AE6" s="23">
        <f t="shared" si="0"/>
        <v>46174</v>
      </c>
      <c r="AF6" s="23">
        <f t="shared" si="0"/>
        <v>46181</v>
      </c>
      <c r="AG6" s="23">
        <f t="shared" si="0"/>
        <v>46188</v>
      </c>
      <c r="AH6" s="23">
        <f t="shared" si="0"/>
        <v>46195</v>
      </c>
      <c r="AI6" s="23">
        <f t="shared" si="0"/>
        <v>46202</v>
      </c>
      <c r="AJ6" s="23">
        <f t="shared" si="0"/>
        <v>46209</v>
      </c>
      <c r="AK6" s="23">
        <f t="shared" si="0"/>
        <v>46216</v>
      </c>
      <c r="AL6" s="23">
        <f t="shared" si="0"/>
        <v>46223</v>
      </c>
      <c r="AM6" s="23">
        <f t="shared" si="0"/>
        <v>46230</v>
      </c>
      <c r="AN6" s="23">
        <f t="shared" si="0"/>
        <v>46237</v>
      </c>
      <c r="AO6" s="23">
        <f t="shared" si="0"/>
        <v>46244</v>
      </c>
      <c r="AP6" s="23">
        <f t="shared" si="0"/>
        <v>46251</v>
      </c>
      <c r="AQ6" s="23">
        <f t="shared" si="0"/>
        <v>46258</v>
      </c>
      <c r="AR6" s="23">
        <f t="shared" si="0"/>
        <v>46265</v>
      </c>
      <c r="AS6" s="23">
        <f t="shared" si="0"/>
        <v>46272</v>
      </c>
      <c r="AT6" s="23">
        <f t="shared" si="0"/>
        <v>46279</v>
      </c>
      <c r="AU6" s="23">
        <f t="shared" si="0"/>
        <v>46286</v>
      </c>
      <c r="AV6" s="23">
        <f t="shared" si="0"/>
        <v>46293</v>
      </c>
      <c r="AW6" s="23">
        <f t="shared" si="0"/>
        <v>46300</v>
      </c>
      <c r="AX6" s="23">
        <f t="shared" si="0"/>
        <v>46307</v>
      </c>
      <c r="AY6" s="23">
        <f t="shared" si="0"/>
        <v>46314</v>
      </c>
      <c r="AZ6" s="23">
        <f t="shared" si="0"/>
        <v>46321</v>
      </c>
      <c r="BA6" s="23">
        <f t="shared" si="0"/>
        <v>46328</v>
      </c>
      <c r="BB6" s="23">
        <f t="shared" si="0"/>
        <v>46335</v>
      </c>
      <c r="BC6" s="23">
        <f t="shared" si="0"/>
        <v>46342</v>
      </c>
      <c r="BD6" s="23">
        <f t="shared" si="0"/>
        <v>46349</v>
      </c>
      <c r="BE6" s="23">
        <f t="shared" si="0"/>
        <v>46356</v>
      </c>
      <c r="BF6" s="17">
        <f t="shared" si="0"/>
        <v>46363</v>
      </c>
      <c r="BG6" s="3" t="s">
        <v>23</v>
      </c>
      <c r="BH6" s="3" t="s">
        <v>24</v>
      </c>
      <c r="BI6" s="3" t="s">
        <v>25</v>
      </c>
      <c r="BK6">
        <f>IF($T$4="Day",IF($T$5&lt;&gt;"",$T$5,MIN($C$7:$C$36)),IF($T$4="Month",DATE(YEAR(IF($T$5&lt;&gt;"",$T$5,MIN($C$7:$C$36))),MONTH(IF($T$5&lt;&gt;"",$T$5,MIN($C$7:$C$36))),1),IF($T$4="Year",DATE(YEAR(IF($T$5&lt;&gt;"",$T$5,MIN($C$7:$C$36))),1,1),IF($T$5&lt;&gt;"",$T$5,MIN($C$7:$C$36))-WEEKDAY(IF($T$5&lt;&gt;"",$T$5,MIN($C$7:$C$36)),2)+1)))</f>
        <v>46027</v>
      </c>
      <c r="BL6">
        <f>IF($T$4="Day",MAX($D$7:$D$36)-$BK$6,IF($T$4="Month",(YEAR(MAX($D$7:$D$36))-YEAR($BK$6))*12+MONTH(MAX($D$7:$D$36))-MONTH($BK$6),IF($T$4="Year",YEAR(MAX($D$7:$D$36))-YEAR($BK$6),INT((MAX($D$7:$D$36)-$BK$6)/7))))</f>
        <v>0</v>
      </c>
      <c r="BM6">
        <f>MAX(0,MIN(INT(N($AC$4)),$BL$6-47))</f>
        <v>0</v>
      </c>
    </row>
    <row r="7" spans="1:80" x14ac:dyDescent="0.3">
      <c r="A7" s="18" t="s">
        <v>26</v>
      </c>
      <c r="B7" s="4" t="s">
        <v>151</v>
      </c>
      <c r="C7" s="5">
        <f>IF($A7="","",IF(BM7=1,MIN(C8:INDEX($C:$C,BS7)),BO7))</f>
        <v>46027</v>
      </c>
      <c r="D7" s="5">
        <f>IF($A7="","",IF(BM7=1,MAX(D8:INDEX($D:$D,BS7)),IF(C7="","",IF(N($I7)&lt;=0,C7,WORKDAY(C7,$I7)))))</f>
        <v>46031</v>
      </c>
      <c r="E7" s="6" t="str">
        <f t="shared" ref="E7:E35" si="1">IF(OR(C7="",D7=""),"",IF(D7=C7,"0d",TEXT(NETWORKDAYS(C7,D7)-1,"0")&amp;"d"))</f>
        <v>4d</v>
      </c>
      <c r="F7" s="7">
        <f>IFERROR(SUMPRODUCT((BM8:INDEX($BM:$BM,$BS7)=0)*F8:INDEX($F:$F,$BS7)*(I8:INDEX($I:$I,$BS7)+1))/SUMPRODUCT((BM8:INDEX($BM:$BM,$BS7)=0)*(I8:INDEX($I:$I,$BS7)+1)),0)</f>
        <v>0</v>
      </c>
      <c r="G7" s="19"/>
      <c r="H7" s="20"/>
      <c r="I7" s="20"/>
      <c r="J7" s="8">
        <f t="shared" ref="J7:BE7" si="2">IF($C7="","",IF(AND(J$6&lt;=$D7,K$6&gt;$C7),IF($C7=$D7,"◆",1),""))</f>
        <v>1</v>
      </c>
      <c r="K7" s="8" t="str">
        <f t="shared" si="2"/>
        <v/>
      </c>
      <c r="L7" s="8" t="str">
        <f t="shared" si="2"/>
        <v/>
      </c>
      <c r="M7" s="8" t="str">
        <f t="shared" si="2"/>
        <v/>
      </c>
      <c r="N7" s="8" t="str">
        <f t="shared" si="2"/>
        <v/>
      </c>
      <c r="O7" s="8" t="str">
        <f t="shared" si="2"/>
        <v/>
      </c>
      <c r="P7" s="8" t="str">
        <f t="shared" si="2"/>
        <v/>
      </c>
      <c r="Q7" s="8" t="str">
        <f t="shared" si="2"/>
        <v/>
      </c>
      <c r="R7" s="8" t="str">
        <f t="shared" si="2"/>
        <v/>
      </c>
      <c r="S7" s="8" t="str">
        <f t="shared" si="2"/>
        <v/>
      </c>
      <c r="T7" s="8" t="str">
        <f t="shared" si="2"/>
        <v/>
      </c>
      <c r="U7" s="8" t="str">
        <f t="shared" si="2"/>
        <v/>
      </c>
      <c r="V7" s="8" t="str">
        <f t="shared" si="2"/>
        <v/>
      </c>
      <c r="W7" s="8" t="str">
        <f t="shared" si="2"/>
        <v/>
      </c>
      <c r="X7" s="8" t="str">
        <f t="shared" si="2"/>
        <v/>
      </c>
      <c r="Y7" s="8" t="str">
        <f t="shared" si="2"/>
        <v/>
      </c>
      <c r="Z7" s="8" t="str">
        <f t="shared" si="2"/>
        <v/>
      </c>
      <c r="AA7" s="8" t="str">
        <f t="shared" si="2"/>
        <v/>
      </c>
      <c r="AB7" s="8" t="str">
        <f t="shared" si="2"/>
        <v/>
      </c>
      <c r="AC7" s="8" t="str">
        <f t="shared" si="2"/>
        <v/>
      </c>
      <c r="AD7" s="8" t="str">
        <f t="shared" si="2"/>
        <v/>
      </c>
      <c r="AE7" s="8" t="str">
        <f t="shared" si="2"/>
        <v/>
      </c>
      <c r="AF7" s="8" t="str">
        <f t="shared" si="2"/>
        <v/>
      </c>
      <c r="AG7" s="8" t="str">
        <f t="shared" si="2"/>
        <v/>
      </c>
      <c r="AH7" s="8" t="str">
        <f t="shared" si="2"/>
        <v/>
      </c>
      <c r="AI7" s="8" t="str">
        <f t="shared" si="2"/>
        <v/>
      </c>
      <c r="AJ7" s="8" t="str">
        <f t="shared" si="2"/>
        <v/>
      </c>
      <c r="AK7" s="8" t="str">
        <f t="shared" si="2"/>
        <v/>
      </c>
      <c r="AL7" s="8" t="str">
        <f t="shared" si="2"/>
        <v/>
      </c>
      <c r="AM7" s="8" t="str">
        <f t="shared" si="2"/>
        <v/>
      </c>
      <c r="AN7" s="8" t="str">
        <f t="shared" si="2"/>
        <v/>
      </c>
      <c r="AO7" s="8" t="str">
        <f t="shared" si="2"/>
        <v/>
      </c>
      <c r="AP7" s="8" t="str">
        <f t="shared" si="2"/>
        <v/>
      </c>
      <c r="AQ7" s="8" t="str">
        <f t="shared" si="2"/>
        <v/>
      </c>
      <c r="AR7" s="8" t="str">
        <f t="shared" si="2"/>
        <v/>
      </c>
      <c r="AS7" s="8" t="str">
        <f t="shared" si="2"/>
        <v/>
      </c>
      <c r="AT7" s="8" t="str">
        <f t="shared" si="2"/>
        <v/>
      </c>
      <c r="AU7" s="8" t="str">
        <f t="shared" si="2"/>
        <v/>
      </c>
      <c r="AV7" s="8" t="str">
        <f t="shared" si="2"/>
        <v/>
      </c>
      <c r="AW7" s="8" t="str">
        <f t="shared" si="2"/>
        <v/>
      </c>
      <c r="AX7" s="8" t="str">
        <f t="shared" si="2"/>
        <v/>
      </c>
      <c r="AY7" s="8" t="str">
        <f t="shared" si="2"/>
        <v/>
      </c>
      <c r="AZ7" s="8" t="str">
        <f t="shared" si="2"/>
        <v/>
      </c>
      <c r="BA7" s="8" t="str">
        <f t="shared" si="2"/>
        <v/>
      </c>
      <c r="BB7" s="8" t="str">
        <f t="shared" si="2"/>
        <v/>
      </c>
      <c r="BC7" s="8" t="str">
        <f t="shared" si="2"/>
        <v/>
      </c>
      <c r="BD7" s="8" t="str">
        <f t="shared" si="2"/>
        <v/>
      </c>
      <c r="BE7" s="8" t="str">
        <f t="shared" si="2"/>
        <v/>
      </c>
      <c r="BG7" s="6"/>
      <c r="BH7" s="4"/>
      <c r="BI7" s="4"/>
      <c r="BL7">
        <f t="shared" ref="BL7:BL35" si="3">IF($A7="","",LEN($A7)-LEN(SUBSTITUTE($A7,".",""))+1)</f>
        <v>1</v>
      </c>
      <c r="BM7">
        <f t="shared" ref="BM7:BM35" si="4">IF(BS7&gt;ROW(),1,0)</f>
        <v>1</v>
      </c>
      <c r="BN7">
        <f t="shared" ref="BN7:BN35" si="5">IF($A7="","",IF(BM7=0,3,IF(BL7=1,1,2)))</f>
        <v>1</v>
      </c>
      <c r="BO7">
        <f t="shared" ref="BO7:BO35" si="6">IF($A7="",0,IF($G7="",WORKDAY($H$4,N($H7)),WORKDAY($BP7,1+N($H7))))</f>
        <v>46027</v>
      </c>
      <c r="BP7">
        <f t="shared" ref="BP7:BP35" si="7">IF($G7="",0,MAX(INDEX($D$7:$D$36,MATCH($BV7,$A$7:$A$36,0)),IF($BW7="",0,IFERROR(INDEX($D$7:$D$36,MATCH($BW7,$A$7:$A$36,0)),0)),IF($BX7="",0,IFERROR(INDEX($D$7:$D$36,MATCH($BX7,$A$7:$A$36,0)),0)),IF($BY7="",0,IFERROR(INDEX($D$7:$D$36,MATCH($BY7,$A$7:$A$36,0)),0))))</f>
        <v>0</v>
      </c>
      <c r="BQ7">
        <f t="shared" ref="BQ7:BQ35" si="8">IF($BV7="",9999,IFERROR(MATCH($BV7,$A$7:$A$36,0)+ROW($A$7)-1,9999))</f>
        <v>9999</v>
      </c>
      <c r="BR7">
        <f t="shared" ref="BR7:BR35" si="9">IF($BW7="",9999,IFERROR(MATCH($BW7,$A$7:$A$36,0)+ROW($A$7)-1,9999))</f>
        <v>9999</v>
      </c>
      <c r="BS7">
        <f>ROW()+IF($A7="",0,COUNTIF($A8:$A$36,$A7&amp;".*"))</f>
        <v>8</v>
      </c>
      <c r="BT7">
        <f t="shared" ref="BT7:BT35" si="10">IF($BX7="",9999,IFERROR(MATCH($BX7,$A$7:$A$36,0)+ROW($A$7)-1,9999))</f>
        <v>9999</v>
      </c>
      <c r="BU7">
        <f t="shared" ref="BU7:BU35" si="11">IF($BY7="",9999,IFERROR(MATCH($BY7,$A$7:$A$36,0)+ROW($A$7)-1,9999))</f>
        <v>9999</v>
      </c>
      <c r="BV7" t="str">
        <f t="shared" ref="BV7:BV35" si="12">IF($G7="","",TRIM(MID(SUBSTITUTE(SUBSTITUTE($G7,",",";"),";",REPT(" ",99)),1,99)))</f>
        <v/>
      </c>
      <c r="BW7" t="str">
        <f t="shared" ref="BW7:BW35" si="13">IF($G7="","",TRIM(MID(SUBSTITUTE(SUBSTITUTE($G7,",",";"),";",REPT(" ",99)),100,99)))</f>
        <v/>
      </c>
      <c r="BX7" t="str">
        <f t="shared" ref="BX7:BX35" si="14">IF($G7="","",TRIM(MID(SUBSTITUTE(SUBSTITUTE($G7,",",";"),";",REPT(" ",99)),199,99)))</f>
        <v/>
      </c>
      <c r="BY7" t="str">
        <f t="shared" ref="BY7:BY35" si="15">IF($G7="","",TRIM(MID(SUBSTITUTE(SUBSTITUTE($G7,",",";"),";",REPT(" ",99)),298,99)))</f>
        <v/>
      </c>
      <c r="BZ7">
        <f>IF($BG7="",0,COUNTA($BG$7:$BG7))</f>
        <v>0</v>
      </c>
      <c r="CA7" t="str">
        <f t="shared" ref="CA7:CA35" ca="1" si="16">IF($A7="","",IF(N($F7)&gt;=1,"Completed "&amp;RIGHT("0"&amp;DAY($D7),2)&amp;"."&amp;RIGHT("0"&amp;MONTH($D7),2)&amp;"."&amp;YEAR($D7),IF(N($F7)&gt;0,"In progress ("&amp;ROUND(N($F7)*100,0)&amp;"%) – finish planned "&amp;RIGHT("0"&amp;DAY($D7),2)&amp;"."&amp;RIGHT("0"&amp;MONTH($D7),2)&amp;"."&amp;YEAR($D7),IF($D7&lt;TODAY(),"Overdue – planned finish "&amp;RIGHT("0"&amp;DAY($D7),2)&amp;"."&amp;RIGHT("0"&amp;MONTH($D7),2)&amp;"."&amp;YEAR($D7),IF($C7=$D7,"Planned "&amp;RIGHT("0"&amp;DAY($D7),2)&amp;"."&amp;RIGHT("0"&amp;MONTH($D7),2)&amp;"."&amp;YEAR($D7),"Planned "&amp;RIGHT("0"&amp;DAY($C7),2)&amp;"."&amp;RIGHT("0"&amp;MONTH($C7),2)&amp;"."&amp;YEAR($C7)&amp;" – "&amp;RIGHT("0"&amp;DAY($D7),2)&amp;"."&amp;RIGHT("0"&amp;MONTH($D7),2)&amp;"."&amp;YEAR($D7)))))&amp;IF(AND(N($F7)&lt;1,$G7&lt;&gt;"")," | after "&amp;$G7,""))</f>
        <v>Overdue – planned finish 09.01.2026</v>
      </c>
      <c r="CB7" t="str">
        <f t="shared" ref="CB7:CB35" si="17">IF($A7="","",IF(ISERROR(FIND(".",$A7)),"Sanifoam",IFERROR(IF(INDEX($BH$7:$BH$36,MATCH(LEFT($A7,FIND("~",SUBSTITUTE($A7,".","~",LEN($A7)-LEN(SUBSTITUTE($A7,".",""))))-1),$A$7:$A$36,0))&amp;""="","Sanifoam",INDEX($BH$7:$BH$36,MATCH(LEFT($A7,FIND("~",SUBSTITUTE($A7,".","~",LEN($A7)-LEN(SUBSTITUTE($A7,".",""))))-1),$A$7:$A$36,0))&amp;""),"Sanifoam")))</f>
        <v>Sanifoam</v>
      </c>
    </row>
    <row r="8" spans="1:80" x14ac:dyDescent="0.3">
      <c r="A8" s="18" t="s">
        <v>152</v>
      </c>
      <c r="B8" s="4" t="s">
        <v>153</v>
      </c>
      <c r="C8" s="5">
        <f>IF($A8="","",IF(BM8=1,MIN(C9:INDEX($C:$C,BS8)),BO8))</f>
        <v>46027</v>
      </c>
      <c r="D8" s="5">
        <f>IF($A8="","",IF(BM8=1,MAX(D9:INDEX($D:$D,BS8)),IF(C8="","",IF(N($I8)&lt;=0,C8,WORKDAY(C8,$I8)))))</f>
        <v>46031</v>
      </c>
      <c r="E8" s="6" t="str">
        <f t="shared" si="1"/>
        <v>4d</v>
      </c>
      <c r="F8" s="7">
        <v>0</v>
      </c>
      <c r="G8" s="19"/>
      <c r="H8" s="20">
        <v>0</v>
      </c>
      <c r="I8" s="20">
        <v>4</v>
      </c>
      <c r="J8" s="8">
        <f t="shared" ref="J8:BE8" si="18">IF($C8="","",IF(AND(J$6&lt;=$D8,K$6&gt;$C8),IF($C8=$D8,"◆",1),""))</f>
        <v>1</v>
      </c>
      <c r="K8" s="8" t="str">
        <f t="shared" si="18"/>
        <v/>
      </c>
      <c r="L8" s="8" t="str">
        <f t="shared" si="18"/>
        <v/>
      </c>
      <c r="M8" s="8" t="str">
        <f t="shared" si="18"/>
        <v/>
      </c>
      <c r="N8" s="8" t="str">
        <f t="shared" si="18"/>
        <v/>
      </c>
      <c r="O8" s="8" t="str">
        <f t="shared" si="18"/>
        <v/>
      </c>
      <c r="P8" s="8" t="str">
        <f t="shared" si="18"/>
        <v/>
      </c>
      <c r="Q8" s="8" t="str">
        <f t="shared" si="18"/>
        <v/>
      </c>
      <c r="R8" s="8" t="str">
        <f t="shared" si="18"/>
        <v/>
      </c>
      <c r="S8" s="8" t="str">
        <f t="shared" si="18"/>
        <v/>
      </c>
      <c r="T8" s="8" t="str">
        <f t="shared" si="18"/>
        <v/>
      </c>
      <c r="U8" s="8" t="str">
        <f t="shared" si="18"/>
        <v/>
      </c>
      <c r="V8" s="8" t="str">
        <f t="shared" si="18"/>
        <v/>
      </c>
      <c r="W8" s="8" t="str">
        <f t="shared" si="18"/>
        <v/>
      </c>
      <c r="X8" s="8" t="str">
        <f t="shared" si="18"/>
        <v/>
      </c>
      <c r="Y8" s="8" t="str">
        <f t="shared" si="18"/>
        <v/>
      </c>
      <c r="Z8" s="8" t="str">
        <f t="shared" si="18"/>
        <v/>
      </c>
      <c r="AA8" s="8" t="str">
        <f t="shared" si="18"/>
        <v/>
      </c>
      <c r="AB8" s="8" t="str">
        <f t="shared" si="18"/>
        <v/>
      </c>
      <c r="AC8" s="8" t="str">
        <f t="shared" si="18"/>
        <v/>
      </c>
      <c r="AD8" s="8" t="str">
        <f t="shared" si="18"/>
        <v/>
      </c>
      <c r="AE8" s="8" t="str">
        <f t="shared" si="18"/>
        <v/>
      </c>
      <c r="AF8" s="8" t="str">
        <f t="shared" si="18"/>
        <v/>
      </c>
      <c r="AG8" s="8" t="str">
        <f t="shared" si="18"/>
        <v/>
      </c>
      <c r="AH8" s="8" t="str">
        <f t="shared" si="18"/>
        <v/>
      </c>
      <c r="AI8" s="8" t="str">
        <f t="shared" si="18"/>
        <v/>
      </c>
      <c r="AJ8" s="8" t="str">
        <f t="shared" si="18"/>
        <v/>
      </c>
      <c r="AK8" s="8" t="str">
        <f t="shared" si="18"/>
        <v/>
      </c>
      <c r="AL8" s="8" t="str">
        <f t="shared" si="18"/>
        <v/>
      </c>
      <c r="AM8" s="8" t="str">
        <f t="shared" si="18"/>
        <v/>
      </c>
      <c r="AN8" s="8" t="str">
        <f t="shared" si="18"/>
        <v/>
      </c>
      <c r="AO8" s="8" t="str">
        <f t="shared" si="18"/>
        <v/>
      </c>
      <c r="AP8" s="8" t="str">
        <f t="shared" si="18"/>
        <v/>
      </c>
      <c r="AQ8" s="8" t="str">
        <f t="shared" si="18"/>
        <v/>
      </c>
      <c r="AR8" s="8" t="str">
        <f t="shared" si="18"/>
        <v/>
      </c>
      <c r="AS8" s="8" t="str">
        <f t="shared" si="18"/>
        <v/>
      </c>
      <c r="AT8" s="8" t="str">
        <f t="shared" si="18"/>
        <v/>
      </c>
      <c r="AU8" s="8" t="str">
        <f t="shared" si="18"/>
        <v/>
      </c>
      <c r="AV8" s="8" t="str">
        <f t="shared" si="18"/>
        <v/>
      </c>
      <c r="AW8" s="8" t="str">
        <f t="shared" si="18"/>
        <v/>
      </c>
      <c r="AX8" s="8" t="str">
        <f t="shared" si="18"/>
        <v/>
      </c>
      <c r="AY8" s="8" t="str">
        <f t="shared" si="18"/>
        <v/>
      </c>
      <c r="AZ8" s="8" t="str">
        <f t="shared" si="18"/>
        <v/>
      </c>
      <c r="BA8" s="8" t="str">
        <f t="shared" si="18"/>
        <v/>
      </c>
      <c r="BB8" s="8" t="str">
        <f t="shared" si="18"/>
        <v/>
      </c>
      <c r="BC8" s="8" t="str">
        <f t="shared" si="18"/>
        <v/>
      </c>
      <c r="BD8" s="8" t="str">
        <f t="shared" si="18"/>
        <v/>
      </c>
      <c r="BE8" s="8" t="str">
        <f t="shared" si="18"/>
        <v/>
      </c>
      <c r="BG8" s="6"/>
      <c r="BH8" s="4"/>
      <c r="BI8" s="4"/>
      <c r="BL8">
        <f t="shared" si="3"/>
        <v>2</v>
      </c>
      <c r="BM8">
        <f t="shared" si="4"/>
        <v>0</v>
      </c>
      <c r="BN8">
        <f t="shared" si="5"/>
        <v>3</v>
      </c>
      <c r="BO8">
        <f t="shared" si="6"/>
        <v>46027</v>
      </c>
      <c r="BP8">
        <f t="shared" si="7"/>
        <v>0</v>
      </c>
      <c r="BQ8">
        <f t="shared" si="8"/>
        <v>9999</v>
      </c>
      <c r="BR8">
        <f t="shared" si="9"/>
        <v>9999</v>
      </c>
      <c r="BS8">
        <f>ROW()+IF($A8="",0,COUNTIF($A9:$A$36,$A8&amp;".*"))</f>
        <v>8</v>
      </c>
      <c r="BT8">
        <f t="shared" si="10"/>
        <v>9999</v>
      </c>
      <c r="BU8">
        <f t="shared" si="11"/>
        <v>9999</v>
      </c>
      <c r="BV8" t="str">
        <f t="shared" si="12"/>
        <v/>
      </c>
      <c r="BW8" t="str">
        <f t="shared" si="13"/>
        <v/>
      </c>
      <c r="BX8" t="str">
        <f t="shared" si="14"/>
        <v/>
      </c>
      <c r="BY8" t="str">
        <f t="shared" si="15"/>
        <v/>
      </c>
      <c r="BZ8">
        <f>IF($BG8="",0,COUNTA($BG$7:$BG8))</f>
        <v>0</v>
      </c>
      <c r="CA8" t="str">
        <f t="shared" ca="1" si="16"/>
        <v>Overdue – planned finish 09.01.2026</v>
      </c>
      <c r="CB8" t="str">
        <f t="shared" si="17"/>
        <v>Sanifoam</v>
      </c>
    </row>
    <row r="9" spans="1:80" x14ac:dyDescent="0.3">
      <c r="A9" s="18"/>
      <c r="B9" s="4"/>
      <c r="C9" s="5" t="str">
        <f>IF($A9="","",IF(BM9=1,MIN(C10:INDEX($C:$C,BS9)),BO9))</f>
        <v/>
      </c>
      <c r="D9" s="5" t="str">
        <f>IF($A9="","",IF(BM9=1,MAX(D10:INDEX($D:$D,BS9)),IF(C9="","",IF(N($I9)&lt;=0,C9,WORKDAY(C9,$I9)))))</f>
        <v/>
      </c>
      <c r="E9" s="6" t="str">
        <f t="shared" si="1"/>
        <v/>
      </c>
      <c r="F9" s="7">
        <f ca="1">IFERROR(SUMPRODUCT((BM10:INDEX($BM:$BM,$BS9)=0)*F10:INDEX($F:$F,$BS9)*(I10:INDEX($I:$I,$BS9)+1))/SUMPRODUCT((BM10:INDEX($BM:$BM,$BS9)=0)*(I10:INDEX($I:$I,$BS9)+1)),0)</f>
        <v>0</v>
      </c>
      <c r="G9" s="19"/>
      <c r="H9" s="20"/>
      <c r="I9" s="20"/>
      <c r="J9" s="8" t="str">
        <f t="shared" ref="J9:BE9" si="19">IF($C9="","",IF(AND(J$6&lt;=$D9,K$6&gt;$C9),IF($C9=$D9,"◆",1),""))</f>
        <v/>
      </c>
      <c r="K9" s="8" t="str">
        <f t="shared" si="19"/>
        <v/>
      </c>
      <c r="L9" s="8" t="str">
        <f t="shared" si="19"/>
        <v/>
      </c>
      <c r="M9" s="8" t="str">
        <f t="shared" si="19"/>
        <v/>
      </c>
      <c r="N9" s="8" t="str">
        <f t="shared" si="19"/>
        <v/>
      </c>
      <c r="O9" s="8" t="str">
        <f t="shared" si="19"/>
        <v/>
      </c>
      <c r="P9" s="8" t="str">
        <f t="shared" si="19"/>
        <v/>
      </c>
      <c r="Q9" s="8" t="str">
        <f t="shared" si="19"/>
        <v/>
      </c>
      <c r="R9" s="8" t="str">
        <f t="shared" si="19"/>
        <v/>
      </c>
      <c r="S9" s="8" t="str">
        <f t="shared" si="19"/>
        <v/>
      </c>
      <c r="T9" s="8" t="str">
        <f t="shared" si="19"/>
        <v/>
      </c>
      <c r="U9" s="8" t="str">
        <f t="shared" si="19"/>
        <v/>
      </c>
      <c r="V9" s="8" t="str">
        <f t="shared" si="19"/>
        <v/>
      </c>
      <c r="W9" s="8" t="str">
        <f t="shared" si="19"/>
        <v/>
      </c>
      <c r="X9" s="8" t="str">
        <f t="shared" si="19"/>
        <v/>
      </c>
      <c r="Y9" s="8" t="str">
        <f t="shared" si="19"/>
        <v/>
      </c>
      <c r="Z9" s="8" t="str">
        <f t="shared" si="19"/>
        <v/>
      </c>
      <c r="AA9" s="8" t="str">
        <f t="shared" si="19"/>
        <v/>
      </c>
      <c r="AB9" s="8" t="str">
        <f t="shared" si="19"/>
        <v/>
      </c>
      <c r="AC9" s="8" t="str">
        <f t="shared" si="19"/>
        <v/>
      </c>
      <c r="AD9" s="8" t="str">
        <f t="shared" si="19"/>
        <v/>
      </c>
      <c r="AE9" s="8" t="str">
        <f t="shared" si="19"/>
        <v/>
      </c>
      <c r="AF9" s="8" t="str">
        <f t="shared" si="19"/>
        <v/>
      </c>
      <c r="AG9" s="8" t="str">
        <f t="shared" si="19"/>
        <v/>
      </c>
      <c r="AH9" s="8" t="str">
        <f t="shared" si="19"/>
        <v/>
      </c>
      <c r="AI9" s="8" t="str">
        <f t="shared" si="19"/>
        <v/>
      </c>
      <c r="AJ9" s="8" t="str">
        <f t="shared" si="19"/>
        <v/>
      </c>
      <c r="AK9" s="8" t="str">
        <f t="shared" si="19"/>
        <v/>
      </c>
      <c r="AL9" s="8" t="str">
        <f t="shared" si="19"/>
        <v/>
      </c>
      <c r="AM9" s="8" t="str">
        <f t="shared" si="19"/>
        <v/>
      </c>
      <c r="AN9" s="8" t="str">
        <f t="shared" si="19"/>
        <v/>
      </c>
      <c r="AO9" s="8" t="str">
        <f t="shared" si="19"/>
        <v/>
      </c>
      <c r="AP9" s="8" t="str">
        <f t="shared" si="19"/>
        <v/>
      </c>
      <c r="AQ9" s="8" t="str">
        <f t="shared" si="19"/>
        <v/>
      </c>
      <c r="AR9" s="8" t="str">
        <f t="shared" si="19"/>
        <v/>
      </c>
      <c r="AS9" s="8" t="str">
        <f t="shared" si="19"/>
        <v/>
      </c>
      <c r="AT9" s="8" t="str">
        <f t="shared" si="19"/>
        <v/>
      </c>
      <c r="AU9" s="8" t="str">
        <f t="shared" si="19"/>
        <v/>
      </c>
      <c r="AV9" s="8" t="str">
        <f t="shared" si="19"/>
        <v/>
      </c>
      <c r="AW9" s="8" t="str">
        <f t="shared" si="19"/>
        <v/>
      </c>
      <c r="AX9" s="8" t="str">
        <f t="shared" si="19"/>
        <v/>
      </c>
      <c r="AY9" s="8" t="str">
        <f t="shared" si="19"/>
        <v/>
      </c>
      <c r="AZ9" s="8" t="str">
        <f t="shared" si="19"/>
        <v/>
      </c>
      <c r="BA9" s="8" t="str">
        <f t="shared" si="19"/>
        <v/>
      </c>
      <c r="BB9" s="8" t="str">
        <f t="shared" si="19"/>
        <v/>
      </c>
      <c r="BC9" s="8" t="str">
        <f t="shared" si="19"/>
        <v/>
      </c>
      <c r="BD9" s="8" t="str">
        <f t="shared" si="19"/>
        <v/>
      </c>
      <c r="BE9" s="8" t="str">
        <f t="shared" si="19"/>
        <v/>
      </c>
      <c r="BG9" s="6"/>
      <c r="BH9" s="4"/>
      <c r="BI9" s="4"/>
      <c r="BL9" t="str">
        <f t="shared" si="3"/>
        <v/>
      </c>
      <c r="BM9">
        <f t="shared" si="4"/>
        <v>0</v>
      </c>
      <c r="BN9" t="str">
        <f t="shared" si="5"/>
        <v/>
      </c>
      <c r="BO9">
        <f t="shared" si="6"/>
        <v>0</v>
      </c>
      <c r="BP9">
        <f t="shared" si="7"/>
        <v>0</v>
      </c>
      <c r="BQ9">
        <f t="shared" si="8"/>
        <v>9999</v>
      </c>
      <c r="BR9">
        <f t="shared" si="9"/>
        <v>9999</v>
      </c>
      <c r="BS9">
        <f>ROW()+IF($A9="",0,COUNTIF($A10:$A$36,$A9&amp;".*"))</f>
        <v>9</v>
      </c>
      <c r="BT9">
        <f t="shared" si="10"/>
        <v>9999</v>
      </c>
      <c r="BU9">
        <f t="shared" si="11"/>
        <v>9999</v>
      </c>
      <c r="BV9" t="str">
        <f t="shared" si="12"/>
        <v/>
      </c>
      <c r="BW9" t="str">
        <f t="shared" si="13"/>
        <v/>
      </c>
      <c r="BX9" t="str">
        <f t="shared" si="14"/>
        <v/>
      </c>
      <c r="BY9" t="str">
        <f t="shared" si="15"/>
        <v/>
      </c>
      <c r="BZ9">
        <f>IF($BG9="",0,COUNTA($BG$7:$BG9))</f>
        <v>0</v>
      </c>
      <c r="CA9" t="str">
        <f t="shared" ca="1" si="16"/>
        <v/>
      </c>
      <c r="CB9" t="str">
        <f t="shared" si="17"/>
        <v/>
      </c>
    </row>
    <row r="10" spans="1:80" x14ac:dyDescent="0.3">
      <c r="A10" s="18"/>
      <c r="B10" s="4"/>
      <c r="C10" s="5" t="str">
        <f>IF($A10="","",IF(BM10=1,MIN(C11:INDEX($C:$C,BS10)),BO10))</f>
        <v/>
      </c>
      <c r="D10" s="5" t="str">
        <f>IF($A10="","",IF(BM10=1,MAX(D11:INDEX($D:$D,BS10)),IF(C10="","",IF(N($I10)&lt;=0,C10,WORKDAY(C10,$I10)))))</f>
        <v/>
      </c>
      <c r="E10" s="6" t="str">
        <f t="shared" si="1"/>
        <v/>
      </c>
      <c r="F10" s="7">
        <f ca="1">IFERROR(SUMPRODUCT((BM11:INDEX($BM:$BM,$BS10)=0)*F11:INDEX($F:$F,$BS10)*(I11:INDEX($I:$I,$BS10)+1))/SUMPRODUCT((BM11:INDEX($BM:$BM,$BS10)=0)*(I11:INDEX($I:$I,$BS10)+1)),0)</f>
        <v>0</v>
      </c>
      <c r="G10" s="19"/>
      <c r="H10" s="20"/>
      <c r="I10" s="20"/>
      <c r="J10" s="8" t="str">
        <f t="shared" ref="J10:BE10" si="20">IF($C10="","",IF(AND(J$6&lt;=$D10,K$6&gt;$C10),IF($C10=$D10,"◆",1),""))</f>
        <v/>
      </c>
      <c r="K10" s="8" t="str">
        <f t="shared" si="20"/>
        <v/>
      </c>
      <c r="L10" s="8" t="str">
        <f t="shared" si="20"/>
        <v/>
      </c>
      <c r="M10" s="8" t="str">
        <f t="shared" si="20"/>
        <v/>
      </c>
      <c r="N10" s="8" t="str">
        <f t="shared" si="20"/>
        <v/>
      </c>
      <c r="O10" s="8" t="str">
        <f t="shared" si="20"/>
        <v/>
      </c>
      <c r="P10" s="8" t="str">
        <f t="shared" si="20"/>
        <v/>
      </c>
      <c r="Q10" s="8" t="str">
        <f t="shared" si="20"/>
        <v/>
      </c>
      <c r="R10" s="8" t="str">
        <f t="shared" si="20"/>
        <v/>
      </c>
      <c r="S10" s="8" t="str">
        <f t="shared" si="20"/>
        <v/>
      </c>
      <c r="T10" s="8" t="str">
        <f t="shared" si="20"/>
        <v/>
      </c>
      <c r="U10" s="8" t="str">
        <f t="shared" si="20"/>
        <v/>
      </c>
      <c r="V10" s="8" t="str">
        <f t="shared" si="20"/>
        <v/>
      </c>
      <c r="W10" s="8" t="str">
        <f t="shared" si="20"/>
        <v/>
      </c>
      <c r="X10" s="8" t="str">
        <f t="shared" si="20"/>
        <v/>
      </c>
      <c r="Y10" s="8" t="str">
        <f t="shared" si="20"/>
        <v/>
      </c>
      <c r="Z10" s="8" t="str">
        <f t="shared" si="20"/>
        <v/>
      </c>
      <c r="AA10" s="8" t="str">
        <f t="shared" si="20"/>
        <v/>
      </c>
      <c r="AB10" s="8" t="str">
        <f t="shared" si="20"/>
        <v/>
      </c>
      <c r="AC10" s="8" t="str">
        <f t="shared" si="20"/>
        <v/>
      </c>
      <c r="AD10" s="8" t="str">
        <f t="shared" si="20"/>
        <v/>
      </c>
      <c r="AE10" s="8" t="str">
        <f t="shared" si="20"/>
        <v/>
      </c>
      <c r="AF10" s="8" t="str">
        <f t="shared" si="20"/>
        <v/>
      </c>
      <c r="AG10" s="8" t="str">
        <f t="shared" si="20"/>
        <v/>
      </c>
      <c r="AH10" s="8" t="str">
        <f t="shared" si="20"/>
        <v/>
      </c>
      <c r="AI10" s="8" t="str">
        <f t="shared" si="20"/>
        <v/>
      </c>
      <c r="AJ10" s="8" t="str">
        <f t="shared" si="20"/>
        <v/>
      </c>
      <c r="AK10" s="8" t="str">
        <f t="shared" si="20"/>
        <v/>
      </c>
      <c r="AL10" s="8" t="str">
        <f t="shared" si="20"/>
        <v/>
      </c>
      <c r="AM10" s="8" t="str">
        <f t="shared" si="20"/>
        <v/>
      </c>
      <c r="AN10" s="8" t="str">
        <f t="shared" si="20"/>
        <v/>
      </c>
      <c r="AO10" s="8" t="str">
        <f t="shared" si="20"/>
        <v/>
      </c>
      <c r="AP10" s="8" t="str">
        <f t="shared" si="20"/>
        <v/>
      </c>
      <c r="AQ10" s="8" t="str">
        <f t="shared" si="20"/>
        <v/>
      </c>
      <c r="AR10" s="8" t="str">
        <f t="shared" si="20"/>
        <v/>
      </c>
      <c r="AS10" s="8" t="str">
        <f t="shared" si="20"/>
        <v/>
      </c>
      <c r="AT10" s="8" t="str">
        <f t="shared" si="20"/>
        <v/>
      </c>
      <c r="AU10" s="8" t="str">
        <f t="shared" si="20"/>
        <v/>
      </c>
      <c r="AV10" s="8" t="str">
        <f t="shared" si="20"/>
        <v/>
      </c>
      <c r="AW10" s="8" t="str">
        <f t="shared" si="20"/>
        <v/>
      </c>
      <c r="AX10" s="8" t="str">
        <f t="shared" si="20"/>
        <v/>
      </c>
      <c r="AY10" s="8" t="str">
        <f t="shared" si="20"/>
        <v/>
      </c>
      <c r="AZ10" s="8" t="str">
        <f t="shared" si="20"/>
        <v/>
      </c>
      <c r="BA10" s="8" t="str">
        <f t="shared" si="20"/>
        <v/>
      </c>
      <c r="BB10" s="8" t="str">
        <f t="shared" si="20"/>
        <v/>
      </c>
      <c r="BC10" s="8" t="str">
        <f t="shared" si="20"/>
        <v/>
      </c>
      <c r="BD10" s="8" t="str">
        <f t="shared" si="20"/>
        <v/>
      </c>
      <c r="BE10" s="8" t="str">
        <f t="shared" si="20"/>
        <v/>
      </c>
      <c r="BG10" s="6"/>
      <c r="BH10" s="4"/>
      <c r="BI10" s="4"/>
      <c r="BL10" t="str">
        <f t="shared" si="3"/>
        <v/>
      </c>
      <c r="BM10">
        <f t="shared" si="4"/>
        <v>0</v>
      </c>
      <c r="BN10" t="str">
        <f t="shared" si="5"/>
        <v/>
      </c>
      <c r="BO10">
        <f t="shared" si="6"/>
        <v>0</v>
      </c>
      <c r="BP10">
        <f t="shared" si="7"/>
        <v>0</v>
      </c>
      <c r="BQ10">
        <f t="shared" si="8"/>
        <v>9999</v>
      </c>
      <c r="BR10">
        <f t="shared" si="9"/>
        <v>9999</v>
      </c>
      <c r="BS10">
        <f>ROW()+IF($A10="",0,COUNTIF($A11:$A$36,$A10&amp;".*"))</f>
        <v>10</v>
      </c>
      <c r="BT10">
        <f t="shared" si="10"/>
        <v>9999</v>
      </c>
      <c r="BU10">
        <f t="shared" si="11"/>
        <v>9999</v>
      </c>
      <c r="BV10" t="str">
        <f t="shared" si="12"/>
        <v/>
      </c>
      <c r="BW10" t="str">
        <f t="shared" si="13"/>
        <v/>
      </c>
      <c r="BX10" t="str">
        <f t="shared" si="14"/>
        <v/>
      </c>
      <c r="BY10" t="str">
        <f t="shared" si="15"/>
        <v/>
      </c>
      <c r="BZ10">
        <f>IF($BG10="",0,COUNTA($BG$7:$BG10))</f>
        <v>0</v>
      </c>
      <c r="CA10" t="str">
        <f t="shared" ca="1" si="16"/>
        <v/>
      </c>
      <c r="CB10" t="str">
        <f t="shared" si="17"/>
        <v/>
      </c>
    </row>
    <row r="11" spans="1:80" x14ac:dyDescent="0.3">
      <c r="A11" s="18"/>
      <c r="B11" s="4"/>
      <c r="C11" s="5" t="str">
        <f>IF($A11="","",IF(BM11=1,MIN(C12:INDEX($C:$C,BS11)),BO11))</f>
        <v/>
      </c>
      <c r="D11" s="5" t="str">
        <f>IF($A11="","",IF(BM11=1,MAX(D12:INDEX($D:$D,BS11)),IF(C11="","",IF(N($I11)&lt;=0,C11,WORKDAY(C11,$I11)))))</f>
        <v/>
      </c>
      <c r="E11" s="6" t="str">
        <f t="shared" si="1"/>
        <v/>
      </c>
      <c r="F11" s="7">
        <f ca="1">IFERROR(SUMPRODUCT((BM12:INDEX($BM:$BM,$BS11)=0)*F12:INDEX($F:$F,$BS11)*(I12:INDEX($I:$I,$BS11)+1))/SUMPRODUCT((BM12:INDEX($BM:$BM,$BS11)=0)*(I12:INDEX($I:$I,$BS11)+1)),0)</f>
        <v>0</v>
      </c>
      <c r="G11" s="19"/>
      <c r="H11" s="20"/>
      <c r="I11" s="20"/>
      <c r="J11" s="8" t="str">
        <f t="shared" ref="J11:BE11" si="21">IF($C11="","",IF(AND(J$6&lt;=$D11,K$6&gt;$C11),IF($C11=$D11,"◆",1),""))</f>
        <v/>
      </c>
      <c r="K11" s="8" t="str">
        <f t="shared" si="21"/>
        <v/>
      </c>
      <c r="L11" s="8" t="str">
        <f t="shared" si="21"/>
        <v/>
      </c>
      <c r="M11" s="8" t="str">
        <f t="shared" si="21"/>
        <v/>
      </c>
      <c r="N11" s="8" t="str">
        <f t="shared" si="21"/>
        <v/>
      </c>
      <c r="O11" s="8" t="str">
        <f t="shared" si="21"/>
        <v/>
      </c>
      <c r="P11" s="8" t="str">
        <f t="shared" si="21"/>
        <v/>
      </c>
      <c r="Q11" s="8" t="str">
        <f t="shared" si="21"/>
        <v/>
      </c>
      <c r="R11" s="8" t="str">
        <f t="shared" si="21"/>
        <v/>
      </c>
      <c r="S11" s="8" t="str">
        <f t="shared" si="21"/>
        <v/>
      </c>
      <c r="T11" s="8" t="str">
        <f t="shared" si="21"/>
        <v/>
      </c>
      <c r="U11" s="8" t="str">
        <f t="shared" si="21"/>
        <v/>
      </c>
      <c r="V11" s="8" t="str">
        <f t="shared" si="21"/>
        <v/>
      </c>
      <c r="W11" s="8" t="str">
        <f t="shared" si="21"/>
        <v/>
      </c>
      <c r="X11" s="8" t="str">
        <f t="shared" si="21"/>
        <v/>
      </c>
      <c r="Y11" s="8" t="str">
        <f t="shared" si="21"/>
        <v/>
      </c>
      <c r="Z11" s="8" t="str">
        <f t="shared" si="21"/>
        <v/>
      </c>
      <c r="AA11" s="8" t="str">
        <f t="shared" si="21"/>
        <v/>
      </c>
      <c r="AB11" s="8" t="str">
        <f t="shared" si="21"/>
        <v/>
      </c>
      <c r="AC11" s="8" t="str">
        <f t="shared" si="21"/>
        <v/>
      </c>
      <c r="AD11" s="8" t="str">
        <f t="shared" si="21"/>
        <v/>
      </c>
      <c r="AE11" s="8" t="str">
        <f t="shared" si="21"/>
        <v/>
      </c>
      <c r="AF11" s="8" t="str">
        <f t="shared" si="21"/>
        <v/>
      </c>
      <c r="AG11" s="8" t="str">
        <f t="shared" si="21"/>
        <v/>
      </c>
      <c r="AH11" s="8" t="str">
        <f t="shared" si="21"/>
        <v/>
      </c>
      <c r="AI11" s="8" t="str">
        <f t="shared" si="21"/>
        <v/>
      </c>
      <c r="AJ11" s="8" t="str">
        <f t="shared" si="21"/>
        <v/>
      </c>
      <c r="AK11" s="8" t="str">
        <f t="shared" si="21"/>
        <v/>
      </c>
      <c r="AL11" s="8" t="str">
        <f t="shared" si="21"/>
        <v/>
      </c>
      <c r="AM11" s="8" t="str">
        <f t="shared" si="21"/>
        <v/>
      </c>
      <c r="AN11" s="8" t="str">
        <f t="shared" si="21"/>
        <v/>
      </c>
      <c r="AO11" s="8" t="str">
        <f t="shared" si="21"/>
        <v/>
      </c>
      <c r="AP11" s="8" t="str">
        <f t="shared" si="21"/>
        <v/>
      </c>
      <c r="AQ11" s="8" t="str">
        <f t="shared" si="21"/>
        <v/>
      </c>
      <c r="AR11" s="8" t="str">
        <f t="shared" si="21"/>
        <v/>
      </c>
      <c r="AS11" s="8" t="str">
        <f t="shared" si="21"/>
        <v/>
      </c>
      <c r="AT11" s="8" t="str">
        <f t="shared" si="21"/>
        <v/>
      </c>
      <c r="AU11" s="8" t="str">
        <f t="shared" si="21"/>
        <v/>
      </c>
      <c r="AV11" s="8" t="str">
        <f t="shared" si="21"/>
        <v/>
      </c>
      <c r="AW11" s="8" t="str">
        <f t="shared" si="21"/>
        <v/>
      </c>
      <c r="AX11" s="8" t="str">
        <f t="shared" si="21"/>
        <v/>
      </c>
      <c r="AY11" s="8" t="str">
        <f t="shared" si="21"/>
        <v/>
      </c>
      <c r="AZ11" s="8" t="str">
        <f t="shared" si="21"/>
        <v/>
      </c>
      <c r="BA11" s="8" t="str">
        <f t="shared" si="21"/>
        <v/>
      </c>
      <c r="BB11" s="8" t="str">
        <f t="shared" si="21"/>
        <v/>
      </c>
      <c r="BC11" s="8" t="str">
        <f t="shared" si="21"/>
        <v/>
      </c>
      <c r="BD11" s="8" t="str">
        <f t="shared" si="21"/>
        <v/>
      </c>
      <c r="BE11" s="8" t="str">
        <f t="shared" si="21"/>
        <v/>
      </c>
      <c r="BG11" s="6"/>
      <c r="BH11" s="4"/>
      <c r="BI11" s="4"/>
      <c r="BL11" t="str">
        <f t="shared" si="3"/>
        <v/>
      </c>
      <c r="BM11">
        <f t="shared" si="4"/>
        <v>0</v>
      </c>
      <c r="BN11" t="str">
        <f t="shared" si="5"/>
        <v/>
      </c>
      <c r="BO11">
        <f t="shared" si="6"/>
        <v>0</v>
      </c>
      <c r="BP11">
        <f t="shared" si="7"/>
        <v>0</v>
      </c>
      <c r="BQ11">
        <f t="shared" si="8"/>
        <v>9999</v>
      </c>
      <c r="BR11">
        <f t="shared" si="9"/>
        <v>9999</v>
      </c>
      <c r="BS11">
        <f>ROW()+IF($A11="",0,COUNTIF($A12:$A$36,$A11&amp;".*"))</f>
        <v>11</v>
      </c>
      <c r="BT11">
        <f t="shared" si="10"/>
        <v>9999</v>
      </c>
      <c r="BU11">
        <f t="shared" si="11"/>
        <v>9999</v>
      </c>
      <c r="BV11" t="str">
        <f t="shared" si="12"/>
        <v/>
      </c>
      <c r="BW11" t="str">
        <f t="shared" si="13"/>
        <v/>
      </c>
      <c r="BX11" t="str">
        <f t="shared" si="14"/>
        <v/>
      </c>
      <c r="BY11" t="str">
        <f t="shared" si="15"/>
        <v/>
      </c>
      <c r="BZ11">
        <f>IF($BG11="",0,COUNTA($BG$7:$BG11))</f>
        <v>0</v>
      </c>
      <c r="CA11" t="str">
        <f t="shared" ca="1" si="16"/>
        <v/>
      </c>
      <c r="CB11" t="str">
        <f t="shared" si="17"/>
        <v/>
      </c>
    </row>
    <row r="12" spans="1:80" x14ac:dyDescent="0.3">
      <c r="A12" s="18"/>
      <c r="B12" s="4"/>
      <c r="C12" s="5" t="str">
        <f>IF($A12="","",IF(BM12=1,MIN(C13:INDEX($C:$C,BS12)),BO12))</f>
        <v/>
      </c>
      <c r="D12" s="5" t="str">
        <f>IF($A12="","",IF(BM12=1,MAX(D13:INDEX($D:$D,BS12)),IF(C12="","",IF(N($I12)&lt;=0,C12,WORKDAY(C12,$I12)))))</f>
        <v/>
      </c>
      <c r="E12" s="6" t="str">
        <f t="shared" si="1"/>
        <v/>
      </c>
      <c r="F12" s="7">
        <f ca="1">IFERROR(SUMPRODUCT((BM13:INDEX($BM:$BM,$BS12)=0)*F13:INDEX($F:$F,$BS12)*(I13:INDEX($I:$I,$BS12)+1))/SUMPRODUCT((BM13:INDEX($BM:$BM,$BS12)=0)*(I13:INDEX($I:$I,$BS12)+1)),0)</f>
        <v>0</v>
      </c>
      <c r="G12" s="19"/>
      <c r="H12" s="20"/>
      <c r="I12" s="20"/>
      <c r="J12" s="8" t="str">
        <f t="shared" ref="J12:BE12" si="22">IF($C12="","",IF(AND(J$6&lt;=$D12,K$6&gt;$C12),IF($C12=$D12,"◆",1),""))</f>
        <v/>
      </c>
      <c r="K12" s="8" t="str">
        <f t="shared" si="22"/>
        <v/>
      </c>
      <c r="L12" s="8" t="str">
        <f t="shared" si="22"/>
        <v/>
      </c>
      <c r="M12" s="8" t="str">
        <f t="shared" si="22"/>
        <v/>
      </c>
      <c r="N12" s="8" t="str">
        <f t="shared" si="22"/>
        <v/>
      </c>
      <c r="O12" s="8" t="str">
        <f t="shared" si="22"/>
        <v/>
      </c>
      <c r="P12" s="8" t="str">
        <f t="shared" si="22"/>
        <v/>
      </c>
      <c r="Q12" s="8" t="str">
        <f t="shared" si="22"/>
        <v/>
      </c>
      <c r="R12" s="8" t="str">
        <f t="shared" si="22"/>
        <v/>
      </c>
      <c r="S12" s="8" t="str">
        <f t="shared" si="22"/>
        <v/>
      </c>
      <c r="T12" s="8" t="str">
        <f t="shared" si="22"/>
        <v/>
      </c>
      <c r="U12" s="8" t="str">
        <f t="shared" si="22"/>
        <v/>
      </c>
      <c r="V12" s="8" t="str">
        <f t="shared" si="22"/>
        <v/>
      </c>
      <c r="W12" s="8" t="str">
        <f t="shared" si="22"/>
        <v/>
      </c>
      <c r="X12" s="8" t="str">
        <f t="shared" si="22"/>
        <v/>
      </c>
      <c r="Y12" s="8" t="str">
        <f t="shared" si="22"/>
        <v/>
      </c>
      <c r="Z12" s="8" t="str">
        <f t="shared" si="22"/>
        <v/>
      </c>
      <c r="AA12" s="8" t="str">
        <f t="shared" si="22"/>
        <v/>
      </c>
      <c r="AB12" s="8" t="str">
        <f t="shared" si="22"/>
        <v/>
      </c>
      <c r="AC12" s="8" t="str">
        <f t="shared" si="22"/>
        <v/>
      </c>
      <c r="AD12" s="8" t="str">
        <f t="shared" si="22"/>
        <v/>
      </c>
      <c r="AE12" s="8" t="str">
        <f t="shared" si="22"/>
        <v/>
      </c>
      <c r="AF12" s="8" t="str">
        <f t="shared" si="22"/>
        <v/>
      </c>
      <c r="AG12" s="8" t="str">
        <f t="shared" si="22"/>
        <v/>
      </c>
      <c r="AH12" s="8" t="str">
        <f t="shared" si="22"/>
        <v/>
      </c>
      <c r="AI12" s="8" t="str">
        <f t="shared" si="22"/>
        <v/>
      </c>
      <c r="AJ12" s="8" t="str">
        <f t="shared" si="22"/>
        <v/>
      </c>
      <c r="AK12" s="8" t="str">
        <f t="shared" si="22"/>
        <v/>
      </c>
      <c r="AL12" s="8" t="str">
        <f t="shared" si="22"/>
        <v/>
      </c>
      <c r="AM12" s="8" t="str">
        <f t="shared" si="22"/>
        <v/>
      </c>
      <c r="AN12" s="8" t="str">
        <f t="shared" si="22"/>
        <v/>
      </c>
      <c r="AO12" s="8" t="str">
        <f t="shared" si="22"/>
        <v/>
      </c>
      <c r="AP12" s="8" t="str">
        <f t="shared" si="22"/>
        <v/>
      </c>
      <c r="AQ12" s="8" t="str">
        <f t="shared" si="22"/>
        <v/>
      </c>
      <c r="AR12" s="8" t="str">
        <f t="shared" si="22"/>
        <v/>
      </c>
      <c r="AS12" s="8" t="str">
        <f t="shared" si="22"/>
        <v/>
      </c>
      <c r="AT12" s="8" t="str">
        <f t="shared" si="22"/>
        <v/>
      </c>
      <c r="AU12" s="8" t="str">
        <f t="shared" si="22"/>
        <v/>
      </c>
      <c r="AV12" s="8" t="str">
        <f t="shared" si="22"/>
        <v/>
      </c>
      <c r="AW12" s="8" t="str">
        <f t="shared" si="22"/>
        <v/>
      </c>
      <c r="AX12" s="8" t="str">
        <f t="shared" si="22"/>
        <v/>
      </c>
      <c r="AY12" s="8" t="str">
        <f t="shared" si="22"/>
        <v/>
      </c>
      <c r="AZ12" s="8" t="str">
        <f t="shared" si="22"/>
        <v/>
      </c>
      <c r="BA12" s="8" t="str">
        <f t="shared" si="22"/>
        <v/>
      </c>
      <c r="BB12" s="8" t="str">
        <f t="shared" si="22"/>
        <v/>
      </c>
      <c r="BC12" s="8" t="str">
        <f t="shared" si="22"/>
        <v/>
      </c>
      <c r="BD12" s="8" t="str">
        <f t="shared" si="22"/>
        <v/>
      </c>
      <c r="BE12" s="8" t="str">
        <f t="shared" si="22"/>
        <v/>
      </c>
      <c r="BG12" s="6"/>
      <c r="BH12" s="4"/>
      <c r="BI12" s="4"/>
      <c r="BL12" t="str">
        <f t="shared" si="3"/>
        <v/>
      </c>
      <c r="BM12">
        <f t="shared" si="4"/>
        <v>0</v>
      </c>
      <c r="BN12" t="str">
        <f t="shared" si="5"/>
        <v/>
      </c>
      <c r="BO12">
        <f t="shared" si="6"/>
        <v>0</v>
      </c>
      <c r="BP12">
        <f t="shared" si="7"/>
        <v>0</v>
      </c>
      <c r="BQ12">
        <f t="shared" si="8"/>
        <v>9999</v>
      </c>
      <c r="BR12">
        <f t="shared" si="9"/>
        <v>9999</v>
      </c>
      <c r="BS12">
        <f>ROW()+IF($A12="",0,COUNTIF($A13:$A$36,$A12&amp;".*"))</f>
        <v>12</v>
      </c>
      <c r="BT12">
        <f t="shared" si="10"/>
        <v>9999</v>
      </c>
      <c r="BU12">
        <f t="shared" si="11"/>
        <v>9999</v>
      </c>
      <c r="BV12" t="str">
        <f t="shared" si="12"/>
        <v/>
      </c>
      <c r="BW12" t="str">
        <f t="shared" si="13"/>
        <v/>
      </c>
      <c r="BX12" t="str">
        <f t="shared" si="14"/>
        <v/>
      </c>
      <c r="BY12" t="str">
        <f t="shared" si="15"/>
        <v/>
      </c>
      <c r="BZ12">
        <f>IF($BG12="",0,COUNTA($BG$7:$BG12))</f>
        <v>0</v>
      </c>
      <c r="CA12" t="str">
        <f t="shared" ca="1" si="16"/>
        <v/>
      </c>
      <c r="CB12" t="str">
        <f t="shared" si="17"/>
        <v/>
      </c>
    </row>
    <row r="13" spans="1:80" x14ac:dyDescent="0.3">
      <c r="A13" s="18"/>
      <c r="B13" s="4"/>
      <c r="C13" s="5" t="str">
        <f>IF($A13="","",IF(BM13=1,MIN(C14:INDEX($C:$C,BS13)),BO13))</f>
        <v/>
      </c>
      <c r="D13" s="5" t="str">
        <f>IF($A13="","",IF(BM13=1,MAX(D14:INDEX($D:$D,BS13)),IF(C13="","",IF(N($I13)&lt;=0,C13,WORKDAY(C13,$I13)))))</f>
        <v/>
      </c>
      <c r="E13" s="6" t="str">
        <f t="shared" si="1"/>
        <v/>
      </c>
      <c r="F13" s="7">
        <f ca="1">IFERROR(SUMPRODUCT((BM14:INDEX($BM:$BM,$BS13)=0)*F14:INDEX($F:$F,$BS13)*(I14:INDEX($I:$I,$BS13)+1))/SUMPRODUCT((BM14:INDEX($BM:$BM,$BS13)=0)*(I14:INDEX($I:$I,$BS13)+1)),0)</f>
        <v>0</v>
      </c>
      <c r="G13" s="19"/>
      <c r="H13" s="20"/>
      <c r="I13" s="20"/>
      <c r="J13" s="8" t="str">
        <f t="shared" ref="J13:BE13" si="23">IF($C13="","",IF(AND(J$6&lt;=$D13,K$6&gt;$C13),IF($C13=$D13,"◆",1),""))</f>
        <v/>
      </c>
      <c r="K13" s="8" t="str">
        <f t="shared" si="23"/>
        <v/>
      </c>
      <c r="L13" s="8" t="str">
        <f t="shared" si="23"/>
        <v/>
      </c>
      <c r="M13" s="8" t="str">
        <f t="shared" si="23"/>
        <v/>
      </c>
      <c r="N13" s="8" t="str">
        <f t="shared" si="23"/>
        <v/>
      </c>
      <c r="O13" s="8" t="str">
        <f t="shared" si="23"/>
        <v/>
      </c>
      <c r="P13" s="8" t="str">
        <f t="shared" si="23"/>
        <v/>
      </c>
      <c r="Q13" s="8" t="str">
        <f t="shared" si="23"/>
        <v/>
      </c>
      <c r="R13" s="8" t="str">
        <f t="shared" si="23"/>
        <v/>
      </c>
      <c r="S13" s="8" t="str">
        <f t="shared" si="23"/>
        <v/>
      </c>
      <c r="T13" s="8" t="str">
        <f t="shared" si="23"/>
        <v/>
      </c>
      <c r="U13" s="8" t="str">
        <f t="shared" si="23"/>
        <v/>
      </c>
      <c r="V13" s="8" t="str">
        <f t="shared" si="23"/>
        <v/>
      </c>
      <c r="W13" s="8" t="str">
        <f t="shared" si="23"/>
        <v/>
      </c>
      <c r="X13" s="8" t="str">
        <f t="shared" si="23"/>
        <v/>
      </c>
      <c r="Y13" s="8" t="str">
        <f t="shared" si="23"/>
        <v/>
      </c>
      <c r="Z13" s="8" t="str">
        <f t="shared" si="23"/>
        <v/>
      </c>
      <c r="AA13" s="8" t="str">
        <f t="shared" si="23"/>
        <v/>
      </c>
      <c r="AB13" s="8" t="str">
        <f t="shared" si="23"/>
        <v/>
      </c>
      <c r="AC13" s="8" t="str">
        <f t="shared" si="23"/>
        <v/>
      </c>
      <c r="AD13" s="8" t="str">
        <f t="shared" si="23"/>
        <v/>
      </c>
      <c r="AE13" s="8" t="str">
        <f t="shared" si="23"/>
        <v/>
      </c>
      <c r="AF13" s="8" t="str">
        <f t="shared" si="23"/>
        <v/>
      </c>
      <c r="AG13" s="8" t="str">
        <f t="shared" si="23"/>
        <v/>
      </c>
      <c r="AH13" s="8" t="str">
        <f t="shared" si="23"/>
        <v/>
      </c>
      <c r="AI13" s="8" t="str">
        <f t="shared" si="23"/>
        <v/>
      </c>
      <c r="AJ13" s="8" t="str">
        <f t="shared" si="23"/>
        <v/>
      </c>
      <c r="AK13" s="8" t="str">
        <f t="shared" si="23"/>
        <v/>
      </c>
      <c r="AL13" s="8" t="str">
        <f t="shared" si="23"/>
        <v/>
      </c>
      <c r="AM13" s="8" t="str">
        <f t="shared" si="23"/>
        <v/>
      </c>
      <c r="AN13" s="8" t="str">
        <f t="shared" si="23"/>
        <v/>
      </c>
      <c r="AO13" s="8" t="str">
        <f t="shared" si="23"/>
        <v/>
      </c>
      <c r="AP13" s="8" t="str">
        <f t="shared" si="23"/>
        <v/>
      </c>
      <c r="AQ13" s="8" t="str">
        <f t="shared" si="23"/>
        <v/>
      </c>
      <c r="AR13" s="8" t="str">
        <f t="shared" si="23"/>
        <v/>
      </c>
      <c r="AS13" s="8" t="str">
        <f t="shared" si="23"/>
        <v/>
      </c>
      <c r="AT13" s="8" t="str">
        <f t="shared" si="23"/>
        <v/>
      </c>
      <c r="AU13" s="8" t="str">
        <f t="shared" si="23"/>
        <v/>
      </c>
      <c r="AV13" s="8" t="str">
        <f t="shared" si="23"/>
        <v/>
      </c>
      <c r="AW13" s="8" t="str">
        <f t="shared" si="23"/>
        <v/>
      </c>
      <c r="AX13" s="8" t="str">
        <f t="shared" si="23"/>
        <v/>
      </c>
      <c r="AY13" s="8" t="str">
        <f t="shared" si="23"/>
        <v/>
      </c>
      <c r="AZ13" s="8" t="str">
        <f t="shared" si="23"/>
        <v/>
      </c>
      <c r="BA13" s="8" t="str">
        <f t="shared" si="23"/>
        <v/>
      </c>
      <c r="BB13" s="8" t="str">
        <f t="shared" si="23"/>
        <v/>
      </c>
      <c r="BC13" s="8" t="str">
        <f t="shared" si="23"/>
        <v/>
      </c>
      <c r="BD13" s="8" t="str">
        <f t="shared" si="23"/>
        <v/>
      </c>
      <c r="BE13" s="8" t="str">
        <f t="shared" si="23"/>
        <v/>
      </c>
      <c r="BG13" s="6"/>
      <c r="BH13" s="4"/>
      <c r="BI13" s="4"/>
      <c r="BL13" t="str">
        <f t="shared" si="3"/>
        <v/>
      </c>
      <c r="BM13">
        <f t="shared" si="4"/>
        <v>0</v>
      </c>
      <c r="BN13" t="str">
        <f t="shared" si="5"/>
        <v/>
      </c>
      <c r="BO13">
        <f t="shared" si="6"/>
        <v>0</v>
      </c>
      <c r="BP13">
        <f t="shared" si="7"/>
        <v>0</v>
      </c>
      <c r="BQ13">
        <f t="shared" si="8"/>
        <v>9999</v>
      </c>
      <c r="BR13">
        <f t="shared" si="9"/>
        <v>9999</v>
      </c>
      <c r="BS13">
        <f>ROW()+IF($A13="",0,COUNTIF($A14:$A$36,$A13&amp;".*"))</f>
        <v>13</v>
      </c>
      <c r="BT13">
        <f t="shared" si="10"/>
        <v>9999</v>
      </c>
      <c r="BU13">
        <f t="shared" si="11"/>
        <v>9999</v>
      </c>
      <c r="BV13" t="str">
        <f t="shared" si="12"/>
        <v/>
      </c>
      <c r="BW13" t="str">
        <f t="shared" si="13"/>
        <v/>
      </c>
      <c r="BX13" t="str">
        <f t="shared" si="14"/>
        <v/>
      </c>
      <c r="BY13" t="str">
        <f t="shared" si="15"/>
        <v/>
      </c>
      <c r="BZ13">
        <f>IF($BG13="",0,COUNTA($BG$7:$BG13))</f>
        <v>0</v>
      </c>
      <c r="CA13" t="str">
        <f t="shared" ca="1" si="16"/>
        <v/>
      </c>
      <c r="CB13" t="str">
        <f t="shared" si="17"/>
        <v/>
      </c>
    </row>
    <row r="14" spans="1:80" x14ac:dyDescent="0.3">
      <c r="A14" s="18"/>
      <c r="B14" s="4"/>
      <c r="C14" s="5" t="str">
        <f>IF($A14="","",IF(BM14=1,MIN(C15:INDEX($C:$C,BS14)),BO14))</f>
        <v/>
      </c>
      <c r="D14" s="5" t="str">
        <f>IF($A14="","",IF(BM14=1,MAX(D15:INDEX($D:$D,BS14)),IF(C14="","",IF(N($I14)&lt;=0,C14,WORKDAY(C14,$I14)))))</f>
        <v/>
      </c>
      <c r="E14" s="6" t="str">
        <f t="shared" si="1"/>
        <v/>
      </c>
      <c r="F14" s="7">
        <f ca="1">IFERROR(SUMPRODUCT((BM15:INDEX($BM:$BM,$BS14)=0)*F15:INDEX($F:$F,$BS14)*(I15:INDEX($I:$I,$BS14)+1))/SUMPRODUCT((BM15:INDEX($BM:$BM,$BS14)=0)*(I15:INDEX($I:$I,$BS14)+1)),0)</f>
        <v>0</v>
      </c>
      <c r="G14" s="19"/>
      <c r="H14" s="20"/>
      <c r="I14" s="20"/>
      <c r="J14" s="8" t="str">
        <f t="shared" ref="J14:BE14" si="24">IF($C14="","",IF(AND(J$6&lt;=$D14,K$6&gt;$C14),IF($C14=$D14,"◆",1),""))</f>
        <v/>
      </c>
      <c r="K14" s="8" t="str">
        <f t="shared" si="24"/>
        <v/>
      </c>
      <c r="L14" s="8" t="str">
        <f t="shared" si="24"/>
        <v/>
      </c>
      <c r="M14" s="8" t="str">
        <f t="shared" si="24"/>
        <v/>
      </c>
      <c r="N14" s="8" t="str">
        <f t="shared" si="24"/>
        <v/>
      </c>
      <c r="O14" s="8" t="str">
        <f t="shared" si="24"/>
        <v/>
      </c>
      <c r="P14" s="8" t="str">
        <f t="shared" si="24"/>
        <v/>
      </c>
      <c r="Q14" s="8" t="str">
        <f t="shared" si="24"/>
        <v/>
      </c>
      <c r="R14" s="8" t="str">
        <f t="shared" si="24"/>
        <v/>
      </c>
      <c r="S14" s="8" t="str">
        <f t="shared" si="24"/>
        <v/>
      </c>
      <c r="T14" s="8" t="str">
        <f t="shared" si="24"/>
        <v/>
      </c>
      <c r="U14" s="8" t="str">
        <f t="shared" si="24"/>
        <v/>
      </c>
      <c r="V14" s="8" t="str">
        <f t="shared" si="24"/>
        <v/>
      </c>
      <c r="W14" s="8" t="str">
        <f t="shared" si="24"/>
        <v/>
      </c>
      <c r="X14" s="8" t="str">
        <f t="shared" si="24"/>
        <v/>
      </c>
      <c r="Y14" s="8" t="str">
        <f t="shared" si="24"/>
        <v/>
      </c>
      <c r="Z14" s="8" t="str">
        <f t="shared" si="24"/>
        <v/>
      </c>
      <c r="AA14" s="8" t="str">
        <f t="shared" si="24"/>
        <v/>
      </c>
      <c r="AB14" s="8" t="str">
        <f t="shared" si="24"/>
        <v/>
      </c>
      <c r="AC14" s="8" t="str">
        <f t="shared" si="24"/>
        <v/>
      </c>
      <c r="AD14" s="8" t="str">
        <f t="shared" si="24"/>
        <v/>
      </c>
      <c r="AE14" s="8" t="str">
        <f t="shared" si="24"/>
        <v/>
      </c>
      <c r="AF14" s="8" t="str">
        <f t="shared" si="24"/>
        <v/>
      </c>
      <c r="AG14" s="8" t="str">
        <f t="shared" si="24"/>
        <v/>
      </c>
      <c r="AH14" s="8" t="str">
        <f t="shared" si="24"/>
        <v/>
      </c>
      <c r="AI14" s="8" t="str">
        <f t="shared" si="24"/>
        <v/>
      </c>
      <c r="AJ14" s="8" t="str">
        <f t="shared" si="24"/>
        <v/>
      </c>
      <c r="AK14" s="8" t="str">
        <f t="shared" si="24"/>
        <v/>
      </c>
      <c r="AL14" s="8" t="str">
        <f t="shared" si="24"/>
        <v/>
      </c>
      <c r="AM14" s="8" t="str">
        <f t="shared" si="24"/>
        <v/>
      </c>
      <c r="AN14" s="8" t="str">
        <f t="shared" si="24"/>
        <v/>
      </c>
      <c r="AO14" s="8" t="str">
        <f t="shared" si="24"/>
        <v/>
      </c>
      <c r="AP14" s="8" t="str">
        <f t="shared" si="24"/>
        <v/>
      </c>
      <c r="AQ14" s="8" t="str">
        <f t="shared" si="24"/>
        <v/>
      </c>
      <c r="AR14" s="8" t="str">
        <f t="shared" si="24"/>
        <v/>
      </c>
      <c r="AS14" s="8" t="str">
        <f t="shared" si="24"/>
        <v/>
      </c>
      <c r="AT14" s="8" t="str">
        <f t="shared" si="24"/>
        <v/>
      </c>
      <c r="AU14" s="8" t="str">
        <f t="shared" si="24"/>
        <v/>
      </c>
      <c r="AV14" s="8" t="str">
        <f t="shared" si="24"/>
        <v/>
      </c>
      <c r="AW14" s="8" t="str">
        <f t="shared" si="24"/>
        <v/>
      </c>
      <c r="AX14" s="8" t="str">
        <f t="shared" si="24"/>
        <v/>
      </c>
      <c r="AY14" s="8" t="str">
        <f t="shared" si="24"/>
        <v/>
      </c>
      <c r="AZ14" s="8" t="str">
        <f t="shared" si="24"/>
        <v/>
      </c>
      <c r="BA14" s="8" t="str">
        <f t="shared" si="24"/>
        <v/>
      </c>
      <c r="BB14" s="8" t="str">
        <f t="shared" si="24"/>
        <v/>
      </c>
      <c r="BC14" s="8" t="str">
        <f t="shared" si="24"/>
        <v/>
      </c>
      <c r="BD14" s="8" t="str">
        <f t="shared" si="24"/>
        <v/>
      </c>
      <c r="BE14" s="8" t="str">
        <f t="shared" si="24"/>
        <v/>
      </c>
      <c r="BG14" s="6"/>
      <c r="BH14" s="4"/>
      <c r="BI14" s="4"/>
      <c r="BL14" t="str">
        <f t="shared" si="3"/>
        <v/>
      </c>
      <c r="BM14">
        <f t="shared" si="4"/>
        <v>0</v>
      </c>
      <c r="BN14" t="str">
        <f t="shared" si="5"/>
        <v/>
      </c>
      <c r="BO14">
        <f t="shared" si="6"/>
        <v>0</v>
      </c>
      <c r="BP14">
        <f t="shared" si="7"/>
        <v>0</v>
      </c>
      <c r="BQ14">
        <f t="shared" si="8"/>
        <v>9999</v>
      </c>
      <c r="BR14">
        <f t="shared" si="9"/>
        <v>9999</v>
      </c>
      <c r="BS14">
        <f>ROW()+IF($A14="",0,COUNTIF($A15:$A$36,$A14&amp;".*"))</f>
        <v>14</v>
      </c>
      <c r="BT14">
        <f t="shared" si="10"/>
        <v>9999</v>
      </c>
      <c r="BU14">
        <f t="shared" si="11"/>
        <v>9999</v>
      </c>
      <c r="BV14" t="str">
        <f t="shared" si="12"/>
        <v/>
      </c>
      <c r="BW14" t="str">
        <f t="shared" si="13"/>
        <v/>
      </c>
      <c r="BX14" t="str">
        <f t="shared" si="14"/>
        <v/>
      </c>
      <c r="BY14" t="str">
        <f t="shared" si="15"/>
        <v/>
      </c>
      <c r="BZ14">
        <f>IF($BG14="",0,COUNTA($BG$7:$BG14))</f>
        <v>0</v>
      </c>
      <c r="CA14" t="str">
        <f t="shared" ca="1" si="16"/>
        <v/>
      </c>
      <c r="CB14" t="str">
        <f t="shared" si="17"/>
        <v/>
      </c>
    </row>
    <row r="15" spans="1:80" x14ac:dyDescent="0.3">
      <c r="A15" s="18"/>
      <c r="B15" s="4"/>
      <c r="C15" s="5" t="str">
        <f>IF($A15="","",IF(BM15=1,MIN(C16:INDEX($C:$C,BS15)),BO15))</f>
        <v/>
      </c>
      <c r="D15" s="5" t="str">
        <f>IF($A15="","",IF(BM15=1,MAX(D16:INDEX($D:$D,BS15)),IF(C15="","",IF(N($I15)&lt;=0,C15,WORKDAY(C15,$I15)))))</f>
        <v/>
      </c>
      <c r="E15" s="6" t="str">
        <f t="shared" si="1"/>
        <v/>
      </c>
      <c r="F15" s="7">
        <f ca="1">IFERROR(SUMPRODUCT((BM16:INDEX($BM:$BM,$BS15)=0)*F16:INDEX($F:$F,$BS15)*(I16:INDEX($I:$I,$BS15)+1))/SUMPRODUCT((BM16:INDEX($BM:$BM,$BS15)=0)*(I16:INDEX($I:$I,$BS15)+1)),0)</f>
        <v>0</v>
      </c>
      <c r="G15" s="19"/>
      <c r="H15" s="20"/>
      <c r="I15" s="20"/>
      <c r="J15" s="8" t="str">
        <f t="shared" ref="J15:BE15" si="25">IF($C15="","",IF(AND(J$6&lt;=$D15,K$6&gt;$C15),IF($C15=$D15,"◆",1),""))</f>
        <v/>
      </c>
      <c r="K15" s="8" t="str">
        <f t="shared" si="25"/>
        <v/>
      </c>
      <c r="L15" s="8" t="str">
        <f t="shared" si="25"/>
        <v/>
      </c>
      <c r="M15" s="8" t="str">
        <f t="shared" si="25"/>
        <v/>
      </c>
      <c r="N15" s="8" t="str">
        <f t="shared" si="25"/>
        <v/>
      </c>
      <c r="O15" s="8" t="str">
        <f t="shared" si="25"/>
        <v/>
      </c>
      <c r="P15" s="8" t="str">
        <f t="shared" si="25"/>
        <v/>
      </c>
      <c r="Q15" s="8" t="str">
        <f t="shared" si="25"/>
        <v/>
      </c>
      <c r="R15" s="8" t="str">
        <f t="shared" si="25"/>
        <v/>
      </c>
      <c r="S15" s="8" t="str">
        <f t="shared" si="25"/>
        <v/>
      </c>
      <c r="T15" s="8" t="str">
        <f t="shared" si="25"/>
        <v/>
      </c>
      <c r="U15" s="8" t="str">
        <f t="shared" si="25"/>
        <v/>
      </c>
      <c r="V15" s="8" t="str">
        <f t="shared" si="25"/>
        <v/>
      </c>
      <c r="W15" s="8" t="str">
        <f t="shared" si="25"/>
        <v/>
      </c>
      <c r="X15" s="8" t="str">
        <f t="shared" si="25"/>
        <v/>
      </c>
      <c r="Y15" s="8" t="str">
        <f t="shared" si="25"/>
        <v/>
      </c>
      <c r="Z15" s="8" t="str">
        <f t="shared" si="25"/>
        <v/>
      </c>
      <c r="AA15" s="8" t="str">
        <f t="shared" si="25"/>
        <v/>
      </c>
      <c r="AB15" s="8" t="str">
        <f t="shared" si="25"/>
        <v/>
      </c>
      <c r="AC15" s="8" t="str">
        <f t="shared" si="25"/>
        <v/>
      </c>
      <c r="AD15" s="8" t="str">
        <f t="shared" si="25"/>
        <v/>
      </c>
      <c r="AE15" s="8" t="str">
        <f t="shared" si="25"/>
        <v/>
      </c>
      <c r="AF15" s="8" t="str">
        <f t="shared" si="25"/>
        <v/>
      </c>
      <c r="AG15" s="8" t="str">
        <f t="shared" si="25"/>
        <v/>
      </c>
      <c r="AH15" s="8" t="str">
        <f t="shared" si="25"/>
        <v/>
      </c>
      <c r="AI15" s="8" t="str">
        <f t="shared" si="25"/>
        <v/>
      </c>
      <c r="AJ15" s="8" t="str">
        <f t="shared" si="25"/>
        <v/>
      </c>
      <c r="AK15" s="8" t="str">
        <f t="shared" si="25"/>
        <v/>
      </c>
      <c r="AL15" s="8" t="str">
        <f t="shared" si="25"/>
        <v/>
      </c>
      <c r="AM15" s="8" t="str">
        <f t="shared" si="25"/>
        <v/>
      </c>
      <c r="AN15" s="8" t="str">
        <f t="shared" si="25"/>
        <v/>
      </c>
      <c r="AO15" s="8" t="str">
        <f t="shared" si="25"/>
        <v/>
      </c>
      <c r="AP15" s="8" t="str">
        <f t="shared" si="25"/>
        <v/>
      </c>
      <c r="AQ15" s="8" t="str">
        <f t="shared" si="25"/>
        <v/>
      </c>
      <c r="AR15" s="8" t="str">
        <f t="shared" si="25"/>
        <v/>
      </c>
      <c r="AS15" s="8" t="str">
        <f t="shared" si="25"/>
        <v/>
      </c>
      <c r="AT15" s="8" t="str">
        <f t="shared" si="25"/>
        <v/>
      </c>
      <c r="AU15" s="8" t="str">
        <f t="shared" si="25"/>
        <v/>
      </c>
      <c r="AV15" s="8" t="str">
        <f t="shared" si="25"/>
        <v/>
      </c>
      <c r="AW15" s="8" t="str">
        <f t="shared" si="25"/>
        <v/>
      </c>
      <c r="AX15" s="8" t="str">
        <f t="shared" si="25"/>
        <v/>
      </c>
      <c r="AY15" s="8" t="str">
        <f t="shared" si="25"/>
        <v/>
      </c>
      <c r="AZ15" s="8" t="str">
        <f t="shared" si="25"/>
        <v/>
      </c>
      <c r="BA15" s="8" t="str">
        <f t="shared" si="25"/>
        <v/>
      </c>
      <c r="BB15" s="8" t="str">
        <f t="shared" si="25"/>
        <v/>
      </c>
      <c r="BC15" s="8" t="str">
        <f t="shared" si="25"/>
        <v/>
      </c>
      <c r="BD15" s="8" t="str">
        <f t="shared" si="25"/>
        <v/>
      </c>
      <c r="BE15" s="8" t="str">
        <f t="shared" si="25"/>
        <v/>
      </c>
      <c r="BG15" s="6"/>
      <c r="BH15" s="4"/>
      <c r="BI15" s="4"/>
      <c r="BL15" t="str">
        <f t="shared" si="3"/>
        <v/>
      </c>
      <c r="BM15">
        <f t="shared" si="4"/>
        <v>0</v>
      </c>
      <c r="BN15" t="str">
        <f t="shared" si="5"/>
        <v/>
      </c>
      <c r="BO15">
        <f t="shared" si="6"/>
        <v>0</v>
      </c>
      <c r="BP15">
        <f t="shared" si="7"/>
        <v>0</v>
      </c>
      <c r="BQ15">
        <f t="shared" si="8"/>
        <v>9999</v>
      </c>
      <c r="BR15">
        <f t="shared" si="9"/>
        <v>9999</v>
      </c>
      <c r="BS15">
        <f>ROW()+IF($A15="",0,COUNTIF($A16:$A$36,$A15&amp;".*"))</f>
        <v>15</v>
      </c>
      <c r="BT15">
        <f t="shared" si="10"/>
        <v>9999</v>
      </c>
      <c r="BU15">
        <f t="shared" si="11"/>
        <v>9999</v>
      </c>
      <c r="BV15" t="str">
        <f t="shared" si="12"/>
        <v/>
      </c>
      <c r="BW15" t="str">
        <f t="shared" si="13"/>
        <v/>
      </c>
      <c r="BX15" t="str">
        <f t="shared" si="14"/>
        <v/>
      </c>
      <c r="BY15" t="str">
        <f t="shared" si="15"/>
        <v/>
      </c>
      <c r="BZ15">
        <f>IF($BG15="",0,COUNTA($BG$7:$BG15))</f>
        <v>0</v>
      </c>
      <c r="CA15" t="str">
        <f t="shared" ca="1" si="16"/>
        <v/>
      </c>
      <c r="CB15" t="str">
        <f t="shared" si="17"/>
        <v/>
      </c>
    </row>
    <row r="16" spans="1:80" x14ac:dyDescent="0.3">
      <c r="A16" s="18"/>
      <c r="B16" s="4"/>
      <c r="C16" s="5" t="str">
        <f>IF($A16="","",IF(BM16=1,MIN(C17:INDEX($C:$C,BS16)),BO16))</f>
        <v/>
      </c>
      <c r="D16" s="5" t="str">
        <f>IF($A16="","",IF(BM16=1,MAX(D17:INDEX($D:$D,BS16)),IF(C16="","",IF(N($I16)&lt;=0,C16,WORKDAY(C16,$I16)))))</f>
        <v/>
      </c>
      <c r="E16" s="6" t="str">
        <f t="shared" si="1"/>
        <v/>
      </c>
      <c r="F16" s="7">
        <f ca="1">IFERROR(SUMPRODUCT((BM17:INDEX($BM:$BM,$BS16)=0)*F17:INDEX($F:$F,$BS16)*(I17:INDEX($I:$I,$BS16)+1))/SUMPRODUCT((BM17:INDEX($BM:$BM,$BS16)=0)*(I17:INDEX($I:$I,$BS16)+1)),0)</f>
        <v>0</v>
      </c>
      <c r="G16" s="19"/>
      <c r="H16" s="20"/>
      <c r="I16" s="20"/>
      <c r="J16" s="8" t="str">
        <f t="shared" ref="J16:BE16" si="26">IF($C16="","",IF(AND(J$6&lt;=$D16,K$6&gt;$C16),IF($C16=$D16,"◆",1),""))</f>
        <v/>
      </c>
      <c r="K16" s="8" t="str">
        <f t="shared" si="26"/>
        <v/>
      </c>
      <c r="L16" s="8" t="str">
        <f t="shared" si="26"/>
        <v/>
      </c>
      <c r="M16" s="8" t="str">
        <f t="shared" si="26"/>
        <v/>
      </c>
      <c r="N16" s="8" t="str">
        <f t="shared" si="26"/>
        <v/>
      </c>
      <c r="O16" s="8" t="str">
        <f t="shared" si="26"/>
        <v/>
      </c>
      <c r="P16" s="8" t="str">
        <f t="shared" si="26"/>
        <v/>
      </c>
      <c r="Q16" s="8" t="str">
        <f t="shared" si="26"/>
        <v/>
      </c>
      <c r="R16" s="8" t="str">
        <f t="shared" si="26"/>
        <v/>
      </c>
      <c r="S16" s="8" t="str">
        <f t="shared" si="26"/>
        <v/>
      </c>
      <c r="T16" s="8" t="str">
        <f t="shared" si="26"/>
        <v/>
      </c>
      <c r="U16" s="8" t="str">
        <f t="shared" si="26"/>
        <v/>
      </c>
      <c r="V16" s="8" t="str">
        <f t="shared" si="26"/>
        <v/>
      </c>
      <c r="W16" s="8" t="str">
        <f t="shared" si="26"/>
        <v/>
      </c>
      <c r="X16" s="8" t="str">
        <f t="shared" si="26"/>
        <v/>
      </c>
      <c r="Y16" s="8" t="str">
        <f t="shared" si="26"/>
        <v/>
      </c>
      <c r="Z16" s="8" t="str">
        <f t="shared" si="26"/>
        <v/>
      </c>
      <c r="AA16" s="8" t="str">
        <f t="shared" si="26"/>
        <v/>
      </c>
      <c r="AB16" s="8" t="str">
        <f t="shared" si="26"/>
        <v/>
      </c>
      <c r="AC16" s="8" t="str">
        <f t="shared" si="26"/>
        <v/>
      </c>
      <c r="AD16" s="8" t="str">
        <f t="shared" si="26"/>
        <v/>
      </c>
      <c r="AE16" s="8" t="str">
        <f t="shared" si="26"/>
        <v/>
      </c>
      <c r="AF16" s="8" t="str">
        <f t="shared" si="26"/>
        <v/>
      </c>
      <c r="AG16" s="8" t="str">
        <f t="shared" si="26"/>
        <v/>
      </c>
      <c r="AH16" s="8" t="str">
        <f t="shared" si="26"/>
        <v/>
      </c>
      <c r="AI16" s="8" t="str">
        <f t="shared" si="26"/>
        <v/>
      </c>
      <c r="AJ16" s="8" t="str">
        <f t="shared" si="26"/>
        <v/>
      </c>
      <c r="AK16" s="8" t="str">
        <f t="shared" si="26"/>
        <v/>
      </c>
      <c r="AL16" s="8" t="str">
        <f t="shared" si="26"/>
        <v/>
      </c>
      <c r="AM16" s="8" t="str">
        <f t="shared" si="26"/>
        <v/>
      </c>
      <c r="AN16" s="8" t="str">
        <f t="shared" si="26"/>
        <v/>
      </c>
      <c r="AO16" s="8" t="str">
        <f t="shared" si="26"/>
        <v/>
      </c>
      <c r="AP16" s="8" t="str">
        <f t="shared" si="26"/>
        <v/>
      </c>
      <c r="AQ16" s="8" t="str">
        <f t="shared" si="26"/>
        <v/>
      </c>
      <c r="AR16" s="8" t="str">
        <f t="shared" si="26"/>
        <v/>
      </c>
      <c r="AS16" s="8" t="str">
        <f t="shared" si="26"/>
        <v/>
      </c>
      <c r="AT16" s="8" t="str">
        <f t="shared" si="26"/>
        <v/>
      </c>
      <c r="AU16" s="8" t="str">
        <f t="shared" si="26"/>
        <v/>
      </c>
      <c r="AV16" s="8" t="str">
        <f t="shared" si="26"/>
        <v/>
      </c>
      <c r="AW16" s="8" t="str">
        <f t="shared" si="26"/>
        <v/>
      </c>
      <c r="AX16" s="8" t="str">
        <f t="shared" si="26"/>
        <v/>
      </c>
      <c r="AY16" s="8" t="str">
        <f t="shared" si="26"/>
        <v/>
      </c>
      <c r="AZ16" s="8" t="str">
        <f t="shared" si="26"/>
        <v/>
      </c>
      <c r="BA16" s="8" t="str">
        <f t="shared" si="26"/>
        <v/>
      </c>
      <c r="BB16" s="8" t="str">
        <f t="shared" si="26"/>
        <v/>
      </c>
      <c r="BC16" s="8" t="str">
        <f t="shared" si="26"/>
        <v/>
      </c>
      <c r="BD16" s="8" t="str">
        <f t="shared" si="26"/>
        <v/>
      </c>
      <c r="BE16" s="8" t="str">
        <f t="shared" si="26"/>
        <v/>
      </c>
      <c r="BG16" s="6"/>
      <c r="BH16" s="4"/>
      <c r="BI16" s="4"/>
      <c r="BL16" t="str">
        <f t="shared" si="3"/>
        <v/>
      </c>
      <c r="BM16">
        <f t="shared" si="4"/>
        <v>0</v>
      </c>
      <c r="BN16" t="str">
        <f t="shared" si="5"/>
        <v/>
      </c>
      <c r="BO16">
        <f t="shared" si="6"/>
        <v>0</v>
      </c>
      <c r="BP16">
        <f t="shared" si="7"/>
        <v>0</v>
      </c>
      <c r="BQ16">
        <f t="shared" si="8"/>
        <v>9999</v>
      </c>
      <c r="BR16">
        <f t="shared" si="9"/>
        <v>9999</v>
      </c>
      <c r="BS16">
        <f>ROW()+IF($A16="",0,COUNTIF($A17:$A$36,$A16&amp;".*"))</f>
        <v>16</v>
      </c>
      <c r="BT16">
        <f t="shared" si="10"/>
        <v>9999</v>
      </c>
      <c r="BU16">
        <f t="shared" si="11"/>
        <v>9999</v>
      </c>
      <c r="BV16" t="str">
        <f t="shared" si="12"/>
        <v/>
      </c>
      <c r="BW16" t="str">
        <f t="shared" si="13"/>
        <v/>
      </c>
      <c r="BX16" t="str">
        <f t="shared" si="14"/>
        <v/>
      </c>
      <c r="BY16" t="str">
        <f t="shared" si="15"/>
        <v/>
      </c>
      <c r="BZ16">
        <f>IF($BG16="",0,COUNTA($BG$7:$BG16))</f>
        <v>0</v>
      </c>
      <c r="CA16" t="str">
        <f t="shared" ca="1" si="16"/>
        <v/>
      </c>
      <c r="CB16" t="str">
        <f t="shared" si="17"/>
        <v/>
      </c>
    </row>
    <row r="17" spans="1:80" x14ac:dyDescent="0.3">
      <c r="A17" s="18"/>
      <c r="B17" s="4"/>
      <c r="C17" s="5" t="str">
        <f>IF($A17="","",IF(BM17=1,MIN(C18:INDEX($C:$C,BS17)),BO17))</f>
        <v/>
      </c>
      <c r="D17" s="5" t="str">
        <f>IF($A17="","",IF(BM17=1,MAX(D18:INDEX($D:$D,BS17)),IF(C17="","",IF(N($I17)&lt;=0,C17,WORKDAY(C17,$I17)))))</f>
        <v/>
      </c>
      <c r="E17" s="6" t="str">
        <f t="shared" si="1"/>
        <v/>
      </c>
      <c r="F17" s="7">
        <f ca="1">IFERROR(SUMPRODUCT((BM18:INDEX($BM:$BM,$BS17)=0)*F18:INDEX($F:$F,$BS17)*(I18:INDEX($I:$I,$BS17)+1))/SUMPRODUCT((BM18:INDEX($BM:$BM,$BS17)=0)*(I18:INDEX($I:$I,$BS17)+1)),0)</f>
        <v>0</v>
      </c>
      <c r="G17" s="19"/>
      <c r="H17" s="20"/>
      <c r="I17" s="20"/>
      <c r="J17" s="8" t="str">
        <f t="shared" ref="J17:BE17" si="27">IF($C17="","",IF(AND(J$6&lt;=$D17,K$6&gt;$C17),IF($C17=$D17,"◆",1),""))</f>
        <v/>
      </c>
      <c r="K17" s="8" t="str">
        <f t="shared" si="27"/>
        <v/>
      </c>
      <c r="L17" s="8" t="str">
        <f t="shared" si="27"/>
        <v/>
      </c>
      <c r="M17" s="8" t="str">
        <f t="shared" si="27"/>
        <v/>
      </c>
      <c r="N17" s="8" t="str">
        <f t="shared" si="27"/>
        <v/>
      </c>
      <c r="O17" s="8" t="str">
        <f t="shared" si="27"/>
        <v/>
      </c>
      <c r="P17" s="8" t="str">
        <f t="shared" si="27"/>
        <v/>
      </c>
      <c r="Q17" s="8" t="str">
        <f t="shared" si="27"/>
        <v/>
      </c>
      <c r="R17" s="8" t="str">
        <f t="shared" si="27"/>
        <v/>
      </c>
      <c r="S17" s="8" t="str">
        <f t="shared" si="27"/>
        <v/>
      </c>
      <c r="T17" s="8" t="str">
        <f t="shared" si="27"/>
        <v/>
      </c>
      <c r="U17" s="8" t="str">
        <f t="shared" si="27"/>
        <v/>
      </c>
      <c r="V17" s="8" t="str">
        <f t="shared" si="27"/>
        <v/>
      </c>
      <c r="W17" s="8" t="str">
        <f t="shared" si="27"/>
        <v/>
      </c>
      <c r="X17" s="8" t="str">
        <f t="shared" si="27"/>
        <v/>
      </c>
      <c r="Y17" s="8" t="str">
        <f t="shared" si="27"/>
        <v/>
      </c>
      <c r="Z17" s="8" t="str">
        <f t="shared" si="27"/>
        <v/>
      </c>
      <c r="AA17" s="8" t="str">
        <f t="shared" si="27"/>
        <v/>
      </c>
      <c r="AB17" s="8" t="str">
        <f t="shared" si="27"/>
        <v/>
      </c>
      <c r="AC17" s="8" t="str">
        <f t="shared" si="27"/>
        <v/>
      </c>
      <c r="AD17" s="8" t="str">
        <f t="shared" si="27"/>
        <v/>
      </c>
      <c r="AE17" s="8" t="str">
        <f t="shared" si="27"/>
        <v/>
      </c>
      <c r="AF17" s="8" t="str">
        <f t="shared" si="27"/>
        <v/>
      </c>
      <c r="AG17" s="8" t="str">
        <f t="shared" si="27"/>
        <v/>
      </c>
      <c r="AH17" s="8" t="str">
        <f t="shared" si="27"/>
        <v/>
      </c>
      <c r="AI17" s="8" t="str">
        <f t="shared" si="27"/>
        <v/>
      </c>
      <c r="AJ17" s="8" t="str">
        <f t="shared" si="27"/>
        <v/>
      </c>
      <c r="AK17" s="8" t="str">
        <f t="shared" si="27"/>
        <v/>
      </c>
      <c r="AL17" s="8" t="str">
        <f t="shared" si="27"/>
        <v/>
      </c>
      <c r="AM17" s="8" t="str">
        <f t="shared" si="27"/>
        <v/>
      </c>
      <c r="AN17" s="8" t="str">
        <f t="shared" si="27"/>
        <v/>
      </c>
      <c r="AO17" s="8" t="str">
        <f t="shared" si="27"/>
        <v/>
      </c>
      <c r="AP17" s="8" t="str">
        <f t="shared" si="27"/>
        <v/>
      </c>
      <c r="AQ17" s="8" t="str">
        <f t="shared" si="27"/>
        <v/>
      </c>
      <c r="AR17" s="8" t="str">
        <f t="shared" si="27"/>
        <v/>
      </c>
      <c r="AS17" s="8" t="str">
        <f t="shared" si="27"/>
        <v/>
      </c>
      <c r="AT17" s="8" t="str">
        <f t="shared" si="27"/>
        <v/>
      </c>
      <c r="AU17" s="8" t="str">
        <f t="shared" si="27"/>
        <v/>
      </c>
      <c r="AV17" s="8" t="str">
        <f t="shared" si="27"/>
        <v/>
      </c>
      <c r="AW17" s="8" t="str">
        <f t="shared" si="27"/>
        <v/>
      </c>
      <c r="AX17" s="8" t="str">
        <f t="shared" si="27"/>
        <v/>
      </c>
      <c r="AY17" s="8" t="str">
        <f t="shared" si="27"/>
        <v/>
      </c>
      <c r="AZ17" s="8" t="str">
        <f t="shared" si="27"/>
        <v/>
      </c>
      <c r="BA17" s="8" t="str">
        <f t="shared" si="27"/>
        <v/>
      </c>
      <c r="BB17" s="8" t="str">
        <f t="shared" si="27"/>
        <v/>
      </c>
      <c r="BC17" s="8" t="str">
        <f t="shared" si="27"/>
        <v/>
      </c>
      <c r="BD17" s="8" t="str">
        <f t="shared" si="27"/>
        <v/>
      </c>
      <c r="BE17" s="8" t="str">
        <f t="shared" si="27"/>
        <v/>
      </c>
      <c r="BG17" s="6"/>
      <c r="BH17" s="4"/>
      <c r="BI17" s="4"/>
      <c r="BL17" t="str">
        <f t="shared" si="3"/>
        <v/>
      </c>
      <c r="BM17">
        <f t="shared" si="4"/>
        <v>0</v>
      </c>
      <c r="BN17" t="str">
        <f t="shared" si="5"/>
        <v/>
      </c>
      <c r="BO17">
        <f t="shared" si="6"/>
        <v>0</v>
      </c>
      <c r="BP17">
        <f t="shared" si="7"/>
        <v>0</v>
      </c>
      <c r="BQ17">
        <f t="shared" si="8"/>
        <v>9999</v>
      </c>
      <c r="BR17">
        <f t="shared" si="9"/>
        <v>9999</v>
      </c>
      <c r="BS17">
        <f>ROW()+IF($A17="",0,COUNTIF($A18:$A$36,$A17&amp;".*"))</f>
        <v>17</v>
      </c>
      <c r="BT17">
        <f t="shared" si="10"/>
        <v>9999</v>
      </c>
      <c r="BU17">
        <f t="shared" si="11"/>
        <v>9999</v>
      </c>
      <c r="BV17" t="str">
        <f t="shared" si="12"/>
        <v/>
      </c>
      <c r="BW17" t="str">
        <f t="shared" si="13"/>
        <v/>
      </c>
      <c r="BX17" t="str">
        <f t="shared" si="14"/>
        <v/>
      </c>
      <c r="BY17" t="str">
        <f t="shared" si="15"/>
        <v/>
      </c>
      <c r="BZ17">
        <f>IF($BG17="",0,COUNTA($BG$7:$BG17))</f>
        <v>0</v>
      </c>
      <c r="CA17" t="str">
        <f t="shared" ca="1" si="16"/>
        <v/>
      </c>
      <c r="CB17" t="str">
        <f t="shared" si="17"/>
        <v/>
      </c>
    </row>
    <row r="18" spans="1:80" x14ac:dyDescent="0.3">
      <c r="A18" s="18"/>
      <c r="B18" s="4"/>
      <c r="C18" s="5" t="str">
        <f>IF($A18="","",IF(BM18=1,MIN(C19:INDEX($C:$C,BS18)),BO18))</f>
        <v/>
      </c>
      <c r="D18" s="5" t="str">
        <f>IF($A18="","",IF(BM18=1,MAX(D19:INDEX($D:$D,BS18)),IF(C18="","",IF(N($I18)&lt;=0,C18,WORKDAY(C18,$I18)))))</f>
        <v/>
      </c>
      <c r="E18" s="6" t="str">
        <f t="shared" si="1"/>
        <v/>
      </c>
      <c r="F18" s="7">
        <f ca="1">IFERROR(SUMPRODUCT((BM19:INDEX($BM:$BM,$BS18)=0)*F19:INDEX($F:$F,$BS18)*(I19:INDEX($I:$I,$BS18)+1))/SUMPRODUCT((BM19:INDEX($BM:$BM,$BS18)=0)*(I19:INDEX($I:$I,$BS18)+1)),0)</f>
        <v>0</v>
      </c>
      <c r="G18" s="19"/>
      <c r="H18" s="20"/>
      <c r="I18" s="20"/>
      <c r="J18" s="8" t="str">
        <f t="shared" ref="J18:BE18" si="28">IF($C18="","",IF(AND(J$6&lt;=$D18,K$6&gt;$C18),IF($C18=$D18,"◆",1),""))</f>
        <v/>
      </c>
      <c r="K18" s="8" t="str">
        <f t="shared" si="28"/>
        <v/>
      </c>
      <c r="L18" s="8" t="str">
        <f t="shared" si="28"/>
        <v/>
      </c>
      <c r="M18" s="8" t="str">
        <f t="shared" si="28"/>
        <v/>
      </c>
      <c r="N18" s="8" t="str">
        <f t="shared" si="28"/>
        <v/>
      </c>
      <c r="O18" s="8" t="str">
        <f t="shared" si="28"/>
        <v/>
      </c>
      <c r="P18" s="8" t="str">
        <f t="shared" si="28"/>
        <v/>
      </c>
      <c r="Q18" s="8" t="str">
        <f t="shared" si="28"/>
        <v/>
      </c>
      <c r="R18" s="8" t="str">
        <f t="shared" si="28"/>
        <v/>
      </c>
      <c r="S18" s="8" t="str">
        <f t="shared" si="28"/>
        <v/>
      </c>
      <c r="T18" s="8" t="str">
        <f t="shared" si="28"/>
        <v/>
      </c>
      <c r="U18" s="8" t="str">
        <f t="shared" si="28"/>
        <v/>
      </c>
      <c r="V18" s="8" t="str">
        <f t="shared" si="28"/>
        <v/>
      </c>
      <c r="W18" s="8" t="str">
        <f t="shared" si="28"/>
        <v/>
      </c>
      <c r="X18" s="8" t="str">
        <f t="shared" si="28"/>
        <v/>
      </c>
      <c r="Y18" s="8" t="str">
        <f t="shared" si="28"/>
        <v/>
      </c>
      <c r="Z18" s="8" t="str">
        <f t="shared" si="28"/>
        <v/>
      </c>
      <c r="AA18" s="8" t="str">
        <f t="shared" si="28"/>
        <v/>
      </c>
      <c r="AB18" s="8" t="str">
        <f t="shared" si="28"/>
        <v/>
      </c>
      <c r="AC18" s="8" t="str">
        <f t="shared" si="28"/>
        <v/>
      </c>
      <c r="AD18" s="8" t="str">
        <f t="shared" si="28"/>
        <v/>
      </c>
      <c r="AE18" s="8" t="str">
        <f t="shared" si="28"/>
        <v/>
      </c>
      <c r="AF18" s="8" t="str">
        <f t="shared" si="28"/>
        <v/>
      </c>
      <c r="AG18" s="8" t="str">
        <f t="shared" si="28"/>
        <v/>
      </c>
      <c r="AH18" s="8" t="str">
        <f t="shared" si="28"/>
        <v/>
      </c>
      <c r="AI18" s="8" t="str">
        <f t="shared" si="28"/>
        <v/>
      </c>
      <c r="AJ18" s="8" t="str">
        <f t="shared" si="28"/>
        <v/>
      </c>
      <c r="AK18" s="8" t="str">
        <f t="shared" si="28"/>
        <v/>
      </c>
      <c r="AL18" s="8" t="str">
        <f t="shared" si="28"/>
        <v/>
      </c>
      <c r="AM18" s="8" t="str">
        <f t="shared" si="28"/>
        <v/>
      </c>
      <c r="AN18" s="8" t="str">
        <f t="shared" si="28"/>
        <v/>
      </c>
      <c r="AO18" s="8" t="str">
        <f t="shared" si="28"/>
        <v/>
      </c>
      <c r="AP18" s="8" t="str">
        <f t="shared" si="28"/>
        <v/>
      </c>
      <c r="AQ18" s="8" t="str">
        <f t="shared" si="28"/>
        <v/>
      </c>
      <c r="AR18" s="8" t="str">
        <f t="shared" si="28"/>
        <v/>
      </c>
      <c r="AS18" s="8" t="str">
        <f t="shared" si="28"/>
        <v/>
      </c>
      <c r="AT18" s="8" t="str">
        <f t="shared" si="28"/>
        <v/>
      </c>
      <c r="AU18" s="8" t="str">
        <f t="shared" si="28"/>
        <v/>
      </c>
      <c r="AV18" s="8" t="str">
        <f t="shared" si="28"/>
        <v/>
      </c>
      <c r="AW18" s="8" t="str">
        <f t="shared" si="28"/>
        <v/>
      </c>
      <c r="AX18" s="8" t="str">
        <f t="shared" si="28"/>
        <v/>
      </c>
      <c r="AY18" s="8" t="str">
        <f t="shared" si="28"/>
        <v/>
      </c>
      <c r="AZ18" s="8" t="str">
        <f t="shared" si="28"/>
        <v/>
      </c>
      <c r="BA18" s="8" t="str">
        <f t="shared" si="28"/>
        <v/>
      </c>
      <c r="BB18" s="8" t="str">
        <f t="shared" si="28"/>
        <v/>
      </c>
      <c r="BC18" s="8" t="str">
        <f t="shared" si="28"/>
        <v/>
      </c>
      <c r="BD18" s="8" t="str">
        <f t="shared" si="28"/>
        <v/>
      </c>
      <c r="BE18" s="8" t="str">
        <f t="shared" si="28"/>
        <v/>
      </c>
      <c r="BG18" s="6"/>
      <c r="BH18" s="4"/>
      <c r="BI18" s="4"/>
      <c r="BL18" t="str">
        <f t="shared" si="3"/>
        <v/>
      </c>
      <c r="BM18">
        <f t="shared" si="4"/>
        <v>0</v>
      </c>
      <c r="BN18" t="str">
        <f t="shared" si="5"/>
        <v/>
      </c>
      <c r="BO18">
        <f t="shared" si="6"/>
        <v>0</v>
      </c>
      <c r="BP18">
        <f t="shared" si="7"/>
        <v>0</v>
      </c>
      <c r="BQ18">
        <f t="shared" si="8"/>
        <v>9999</v>
      </c>
      <c r="BR18">
        <f t="shared" si="9"/>
        <v>9999</v>
      </c>
      <c r="BS18">
        <f>ROW()+IF($A18="",0,COUNTIF($A19:$A$36,$A18&amp;".*"))</f>
        <v>18</v>
      </c>
      <c r="BT18">
        <f t="shared" si="10"/>
        <v>9999</v>
      </c>
      <c r="BU18">
        <f t="shared" si="11"/>
        <v>9999</v>
      </c>
      <c r="BV18" t="str">
        <f t="shared" si="12"/>
        <v/>
      </c>
      <c r="BW18" t="str">
        <f t="shared" si="13"/>
        <v/>
      </c>
      <c r="BX18" t="str">
        <f t="shared" si="14"/>
        <v/>
      </c>
      <c r="BY18" t="str">
        <f t="shared" si="15"/>
        <v/>
      </c>
      <c r="BZ18">
        <f>IF($BG18="",0,COUNTA($BG$7:$BG18))</f>
        <v>0</v>
      </c>
      <c r="CA18" t="str">
        <f t="shared" ca="1" si="16"/>
        <v/>
      </c>
      <c r="CB18" t="str">
        <f t="shared" si="17"/>
        <v/>
      </c>
    </row>
    <row r="19" spans="1:80" x14ac:dyDescent="0.3">
      <c r="A19" s="18"/>
      <c r="B19" s="4"/>
      <c r="C19" s="5" t="str">
        <f>IF($A19="","",IF(BM19=1,MIN(C20:INDEX($C:$C,BS19)),BO19))</f>
        <v/>
      </c>
      <c r="D19" s="5" t="str">
        <f>IF($A19="","",IF(BM19=1,MAX(D20:INDEX($D:$D,BS19)),IF(C19="","",IF(N($I19)&lt;=0,C19,WORKDAY(C19,$I19)))))</f>
        <v/>
      </c>
      <c r="E19" s="6" t="str">
        <f t="shared" si="1"/>
        <v/>
      </c>
      <c r="F19" s="7">
        <f ca="1">IFERROR(SUMPRODUCT((BM20:INDEX($BM:$BM,$BS19)=0)*F20:INDEX($F:$F,$BS19)*(I20:INDEX($I:$I,$BS19)+1))/SUMPRODUCT((BM20:INDEX($BM:$BM,$BS19)=0)*(I20:INDEX($I:$I,$BS19)+1)),0)</f>
        <v>0</v>
      </c>
      <c r="G19" s="19"/>
      <c r="H19" s="20"/>
      <c r="I19" s="20"/>
      <c r="J19" s="8" t="str">
        <f t="shared" ref="J19:BE19" si="29">IF($C19="","",IF(AND(J$6&lt;=$D19,K$6&gt;$C19),IF($C19=$D19,"◆",1),""))</f>
        <v/>
      </c>
      <c r="K19" s="8" t="str">
        <f t="shared" si="29"/>
        <v/>
      </c>
      <c r="L19" s="8" t="str">
        <f t="shared" si="29"/>
        <v/>
      </c>
      <c r="M19" s="8" t="str">
        <f t="shared" si="29"/>
        <v/>
      </c>
      <c r="N19" s="8" t="str">
        <f t="shared" si="29"/>
        <v/>
      </c>
      <c r="O19" s="8" t="str">
        <f t="shared" si="29"/>
        <v/>
      </c>
      <c r="P19" s="8" t="str">
        <f t="shared" si="29"/>
        <v/>
      </c>
      <c r="Q19" s="8" t="str">
        <f t="shared" si="29"/>
        <v/>
      </c>
      <c r="R19" s="8" t="str">
        <f t="shared" si="29"/>
        <v/>
      </c>
      <c r="S19" s="8" t="str">
        <f t="shared" si="29"/>
        <v/>
      </c>
      <c r="T19" s="8" t="str">
        <f t="shared" si="29"/>
        <v/>
      </c>
      <c r="U19" s="8" t="str">
        <f t="shared" si="29"/>
        <v/>
      </c>
      <c r="V19" s="8" t="str">
        <f t="shared" si="29"/>
        <v/>
      </c>
      <c r="W19" s="8" t="str">
        <f t="shared" si="29"/>
        <v/>
      </c>
      <c r="X19" s="8" t="str">
        <f t="shared" si="29"/>
        <v/>
      </c>
      <c r="Y19" s="8" t="str">
        <f t="shared" si="29"/>
        <v/>
      </c>
      <c r="Z19" s="8" t="str">
        <f t="shared" si="29"/>
        <v/>
      </c>
      <c r="AA19" s="8" t="str">
        <f t="shared" si="29"/>
        <v/>
      </c>
      <c r="AB19" s="8" t="str">
        <f t="shared" si="29"/>
        <v/>
      </c>
      <c r="AC19" s="8" t="str">
        <f t="shared" si="29"/>
        <v/>
      </c>
      <c r="AD19" s="8" t="str">
        <f t="shared" si="29"/>
        <v/>
      </c>
      <c r="AE19" s="8" t="str">
        <f t="shared" si="29"/>
        <v/>
      </c>
      <c r="AF19" s="8" t="str">
        <f t="shared" si="29"/>
        <v/>
      </c>
      <c r="AG19" s="8" t="str">
        <f t="shared" si="29"/>
        <v/>
      </c>
      <c r="AH19" s="8" t="str">
        <f t="shared" si="29"/>
        <v/>
      </c>
      <c r="AI19" s="8" t="str">
        <f t="shared" si="29"/>
        <v/>
      </c>
      <c r="AJ19" s="8" t="str">
        <f t="shared" si="29"/>
        <v/>
      </c>
      <c r="AK19" s="8" t="str">
        <f t="shared" si="29"/>
        <v/>
      </c>
      <c r="AL19" s="8" t="str">
        <f t="shared" si="29"/>
        <v/>
      </c>
      <c r="AM19" s="8" t="str">
        <f t="shared" si="29"/>
        <v/>
      </c>
      <c r="AN19" s="8" t="str">
        <f t="shared" si="29"/>
        <v/>
      </c>
      <c r="AO19" s="8" t="str">
        <f t="shared" si="29"/>
        <v/>
      </c>
      <c r="AP19" s="8" t="str">
        <f t="shared" si="29"/>
        <v/>
      </c>
      <c r="AQ19" s="8" t="str">
        <f t="shared" si="29"/>
        <v/>
      </c>
      <c r="AR19" s="8" t="str">
        <f t="shared" si="29"/>
        <v/>
      </c>
      <c r="AS19" s="8" t="str">
        <f t="shared" si="29"/>
        <v/>
      </c>
      <c r="AT19" s="8" t="str">
        <f t="shared" si="29"/>
        <v/>
      </c>
      <c r="AU19" s="8" t="str">
        <f t="shared" si="29"/>
        <v/>
      </c>
      <c r="AV19" s="8" t="str">
        <f t="shared" si="29"/>
        <v/>
      </c>
      <c r="AW19" s="8" t="str">
        <f t="shared" si="29"/>
        <v/>
      </c>
      <c r="AX19" s="8" t="str">
        <f t="shared" si="29"/>
        <v/>
      </c>
      <c r="AY19" s="8" t="str">
        <f t="shared" si="29"/>
        <v/>
      </c>
      <c r="AZ19" s="8" t="str">
        <f t="shared" si="29"/>
        <v/>
      </c>
      <c r="BA19" s="8" t="str">
        <f t="shared" si="29"/>
        <v/>
      </c>
      <c r="BB19" s="8" t="str">
        <f t="shared" si="29"/>
        <v/>
      </c>
      <c r="BC19" s="8" t="str">
        <f t="shared" si="29"/>
        <v/>
      </c>
      <c r="BD19" s="8" t="str">
        <f t="shared" si="29"/>
        <v/>
      </c>
      <c r="BE19" s="8" t="str">
        <f t="shared" si="29"/>
        <v/>
      </c>
      <c r="BG19" s="6"/>
      <c r="BH19" s="4"/>
      <c r="BI19" s="4"/>
      <c r="BL19" t="str">
        <f t="shared" si="3"/>
        <v/>
      </c>
      <c r="BM19">
        <f t="shared" si="4"/>
        <v>0</v>
      </c>
      <c r="BN19" t="str">
        <f t="shared" si="5"/>
        <v/>
      </c>
      <c r="BO19">
        <f t="shared" si="6"/>
        <v>0</v>
      </c>
      <c r="BP19">
        <f t="shared" si="7"/>
        <v>0</v>
      </c>
      <c r="BQ19">
        <f t="shared" si="8"/>
        <v>9999</v>
      </c>
      <c r="BR19">
        <f t="shared" si="9"/>
        <v>9999</v>
      </c>
      <c r="BS19">
        <f>ROW()+IF($A19="",0,COUNTIF($A20:$A$36,$A19&amp;".*"))</f>
        <v>19</v>
      </c>
      <c r="BT19">
        <f t="shared" si="10"/>
        <v>9999</v>
      </c>
      <c r="BU19">
        <f t="shared" si="11"/>
        <v>9999</v>
      </c>
      <c r="BV19" t="str">
        <f t="shared" si="12"/>
        <v/>
      </c>
      <c r="BW19" t="str">
        <f t="shared" si="13"/>
        <v/>
      </c>
      <c r="BX19" t="str">
        <f t="shared" si="14"/>
        <v/>
      </c>
      <c r="BY19" t="str">
        <f t="shared" si="15"/>
        <v/>
      </c>
      <c r="BZ19">
        <f>IF($BG19="",0,COUNTA($BG$7:$BG19))</f>
        <v>0</v>
      </c>
      <c r="CA19" t="str">
        <f t="shared" ca="1" si="16"/>
        <v/>
      </c>
      <c r="CB19" t="str">
        <f t="shared" si="17"/>
        <v/>
      </c>
    </row>
    <row r="20" spans="1:80" x14ac:dyDescent="0.3">
      <c r="A20" s="18"/>
      <c r="B20" s="4"/>
      <c r="C20" s="5" t="str">
        <f>IF($A20="","",IF(BM20=1,MIN(C21:INDEX($C:$C,BS20)),BO20))</f>
        <v/>
      </c>
      <c r="D20" s="5" t="str">
        <f>IF($A20="","",IF(BM20=1,MAX(D21:INDEX($D:$D,BS20)),IF(C20="","",IF(N($I20)&lt;=0,C20,WORKDAY(C20,$I20)))))</f>
        <v/>
      </c>
      <c r="E20" s="6" t="str">
        <f t="shared" si="1"/>
        <v/>
      </c>
      <c r="F20" s="7">
        <f ca="1">IFERROR(SUMPRODUCT((BM21:INDEX($BM:$BM,$BS20)=0)*F21:INDEX($F:$F,$BS20)*(I21:INDEX($I:$I,$BS20)+1))/SUMPRODUCT((BM21:INDEX($BM:$BM,$BS20)=0)*(I21:INDEX($I:$I,$BS20)+1)),0)</f>
        <v>0</v>
      </c>
      <c r="G20" s="19"/>
      <c r="H20" s="20"/>
      <c r="I20" s="20"/>
      <c r="J20" s="8" t="str">
        <f t="shared" ref="J20:BE20" si="30">IF($C20="","",IF(AND(J$6&lt;=$D20,K$6&gt;$C20),IF($C20=$D20,"◆",1),""))</f>
        <v/>
      </c>
      <c r="K20" s="8" t="str">
        <f t="shared" si="30"/>
        <v/>
      </c>
      <c r="L20" s="8" t="str">
        <f t="shared" si="30"/>
        <v/>
      </c>
      <c r="M20" s="8" t="str">
        <f t="shared" si="30"/>
        <v/>
      </c>
      <c r="N20" s="8" t="str">
        <f t="shared" si="30"/>
        <v/>
      </c>
      <c r="O20" s="8" t="str">
        <f t="shared" si="30"/>
        <v/>
      </c>
      <c r="P20" s="8" t="str">
        <f t="shared" si="30"/>
        <v/>
      </c>
      <c r="Q20" s="8" t="str">
        <f t="shared" si="30"/>
        <v/>
      </c>
      <c r="R20" s="8" t="str">
        <f t="shared" si="30"/>
        <v/>
      </c>
      <c r="S20" s="8" t="str">
        <f t="shared" si="30"/>
        <v/>
      </c>
      <c r="T20" s="8" t="str">
        <f t="shared" si="30"/>
        <v/>
      </c>
      <c r="U20" s="8" t="str">
        <f t="shared" si="30"/>
        <v/>
      </c>
      <c r="V20" s="8" t="str">
        <f t="shared" si="30"/>
        <v/>
      </c>
      <c r="W20" s="8" t="str">
        <f t="shared" si="30"/>
        <v/>
      </c>
      <c r="X20" s="8" t="str">
        <f t="shared" si="30"/>
        <v/>
      </c>
      <c r="Y20" s="8" t="str">
        <f t="shared" si="30"/>
        <v/>
      </c>
      <c r="Z20" s="8" t="str">
        <f t="shared" si="30"/>
        <v/>
      </c>
      <c r="AA20" s="8" t="str">
        <f t="shared" si="30"/>
        <v/>
      </c>
      <c r="AB20" s="8" t="str">
        <f t="shared" si="30"/>
        <v/>
      </c>
      <c r="AC20" s="8" t="str">
        <f t="shared" si="30"/>
        <v/>
      </c>
      <c r="AD20" s="8" t="str">
        <f t="shared" si="30"/>
        <v/>
      </c>
      <c r="AE20" s="8" t="str">
        <f t="shared" si="30"/>
        <v/>
      </c>
      <c r="AF20" s="8" t="str">
        <f t="shared" si="30"/>
        <v/>
      </c>
      <c r="AG20" s="8" t="str">
        <f t="shared" si="30"/>
        <v/>
      </c>
      <c r="AH20" s="8" t="str">
        <f t="shared" si="30"/>
        <v/>
      </c>
      <c r="AI20" s="8" t="str">
        <f t="shared" si="30"/>
        <v/>
      </c>
      <c r="AJ20" s="8" t="str">
        <f t="shared" si="30"/>
        <v/>
      </c>
      <c r="AK20" s="8" t="str">
        <f t="shared" si="30"/>
        <v/>
      </c>
      <c r="AL20" s="8" t="str">
        <f t="shared" si="30"/>
        <v/>
      </c>
      <c r="AM20" s="8" t="str">
        <f t="shared" si="30"/>
        <v/>
      </c>
      <c r="AN20" s="8" t="str">
        <f t="shared" si="30"/>
        <v/>
      </c>
      <c r="AO20" s="8" t="str">
        <f t="shared" si="30"/>
        <v/>
      </c>
      <c r="AP20" s="8" t="str">
        <f t="shared" si="30"/>
        <v/>
      </c>
      <c r="AQ20" s="8" t="str">
        <f t="shared" si="30"/>
        <v/>
      </c>
      <c r="AR20" s="8" t="str">
        <f t="shared" si="30"/>
        <v/>
      </c>
      <c r="AS20" s="8" t="str">
        <f t="shared" si="30"/>
        <v/>
      </c>
      <c r="AT20" s="8" t="str">
        <f t="shared" si="30"/>
        <v/>
      </c>
      <c r="AU20" s="8" t="str">
        <f t="shared" si="30"/>
        <v/>
      </c>
      <c r="AV20" s="8" t="str">
        <f t="shared" si="30"/>
        <v/>
      </c>
      <c r="AW20" s="8" t="str">
        <f t="shared" si="30"/>
        <v/>
      </c>
      <c r="AX20" s="8" t="str">
        <f t="shared" si="30"/>
        <v/>
      </c>
      <c r="AY20" s="8" t="str">
        <f t="shared" si="30"/>
        <v/>
      </c>
      <c r="AZ20" s="8" t="str">
        <f t="shared" si="30"/>
        <v/>
      </c>
      <c r="BA20" s="8" t="str">
        <f t="shared" si="30"/>
        <v/>
      </c>
      <c r="BB20" s="8" t="str">
        <f t="shared" si="30"/>
        <v/>
      </c>
      <c r="BC20" s="8" t="str">
        <f t="shared" si="30"/>
        <v/>
      </c>
      <c r="BD20" s="8" t="str">
        <f t="shared" si="30"/>
        <v/>
      </c>
      <c r="BE20" s="8" t="str">
        <f t="shared" si="30"/>
        <v/>
      </c>
      <c r="BG20" s="6"/>
      <c r="BH20" s="4"/>
      <c r="BI20" s="4"/>
      <c r="BL20" t="str">
        <f t="shared" si="3"/>
        <v/>
      </c>
      <c r="BM20">
        <f t="shared" si="4"/>
        <v>0</v>
      </c>
      <c r="BN20" t="str">
        <f t="shared" si="5"/>
        <v/>
      </c>
      <c r="BO20">
        <f t="shared" si="6"/>
        <v>0</v>
      </c>
      <c r="BP20">
        <f t="shared" si="7"/>
        <v>0</v>
      </c>
      <c r="BQ20">
        <f t="shared" si="8"/>
        <v>9999</v>
      </c>
      <c r="BR20">
        <f t="shared" si="9"/>
        <v>9999</v>
      </c>
      <c r="BS20">
        <f>ROW()+IF($A20="",0,COUNTIF($A21:$A$36,$A20&amp;".*"))</f>
        <v>20</v>
      </c>
      <c r="BT20">
        <f t="shared" si="10"/>
        <v>9999</v>
      </c>
      <c r="BU20">
        <f t="shared" si="11"/>
        <v>9999</v>
      </c>
      <c r="BV20" t="str">
        <f t="shared" si="12"/>
        <v/>
      </c>
      <c r="BW20" t="str">
        <f t="shared" si="13"/>
        <v/>
      </c>
      <c r="BX20" t="str">
        <f t="shared" si="14"/>
        <v/>
      </c>
      <c r="BY20" t="str">
        <f t="shared" si="15"/>
        <v/>
      </c>
      <c r="BZ20">
        <f>IF($BG20="",0,COUNTA($BG$7:$BG20))</f>
        <v>0</v>
      </c>
      <c r="CA20" t="str">
        <f t="shared" ca="1" si="16"/>
        <v/>
      </c>
      <c r="CB20" t="str">
        <f t="shared" si="17"/>
        <v/>
      </c>
    </row>
    <row r="21" spans="1:80" x14ac:dyDescent="0.3">
      <c r="A21" s="18"/>
      <c r="B21" s="4"/>
      <c r="C21" s="5" t="str">
        <f>IF($A21="","",IF(BM21=1,MIN(C22:INDEX($C:$C,BS21)),BO21))</f>
        <v/>
      </c>
      <c r="D21" s="5" t="str">
        <f>IF($A21="","",IF(BM21=1,MAX(D22:INDEX($D:$D,BS21)),IF(C21="","",IF(N($I21)&lt;=0,C21,WORKDAY(C21,$I21)))))</f>
        <v/>
      </c>
      <c r="E21" s="6" t="str">
        <f t="shared" si="1"/>
        <v/>
      </c>
      <c r="F21" s="7">
        <f ca="1">IFERROR(SUMPRODUCT((BM22:INDEX($BM:$BM,$BS21)=0)*F22:INDEX($F:$F,$BS21)*(I22:INDEX($I:$I,$BS21)+1))/SUMPRODUCT((BM22:INDEX($BM:$BM,$BS21)=0)*(I22:INDEX($I:$I,$BS21)+1)),0)</f>
        <v>0</v>
      </c>
      <c r="G21" s="19"/>
      <c r="H21" s="20"/>
      <c r="I21" s="20"/>
      <c r="J21" s="8" t="str">
        <f t="shared" ref="J21:BE21" si="31">IF($C21="","",IF(AND(J$6&lt;=$D21,K$6&gt;$C21),IF($C21=$D21,"◆",1),""))</f>
        <v/>
      </c>
      <c r="K21" s="8" t="str">
        <f t="shared" si="31"/>
        <v/>
      </c>
      <c r="L21" s="8" t="str">
        <f t="shared" si="31"/>
        <v/>
      </c>
      <c r="M21" s="8" t="str">
        <f t="shared" si="31"/>
        <v/>
      </c>
      <c r="N21" s="8" t="str">
        <f t="shared" si="31"/>
        <v/>
      </c>
      <c r="O21" s="8" t="str">
        <f t="shared" si="31"/>
        <v/>
      </c>
      <c r="P21" s="8" t="str">
        <f t="shared" si="31"/>
        <v/>
      </c>
      <c r="Q21" s="8" t="str">
        <f t="shared" si="31"/>
        <v/>
      </c>
      <c r="R21" s="8" t="str">
        <f t="shared" si="31"/>
        <v/>
      </c>
      <c r="S21" s="8" t="str">
        <f t="shared" si="31"/>
        <v/>
      </c>
      <c r="T21" s="8" t="str">
        <f t="shared" si="31"/>
        <v/>
      </c>
      <c r="U21" s="8" t="str">
        <f t="shared" si="31"/>
        <v/>
      </c>
      <c r="V21" s="8" t="str">
        <f t="shared" si="31"/>
        <v/>
      </c>
      <c r="W21" s="8" t="str">
        <f t="shared" si="31"/>
        <v/>
      </c>
      <c r="X21" s="8" t="str">
        <f t="shared" si="31"/>
        <v/>
      </c>
      <c r="Y21" s="8" t="str">
        <f t="shared" si="31"/>
        <v/>
      </c>
      <c r="Z21" s="8" t="str">
        <f t="shared" si="31"/>
        <v/>
      </c>
      <c r="AA21" s="8" t="str">
        <f t="shared" si="31"/>
        <v/>
      </c>
      <c r="AB21" s="8" t="str">
        <f t="shared" si="31"/>
        <v/>
      </c>
      <c r="AC21" s="8" t="str">
        <f t="shared" si="31"/>
        <v/>
      </c>
      <c r="AD21" s="8" t="str">
        <f t="shared" si="31"/>
        <v/>
      </c>
      <c r="AE21" s="8" t="str">
        <f t="shared" si="31"/>
        <v/>
      </c>
      <c r="AF21" s="8" t="str">
        <f t="shared" si="31"/>
        <v/>
      </c>
      <c r="AG21" s="8" t="str">
        <f t="shared" si="31"/>
        <v/>
      </c>
      <c r="AH21" s="8" t="str">
        <f t="shared" si="31"/>
        <v/>
      </c>
      <c r="AI21" s="8" t="str">
        <f t="shared" si="31"/>
        <v/>
      </c>
      <c r="AJ21" s="8" t="str">
        <f t="shared" si="31"/>
        <v/>
      </c>
      <c r="AK21" s="8" t="str">
        <f t="shared" si="31"/>
        <v/>
      </c>
      <c r="AL21" s="8" t="str">
        <f t="shared" si="31"/>
        <v/>
      </c>
      <c r="AM21" s="8" t="str">
        <f t="shared" si="31"/>
        <v/>
      </c>
      <c r="AN21" s="8" t="str">
        <f t="shared" si="31"/>
        <v/>
      </c>
      <c r="AO21" s="8" t="str">
        <f t="shared" si="31"/>
        <v/>
      </c>
      <c r="AP21" s="8" t="str">
        <f t="shared" si="31"/>
        <v/>
      </c>
      <c r="AQ21" s="8" t="str">
        <f t="shared" si="31"/>
        <v/>
      </c>
      <c r="AR21" s="8" t="str">
        <f t="shared" si="31"/>
        <v/>
      </c>
      <c r="AS21" s="8" t="str">
        <f t="shared" si="31"/>
        <v/>
      </c>
      <c r="AT21" s="8" t="str">
        <f t="shared" si="31"/>
        <v/>
      </c>
      <c r="AU21" s="8" t="str">
        <f t="shared" si="31"/>
        <v/>
      </c>
      <c r="AV21" s="8" t="str">
        <f t="shared" si="31"/>
        <v/>
      </c>
      <c r="AW21" s="8" t="str">
        <f t="shared" si="31"/>
        <v/>
      </c>
      <c r="AX21" s="8" t="str">
        <f t="shared" si="31"/>
        <v/>
      </c>
      <c r="AY21" s="8" t="str">
        <f t="shared" si="31"/>
        <v/>
      </c>
      <c r="AZ21" s="8" t="str">
        <f t="shared" si="31"/>
        <v/>
      </c>
      <c r="BA21" s="8" t="str">
        <f t="shared" si="31"/>
        <v/>
      </c>
      <c r="BB21" s="8" t="str">
        <f t="shared" si="31"/>
        <v/>
      </c>
      <c r="BC21" s="8" t="str">
        <f t="shared" si="31"/>
        <v/>
      </c>
      <c r="BD21" s="8" t="str">
        <f t="shared" si="31"/>
        <v/>
      </c>
      <c r="BE21" s="8" t="str">
        <f t="shared" si="31"/>
        <v/>
      </c>
      <c r="BG21" s="6"/>
      <c r="BH21" s="4"/>
      <c r="BI21" s="4"/>
      <c r="BL21" t="str">
        <f t="shared" si="3"/>
        <v/>
      </c>
      <c r="BM21">
        <f t="shared" si="4"/>
        <v>0</v>
      </c>
      <c r="BN21" t="str">
        <f t="shared" si="5"/>
        <v/>
      </c>
      <c r="BO21">
        <f t="shared" si="6"/>
        <v>0</v>
      </c>
      <c r="BP21">
        <f t="shared" si="7"/>
        <v>0</v>
      </c>
      <c r="BQ21">
        <f t="shared" si="8"/>
        <v>9999</v>
      </c>
      <c r="BR21">
        <f t="shared" si="9"/>
        <v>9999</v>
      </c>
      <c r="BS21">
        <f>ROW()+IF($A21="",0,COUNTIF($A22:$A$36,$A21&amp;".*"))</f>
        <v>21</v>
      </c>
      <c r="BT21">
        <f t="shared" si="10"/>
        <v>9999</v>
      </c>
      <c r="BU21">
        <f t="shared" si="11"/>
        <v>9999</v>
      </c>
      <c r="BV21" t="str">
        <f t="shared" si="12"/>
        <v/>
      </c>
      <c r="BW21" t="str">
        <f t="shared" si="13"/>
        <v/>
      </c>
      <c r="BX21" t="str">
        <f t="shared" si="14"/>
        <v/>
      </c>
      <c r="BY21" t="str">
        <f t="shared" si="15"/>
        <v/>
      </c>
      <c r="BZ21">
        <f>IF($BG21="",0,COUNTA($BG$7:$BG21))</f>
        <v>0</v>
      </c>
      <c r="CA21" t="str">
        <f t="shared" ca="1" si="16"/>
        <v/>
      </c>
      <c r="CB21" t="str">
        <f t="shared" si="17"/>
        <v/>
      </c>
    </row>
    <row r="22" spans="1:80" x14ac:dyDescent="0.3">
      <c r="A22" s="18"/>
      <c r="B22" s="4"/>
      <c r="C22" s="5" t="str">
        <f>IF($A22="","",IF(BM22=1,MIN(C23:INDEX($C:$C,BS22)),BO22))</f>
        <v/>
      </c>
      <c r="D22" s="5" t="str">
        <f>IF($A22="","",IF(BM22=1,MAX(D23:INDEX($D:$D,BS22)),IF(C22="","",IF(N($I22)&lt;=0,C22,WORKDAY(C22,$I22)))))</f>
        <v/>
      </c>
      <c r="E22" s="6" t="str">
        <f t="shared" si="1"/>
        <v/>
      </c>
      <c r="F22" s="7">
        <f ca="1">IFERROR(SUMPRODUCT((BM23:INDEX($BM:$BM,$BS22)=0)*F23:INDEX($F:$F,$BS22)*(I23:INDEX($I:$I,$BS22)+1))/SUMPRODUCT((BM23:INDEX($BM:$BM,$BS22)=0)*(I23:INDEX($I:$I,$BS22)+1)),0)</f>
        <v>0</v>
      </c>
      <c r="G22" s="19"/>
      <c r="H22" s="20"/>
      <c r="I22" s="20"/>
      <c r="J22" s="8" t="str">
        <f t="shared" ref="J22:BE22" si="32">IF($C22="","",IF(AND(J$6&lt;=$D22,K$6&gt;$C22),IF($C22=$D22,"◆",1),""))</f>
        <v/>
      </c>
      <c r="K22" s="8" t="str">
        <f t="shared" si="32"/>
        <v/>
      </c>
      <c r="L22" s="8" t="str">
        <f t="shared" si="32"/>
        <v/>
      </c>
      <c r="M22" s="8" t="str">
        <f t="shared" si="32"/>
        <v/>
      </c>
      <c r="N22" s="8" t="str">
        <f t="shared" si="32"/>
        <v/>
      </c>
      <c r="O22" s="8" t="str">
        <f t="shared" si="32"/>
        <v/>
      </c>
      <c r="P22" s="8" t="str">
        <f t="shared" si="32"/>
        <v/>
      </c>
      <c r="Q22" s="8" t="str">
        <f t="shared" si="32"/>
        <v/>
      </c>
      <c r="R22" s="8" t="str">
        <f t="shared" si="32"/>
        <v/>
      </c>
      <c r="S22" s="8" t="str">
        <f t="shared" si="32"/>
        <v/>
      </c>
      <c r="T22" s="8" t="str">
        <f t="shared" si="32"/>
        <v/>
      </c>
      <c r="U22" s="8" t="str">
        <f t="shared" si="32"/>
        <v/>
      </c>
      <c r="V22" s="8" t="str">
        <f t="shared" si="32"/>
        <v/>
      </c>
      <c r="W22" s="8" t="str">
        <f t="shared" si="32"/>
        <v/>
      </c>
      <c r="X22" s="8" t="str">
        <f t="shared" si="32"/>
        <v/>
      </c>
      <c r="Y22" s="8" t="str">
        <f t="shared" si="32"/>
        <v/>
      </c>
      <c r="Z22" s="8" t="str">
        <f t="shared" si="32"/>
        <v/>
      </c>
      <c r="AA22" s="8" t="str">
        <f t="shared" si="32"/>
        <v/>
      </c>
      <c r="AB22" s="8" t="str">
        <f t="shared" si="32"/>
        <v/>
      </c>
      <c r="AC22" s="8" t="str">
        <f t="shared" si="32"/>
        <v/>
      </c>
      <c r="AD22" s="8" t="str">
        <f t="shared" si="32"/>
        <v/>
      </c>
      <c r="AE22" s="8" t="str">
        <f t="shared" si="32"/>
        <v/>
      </c>
      <c r="AF22" s="8" t="str">
        <f t="shared" si="32"/>
        <v/>
      </c>
      <c r="AG22" s="8" t="str">
        <f t="shared" si="32"/>
        <v/>
      </c>
      <c r="AH22" s="8" t="str">
        <f t="shared" si="32"/>
        <v/>
      </c>
      <c r="AI22" s="8" t="str">
        <f t="shared" si="32"/>
        <v/>
      </c>
      <c r="AJ22" s="8" t="str">
        <f t="shared" si="32"/>
        <v/>
      </c>
      <c r="AK22" s="8" t="str">
        <f t="shared" si="32"/>
        <v/>
      </c>
      <c r="AL22" s="8" t="str">
        <f t="shared" si="32"/>
        <v/>
      </c>
      <c r="AM22" s="8" t="str">
        <f t="shared" si="32"/>
        <v/>
      </c>
      <c r="AN22" s="8" t="str">
        <f t="shared" si="32"/>
        <v/>
      </c>
      <c r="AO22" s="8" t="str">
        <f t="shared" si="32"/>
        <v/>
      </c>
      <c r="AP22" s="8" t="str">
        <f t="shared" si="32"/>
        <v/>
      </c>
      <c r="AQ22" s="8" t="str">
        <f t="shared" si="32"/>
        <v/>
      </c>
      <c r="AR22" s="8" t="str">
        <f t="shared" si="32"/>
        <v/>
      </c>
      <c r="AS22" s="8" t="str">
        <f t="shared" si="32"/>
        <v/>
      </c>
      <c r="AT22" s="8" t="str">
        <f t="shared" si="32"/>
        <v/>
      </c>
      <c r="AU22" s="8" t="str">
        <f t="shared" si="32"/>
        <v/>
      </c>
      <c r="AV22" s="8" t="str">
        <f t="shared" si="32"/>
        <v/>
      </c>
      <c r="AW22" s="8" t="str">
        <f t="shared" si="32"/>
        <v/>
      </c>
      <c r="AX22" s="8" t="str">
        <f t="shared" si="32"/>
        <v/>
      </c>
      <c r="AY22" s="8" t="str">
        <f t="shared" si="32"/>
        <v/>
      </c>
      <c r="AZ22" s="8" t="str">
        <f t="shared" si="32"/>
        <v/>
      </c>
      <c r="BA22" s="8" t="str">
        <f t="shared" si="32"/>
        <v/>
      </c>
      <c r="BB22" s="8" t="str">
        <f t="shared" si="32"/>
        <v/>
      </c>
      <c r="BC22" s="8" t="str">
        <f t="shared" si="32"/>
        <v/>
      </c>
      <c r="BD22" s="8" t="str">
        <f t="shared" si="32"/>
        <v/>
      </c>
      <c r="BE22" s="8" t="str">
        <f t="shared" si="32"/>
        <v/>
      </c>
      <c r="BG22" s="6"/>
      <c r="BH22" s="4"/>
      <c r="BI22" s="4"/>
      <c r="BL22" t="str">
        <f t="shared" si="3"/>
        <v/>
      </c>
      <c r="BM22">
        <f t="shared" si="4"/>
        <v>0</v>
      </c>
      <c r="BN22" t="str">
        <f t="shared" si="5"/>
        <v/>
      </c>
      <c r="BO22">
        <f t="shared" si="6"/>
        <v>0</v>
      </c>
      <c r="BP22">
        <f t="shared" si="7"/>
        <v>0</v>
      </c>
      <c r="BQ22">
        <f t="shared" si="8"/>
        <v>9999</v>
      </c>
      <c r="BR22">
        <f t="shared" si="9"/>
        <v>9999</v>
      </c>
      <c r="BS22">
        <f>ROW()+IF($A22="",0,COUNTIF($A23:$A$36,$A22&amp;".*"))</f>
        <v>22</v>
      </c>
      <c r="BT22">
        <f t="shared" si="10"/>
        <v>9999</v>
      </c>
      <c r="BU22">
        <f t="shared" si="11"/>
        <v>9999</v>
      </c>
      <c r="BV22" t="str">
        <f t="shared" si="12"/>
        <v/>
      </c>
      <c r="BW22" t="str">
        <f t="shared" si="13"/>
        <v/>
      </c>
      <c r="BX22" t="str">
        <f t="shared" si="14"/>
        <v/>
      </c>
      <c r="BY22" t="str">
        <f t="shared" si="15"/>
        <v/>
      </c>
      <c r="BZ22">
        <f>IF($BG22="",0,COUNTA($BG$7:$BG22))</f>
        <v>0</v>
      </c>
      <c r="CA22" t="str">
        <f t="shared" ca="1" si="16"/>
        <v/>
      </c>
      <c r="CB22" t="str">
        <f t="shared" si="17"/>
        <v/>
      </c>
    </row>
    <row r="23" spans="1:80" x14ac:dyDescent="0.3">
      <c r="A23" s="18"/>
      <c r="B23" s="4"/>
      <c r="C23" s="5" t="str">
        <f>IF($A23="","",IF(BM23=1,MIN(C24:INDEX($C:$C,BS23)),BO23))</f>
        <v/>
      </c>
      <c r="D23" s="5" t="str">
        <f>IF($A23="","",IF(BM23=1,MAX(D24:INDEX($D:$D,BS23)),IF(C23="","",IF(N($I23)&lt;=0,C23,WORKDAY(C23,$I23)))))</f>
        <v/>
      </c>
      <c r="E23" s="6" t="str">
        <f t="shared" si="1"/>
        <v/>
      </c>
      <c r="F23" s="7">
        <f ca="1">IFERROR(SUMPRODUCT((BM24:INDEX($BM:$BM,$BS23)=0)*F24:INDEX($F:$F,$BS23)*(I24:INDEX($I:$I,$BS23)+1))/SUMPRODUCT((BM24:INDEX($BM:$BM,$BS23)=0)*(I24:INDEX($I:$I,$BS23)+1)),0)</f>
        <v>0</v>
      </c>
      <c r="G23" s="19"/>
      <c r="H23" s="20"/>
      <c r="I23" s="20"/>
      <c r="J23" s="8" t="str">
        <f t="shared" ref="J23:BE23" si="33">IF($C23="","",IF(AND(J$6&lt;=$D23,K$6&gt;$C23),IF($C23=$D23,"◆",1),""))</f>
        <v/>
      </c>
      <c r="K23" s="8" t="str">
        <f t="shared" si="33"/>
        <v/>
      </c>
      <c r="L23" s="8" t="str">
        <f t="shared" si="33"/>
        <v/>
      </c>
      <c r="M23" s="8" t="str">
        <f t="shared" si="33"/>
        <v/>
      </c>
      <c r="N23" s="8" t="str">
        <f t="shared" si="33"/>
        <v/>
      </c>
      <c r="O23" s="8" t="str">
        <f t="shared" si="33"/>
        <v/>
      </c>
      <c r="P23" s="8" t="str">
        <f t="shared" si="33"/>
        <v/>
      </c>
      <c r="Q23" s="8" t="str">
        <f t="shared" si="33"/>
        <v/>
      </c>
      <c r="R23" s="8" t="str">
        <f t="shared" si="33"/>
        <v/>
      </c>
      <c r="S23" s="8" t="str">
        <f t="shared" si="33"/>
        <v/>
      </c>
      <c r="T23" s="8" t="str">
        <f t="shared" si="33"/>
        <v/>
      </c>
      <c r="U23" s="8" t="str">
        <f t="shared" si="33"/>
        <v/>
      </c>
      <c r="V23" s="8" t="str">
        <f t="shared" si="33"/>
        <v/>
      </c>
      <c r="W23" s="8" t="str">
        <f t="shared" si="33"/>
        <v/>
      </c>
      <c r="X23" s="8" t="str">
        <f t="shared" si="33"/>
        <v/>
      </c>
      <c r="Y23" s="8" t="str">
        <f t="shared" si="33"/>
        <v/>
      </c>
      <c r="Z23" s="8" t="str">
        <f t="shared" si="33"/>
        <v/>
      </c>
      <c r="AA23" s="8" t="str">
        <f t="shared" si="33"/>
        <v/>
      </c>
      <c r="AB23" s="8" t="str">
        <f t="shared" si="33"/>
        <v/>
      </c>
      <c r="AC23" s="8" t="str">
        <f t="shared" si="33"/>
        <v/>
      </c>
      <c r="AD23" s="8" t="str">
        <f t="shared" si="33"/>
        <v/>
      </c>
      <c r="AE23" s="8" t="str">
        <f t="shared" si="33"/>
        <v/>
      </c>
      <c r="AF23" s="8" t="str">
        <f t="shared" si="33"/>
        <v/>
      </c>
      <c r="AG23" s="8" t="str">
        <f t="shared" si="33"/>
        <v/>
      </c>
      <c r="AH23" s="8" t="str">
        <f t="shared" si="33"/>
        <v/>
      </c>
      <c r="AI23" s="8" t="str">
        <f t="shared" si="33"/>
        <v/>
      </c>
      <c r="AJ23" s="8" t="str">
        <f t="shared" si="33"/>
        <v/>
      </c>
      <c r="AK23" s="8" t="str">
        <f t="shared" si="33"/>
        <v/>
      </c>
      <c r="AL23" s="8" t="str">
        <f t="shared" si="33"/>
        <v/>
      </c>
      <c r="AM23" s="8" t="str">
        <f t="shared" si="33"/>
        <v/>
      </c>
      <c r="AN23" s="8" t="str">
        <f t="shared" si="33"/>
        <v/>
      </c>
      <c r="AO23" s="8" t="str">
        <f t="shared" si="33"/>
        <v/>
      </c>
      <c r="AP23" s="8" t="str">
        <f t="shared" si="33"/>
        <v/>
      </c>
      <c r="AQ23" s="8" t="str">
        <f t="shared" si="33"/>
        <v/>
      </c>
      <c r="AR23" s="8" t="str">
        <f t="shared" si="33"/>
        <v/>
      </c>
      <c r="AS23" s="8" t="str">
        <f t="shared" si="33"/>
        <v/>
      </c>
      <c r="AT23" s="8" t="str">
        <f t="shared" si="33"/>
        <v/>
      </c>
      <c r="AU23" s="8" t="str">
        <f t="shared" si="33"/>
        <v/>
      </c>
      <c r="AV23" s="8" t="str">
        <f t="shared" si="33"/>
        <v/>
      </c>
      <c r="AW23" s="8" t="str">
        <f t="shared" si="33"/>
        <v/>
      </c>
      <c r="AX23" s="8" t="str">
        <f t="shared" si="33"/>
        <v/>
      </c>
      <c r="AY23" s="8" t="str">
        <f t="shared" si="33"/>
        <v/>
      </c>
      <c r="AZ23" s="8" t="str">
        <f t="shared" si="33"/>
        <v/>
      </c>
      <c r="BA23" s="8" t="str">
        <f t="shared" si="33"/>
        <v/>
      </c>
      <c r="BB23" s="8" t="str">
        <f t="shared" si="33"/>
        <v/>
      </c>
      <c r="BC23" s="8" t="str">
        <f t="shared" si="33"/>
        <v/>
      </c>
      <c r="BD23" s="8" t="str">
        <f t="shared" si="33"/>
        <v/>
      </c>
      <c r="BE23" s="8" t="str">
        <f t="shared" si="33"/>
        <v/>
      </c>
      <c r="BG23" s="6"/>
      <c r="BH23" s="4"/>
      <c r="BI23" s="4"/>
      <c r="BL23" t="str">
        <f t="shared" si="3"/>
        <v/>
      </c>
      <c r="BM23">
        <f t="shared" si="4"/>
        <v>0</v>
      </c>
      <c r="BN23" t="str">
        <f t="shared" si="5"/>
        <v/>
      </c>
      <c r="BO23">
        <f t="shared" si="6"/>
        <v>0</v>
      </c>
      <c r="BP23">
        <f t="shared" si="7"/>
        <v>0</v>
      </c>
      <c r="BQ23">
        <f t="shared" si="8"/>
        <v>9999</v>
      </c>
      <c r="BR23">
        <f t="shared" si="9"/>
        <v>9999</v>
      </c>
      <c r="BS23">
        <f>ROW()+IF($A23="",0,COUNTIF($A24:$A$36,$A23&amp;".*"))</f>
        <v>23</v>
      </c>
      <c r="BT23">
        <f t="shared" si="10"/>
        <v>9999</v>
      </c>
      <c r="BU23">
        <f t="shared" si="11"/>
        <v>9999</v>
      </c>
      <c r="BV23" t="str">
        <f t="shared" si="12"/>
        <v/>
      </c>
      <c r="BW23" t="str">
        <f t="shared" si="13"/>
        <v/>
      </c>
      <c r="BX23" t="str">
        <f t="shared" si="14"/>
        <v/>
      </c>
      <c r="BY23" t="str">
        <f t="shared" si="15"/>
        <v/>
      </c>
      <c r="BZ23">
        <f>IF($BG23="",0,COUNTA($BG$7:$BG23))</f>
        <v>0</v>
      </c>
      <c r="CA23" t="str">
        <f t="shared" ca="1" si="16"/>
        <v/>
      </c>
      <c r="CB23" t="str">
        <f t="shared" si="17"/>
        <v/>
      </c>
    </row>
    <row r="24" spans="1:80" x14ac:dyDescent="0.3">
      <c r="A24" s="18"/>
      <c r="B24" s="4"/>
      <c r="C24" s="5" t="str">
        <f>IF($A24="","",IF(BM24=1,MIN(C25:INDEX($C:$C,BS24)),BO24))</f>
        <v/>
      </c>
      <c r="D24" s="5" t="str">
        <f>IF($A24="","",IF(BM24=1,MAX(D25:INDEX($D:$D,BS24)),IF(C24="","",IF(N($I24)&lt;=0,C24,WORKDAY(C24,$I24)))))</f>
        <v/>
      </c>
      <c r="E24" s="6" t="str">
        <f t="shared" si="1"/>
        <v/>
      </c>
      <c r="F24" s="7">
        <f ca="1">IFERROR(SUMPRODUCT((BM25:INDEX($BM:$BM,$BS24)=0)*F25:INDEX($F:$F,$BS24)*(I25:INDEX($I:$I,$BS24)+1))/SUMPRODUCT((BM25:INDEX($BM:$BM,$BS24)=0)*(I25:INDEX($I:$I,$BS24)+1)),0)</f>
        <v>0</v>
      </c>
      <c r="G24" s="19"/>
      <c r="H24" s="20"/>
      <c r="I24" s="20"/>
      <c r="J24" s="8" t="str">
        <f t="shared" ref="J24:BE24" si="34">IF($C24="","",IF(AND(J$6&lt;=$D24,K$6&gt;$C24),IF($C24=$D24,"◆",1),""))</f>
        <v/>
      </c>
      <c r="K24" s="8" t="str">
        <f t="shared" si="34"/>
        <v/>
      </c>
      <c r="L24" s="8" t="str">
        <f t="shared" si="34"/>
        <v/>
      </c>
      <c r="M24" s="8" t="str">
        <f t="shared" si="34"/>
        <v/>
      </c>
      <c r="N24" s="8" t="str">
        <f t="shared" si="34"/>
        <v/>
      </c>
      <c r="O24" s="8" t="str">
        <f t="shared" si="34"/>
        <v/>
      </c>
      <c r="P24" s="8" t="str">
        <f t="shared" si="34"/>
        <v/>
      </c>
      <c r="Q24" s="8" t="str">
        <f t="shared" si="34"/>
        <v/>
      </c>
      <c r="R24" s="8" t="str">
        <f t="shared" si="34"/>
        <v/>
      </c>
      <c r="S24" s="8" t="str">
        <f t="shared" si="34"/>
        <v/>
      </c>
      <c r="T24" s="8" t="str">
        <f t="shared" si="34"/>
        <v/>
      </c>
      <c r="U24" s="8" t="str">
        <f t="shared" si="34"/>
        <v/>
      </c>
      <c r="V24" s="8" t="str">
        <f t="shared" si="34"/>
        <v/>
      </c>
      <c r="W24" s="8" t="str">
        <f t="shared" si="34"/>
        <v/>
      </c>
      <c r="X24" s="8" t="str">
        <f t="shared" si="34"/>
        <v/>
      </c>
      <c r="Y24" s="8" t="str">
        <f t="shared" si="34"/>
        <v/>
      </c>
      <c r="Z24" s="8" t="str">
        <f t="shared" si="34"/>
        <v/>
      </c>
      <c r="AA24" s="8" t="str">
        <f t="shared" si="34"/>
        <v/>
      </c>
      <c r="AB24" s="8" t="str">
        <f t="shared" si="34"/>
        <v/>
      </c>
      <c r="AC24" s="8" t="str">
        <f t="shared" si="34"/>
        <v/>
      </c>
      <c r="AD24" s="8" t="str">
        <f t="shared" si="34"/>
        <v/>
      </c>
      <c r="AE24" s="8" t="str">
        <f t="shared" si="34"/>
        <v/>
      </c>
      <c r="AF24" s="8" t="str">
        <f t="shared" si="34"/>
        <v/>
      </c>
      <c r="AG24" s="8" t="str">
        <f t="shared" si="34"/>
        <v/>
      </c>
      <c r="AH24" s="8" t="str">
        <f t="shared" si="34"/>
        <v/>
      </c>
      <c r="AI24" s="8" t="str">
        <f t="shared" si="34"/>
        <v/>
      </c>
      <c r="AJ24" s="8" t="str">
        <f t="shared" si="34"/>
        <v/>
      </c>
      <c r="AK24" s="8" t="str">
        <f t="shared" si="34"/>
        <v/>
      </c>
      <c r="AL24" s="8" t="str">
        <f t="shared" si="34"/>
        <v/>
      </c>
      <c r="AM24" s="8" t="str">
        <f t="shared" si="34"/>
        <v/>
      </c>
      <c r="AN24" s="8" t="str">
        <f t="shared" si="34"/>
        <v/>
      </c>
      <c r="AO24" s="8" t="str">
        <f t="shared" si="34"/>
        <v/>
      </c>
      <c r="AP24" s="8" t="str">
        <f t="shared" si="34"/>
        <v/>
      </c>
      <c r="AQ24" s="8" t="str">
        <f t="shared" si="34"/>
        <v/>
      </c>
      <c r="AR24" s="8" t="str">
        <f t="shared" si="34"/>
        <v/>
      </c>
      <c r="AS24" s="8" t="str">
        <f t="shared" si="34"/>
        <v/>
      </c>
      <c r="AT24" s="8" t="str">
        <f t="shared" si="34"/>
        <v/>
      </c>
      <c r="AU24" s="8" t="str">
        <f t="shared" si="34"/>
        <v/>
      </c>
      <c r="AV24" s="8" t="str">
        <f t="shared" si="34"/>
        <v/>
      </c>
      <c r="AW24" s="8" t="str">
        <f t="shared" si="34"/>
        <v/>
      </c>
      <c r="AX24" s="8" t="str">
        <f t="shared" si="34"/>
        <v/>
      </c>
      <c r="AY24" s="8" t="str">
        <f t="shared" si="34"/>
        <v/>
      </c>
      <c r="AZ24" s="8" t="str">
        <f t="shared" si="34"/>
        <v/>
      </c>
      <c r="BA24" s="8" t="str">
        <f t="shared" si="34"/>
        <v/>
      </c>
      <c r="BB24" s="8" t="str">
        <f t="shared" si="34"/>
        <v/>
      </c>
      <c r="BC24" s="8" t="str">
        <f t="shared" si="34"/>
        <v/>
      </c>
      <c r="BD24" s="8" t="str">
        <f t="shared" si="34"/>
        <v/>
      </c>
      <c r="BE24" s="8" t="str">
        <f t="shared" si="34"/>
        <v/>
      </c>
      <c r="BG24" s="6"/>
      <c r="BH24" s="4"/>
      <c r="BI24" s="4"/>
      <c r="BL24" t="str">
        <f t="shared" si="3"/>
        <v/>
      </c>
      <c r="BM24">
        <f t="shared" si="4"/>
        <v>0</v>
      </c>
      <c r="BN24" t="str">
        <f t="shared" si="5"/>
        <v/>
      </c>
      <c r="BO24">
        <f t="shared" si="6"/>
        <v>0</v>
      </c>
      <c r="BP24">
        <f t="shared" si="7"/>
        <v>0</v>
      </c>
      <c r="BQ24">
        <f t="shared" si="8"/>
        <v>9999</v>
      </c>
      <c r="BR24">
        <f t="shared" si="9"/>
        <v>9999</v>
      </c>
      <c r="BS24">
        <f>ROW()+IF($A24="",0,COUNTIF($A25:$A$36,$A24&amp;".*"))</f>
        <v>24</v>
      </c>
      <c r="BT24">
        <f t="shared" si="10"/>
        <v>9999</v>
      </c>
      <c r="BU24">
        <f t="shared" si="11"/>
        <v>9999</v>
      </c>
      <c r="BV24" t="str">
        <f t="shared" si="12"/>
        <v/>
      </c>
      <c r="BW24" t="str">
        <f t="shared" si="13"/>
        <v/>
      </c>
      <c r="BX24" t="str">
        <f t="shared" si="14"/>
        <v/>
      </c>
      <c r="BY24" t="str">
        <f t="shared" si="15"/>
        <v/>
      </c>
      <c r="BZ24">
        <f>IF($BG24="",0,COUNTA($BG$7:$BG24))</f>
        <v>0</v>
      </c>
      <c r="CA24" t="str">
        <f t="shared" ca="1" si="16"/>
        <v/>
      </c>
      <c r="CB24" t="str">
        <f t="shared" si="17"/>
        <v/>
      </c>
    </row>
    <row r="25" spans="1:80" x14ac:dyDescent="0.3">
      <c r="A25" s="18"/>
      <c r="B25" s="4"/>
      <c r="C25" s="5" t="str">
        <f>IF($A25="","",IF(BM25=1,MIN(C26:INDEX($C:$C,BS25)),BO25))</f>
        <v/>
      </c>
      <c r="D25" s="5" t="str">
        <f>IF($A25="","",IF(BM25=1,MAX(D26:INDEX($D:$D,BS25)),IF(C25="","",IF(N($I25)&lt;=0,C25,WORKDAY(C25,$I25)))))</f>
        <v/>
      </c>
      <c r="E25" s="6" t="str">
        <f t="shared" si="1"/>
        <v/>
      </c>
      <c r="F25" s="7">
        <f ca="1">IFERROR(SUMPRODUCT((BM26:INDEX($BM:$BM,$BS25)=0)*F26:INDEX($F:$F,$BS25)*(I26:INDEX($I:$I,$BS25)+1))/SUMPRODUCT((BM26:INDEX($BM:$BM,$BS25)=0)*(I26:INDEX($I:$I,$BS25)+1)),0)</f>
        <v>0</v>
      </c>
      <c r="G25" s="19"/>
      <c r="H25" s="20"/>
      <c r="I25" s="20"/>
      <c r="J25" s="8" t="str">
        <f t="shared" ref="J25:BE25" si="35">IF($C25="","",IF(AND(J$6&lt;=$D25,K$6&gt;$C25),IF($C25=$D25,"◆",1),""))</f>
        <v/>
      </c>
      <c r="K25" s="8" t="str">
        <f t="shared" si="35"/>
        <v/>
      </c>
      <c r="L25" s="8" t="str">
        <f t="shared" si="35"/>
        <v/>
      </c>
      <c r="M25" s="8" t="str">
        <f t="shared" si="35"/>
        <v/>
      </c>
      <c r="N25" s="8" t="str">
        <f t="shared" si="35"/>
        <v/>
      </c>
      <c r="O25" s="8" t="str">
        <f t="shared" si="35"/>
        <v/>
      </c>
      <c r="P25" s="8" t="str">
        <f t="shared" si="35"/>
        <v/>
      </c>
      <c r="Q25" s="8" t="str">
        <f t="shared" si="35"/>
        <v/>
      </c>
      <c r="R25" s="8" t="str">
        <f t="shared" si="35"/>
        <v/>
      </c>
      <c r="S25" s="8" t="str">
        <f t="shared" si="35"/>
        <v/>
      </c>
      <c r="T25" s="8" t="str">
        <f t="shared" si="35"/>
        <v/>
      </c>
      <c r="U25" s="8" t="str">
        <f t="shared" si="35"/>
        <v/>
      </c>
      <c r="V25" s="8" t="str">
        <f t="shared" si="35"/>
        <v/>
      </c>
      <c r="W25" s="8" t="str">
        <f t="shared" si="35"/>
        <v/>
      </c>
      <c r="X25" s="8" t="str">
        <f t="shared" si="35"/>
        <v/>
      </c>
      <c r="Y25" s="8" t="str">
        <f t="shared" si="35"/>
        <v/>
      </c>
      <c r="Z25" s="8" t="str">
        <f t="shared" si="35"/>
        <v/>
      </c>
      <c r="AA25" s="8" t="str">
        <f t="shared" si="35"/>
        <v/>
      </c>
      <c r="AB25" s="8" t="str">
        <f t="shared" si="35"/>
        <v/>
      </c>
      <c r="AC25" s="8" t="str">
        <f t="shared" si="35"/>
        <v/>
      </c>
      <c r="AD25" s="8" t="str">
        <f t="shared" si="35"/>
        <v/>
      </c>
      <c r="AE25" s="8" t="str">
        <f t="shared" si="35"/>
        <v/>
      </c>
      <c r="AF25" s="8" t="str">
        <f t="shared" si="35"/>
        <v/>
      </c>
      <c r="AG25" s="8" t="str">
        <f t="shared" si="35"/>
        <v/>
      </c>
      <c r="AH25" s="8" t="str">
        <f t="shared" si="35"/>
        <v/>
      </c>
      <c r="AI25" s="8" t="str">
        <f t="shared" si="35"/>
        <v/>
      </c>
      <c r="AJ25" s="8" t="str">
        <f t="shared" si="35"/>
        <v/>
      </c>
      <c r="AK25" s="8" t="str">
        <f t="shared" si="35"/>
        <v/>
      </c>
      <c r="AL25" s="8" t="str">
        <f t="shared" si="35"/>
        <v/>
      </c>
      <c r="AM25" s="8" t="str">
        <f t="shared" si="35"/>
        <v/>
      </c>
      <c r="AN25" s="8" t="str">
        <f t="shared" si="35"/>
        <v/>
      </c>
      <c r="AO25" s="8" t="str">
        <f t="shared" si="35"/>
        <v/>
      </c>
      <c r="AP25" s="8" t="str">
        <f t="shared" si="35"/>
        <v/>
      </c>
      <c r="AQ25" s="8" t="str">
        <f t="shared" si="35"/>
        <v/>
      </c>
      <c r="AR25" s="8" t="str">
        <f t="shared" si="35"/>
        <v/>
      </c>
      <c r="AS25" s="8" t="str">
        <f t="shared" si="35"/>
        <v/>
      </c>
      <c r="AT25" s="8" t="str">
        <f t="shared" si="35"/>
        <v/>
      </c>
      <c r="AU25" s="8" t="str">
        <f t="shared" si="35"/>
        <v/>
      </c>
      <c r="AV25" s="8" t="str">
        <f t="shared" si="35"/>
        <v/>
      </c>
      <c r="AW25" s="8" t="str">
        <f t="shared" si="35"/>
        <v/>
      </c>
      <c r="AX25" s="8" t="str">
        <f t="shared" si="35"/>
        <v/>
      </c>
      <c r="AY25" s="8" t="str">
        <f t="shared" si="35"/>
        <v/>
      </c>
      <c r="AZ25" s="8" t="str">
        <f t="shared" si="35"/>
        <v/>
      </c>
      <c r="BA25" s="8" t="str">
        <f t="shared" si="35"/>
        <v/>
      </c>
      <c r="BB25" s="8" t="str">
        <f t="shared" si="35"/>
        <v/>
      </c>
      <c r="BC25" s="8" t="str">
        <f t="shared" si="35"/>
        <v/>
      </c>
      <c r="BD25" s="8" t="str">
        <f t="shared" si="35"/>
        <v/>
      </c>
      <c r="BE25" s="8" t="str">
        <f t="shared" si="35"/>
        <v/>
      </c>
      <c r="BG25" s="6"/>
      <c r="BH25" s="4"/>
      <c r="BI25" s="4"/>
      <c r="BL25" t="str">
        <f t="shared" si="3"/>
        <v/>
      </c>
      <c r="BM25">
        <f t="shared" si="4"/>
        <v>0</v>
      </c>
      <c r="BN25" t="str">
        <f t="shared" si="5"/>
        <v/>
      </c>
      <c r="BO25">
        <f t="shared" si="6"/>
        <v>0</v>
      </c>
      <c r="BP25">
        <f t="shared" si="7"/>
        <v>0</v>
      </c>
      <c r="BQ25">
        <f t="shared" si="8"/>
        <v>9999</v>
      </c>
      <c r="BR25">
        <f t="shared" si="9"/>
        <v>9999</v>
      </c>
      <c r="BS25">
        <f>ROW()+IF($A25="",0,COUNTIF($A26:$A$36,$A25&amp;".*"))</f>
        <v>25</v>
      </c>
      <c r="BT25">
        <f t="shared" si="10"/>
        <v>9999</v>
      </c>
      <c r="BU25">
        <f t="shared" si="11"/>
        <v>9999</v>
      </c>
      <c r="BV25" t="str">
        <f t="shared" si="12"/>
        <v/>
      </c>
      <c r="BW25" t="str">
        <f t="shared" si="13"/>
        <v/>
      </c>
      <c r="BX25" t="str">
        <f t="shared" si="14"/>
        <v/>
      </c>
      <c r="BY25" t="str">
        <f t="shared" si="15"/>
        <v/>
      </c>
      <c r="BZ25">
        <f>IF($BG25="",0,COUNTA($BG$7:$BG25))</f>
        <v>0</v>
      </c>
      <c r="CA25" t="str">
        <f t="shared" ca="1" si="16"/>
        <v/>
      </c>
      <c r="CB25" t="str">
        <f t="shared" si="17"/>
        <v/>
      </c>
    </row>
    <row r="26" spans="1:80" x14ac:dyDescent="0.3">
      <c r="A26" s="18"/>
      <c r="B26" s="4"/>
      <c r="C26" s="5" t="str">
        <f>IF($A26="","",IF(BM26=1,MIN(C27:INDEX($C:$C,BS26)),BO26))</f>
        <v/>
      </c>
      <c r="D26" s="5" t="str">
        <f>IF($A26="","",IF(BM26=1,MAX(D27:INDEX($D:$D,BS26)),IF(C26="","",IF(N($I26)&lt;=0,C26,WORKDAY(C26,$I26)))))</f>
        <v/>
      </c>
      <c r="E26" s="6" t="str">
        <f t="shared" si="1"/>
        <v/>
      </c>
      <c r="F26" s="7">
        <f ca="1">IFERROR(SUMPRODUCT((BM27:INDEX($BM:$BM,$BS26)=0)*F27:INDEX($F:$F,$BS26)*(I27:INDEX($I:$I,$BS26)+1))/SUMPRODUCT((BM27:INDEX($BM:$BM,$BS26)=0)*(I27:INDEX($I:$I,$BS26)+1)),0)</f>
        <v>0</v>
      </c>
      <c r="G26" s="19"/>
      <c r="H26" s="20"/>
      <c r="I26" s="20"/>
      <c r="J26" s="8" t="str">
        <f t="shared" ref="J26:BE26" si="36">IF($C26="","",IF(AND(J$6&lt;=$D26,K$6&gt;$C26),IF($C26=$D26,"◆",1),""))</f>
        <v/>
      </c>
      <c r="K26" s="8" t="str">
        <f t="shared" si="36"/>
        <v/>
      </c>
      <c r="L26" s="8" t="str">
        <f t="shared" si="36"/>
        <v/>
      </c>
      <c r="M26" s="8" t="str">
        <f t="shared" si="36"/>
        <v/>
      </c>
      <c r="N26" s="8" t="str">
        <f t="shared" si="36"/>
        <v/>
      </c>
      <c r="O26" s="8" t="str">
        <f t="shared" si="36"/>
        <v/>
      </c>
      <c r="P26" s="8" t="str">
        <f t="shared" si="36"/>
        <v/>
      </c>
      <c r="Q26" s="8" t="str">
        <f t="shared" si="36"/>
        <v/>
      </c>
      <c r="R26" s="8" t="str">
        <f t="shared" si="36"/>
        <v/>
      </c>
      <c r="S26" s="8" t="str">
        <f t="shared" si="36"/>
        <v/>
      </c>
      <c r="T26" s="8" t="str">
        <f t="shared" si="36"/>
        <v/>
      </c>
      <c r="U26" s="8" t="str">
        <f t="shared" si="36"/>
        <v/>
      </c>
      <c r="V26" s="8" t="str">
        <f t="shared" si="36"/>
        <v/>
      </c>
      <c r="W26" s="8" t="str">
        <f t="shared" si="36"/>
        <v/>
      </c>
      <c r="X26" s="8" t="str">
        <f t="shared" si="36"/>
        <v/>
      </c>
      <c r="Y26" s="8" t="str">
        <f t="shared" si="36"/>
        <v/>
      </c>
      <c r="Z26" s="8" t="str">
        <f t="shared" si="36"/>
        <v/>
      </c>
      <c r="AA26" s="8" t="str">
        <f t="shared" si="36"/>
        <v/>
      </c>
      <c r="AB26" s="8" t="str">
        <f t="shared" si="36"/>
        <v/>
      </c>
      <c r="AC26" s="8" t="str">
        <f t="shared" si="36"/>
        <v/>
      </c>
      <c r="AD26" s="8" t="str">
        <f t="shared" si="36"/>
        <v/>
      </c>
      <c r="AE26" s="8" t="str">
        <f t="shared" si="36"/>
        <v/>
      </c>
      <c r="AF26" s="8" t="str">
        <f t="shared" si="36"/>
        <v/>
      </c>
      <c r="AG26" s="8" t="str">
        <f t="shared" si="36"/>
        <v/>
      </c>
      <c r="AH26" s="8" t="str">
        <f t="shared" si="36"/>
        <v/>
      </c>
      <c r="AI26" s="8" t="str">
        <f t="shared" si="36"/>
        <v/>
      </c>
      <c r="AJ26" s="8" t="str">
        <f t="shared" si="36"/>
        <v/>
      </c>
      <c r="AK26" s="8" t="str">
        <f t="shared" si="36"/>
        <v/>
      </c>
      <c r="AL26" s="8" t="str">
        <f t="shared" si="36"/>
        <v/>
      </c>
      <c r="AM26" s="8" t="str">
        <f t="shared" si="36"/>
        <v/>
      </c>
      <c r="AN26" s="8" t="str">
        <f t="shared" si="36"/>
        <v/>
      </c>
      <c r="AO26" s="8" t="str">
        <f t="shared" si="36"/>
        <v/>
      </c>
      <c r="AP26" s="8" t="str">
        <f t="shared" si="36"/>
        <v/>
      </c>
      <c r="AQ26" s="8" t="str">
        <f t="shared" si="36"/>
        <v/>
      </c>
      <c r="AR26" s="8" t="str">
        <f t="shared" si="36"/>
        <v/>
      </c>
      <c r="AS26" s="8" t="str">
        <f t="shared" si="36"/>
        <v/>
      </c>
      <c r="AT26" s="8" t="str">
        <f t="shared" si="36"/>
        <v/>
      </c>
      <c r="AU26" s="8" t="str">
        <f t="shared" si="36"/>
        <v/>
      </c>
      <c r="AV26" s="8" t="str">
        <f t="shared" si="36"/>
        <v/>
      </c>
      <c r="AW26" s="8" t="str">
        <f t="shared" si="36"/>
        <v/>
      </c>
      <c r="AX26" s="8" t="str">
        <f t="shared" si="36"/>
        <v/>
      </c>
      <c r="AY26" s="8" t="str">
        <f t="shared" si="36"/>
        <v/>
      </c>
      <c r="AZ26" s="8" t="str">
        <f t="shared" si="36"/>
        <v/>
      </c>
      <c r="BA26" s="8" t="str">
        <f t="shared" si="36"/>
        <v/>
      </c>
      <c r="BB26" s="8" t="str">
        <f t="shared" si="36"/>
        <v/>
      </c>
      <c r="BC26" s="8" t="str">
        <f t="shared" si="36"/>
        <v/>
      </c>
      <c r="BD26" s="8" t="str">
        <f t="shared" si="36"/>
        <v/>
      </c>
      <c r="BE26" s="8" t="str">
        <f t="shared" si="36"/>
        <v/>
      </c>
      <c r="BG26" s="6"/>
      <c r="BH26" s="4"/>
      <c r="BI26" s="4"/>
      <c r="BL26" t="str">
        <f t="shared" si="3"/>
        <v/>
      </c>
      <c r="BM26">
        <f t="shared" si="4"/>
        <v>0</v>
      </c>
      <c r="BN26" t="str">
        <f t="shared" si="5"/>
        <v/>
      </c>
      <c r="BO26">
        <f t="shared" si="6"/>
        <v>0</v>
      </c>
      <c r="BP26">
        <f t="shared" si="7"/>
        <v>0</v>
      </c>
      <c r="BQ26">
        <f t="shared" si="8"/>
        <v>9999</v>
      </c>
      <c r="BR26">
        <f t="shared" si="9"/>
        <v>9999</v>
      </c>
      <c r="BS26">
        <f>ROW()+IF($A26="",0,COUNTIF($A27:$A$36,$A26&amp;".*"))</f>
        <v>26</v>
      </c>
      <c r="BT26">
        <f t="shared" si="10"/>
        <v>9999</v>
      </c>
      <c r="BU26">
        <f t="shared" si="11"/>
        <v>9999</v>
      </c>
      <c r="BV26" t="str">
        <f t="shared" si="12"/>
        <v/>
      </c>
      <c r="BW26" t="str">
        <f t="shared" si="13"/>
        <v/>
      </c>
      <c r="BX26" t="str">
        <f t="shared" si="14"/>
        <v/>
      </c>
      <c r="BY26" t="str">
        <f t="shared" si="15"/>
        <v/>
      </c>
      <c r="BZ26">
        <f>IF($BG26="",0,COUNTA($BG$7:$BG26))</f>
        <v>0</v>
      </c>
      <c r="CA26" t="str">
        <f t="shared" ca="1" si="16"/>
        <v/>
      </c>
      <c r="CB26" t="str">
        <f t="shared" si="17"/>
        <v/>
      </c>
    </row>
    <row r="27" spans="1:80" x14ac:dyDescent="0.3">
      <c r="A27" s="18"/>
      <c r="B27" s="4"/>
      <c r="C27" s="5" t="str">
        <f>IF($A27="","",IF(BM27=1,MIN(C28:INDEX($C:$C,BS27)),BO27))</f>
        <v/>
      </c>
      <c r="D27" s="5" t="str">
        <f>IF($A27="","",IF(BM27=1,MAX(D28:INDEX($D:$D,BS27)),IF(C27="","",IF(N($I27)&lt;=0,C27,WORKDAY(C27,$I27)))))</f>
        <v/>
      </c>
      <c r="E27" s="6" t="str">
        <f t="shared" si="1"/>
        <v/>
      </c>
      <c r="F27" s="7">
        <f ca="1">IFERROR(SUMPRODUCT((BM28:INDEX($BM:$BM,$BS27)=0)*F28:INDEX($F:$F,$BS27)*(I28:INDEX($I:$I,$BS27)+1))/SUMPRODUCT((BM28:INDEX($BM:$BM,$BS27)=0)*(I28:INDEX($I:$I,$BS27)+1)),0)</f>
        <v>0</v>
      </c>
      <c r="G27" s="19"/>
      <c r="H27" s="20"/>
      <c r="I27" s="20"/>
      <c r="J27" s="8" t="str">
        <f t="shared" ref="J27:BE27" si="37">IF($C27="","",IF(AND(J$6&lt;=$D27,K$6&gt;$C27),IF($C27=$D27,"◆",1),""))</f>
        <v/>
      </c>
      <c r="K27" s="8" t="str">
        <f t="shared" si="37"/>
        <v/>
      </c>
      <c r="L27" s="8" t="str">
        <f t="shared" si="37"/>
        <v/>
      </c>
      <c r="M27" s="8" t="str">
        <f t="shared" si="37"/>
        <v/>
      </c>
      <c r="N27" s="8" t="str">
        <f t="shared" si="37"/>
        <v/>
      </c>
      <c r="O27" s="8" t="str">
        <f t="shared" si="37"/>
        <v/>
      </c>
      <c r="P27" s="8" t="str">
        <f t="shared" si="37"/>
        <v/>
      </c>
      <c r="Q27" s="8" t="str">
        <f t="shared" si="37"/>
        <v/>
      </c>
      <c r="R27" s="8" t="str">
        <f t="shared" si="37"/>
        <v/>
      </c>
      <c r="S27" s="8" t="str">
        <f t="shared" si="37"/>
        <v/>
      </c>
      <c r="T27" s="8" t="str">
        <f t="shared" si="37"/>
        <v/>
      </c>
      <c r="U27" s="8" t="str">
        <f t="shared" si="37"/>
        <v/>
      </c>
      <c r="V27" s="8" t="str">
        <f t="shared" si="37"/>
        <v/>
      </c>
      <c r="W27" s="8" t="str">
        <f t="shared" si="37"/>
        <v/>
      </c>
      <c r="X27" s="8" t="str">
        <f t="shared" si="37"/>
        <v/>
      </c>
      <c r="Y27" s="8" t="str">
        <f t="shared" si="37"/>
        <v/>
      </c>
      <c r="Z27" s="8" t="str">
        <f t="shared" si="37"/>
        <v/>
      </c>
      <c r="AA27" s="8" t="str">
        <f t="shared" si="37"/>
        <v/>
      </c>
      <c r="AB27" s="8" t="str">
        <f t="shared" si="37"/>
        <v/>
      </c>
      <c r="AC27" s="8" t="str">
        <f t="shared" si="37"/>
        <v/>
      </c>
      <c r="AD27" s="8" t="str">
        <f t="shared" si="37"/>
        <v/>
      </c>
      <c r="AE27" s="8" t="str">
        <f t="shared" si="37"/>
        <v/>
      </c>
      <c r="AF27" s="8" t="str">
        <f t="shared" si="37"/>
        <v/>
      </c>
      <c r="AG27" s="8" t="str">
        <f t="shared" si="37"/>
        <v/>
      </c>
      <c r="AH27" s="8" t="str">
        <f t="shared" si="37"/>
        <v/>
      </c>
      <c r="AI27" s="8" t="str">
        <f t="shared" si="37"/>
        <v/>
      </c>
      <c r="AJ27" s="8" t="str">
        <f t="shared" si="37"/>
        <v/>
      </c>
      <c r="AK27" s="8" t="str">
        <f t="shared" si="37"/>
        <v/>
      </c>
      <c r="AL27" s="8" t="str">
        <f t="shared" si="37"/>
        <v/>
      </c>
      <c r="AM27" s="8" t="str">
        <f t="shared" si="37"/>
        <v/>
      </c>
      <c r="AN27" s="8" t="str">
        <f t="shared" si="37"/>
        <v/>
      </c>
      <c r="AO27" s="8" t="str">
        <f t="shared" si="37"/>
        <v/>
      </c>
      <c r="AP27" s="8" t="str">
        <f t="shared" si="37"/>
        <v/>
      </c>
      <c r="AQ27" s="8" t="str">
        <f t="shared" si="37"/>
        <v/>
      </c>
      <c r="AR27" s="8" t="str">
        <f t="shared" si="37"/>
        <v/>
      </c>
      <c r="AS27" s="8" t="str">
        <f t="shared" si="37"/>
        <v/>
      </c>
      <c r="AT27" s="8" t="str">
        <f t="shared" si="37"/>
        <v/>
      </c>
      <c r="AU27" s="8" t="str">
        <f t="shared" si="37"/>
        <v/>
      </c>
      <c r="AV27" s="8" t="str">
        <f t="shared" si="37"/>
        <v/>
      </c>
      <c r="AW27" s="8" t="str">
        <f t="shared" si="37"/>
        <v/>
      </c>
      <c r="AX27" s="8" t="str">
        <f t="shared" si="37"/>
        <v/>
      </c>
      <c r="AY27" s="8" t="str">
        <f t="shared" si="37"/>
        <v/>
      </c>
      <c r="AZ27" s="8" t="str">
        <f t="shared" si="37"/>
        <v/>
      </c>
      <c r="BA27" s="8" t="str">
        <f t="shared" si="37"/>
        <v/>
      </c>
      <c r="BB27" s="8" t="str">
        <f t="shared" si="37"/>
        <v/>
      </c>
      <c r="BC27" s="8" t="str">
        <f t="shared" si="37"/>
        <v/>
      </c>
      <c r="BD27" s="8" t="str">
        <f t="shared" si="37"/>
        <v/>
      </c>
      <c r="BE27" s="8" t="str">
        <f t="shared" si="37"/>
        <v/>
      </c>
      <c r="BG27" s="6"/>
      <c r="BH27" s="4"/>
      <c r="BI27" s="4"/>
      <c r="BL27" t="str">
        <f t="shared" si="3"/>
        <v/>
      </c>
      <c r="BM27">
        <f t="shared" si="4"/>
        <v>0</v>
      </c>
      <c r="BN27" t="str">
        <f t="shared" si="5"/>
        <v/>
      </c>
      <c r="BO27">
        <f t="shared" si="6"/>
        <v>0</v>
      </c>
      <c r="BP27">
        <f t="shared" si="7"/>
        <v>0</v>
      </c>
      <c r="BQ27">
        <f t="shared" si="8"/>
        <v>9999</v>
      </c>
      <c r="BR27">
        <f t="shared" si="9"/>
        <v>9999</v>
      </c>
      <c r="BS27">
        <f>ROW()+IF($A27="",0,COUNTIF($A28:$A$36,$A27&amp;".*"))</f>
        <v>27</v>
      </c>
      <c r="BT27">
        <f t="shared" si="10"/>
        <v>9999</v>
      </c>
      <c r="BU27">
        <f t="shared" si="11"/>
        <v>9999</v>
      </c>
      <c r="BV27" t="str">
        <f t="shared" si="12"/>
        <v/>
      </c>
      <c r="BW27" t="str">
        <f t="shared" si="13"/>
        <v/>
      </c>
      <c r="BX27" t="str">
        <f t="shared" si="14"/>
        <v/>
      </c>
      <c r="BY27" t="str">
        <f t="shared" si="15"/>
        <v/>
      </c>
      <c r="BZ27">
        <f>IF($BG27="",0,COUNTA($BG$7:$BG27))</f>
        <v>0</v>
      </c>
      <c r="CA27" t="str">
        <f t="shared" ca="1" si="16"/>
        <v/>
      </c>
      <c r="CB27" t="str">
        <f t="shared" si="17"/>
        <v/>
      </c>
    </row>
    <row r="28" spans="1:80" x14ac:dyDescent="0.3">
      <c r="A28" s="18"/>
      <c r="B28" s="4"/>
      <c r="C28" s="5" t="str">
        <f>IF($A28="","",IF(BM28=1,MIN(C29:INDEX($C:$C,BS28)),BO28))</f>
        <v/>
      </c>
      <c r="D28" s="5" t="str">
        <f>IF($A28="","",IF(BM28=1,MAX(D29:INDEX($D:$D,BS28)),IF(C28="","",IF(N($I28)&lt;=0,C28,WORKDAY(C28,$I28)))))</f>
        <v/>
      </c>
      <c r="E28" s="6" t="str">
        <f t="shared" si="1"/>
        <v/>
      </c>
      <c r="F28" s="7">
        <f ca="1">IFERROR(SUMPRODUCT((BM29:INDEX($BM:$BM,$BS28)=0)*F29:INDEX($F:$F,$BS28)*(I29:INDEX($I:$I,$BS28)+1))/SUMPRODUCT((BM29:INDEX($BM:$BM,$BS28)=0)*(I29:INDEX($I:$I,$BS28)+1)),0)</f>
        <v>0</v>
      </c>
      <c r="G28" s="19"/>
      <c r="H28" s="20"/>
      <c r="I28" s="20"/>
      <c r="J28" s="8" t="str">
        <f t="shared" ref="J28:BE28" si="38">IF($C28="","",IF(AND(J$6&lt;=$D28,K$6&gt;$C28),IF($C28=$D28,"◆",1),""))</f>
        <v/>
      </c>
      <c r="K28" s="8" t="str">
        <f t="shared" si="38"/>
        <v/>
      </c>
      <c r="L28" s="8" t="str">
        <f t="shared" si="38"/>
        <v/>
      </c>
      <c r="M28" s="8" t="str">
        <f t="shared" si="38"/>
        <v/>
      </c>
      <c r="N28" s="8" t="str">
        <f t="shared" si="38"/>
        <v/>
      </c>
      <c r="O28" s="8" t="str">
        <f t="shared" si="38"/>
        <v/>
      </c>
      <c r="P28" s="8" t="str">
        <f t="shared" si="38"/>
        <v/>
      </c>
      <c r="Q28" s="8" t="str">
        <f t="shared" si="38"/>
        <v/>
      </c>
      <c r="R28" s="8" t="str">
        <f t="shared" si="38"/>
        <v/>
      </c>
      <c r="S28" s="8" t="str">
        <f t="shared" si="38"/>
        <v/>
      </c>
      <c r="T28" s="8" t="str">
        <f t="shared" si="38"/>
        <v/>
      </c>
      <c r="U28" s="8" t="str">
        <f t="shared" si="38"/>
        <v/>
      </c>
      <c r="V28" s="8" t="str">
        <f t="shared" si="38"/>
        <v/>
      </c>
      <c r="W28" s="8" t="str">
        <f t="shared" si="38"/>
        <v/>
      </c>
      <c r="X28" s="8" t="str">
        <f t="shared" si="38"/>
        <v/>
      </c>
      <c r="Y28" s="8" t="str">
        <f t="shared" si="38"/>
        <v/>
      </c>
      <c r="Z28" s="8" t="str">
        <f t="shared" si="38"/>
        <v/>
      </c>
      <c r="AA28" s="8" t="str">
        <f t="shared" si="38"/>
        <v/>
      </c>
      <c r="AB28" s="8" t="str">
        <f t="shared" si="38"/>
        <v/>
      </c>
      <c r="AC28" s="8" t="str">
        <f t="shared" si="38"/>
        <v/>
      </c>
      <c r="AD28" s="8" t="str">
        <f t="shared" si="38"/>
        <v/>
      </c>
      <c r="AE28" s="8" t="str">
        <f t="shared" si="38"/>
        <v/>
      </c>
      <c r="AF28" s="8" t="str">
        <f t="shared" si="38"/>
        <v/>
      </c>
      <c r="AG28" s="8" t="str">
        <f t="shared" si="38"/>
        <v/>
      </c>
      <c r="AH28" s="8" t="str">
        <f t="shared" si="38"/>
        <v/>
      </c>
      <c r="AI28" s="8" t="str">
        <f t="shared" si="38"/>
        <v/>
      </c>
      <c r="AJ28" s="8" t="str">
        <f t="shared" si="38"/>
        <v/>
      </c>
      <c r="AK28" s="8" t="str">
        <f t="shared" si="38"/>
        <v/>
      </c>
      <c r="AL28" s="8" t="str">
        <f t="shared" si="38"/>
        <v/>
      </c>
      <c r="AM28" s="8" t="str">
        <f t="shared" si="38"/>
        <v/>
      </c>
      <c r="AN28" s="8" t="str">
        <f t="shared" si="38"/>
        <v/>
      </c>
      <c r="AO28" s="8" t="str">
        <f t="shared" si="38"/>
        <v/>
      </c>
      <c r="AP28" s="8" t="str">
        <f t="shared" si="38"/>
        <v/>
      </c>
      <c r="AQ28" s="8" t="str">
        <f t="shared" si="38"/>
        <v/>
      </c>
      <c r="AR28" s="8" t="str">
        <f t="shared" si="38"/>
        <v/>
      </c>
      <c r="AS28" s="8" t="str">
        <f t="shared" si="38"/>
        <v/>
      </c>
      <c r="AT28" s="8" t="str">
        <f t="shared" si="38"/>
        <v/>
      </c>
      <c r="AU28" s="8" t="str">
        <f t="shared" si="38"/>
        <v/>
      </c>
      <c r="AV28" s="8" t="str">
        <f t="shared" si="38"/>
        <v/>
      </c>
      <c r="AW28" s="8" t="str">
        <f t="shared" si="38"/>
        <v/>
      </c>
      <c r="AX28" s="8" t="str">
        <f t="shared" si="38"/>
        <v/>
      </c>
      <c r="AY28" s="8" t="str">
        <f t="shared" si="38"/>
        <v/>
      </c>
      <c r="AZ28" s="8" t="str">
        <f t="shared" si="38"/>
        <v/>
      </c>
      <c r="BA28" s="8" t="str">
        <f t="shared" si="38"/>
        <v/>
      </c>
      <c r="BB28" s="8" t="str">
        <f t="shared" si="38"/>
        <v/>
      </c>
      <c r="BC28" s="8" t="str">
        <f t="shared" si="38"/>
        <v/>
      </c>
      <c r="BD28" s="8" t="str">
        <f t="shared" si="38"/>
        <v/>
      </c>
      <c r="BE28" s="8" t="str">
        <f t="shared" si="38"/>
        <v/>
      </c>
      <c r="BG28" s="6"/>
      <c r="BH28" s="4"/>
      <c r="BI28" s="4"/>
      <c r="BL28" t="str">
        <f t="shared" si="3"/>
        <v/>
      </c>
      <c r="BM28">
        <f t="shared" si="4"/>
        <v>0</v>
      </c>
      <c r="BN28" t="str">
        <f t="shared" si="5"/>
        <v/>
      </c>
      <c r="BO28">
        <f t="shared" si="6"/>
        <v>0</v>
      </c>
      <c r="BP28">
        <f t="shared" si="7"/>
        <v>0</v>
      </c>
      <c r="BQ28">
        <f t="shared" si="8"/>
        <v>9999</v>
      </c>
      <c r="BR28">
        <f t="shared" si="9"/>
        <v>9999</v>
      </c>
      <c r="BS28">
        <f>ROW()+IF($A28="",0,COUNTIF($A29:$A$36,$A28&amp;".*"))</f>
        <v>28</v>
      </c>
      <c r="BT28">
        <f t="shared" si="10"/>
        <v>9999</v>
      </c>
      <c r="BU28">
        <f t="shared" si="11"/>
        <v>9999</v>
      </c>
      <c r="BV28" t="str">
        <f t="shared" si="12"/>
        <v/>
      </c>
      <c r="BW28" t="str">
        <f t="shared" si="13"/>
        <v/>
      </c>
      <c r="BX28" t="str">
        <f t="shared" si="14"/>
        <v/>
      </c>
      <c r="BY28" t="str">
        <f t="shared" si="15"/>
        <v/>
      </c>
      <c r="BZ28">
        <f>IF($BG28="",0,COUNTA($BG$7:$BG28))</f>
        <v>0</v>
      </c>
      <c r="CA28" t="str">
        <f t="shared" ca="1" si="16"/>
        <v/>
      </c>
      <c r="CB28" t="str">
        <f t="shared" si="17"/>
        <v/>
      </c>
    </row>
    <row r="29" spans="1:80" x14ac:dyDescent="0.3">
      <c r="A29" s="18"/>
      <c r="B29" s="4"/>
      <c r="C29" s="5" t="str">
        <f>IF($A29="","",IF(BM29=1,MIN(C30:INDEX($C:$C,BS29)),BO29))</f>
        <v/>
      </c>
      <c r="D29" s="5" t="str">
        <f>IF($A29="","",IF(BM29=1,MAX(D30:INDEX($D:$D,BS29)),IF(C29="","",IF(N($I29)&lt;=0,C29,WORKDAY(C29,$I29)))))</f>
        <v/>
      </c>
      <c r="E29" s="6" t="str">
        <f t="shared" si="1"/>
        <v/>
      </c>
      <c r="F29" s="7">
        <f ca="1">IFERROR(SUMPRODUCT((BM30:INDEX($BM:$BM,$BS29)=0)*F30:INDEX($F:$F,$BS29)*(I30:INDEX($I:$I,$BS29)+1))/SUMPRODUCT((BM30:INDEX($BM:$BM,$BS29)=0)*(I30:INDEX($I:$I,$BS29)+1)),0)</f>
        <v>0</v>
      </c>
      <c r="G29" s="19"/>
      <c r="H29" s="20"/>
      <c r="I29" s="20"/>
      <c r="J29" s="8" t="str">
        <f t="shared" ref="J29:BE29" si="39">IF($C29="","",IF(AND(J$6&lt;=$D29,K$6&gt;$C29),IF($C29=$D29,"◆",1),""))</f>
        <v/>
      </c>
      <c r="K29" s="8" t="str">
        <f t="shared" si="39"/>
        <v/>
      </c>
      <c r="L29" s="8" t="str">
        <f t="shared" si="39"/>
        <v/>
      </c>
      <c r="M29" s="8" t="str">
        <f t="shared" si="39"/>
        <v/>
      </c>
      <c r="N29" s="8" t="str">
        <f t="shared" si="39"/>
        <v/>
      </c>
      <c r="O29" s="8" t="str">
        <f t="shared" si="39"/>
        <v/>
      </c>
      <c r="P29" s="8" t="str">
        <f t="shared" si="39"/>
        <v/>
      </c>
      <c r="Q29" s="8" t="str">
        <f t="shared" si="39"/>
        <v/>
      </c>
      <c r="R29" s="8" t="str">
        <f t="shared" si="39"/>
        <v/>
      </c>
      <c r="S29" s="8" t="str">
        <f t="shared" si="39"/>
        <v/>
      </c>
      <c r="T29" s="8" t="str">
        <f t="shared" si="39"/>
        <v/>
      </c>
      <c r="U29" s="8" t="str">
        <f t="shared" si="39"/>
        <v/>
      </c>
      <c r="V29" s="8" t="str">
        <f t="shared" si="39"/>
        <v/>
      </c>
      <c r="W29" s="8" t="str">
        <f t="shared" si="39"/>
        <v/>
      </c>
      <c r="X29" s="8" t="str">
        <f t="shared" si="39"/>
        <v/>
      </c>
      <c r="Y29" s="8" t="str">
        <f t="shared" si="39"/>
        <v/>
      </c>
      <c r="Z29" s="8" t="str">
        <f t="shared" si="39"/>
        <v/>
      </c>
      <c r="AA29" s="8" t="str">
        <f t="shared" si="39"/>
        <v/>
      </c>
      <c r="AB29" s="8" t="str">
        <f t="shared" si="39"/>
        <v/>
      </c>
      <c r="AC29" s="8" t="str">
        <f t="shared" si="39"/>
        <v/>
      </c>
      <c r="AD29" s="8" t="str">
        <f t="shared" si="39"/>
        <v/>
      </c>
      <c r="AE29" s="8" t="str">
        <f t="shared" si="39"/>
        <v/>
      </c>
      <c r="AF29" s="8" t="str">
        <f t="shared" si="39"/>
        <v/>
      </c>
      <c r="AG29" s="8" t="str">
        <f t="shared" si="39"/>
        <v/>
      </c>
      <c r="AH29" s="8" t="str">
        <f t="shared" si="39"/>
        <v/>
      </c>
      <c r="AI29" s="8" t="str">
        <f t="shared" si="39"/>
        <v/>
      </c>
      <c r="AJ29" s="8" t="str">
        <f t="shared" si="39"/>
        <v/>
      </c>
      <c r="AK29" s="8" t="str">
        <f t="shared" si="39"/>
        <v/>
      </c>
      <c r="AL29" s="8" t="str">
        <f t="shared" si="39"/>
        <v/>
      </c>
      <c r="AM29" s="8" t="str">
        <f t="shared" si="39"/>
        <v/>
      </c>
      <c r="AN29" s="8" t="str">
        <f t="shared" si="39"/>
        <v/>
      </c>
      <c r="AO29" s="8" t="str">
        <f t="shared" si="39"/>
        <v/>
      </c>
      <c r="AP29" s="8" t="str">
        <f t="shared" si="39"/>
        <v/>
      </c>
      <c r="AQ29" s="8" t="str">
        <f t="shared" si="39"/>
        <v/>
      </c>
      <c r="AR29" s="8" t="str">
        <f t="shared" si="39"/>
        <v/>
      </c>
      <c r="AS29" s="8" t="str">
        <f t="shared" si="39"/>
        <v/>
      </c>
      <c r="AT29" s="8" t="str">
        <f t="shared" si="39"/>
        <v/>
      </c>
      <c r="AU29" s="8" t="str">
        <f t="shared" si="39"/>
        <v/>
      </c>
      <c r="AV29" s="8" t="str">
        <f t="shared" si="39"/>
        <v/>
      </c>
      <c r="AW29" s="8" t="str">
        <f t="shared" si="39"/>
        <v/>
      </c>
      <c r="AX29" s="8" t="str">
        <f t="shared" si="39"/>
        <v/>
      </c>
      <c r="AY29" s="8" t="str">
        <f t="shared" si="39"/>
        <v/>
      </c>
      <c r="AZ29" s="8" t="str">
        <f t="shared" si="39"/>
        <v/>
      </c>
      <c r="BA29" s="8" t="str">
        <f t="shared" si="39"/>
        <v/>
      </c>
      <c r="BB29" s="8" t="str">
        <f t="shared" si="39"/>
        <v/>
      </c>
      <c r="BC29" s="8" t="str">
        <f t="shared" si="39"/>
        <v/>
      </c>
      <c r="BD29" s="8" t="str">
        <f t="shared" si="39"/>
        <v/>
      </c>
      <c r="BE29" s="8" t="str">
        <f t="shared" si="39"/>
        <v/>
      </c>
      <c r="BG29" s="6"/>
      <c r="BH29" s="4"/>
      <c r="BI29" s="4"/>
      <c r="BL29" t="str">
        <f t="shared" si="3"/>
        <v/>
      </c>
      <c r="BM29">
        <f t="shared" si="4"/>
        <v>0</v>
      </c>
      <c r="BN29" t="str">
        <f t="shared" si="5"/>
        <v/>
      </c>
      <c r="BO29">
        <f t="shared" si="6"/>
        <v>0</v>
      </c>
      <c r="BP29">
        <f t="shared" si="7"/>
        <v>0</v>
      </c>
      <c r="BQ29">
        <f t="shared" si="8"/>
        <v>9999</v>
      </c>
      <c r="BR29">
        <f t="shared" si="9"/>
        <v>9999</v>
      </c>
      <c r="BS29">
        <f>ROW()+IF($A29="",0,COUNTIF($A30:$A$36,$A29&amp;".*"))</f>
        <v>29</v>
      </c>
      <c r="BT29">
        <f t="shared" si="10"/>
        <v>9999</v>
      </c>
      <c r="BU29">
        <f t="shared" si="11"/>
        <v>9999</v>
      </c>
      <c r="BV29" t="str">
        <f t="shared" si="12"/>
        <v/>
      </c>
      <c r="BW29" t="str">
        <f t="shared" si="13"/>
        <v/>
      </c>
      <c r="BX29" t="str">
        <f t="shared" si="14"/>
        <v/>
      </c>
      <c r="BY29" t="str">
        <f t="shared" si="15"/>
        <v/>
      </c>
      <c r="BZ29">
        <f>IF($BG29="",0,COUNTA($BG$7:$BG29))</f>
        <v>0</v>
      </c>
      <c r="CA29" t="str">
        <f t="shared" ca="1" si="16"/>
        <v/>
      </c>
      <c r="CB29" t="str">
        <f t="shared" si="17"/>
        <v/>
      </c>
    </row>
    <row r="30" spans="1:80" x14ac:dyDescent="0.3">
      <c r="A30" s="18"/>
      <c r="B30" s="4"/>
      <c r="C30" s="5" t="str">
        <f>IF($A30="","",IF(BM30=1,MIN(C31:INDEX($C:$C,BS30)),BO30))</f>
        <v/>
      </c>
      <c r="D30" s="5" t="str">
        <f>IF($A30="","",IF(BM30=1,MAX(D31:INDEX($D:$D,BS30)),IF(C30="","",IF(N($I30)&lt;=0,C30,WORKDAY(C30,$I30)))))</f>
        <v/>
      </c>
      <c r="E30" s="6" t="str">
        <f t="shared" si="1"/>
        <v/>
      </c>
      <c r="F30" s="7">
        <f ca="1">IFERROR(SUMPRODUCT((BM31:INDEX($BM:$BM,$BS30)=0)*F31:INDEX($F:$F,$BS30)*(I31:INDEX($I:$I,$BS30)+1))/SUMPRODUCT((BM31:INDEX($BM:$BM,$BS30)=0)*(I31:INDEX($I:$I,$BS30)+1)),0)</f>
        <v>0</v>
      </c>
      <c r="G30" s="19"/>
      <c r="H30" s="20"/>
      <c r="I30" s="20"/>
      <c r="J30" s="8" t="str">
        <f t="shared" ref="J30:BE30" si="40">IF($C30="","",IF(AND(J$6&lt;=$D30,K$6&gt;$C30),IF($C30=$D30,"◆",1),""))</f>
        <v/>
      </c>
      <c r="K30" s="8" t="str">
        <f t="shared" si="40"/>
        <v/>
      </c>
      <c r="L30" s="8" t="str">
        <f t="shared" si="40"/>
        <v/>
      </c>
      <c r="M30" s="8" t="str">
        <f t="shared" si="40"/>
        <v/>
      </c>
      <c r="N30" s="8" t="str">
        <f t="shared" si="40"/>
        <v/>
      </c>
      <c r="O30" s="8" t="str">
        <f t="shared" si="40"/>
        <v/>
      </c>
      <c r="P30" s="8" t="str">
        <f t="shared" si="40"/>
        <v/>
      </c>
      <c r="Q30" s="8" t="str">
        <f t="shared" si="40"/>
        <v/>
      </c>
      <c r="R30" s="8" t="str">
        <f t="shared" si="40"/>
        <v/>
      </c>
      <c r="S30" s="8" t="str">
        <f t="shared" si="40"/>
        <v/>
      </c>
      <c r="T30" s="8" t="str">
        <f t="shared" si="40"/>
        <v/>
      </c>
      <c r="U30" s="8" t="str">
        <f t="shared" si="40"/>
        <v/>
      </c>
      <c r="V30" s="8" t="str">
        <f t="shared" si="40"/>
        <v/>
      </c>
      <c r="W30" s="8" t="str">
        <f t="shared" si="40"/>
        <v/>
      </c>
      <c r="X30" s="8" t="str">
        <f t="shared" si="40"/>
        <v/>
      </c>
      <c r="Y30" s="8" t="str">
        <f t="shared" si="40"/>
        <v/>
      </c>
      <c r="Z30" s="8" t="str">
        <f t="shared" si="40"/>
        <v/>
      </c>
      <c r="AA30" s="8" t="str">
        <f t="shared" si="40"/>
        <v/>
      </c>
      <c r="AB30" s="8" t="str">
        <f t="shared" si="40"/>
        <v/>
      </c>
      <c r="AC30" s="8" t="str">
        <f t="shared" si="40"/>
        <v/>
      </c>
      <c r="AD30" s="8" t="str">
        <f t="shared" si="40"/>
        <v/>
      </c>
      <c r="AE30" s="8" t="str">
        <f t="shared" si="40"/>
        <v/>
      </c>
      <c r="AF30" s="8" t="str">
        <f t="shared" si="40"/>
        <v/>
      </c>
      <c r="AG30" s="8" t="str">
        <f t="shared" si="40"/>
        <v/>
      </c>
      <c r="AH30" s="8" t="str">
        <f t="shared" si="40"/>
        <v/>
      </c>
      <c r="AI30" s="8" t="str">
        <f t="shared" si="40"/>
        <v/>
      </c>
      <c r="AJ30" s="8" t="str">
        <f t="shared" si="40"/>
        <v/>
      </c>
      <c r="AK30" s="8" t="str">
        <f t="shared" si="40"/>
        <v/>
      </c>
      <c r="AL30" s="8" t="str">
        <f t="shared" si="40"/>
        <v/>
      </c>
      <c r="AM30" s="8" t="str">
        <f t="shared" si="40"/>
        <v/>
      </c>
      <c r="AN30" s="8" t="str">
        <f t="shared" si="40"/>
        <v/>
      </c>
      <c r="AO30" s="8" t="str">
        <f t="shared" si="40"/>
        <v/>
      </c>
      <c r="AP30" s="8" t="str">
        <f t="shared" si="40"/>
        <v/>
      </c>
      <c r="AQ30" s="8" t="str">
        <f t="shared" si="40"/>
        <v/>
      </c>
      <c r="AR30" s="8" t="str">
        <f t="shared" si="40"/>
        <v/>
      </c>
      <c r="AS30" s="8" t="str">
        <f t="shared" si="40"/>
        <v/>
      </c>
      <c r="AT30" s="8" t="str">
        <f t="shared" si="40"/>
        <v/>
      </c>
      <c r="AU30" s="8" t="str">
        <f t="shared" si="40"/>
        <v/>
      </c>
      <c r="AV30" s="8" t="str">
        <f t="shared" si="40"/>
        <v/>
      </c>
      <c r="AW30" s="8" t="str">
        <f t="shared" si="40"/>
        <v/>
      </c>
      <c r="AX30" s="8" t="str">
        <f t="shared" si="40"/>
        <v/>
      </c>
      <c r="AY30" s="8" t="str">
        <f t="shared" si="40"/>
        <v/>
      </c>
      <c r="AZ30" s="8" t="str">
        <f t="shared" si="40"/>
        <v/>
      </c>
      <c r="BA30" s="8" t="str">
        <f t="shared" si="40"/>
        <v/>
      </c>
      <c r="BB30" s="8" t="str">
        <f t="shared" si="40"/>
        <v/>
      </c>
      <c r="BC30" s="8" t="str">
        <f t="shared" si="40"/>
        <v/>
      </c>
      <c r="BD30" s="8" t="str">
        <f t="shared" si="40"/>
        <v/>
      </c>
      <c r="BE30" s="8" t="str">
        <f t="shared" si="40"/>
        <v/>
      </c>
      <c r="BG30" s="6"/>
      <c r="BH30" s="4"/>
      <c r="BI30" s="4"/>
      <c r="BL30" t="str">
        <f t="shared" si="3"/>
        <v/>
      </c>
      <c r="BM30">
        <f t="shared" si="4"/>
        <v>0</v>
      </c>
      <c r="BN30" t="str">
        <f t="shared" si="5"/>
        <v/>
      </c>
      <c r="BO30">
        <f t="shared" si="6"/>
        <v>0</v>
      </c>
      <c r="BP30">
        <f t="shared" si="7"/>
        <v>0</v>
      </c>
      <c r="BQ30">
        <f t="shared" si="8"/>
        <v>9999</v>
      </c>
      <c r="BR30">
        <f t="shared" si="9"/>
        <v>9999</v>
      </c>
      <c r="BS30">
        <f>ROW()+IF($A30="",0,COUNTIF($A31:$A$36,$A30&amp;".*"))</f>
        <v>30</v>
      </c>
      <c r="BT30">
        <f t="shared" si="10"/>
        <v>9999</v>
      </c>
      <c r="BU30">
        <f t="shared" si="11"/>
        <v>9999</v>
      </c>
      <c r="BV30" t="str">
        <f t="shared" si="12"/>
        <v/>
      </c>
      <c r="BW30" t="str">
        <f t="shared" si="13"/>
        <v/>
      </c>
      <c r="BX30" t="str">
        <f t="shared" si="14"/>
        <v/>
      </c>
      <c r="BY30" t="str">
        <f t="shared" si="15"/>
        <v/>
      </c>
      <c r="BZ30">
        <f>IF($BG30="",0,COUNTA($BG$7:$BG30))</f>
        <v>0</v>
      </c>
      <c r="CA30" t="str">
        <f t="shared" ca="1" si="16"/>
        <v/>
      </c>
      <c r="CB30" t="str">
        <f t="shared" si="17"/>
        <v/>
      </c>
    </row>
    <row r="31" spans="1:80" x14ac:dyDescent="0.3">
      <c r="A31" s="18"/>
      <c r="B31" s="4"/>
      <c r="C31" s="5" t="str">
        <f>IF($A31="","",IF(BM31=1,MIN(C32:INDEX($C:$C,BS31)),BO31))</f>
        <v/>
      </c>
      <c r="D31" s="5" t="str">
        <f>IF($A31="","",IF(BM31=1,MAX(D32:INDEX($D:$D,BS31)),IF(C31="","",IF(N($I31)&lt;=0,C31,WORKDAY(C31,$I31)))))</f>
        <v/>
      </c>
      <c r="E31" s="6" t="str">
        <f t="shared" si="1"/>
        <v/>
      </c>
      <c r="F31" s="7">
        <f ca="1">IFERROR(SUMPRODUCT((BM32:INDEX($BM:$BM,$BS31)=0)*F32:INDEX($F:$F,$BS31)*(I32:INDEX($I:$I,$BS31)+1))/SUMPRODUCT((BM32:INDEX($BM:$BM,$BS31)=0)*(I32:INDEX($I:$I,$BS31)+1)),0)</f>
        <v>0</v>
      </c>
      <c r="G31" s="19"/>
      <c r="H31" s="20"/>
      <c r="I31" s="20"/>
      <c r="J31" s="8" t="str">
        <f t="shared" ref="J31:BE31" si="41">IF($C31="","",IF(AND(J$6&lt;=$D31,K$6&gt;$C31),IF($C31=$D31,"◆",1),""))</f>
        <v/>
      </c>
      <c r="K31" s="8" t="str">
        <f t="shared" si="41"/>
        <v/>
      </c>
      <c r="L31" s="8" t="str">
        <f t="shared" si="41"/>
        <v/>
      </c>
      <c r="M31" s="8" t="str">
        <f t="shared" si="41"/>
        <v/>
      </c>
      <c r="N31" s="8" t="str">
        <f t="shared" si="41"/>
        <v/>
      </c>
      <c r="O31" s="8" t="str">
        <f t="shared" si="41"/>
        <v/>
      </c>
      <c r="P31" s="8" t="str">
        <f t="shared" si="41"/>
        <v/>
      </c>
      <c r="Q31" s="8" t="str">
        <f t="shared" si="41"/>
        <v/>
      </c>
      <c r="R31" s="8" t="str">
        <f t="shared" si="41"/>
        <v/>
      </c>
      <c r="S31" s="8" t="str">
        <f t="shared" si="41"/>
        <v/>
      </c>
      <c r="T31" s="8" t="str">
        <f t="shared" si="41"/>
        <v/>
      </c>
      <c r="U31" s="8" t="str">
        <f t="shared" si="41"/>
        <v/>
      </c>
      <c r="V31" s="8" t="str">
        <f t="shared" si="41"/>
        <v/>
      </c>
      <c r="W31" s="8" t="str">
        <f t="shared" si="41"/>
        <v/>
      </c>
      <c r="X31" s="8" t="str">
        <f t="shared" si="41"/>
        <v/>
      </c>
      <c r="Y31" s="8" t="str">
        <f t="shared" si="41"/>
        <v/>
      </c>
      <c r="Z31" s="8" t="str">
        <f t="shared" si="41"/>
        <v/>
      </c>
      <c r="AA31" s="8" t="str">
        <f t="shared" si="41"/>
        <v/>
      </c>
      <c r="AB31" s="8" t="str">
        <f t="shared" si="41"/>
        <v/>
      </c>
      <c r="AC31" s="8" t="str">
        <f t="shared" si="41"/>
        <v/>
      </c>
      <c r="AD31" s="8" t="str">
        <f t="shared" si="41"/>
        <v/>
      </c>
      <c r="AE31" s="8" t="str">
        <f t="shared" si="41"/>
        <v/>
      </c>
      <c r="AF31" s="8" t="str">
        <f t="shared" si="41"/>
        <v/>
      </c>
      <c r="AG31" s="8" t="str">
        <f t="shared" si="41"/>
        <v/>
      </c>
      <c r="AH31" s="8" t="str">
        <f t="shared" si="41"/>
        <v/>
      </c>
      <c r="AI31" s="8" t="str">
        <f t="shared" si="41"/>
        <v/>
      </c>
      <c r="AJ31" s="8" t="str">
        <f t="shared" si="41"/>
        <v/>
      </c>
      <c r="AK31" s="8" t="str">
        <f t="shared" si="41"/>
        <v/>
      </c>
      <c r="AL31" s="8" t="str">
        <f t="shared" si="41"/>
        <v/>
      </c>
      <c r="AM31" s="8" t="str">
        <f t="shared" si="41"/>
        <v/>
      </c>
      <c r="AN31" s="8" t="str">
        <f t="shared" si="41"/>
        <v/>
      </c>
      <c r="AO31" s="8" t="str">
        <f t="shared" si="41"/>
        <v/>
      </c>
      <c r="AP31" s="8" t="str">
        <f t="shared" si="41"/>
        <v/>
      </c>
      <c r="AQ31" s="8" t="str">
        <f t="shared" si="41"/>
        <v/>
      </c>
      <c r="AR31" s="8" t="str">
        <f t="shared" si="41"/>
        <v/>
      </c>
      <c r="AS31" s="8" t="str">
        <f t="shared" si="41"/>
        <v/>
      </c>
      <c r="AT31" s="8" t="str">
        <f t="shared" si="41"/>
        <v/>
      </c>
      <c r="AU31" s="8" t="str">
        <f t="shared" si="41"/>
        <v/>
      </c>
      <c r="AV31" s="8" t="str">
        <f t="shared" si="41"/>
        <v/>
      </c>
      <c r="AW31" s="8" t="str">
        <f t="shared" si="41"/>
        <v/>
      </c>
      <c r="AX31" s="8" t="str">
        <f t="shared" si="41"/>
        <v/>
      </c>
      <c r="AY31" s="8" t="str">
        <f t="shared" si="41"/>
        <v/>
      </c>
      <c r="AZ31" s="8" t="str">
        <f t="shared" si="41"/>
        <v/>
      </c>
      <c r="BA31" s="8" t="str">
        <f t="shared" si="41"/>
        <v/>
      </c>
      <c r="BB31" s="8" t="str">
        <f t="shared" si="41"/>
        <v/>
      </c>
      <c r="BC31" s="8" t="str">
        <f t="shared" si="41"/>
        <v/>
      </c>
      <c r="BD31" s="8" t="str">
        <f t="shared" si="41"/>
        <v/>
      </c>
      <c r="BE31" s="8" t="str">
        <f t="shared" si="41"/>
        <v/>
      </c>
      <c r="BG31" s="6"/>
      <c r="BH31" s="4"/>
      <c r="BI31" s="4"/>
      <c r="BL31" t="str">
        <f t="shared" si="3"/>
        <v/>
      </c>
      <c r="BM31">
        <f t="shared" si="4"/>
        <v>0</v>
      </c>
      <c r="BN31" t="str">
        <f t="shared" si="5"/>
        <v/>
      </c>
      <c r="BO31">
        <f t="shared" si="6"/>
        <v>0</v>
      </c>
      <c r="BP31">
        <f t="shared" si="7"/>
        <v>0</v>
      </c>
      <c r="BQ31">
        <f t="shared" si="8"/>
        <v>9999</v>
      </c>
      <c r="BR31">
        <f t="shared" si="9"/>
        <v>9999</v>
      </c>
      <c r="BS31">
        <f>ROW()+IF($A31="",0,COUNTIF($A32:$A$36,$A31&amp;".*"))</f>
        <v>31</v>
      </c>
      <c r="BT31">
        <f t="shared" si="10"/>
        <v>9999</v>
      </c>
      <c r="BU31">
        <f t="shared" si="11"/>
        <v>9999</v>
      </c>
      <c r="BV31" t="str">
        <f t="shared" si="12"/>
        <v/>
      </c>
      <c r="BW31" t="str">
        <f t="shared" si="13"/>
        <v/>
      </c>
      <c r="BX31" t="str">
        <f t="shared" si="14"/>
        <v/>
      </c>
      <c r="BY31" t="str">
        <f t="shared" si="15"/>
        <v/>
      </c>
      <c r="BZ31">
        <f>IF($BG31="",0,COUNTA($BG$7:$BG31))</f>
        <v>0</v>
      </c>
      <c r="CA31" t="str">
        <f t="shared" ca="1" si="16"/>
        <v/>
      </c>
      <c r="CB31" t="str">
        <f t="shared" si="17"/>
        <v/>
      </c>
    </row>
    <row r="32" spans="1:80" x14ac:dyDescent="0.3">
      <c r="A32" s="18"/>
      <c r="B32" s="4"/>
      <c r="C32" s="5" t="str">
        <f>IF($A32="","",IF(BM32=1,MIN(C33:INDEX($C:$C,BS32)),BO32))</f>
        <v/>
      </c>
      <c r="D32" s="5" t="str">
        <f>IF($A32="","",IF(BM32=1,MAX(D33:INDEX($D:$D,BS32)),IF(C32="","",IF(N($I32)&lt;=0,C32,WORKDAY(C32,$I32)))))</f>
        <v/>
      </c>
      <c r="E32" s="6" t="str">
        <f t="shared" si="1"/>
        <v/>
      </c>
      <c r="F32" s="7">
        <f ca="1">IFERROR(SUMPRODUCT((BM33:INDEX($BM:$BM,$BS32)=0)*F33:INDEX($F:$F,$BS32)*(I33:INDEX($I:$I,$BS32)+1))/SUMPRODUCT((BM33:INDEX($BM:$BM,$BS32)=0)*(I33:INDEX($I:$I,$BS32)+1)),0)</f>
        <v>0</v>
      </c>
      <c r="G32" s="19"/>
      <c r="H32" s="20"/>
      <c r="I32" s="20"/>
      <c r="J32" s="8" t="str">
        <f t="shared" ref="J32:BE32" si="42">IF($C32="","",IF(AND(J$6&lt;=$D32,K$6&gt;$C32),IF($C32=$D32,"◆",1),""))</f>
        <v/>
      </c>
      <c r="K32" s="8" t="str">
        <f t="shared" si="42"/>
        <v/>
      </c>
      <c r="L32" s="8" t="str">
        <f t="shared" si="42"/>
        <v/>
      </c>
      <c r="M32" s="8" t="str">
        <f t="shared" si="42"/>
        <v/>
      </c>
      <c r="N32" s="8" t="str">
        <f t="shared" si="42"/>
        <v/>
      </c>
      <c r="O32" s="8" t="str">
        <f t="shared" si="42"/>
        <v/>
      </c>
      <c r="P32" s="8" t="str">
        <f t="shared" si="42"/>
        <v/>
      </c>
      <c r="Q32" s="8" t="str">
        <f t="shared" si="42"/>
        <v/>
      </c>
      <c r="R32" s="8" t="str">
        <f t="shared" si="42"/>
        <v/>
      </c>
      <c r="S32" s="8" t="str">
        <f t="shared" si="42"/>
        <v/>
      </c>
      <c r="T32" s="8" t="str">
        <f t="shared" si="42"/>
        <v/>
      </c>
      <c r="U32" s="8" t="str">
        <f t="shared" si="42"/>
        <v/>
      </c>
      <c r="V32" s="8" t="str">
        <f t="shared" si="42"/>
        <v/>
      </c>
      <c r="W32" s="8" t="str">
        <f t="shared" si="42"/>
        <v/>
      </c>
      <c r="X32" s="8" t="str">
        <f t="shared" si="42"/>
        <v/>
      </c>
      <c r="Y32" s="8" t="str">
        <f t="shared" si="42"/>
        <v/>
      </c>
      <c r="Z32" s="8" t="str">
        <f t="shared" si="42"/>
        <v/>
      </c>
      <c r="AA32" s="8" t="str">
        <f t="shared" si="42"/>
        <v/>
      </c>
      <c r="AB32" s="8" t="str">
        <f t="shared" si="42"/>
        <v/>
      </c>
      <c r="AC32" s="8" t="str">
        <f t="shared" si="42"/>
        <v/>
      </c>
      <c r="AD32" s="8" t="str">
        <f t="shared" si="42"/>
        <v/>
      </c>
      <c r="AE32" s="8" t="str">
        <f t="shared" si="42"/>
        <v/>
      </c>
      <c r="AF32" s="8" t="str">
        <f t="shared" si="42"/>
        <v/>
      </c>
      <c r="AG32" s="8" t="str">
        <f t="shared" si="42"/>
        <v/>
      </c>
      <c r="AH32" s="8" t="str">
        <f t="shared" si="42"/>
        <v/>
      </c>
      <c r="AI32" s="8" t="str">
        <f t="shared" si="42"/>
        <v/>
      </c>
      <c r="AJ32" s="8" t="str">
        <f t="shared" si="42"/>
        <v/>
      </c>
      <c r="AK32" s="8" t="str">
        <f t="shared" si="42"/>
        <v/>
      </c>
      <c r="AL32" s="8" t="str">
        <f t="shared" si="42"/>
        <v/>
      </c>
      <c r="AM32" s="8" t="str">
        <f t="shared" si="42"/>
        <v/>
      </c>
      <c r="AN32" s="8" t="str">
        <f t="shared" si="42"/>
        <v/>
      </c>
      <c r="AO32" s="8" t="str">
        <f t="shared" si="42"/>
        <v/>
      </c>
      <c r="AP32" s="8" t="str">
        <f t="shared" si="42"/>
        <v/>
      </c>
      <c r="AQ32" s="8" t="str">
        <f t="shared" si="42"/>
        <v/>
      </c>
      <c r="AR32" s="8" t="str">
        <f t="shared" si="42"/>
        <v/>
      </c>
      <c r="AS32" s="8" t="str">
        <f t="shared" si="42"/>
        <v/>
      </c>
      <c r="AT32" s="8" t="str">
        <f t="shared" si="42"/>
        <v/>
      </c>
      <c r="AU32" s="8" t="str">
        <f t="shared" si="42"/>
        <v/>
      </c>
      <c r="AV32" s="8" t="str">
        <f t="shared" si="42"/>
        <v/>
      </c>
      <c r="AW32" s="8" t="str">
        <f t="shared" si="42"/>
        <v/>
      </c>
      <c r="AX32" s="8" t="str">
        <f t="shared" si="42"/>
        <v/>
      </c>
      <c r="AY32" s="8" t="str">
        <f t="shared" si="42"/>
        <v/>
      </c>
      <c r="AZ32" s="8" t="str">
        <f t="shared" si="42"/>
        <v/>
      </c>
      <c r="BA32" s="8" t="str">
        <f t="shared" si="42"/>
        <v/>
      </c>
      <c r="BB32" s="8" t="str">
        <f t="shared" si="42"/>
        <v/>
      </c>
      <c r="BC32" s="8" t="str">
        <f t="shared" si="42"/>
        <v/>
      </c>
      <c r="BD32" s="8" t="str">
        <f t="shared" si="42"/>
        <v/>
      </c>
      <c r="BE32" s="8" t="str">
        <f t="shared" si="42"/>
        <v/>
      </c>
      <c r="BG32" s="6"/>
      <c r="BH32" s="4"/>
      <c r="BI32" s="4"/>
      <c r="BL32" t="str">
        <f t="shared" si="3"/>
        <v/>
      </c>
      <c r="BM32">
        <f t="shared" si="4"/>
        <v>0</v>
      </c>
      <c r="BN32" t="str">
        <f t="shared" si="5"/>
        <v/>
      </c>
      <c r="BO32">
        <f t="shared" si="6"/>
        <v>0</v>
      </c>
      <c r="BP32">
        <f t="shared" si="7"/>
        <v>0</v>
      </c>
      <c r="BQ32">
        <f t="shared" si="8"/>
        <v>9999</v>
      </c>
      <c r="BR32">
        <f t="shared" si="9"/>
        <v>9999</v>
      </c>
      <c r="BS32">
        <f>ROW()+IF($A32="",0,COUNTIF($A33:$A$36,$A32&amp;".*"))</f>
        <v>32</v>
      </c>
      <c r="BT32">
        <f t="shared" si="10"/>
        <v>9999</v>
      </c>
      <c r="BU32">
        <f t="shared" si="11"/>
        <v>9999</v>
      </c>
      <c r="BV32" t="str">
        <f t="shared" si="12"/>
        <v/>
      </c>
      <c r="BW32" t="str">
        <f t="shared" si="13"/>
        <v/>
      </c>
      <c r="BX32" t="str">
        <f t="shared" si="14"/>
        <v/>
      </c>
      <c r="BY32" t="str">
        <f t="shared" si="15"/>
        <v/>
      </c>
      <c r="BZ32">
        <f>IF($BG32="",0,COUNTA($BG$7:$BG32))</f>
        <v>0</v>
      </c>
      <c r="CA32" t="str">
        <f t="shared" ca="1" si="16"/>
        <v/>
      </c>
      <c r="CB32" t="str">
        <f t="shared" si="17"/>
        <v/>
      </c>
    </row>
    <row r="33" spans="1:80" x14ac:dyDescent="0.3">
      <c r="A33" s="18"/>
      <c r="B33" s="4"/>
      <c r="C33" s="5" t="str">
        <f>IF($A33="","",IF(BM33=1,MIN(C34:INDEX($C:$C,BS33)),BO33))</f>
        <v/>
      </c>
      <c r="D33" s="5" t="str">
        <f>IF($A33="","",IF(BM33=1,MAX(D34:INDEX($D:$D,BS33)),IF(C33="","",IF(N($I33)&lt;=0,C33,WORKDAY(C33,$I33)))))</f>
        <v/>
      </c>
      <c r="E33" s="6" t="str">
        <f t="shared" si="1"/>
        <v/>
      </c>
      <c r="F33" s="7">
        <f ca="1">IFERROR(SUMPRODUCT((BM34:INDEX($BM:$BM,$BS33)=0)*F34:INDEX($F:$F,$BS33)*(I34:INDEX($I:$I,$BS33)+1))/SUMPRODUCT((BM34:INDEX($BM:$BM,$BS33)=0)*(I34:INDEX($I:$I,$BS33)+1)),0)</f>
        <v>0</v>
      </c>
      <c r="G33" s="19"/>
      <c r="H33" s="20"/>
      <c r="I33" s="20"/>
      <c r="J33" s="8" t="str">
        <f t="shared" ref="J33:BE33" si="43">IF($C33="","",IF(AND(J$6&lt;=$D33,K$6&gt;$C33),IF($C33=$D33,"◆",1),""))</f>
        <v/>
      </c>
      <c r="K33" s="8" t="str">
        <f t="shared" si="43"/>
        <v/>
      </c>
      <c r="L33" s="8" t="str">
        <f t="shared" si="43"/>
        <v/>
      </c>
      <c r="M33" s="8" t="str">
        <f t="shared" si="43"/>
        <v/>
      </c>
      <c r="N33" s="8" t="str">
        <f t="shared" si="43"/>
        <v/>
      </c>
      <c r="O33" s="8" t="str">
        <f t="shared" si="43"/>
        <v/>
      </c>
      <c r="P33" s="8" t="str">
        <f t="shared" si="43"/>
        <v/>
      </c>
      <c r="Q33" s="8" t="str">
        <f t="shared" si="43"/>
        <v/>
      </c>
      <c r="R33" s="8" t="str">
        <f t="shared" si="43"/>
        <v/>
      </c>
      <c r="S33" s="8" t="str">
        <f t="shared" si="43"/>
        <v/>
      </c>
      <c r="T33" s="8" t="str">
        <f t="shared" si="43"/>
        <v/>
      </c>
      <c r="U33" s="8" t="str">
        <f t="shared" si="43"/>
        <v/>
      </c>
      <c r="V33" s="8" t="str">
        <f t="shared" si="43"/>
        <v/>
      </c>
      <c r="W33" s="8" t="str">
        <f t="shared" si="43"/>
        <v/>
      </c>
      <c r="X33" s="8" t="str">
        <f t="shared" si="43"/>
        <v/>
      </c>
      <c r="Y33" s="8" t="str">
        <f t="shared" si="43"/>
        <v/>
      </c>
      <c r="Z33" s="8" t="str">
        <f t="shared" si="43"/>
        <v/>
      </c>
      <c r="AA33" s="8" t="str">
        <f t="shared" si="43"/>
        <v/>
      </c>
      <c r="AB33" s="8" t="str">
        <f t="shared" si="43"/>
        <v/>
      </c>
      <c r="AC33" s="8" t="str">
        <f t="shared" si="43"/>
        <v/>
      </c>
      <c r="AD33" s="8" t="str">
        <f t="shared" si="43"/>
        <v/>
      </c>
      <c r="AE33" s="8" t="str">
        <f t="shared" si="43"/>
        <v/>
      </c>
      <c r="AF33" s="8" t="str">
        <f t="shared" si="43"/>
        <v/>
      </c>
      <c r="AG33" s="8" t="str">
        <f t="shared" si="43"/>
        <v/>
      </c>
      <c r="AH33" s="8" t="str">
        <f t="shared" si="43"/>
        <v/>
      </c>
      <c r="AI33" s="8" t="str">
        <f t="shared" si="43"/>
        <v/>
      </c>
      <c r="AJ33" s="8" t="str">
        <f t="shared" si="43"/>
        <v/>
      </c>
      <c r="AK33" s="8" t="str">
        <f t="shared" si="43"/>
        <v/>
      </c>
      <c r="AL33" s="8" t="str">
        <f t="shared" si="43"/>
        <v/>
      </c>
      <c r="AM33" s="8" t="str">
        <f t="shared" si="43"/>
        <v/>
      </c>
      <c r="AN33" s="8" t="str">
        <f t="shared" si="43"/>
        <v/>
      </c>
      <c r="AO33" s="8" t="str">
        <f t="shared" si="43"/>
        <v/>
      </c>
      <c r="AP33" s="8" t="str">
        <f t="shared" si="43"/>
        <v/>
      </c>
      <c r="AQ33" s="8" t="str">
        <f t="shared" si="43"/>
        <v/>
      </c>
      <c r="AR33" s="8" t="str">
        <f t="shared" si="43"/>
        <v/>
      </c>
      <c r="AS33" s="8" t="str">
        <f t="shared" si="43"/>
        <v/>
      </c>
      <c r="AT33" s="8" t="str">
        <f t="shared" si="43"/>
        <v/>
      </c>
      <c r="AU33" s="8" t="str">
        <f t="shared" si="43"/>
        <v/>
      </c>
      <c r="AV33" s="8" t="str">
        <f t="shared" si="43"/>
        <v/>
      </c>
      <c r="AW33" s="8" t="str">
        <f t="shared" si="43"/>
        <v/>
      </c>
      <c r="AX33" s="8" t="str">
        <f t="shared" si="43"/>
        <v/>
      </c>
      <c r="AY33" s="8" t="str">
        <f t="shared" si="43"/>
        <v/>
      </c>
      <c r="AZ33" s="8" t="str">
        <f t="shared" si="43"/>
        <v/>
      </c>
      <c r="BA33" s="8" t="str">
        <f t="shared" si="43"/>
        <v/>
      </c>
      <c r="BB33" s="8" t="str">
        <f t="shared" si="43"/>
        <v/>
      </c>
      <c r="BC33" s="8" t="str">
        <f t="shared" si="43"/>
        <v/>
      </c>
      <c r="BD33" s="8" t="str">
        <f t="shared" si="43"/>
        <v/>
      </c>
      <c r="BE33" s="8" t="str">
        <f t="shared" si="43"/>
        <v/>
      </c>
      <c r="BG33" s="6"/>
      <c r="BH33" s="4"/>
      <c r="BI33" s="4"/>
      <c r="BL33" t="str">
        <f t="shared" si="3"/>
        <v/>
      </c>
      <c r="BM33">
        <f t="shared" si="4"/>
        <v>0</v>
      </c>
      <c r="BN33" t="str">
        <f t="shared" si="5"/>
        <v/>
      </c>
      <c r="BO33">
        <f t="shared" si="6"/>
        <v>0</v>
      </c>
      <c r="BP33">
        <f t="shared" si="7"/>
        <v>0</v>
      </c>
      <c r="BQ33">
        <f t="shared" si="8"/>
        <v>9999</v>
      </c>
      <c r="BR33">
        <f t="shared" si="9"/>
        <v>9999</v>
      </c>
      <c r="BS33">
        <f>ROW()+IF($A33="",0,COUNTIF($A34:$A$36,$A33&amp;".*"))</f>
        <v>33</v>
      </c>
      <c r="BT33">
        <f t="shared" si="10"/>
        <v>9999</v>
      </c>
      <c r="BU33">
        <f t="shared" si="11"/>
        <v>9999</v>
      </c>
      <c r="BV33" t="str">
        <f t="shared" si="12"/>
        <v/>
      </c>
      <c r="BW33" t="str">
        <f t="shared" si="13"/>
        <v/>
      </c>
      <c r="BX33" t="str">
        <f t="shared" si="14"/>
        <v/>
      </c>
      <c r="BY33" t="str">
        <f t="shared" si="15"/>
        <v/>
      </c>
      <c r="BZ33">
        <f>IF($BG33="",0,COUNTA($BG$7:$BG33))</f>
        <v>0</v>
      </c>
      <c r="CA33" t="str">
        <f t="shared" ca="1" si="16"/>
        <v/>
      </c>
      <c r="CB33" t="str">
        <f t="shared" si="17"/>
        <v/>
      </c>
    </row>
    <row r="34" spans="1:80" x14ac:dyDescent="0.3">
      <c r="A34" s="18"/>
      <c r="B34" s="4"/>
      <c r="C34" s="5" t="str">
        <f>IF($A34="","",IF(BM34=1,MIN(C35:INDEX($C:$C,BS34)),BO34))</f>
        <v/>
      </c>
      <c r="D34" s="5" t="str">
        <f>IF($A34="","",IF(BM34=1,MAX(D35:INDEX($D:$D,BS34)),IF(C34="","",IF(N($I34)&lt;=0,C34,WORKDAY(C34,$I34)))))</f>
        <v/>
      </c>
      <c r="E34" s="6" t="str">
        <f t="shared" si="1"/>
        <v/>
      </c>
      <c r="F34" s="7">
        <f ca="1">IFERROR(SUMPRODUCT((BM35:INDEX($BM:$BM,$BS34)=0)*F35:INDEX($F:$F,$BS34)*(I35:INDEX($I:$I,$BS34)+1))/SUMPRODUCT((BM35:INDEX($BM:$BM,$BS34)=0)*(I35:INDEX($I:$I,$BS34)+1)),0)</f>
        <v>0</v>
      </c>
      <c r="G34" s="19"/>
      <c r="H34" s="20"/>
      <c r="I34" s="20"/>
      <c r="J34" s="8" t="str">
        <f t="shared" ref="J34:BE34" si="44">IF($C34="","",IF(AND(J$6&lt;=$D34,K$6&gt;$C34),IF($C34=$D34,"◆",1),""))</f>
        <v/>
      </c>
      <c r="K34" s="8" t="str">
        <f t="shared" si="44"/>
        <v/>
      </c>
      <c r="L34" s="8" t="str">
        <f t="shared" si="44"/>
        <v/>
      </c>
      <c r="M34" s="8" t="str">
        <f t="shared" si="44"/>
        <v/>
      </c>
      <c r="N34" s="8" t="str">
        <f t="shared" si="44"/>
        <v/>
      </c>
      <c r="O34" s="8" t="str">
        <f t="shared" si="44"/>
        <v/>
      </c>
      <c r="P34" s="8" t="str">
        <f t="shared" si="44"/>
        <v/>
      </c>
      <c r="Q34" s="8" t="str">
        <f t="shared" si="44"/>
        <v/>
      </c>
      <c r="R34" s="8" t="str">
        <f t="shared" si="44"/>
        <v/>
      </c>
      <c r="S34" s="8" t="str">
        <f t="shared" si="44"/>
        <v/>
      </c>
      <c r="T34" s="8" t="str">
        <f t="shared" si="44"/>
        <v/>
      </c>
      <c r="U34" s="8" t="str">
        <f t="shared" si="44"/>
        <v/>
      </c>
      <c r="V34" s="8" t="str">
        <f t="shared" si="44"/>
        <v/>
      </c>
      <c r="W34" s="8" t="str">
        <f t="shared" si="44"/>
        <v/>
      </c>
      <c r="X34" s="8" t="str">
        <f t="shared" si="44"/>
        <v/>
      </c>
      <c r="Y34" s="8" t="str">
        <f t="shared" si="44"/>
        <v/>
      </c>
      <c r="Z34" s="8" t="str">
        <f t="shared" si="44"/>
        <v/>
      </c>
      <c r="AA34" s="8" t="str">
        <f t="shared" si="44"/>
        <v/>
      </c>
      <c r="AB34" s="8" t="str">
        <f t="shared" si="44"/>
        <v/>
      </c>
      <c r="AC34" s="8" t="str">
        <f t="shared" si="44"/>
        <v/>
      </c>
      <c r="AD34" s="8" t="str">
        <f t="shared" si="44"/>
        <v/>
      </c>
      <c r="AE34" s="8" t="str">
        <f t="shared" si="44"/>
        <v/>
      </c>
      <c r="AF34" s="8" t="str">
        <f t="shared" si="44"/>
        <v/>
      </c>
      <c r="AG34" s="8" t="str">
        <f t="shared" si="44"/>
        <v/>
      </c>
      <c r="AH34" s="8" t="str">
        <f t="shared" si="44"/>
        <v/>
      </c>
      <c r="AI34" s="8" t="str">
        <f t="shared" si="44"/>
        <v/>
      </c>
      <c r="AJ34" s="8" t="str">
        <f t="shared" si="44"/>
        <v/>
      </c>
      <c r="AK34" s="8" t="str">
        <f t="shared" si="44"/>
        <v/>
      </c>
      <c r="AL34" s="8" t="str">
        <f t="shared" si="44"/>
        <v/>
      </c>
      <c r="AM34" s="8" t="str">
        <f t="shared" si="44"/>
        <v/>
      </c>
      <c r="AN34" s="8" t="str">
        <f t="shared" si="44"/>
        <v/>
      </c>
      <c r="AO34" s="8" t="str">
        <f t="shared" si="44"/>
        <v/>
      </c>
      <c r="AP34" s="8" t="str">
        <f t="shared" si="44"/>
        <v/>
      </c>
      <c r="AQ34" s="8" t="str">
        <f t="shared" si="44"/>
        <v/>
      </c>
      <c r="AR34" s="8" t="str">
        <f t="shared" si="44"/>
        <v/>
      </c>
      <c r="AS34" s="8" t="str">
        <f t="shared" si="44"/>
        <v/>
      </c>
      <c r="AT34" s="8" t="str">
        <f t="shared" si="44"/>
        <v/>
      </c>
      <c r="AU34" s="8" t="str">
        <f t="shared" si="44"/>
        <v/>
      </c>
      <c r="AV34" s="8" t="str">
        <f t="shared" si="44"/>
        <v/>
      </c>
      <c r="AW34" s="8" t="str">
        <f t="shared" si="44"/>
        <v/>
      </c>
      <c r="AX34" s="8" t="str">
        <f t="shared" si="44"/>
        <v/>
      </c>
      <c r="AY34" s="8" t="str">
        <f t="shared" si="44"/>
        <v/>
      </c>
      <c r="AZ34" s="8" t="str">
        <f t="shared" si="44"/>
        <v/>
      </c>
      <c r="BA34" s="8" t="str">
        <f t="shared" si="44"/>
        <v/>
      </c>
      <c r="BB34" s="8" t="str">
        <f t="shared" si="44"/>
        <v/>
      </c>
      <c r="BC34" s="8" t="str">
        <f t="shared" si="44"/>
        <v/>
      </c>
      <c r="BD34" s="8" t="str">
        <f t="shared" si="44"/>
        <v/>
      </c>
      <c r="BE34" s="8" t="str">
        <f t="shared" si="44"/>
        <v/>
      </c>
      <c r="BG34" s="6"/>
      <c r="BH34" s="4"/>
      <c r="BI34" s="4"/>
      <c r="BL34" t="str">
        <f t="shared" si="3"/>
        <v/>
      </c>
      <c r="BM34">
        <f t="shared" si="4"/>
        <v>0</v>
      </c>
      <c r="BN34" t="str">
        <f t="shared" si="5"/>
        <v/>
      </c>
      <c r="BO34">
        <f t="shared" si="6"/>
        <v>0</v>
      </c>
      <c r="BP34">
        <f t="shared" si="7"/>
        <v>0</v>
      </c>
      <c r="BQ34">
        <f t="shared" si="8"/>
        <v>9999</v>
      </c>
      <c r="BR34">
        <f t="shared" si="9"/>
        <v>9999</v>
      </c>
      <c r="BS34">
        <f>ROW()+IF($A34="",0,COUNTIF($A35:$A$36,$A34&amp;".*"))</f>
        <v>34</v>
      </c>
      <c r="BT34">
        <f t="shared" si="10"/>
        <v>9999</v>
      </c>
      <c r="BU34">
        <f t="shared" si="11"/>
        <v>9999</v>
      </c>
      <c r="BV34" t="str">
        <f t="shared" si="12"/>
        <v/>
      </c>
      <c r="BW34" t="str">
        <f t="shared" si="13"/>
        <v/>
      </c>
      <c r="BX34" t="str">
        <f t="shared" si="14"/>
        <v/>
      </c>
      <c r="BY34" t="str">
        <f t="shared" si="15"/>
        <v/>
      </c>
      <c r="BZ34">
        <f>IF($BG34="",0,COUNTA($BG$7:$BG34))</f>
        <v>0</v>
      </c>
      <c r="CA34" t="str">
        <f t="shared" ca="1" si="16"/>
        <v/>
      </c>
      <c r="CB34" t="str">
        <f t="shared" si="17"/>
        <v/>
      </c>
    </row>
    <row r="35" spans="1:80" x14ac:dyDescent="0.3">
      <c r="A35" s="18"/>
      <c r="B35" s="4"/>
      <c r="C35" s="5" t="str">
        <f>IF($A35="","",IF(BM35=1,MIN(C36:INDEX($C:$C,BS35)),BO35))</f>
        <v/>
      </c>
      <c r="D35" s="5" t="str">
        <f>IF($A35="","",IF(BM35=1,MAX(D36:INDEX($D:$D,BS35)),IF(C35="","",IF(N($I35)&lt;=0,C35,WORKDAY(C35,$I35)))))</f>
        <v/>
      </c>
      <c r="E35" s="6" t="str">
        <f t="shared" si="1"/>
        <v/>
      </c>
      <c r="F35" s="7">
        <f ca="1">IFERROR(SUMPRODUCT((BM36:INDEX($BM:$BM,$BS35)=0)*F36:INDEX($F:$F,$BS35)*(I36:INDEX($I:$I,$BS35)+1))/SUMPRODUCT((BM36:INDEX($BM:$BM,$BS35)=0)*(I36:INDEX($I:$I,$BS35)+1)),0)</f>
        <v>0</v>
      </c>
      <c r="G35" s="19"/>
      <c r="H35" s="20"/>
      <c r="I35" s="20"/>
      <c r="J35" s="8" t="str">
        <f t="shared" ref="J35:BE35" si="45">IF($C35="","",IF(AND(J$6&lt;=$D35,K$6&gt;$C35),IF($C35=$D35,"◆",1),""))</f>
        <v/>
      </c>
      <c r="K35" s="8" t="str">
        <f t="shared" si="45"/>
        <v/>
      </c>
      <c r="L35" s="8" t="str">
        <f t="shared" si="45"/>
        <v/>
      </c>
      <c r="M35" s="8" t="str">
        <f t="shared" si="45"/>
        <v/>
      </c>
      <c r="N35" s="8" t="str">
        <f t="shared" si="45"/>
        <v/>
      </c>
      <c r="O35" s="8" t="str">
        <f t="shared" si="45"/>
        <v/>
      </c>
      <c r="P35" s="8" t="str">
        <f t="shared" si="45"/>
        <v/>
      </c>
      <c r="Q35" s="8" t="str">
        <f t="shared" si="45"/>
        <v/>
      </c>
      <c r="R35" s="8" t="str">
        <f t="shared" si="45"/>
        <v/>
      </c>
      <c r="S35" s="8" t="str">
        <f t="shared" si="45"/>
        <v/>
      </c>
      <c r="T35" s="8" t="str">
        <f t="shared" si="45"/>
        <v/>
      </c>
      <c r="U35" s="8" t="str">
        <f t="shared" si="45"/>
        <v/>
      </c>
      <c r="V35" s="8" t="str">
        <f t="shared" si="45"/>
        <v/>
      </c>
      <c r="W35" s="8" t="str">
        <f t="shared" si="45"/>
        <v/>
      </c>
      <c r="X35" s="8" t="str">
        <f t="shared" si="45"/>
        <v/>
      </c>
      <c r="Y35" s="8" t="str">
        <f t="shared" si="45"/>
        <v/>
      </c>
      <c r="Z35" s="8" t="str">
        <f t="shared" si="45"/>
        <v/>
      </c>
      <c r="AA35" s="8" t="str">
        <f t="shared" si="45"/>
        <v/>
      </c>
      <c r="AB35" s="8" t="str">
        <f t="shared" si="45"/>
        <v/>
      </c>
      <c r="AC35" s="8" t="str">
        <f t="shared" si="45"/>
        <v/>
      </c>
      <c r="AD35" s="8" t="str">
        <f t="shared" si="45"/>
        <v/>
      </c>
      <c r="AE35" s="8" t="str">
        <f t="shared" si="45"/>
        <v/>
      </c>
      <c r="AF35" s="8" t="str">
        <f t="shared" si="45"/>
        <v/>
      </c>
      <c r="AG35" s="8" t="str">
        <f t="shared" si="45"/>
        <v/>
      </c>
      <c r="AH35" s="8" t="str">
        <f t="shared" si="45"/>
        <v/>
      </c>
      <c r="AI35" s="8" t="str">
        <f t="shared" si="45"/>
        <v/>
      </c>
      <c r="AJ35" s="8" t="str">
        <f t="shared" si="45"/>
        <v/>
      </c>
      <c r="AK35" s="8" t="str">
        <f t="shared" si="45"/>
        <v/>
      </c>
      <c r="AL35" s="8" t="str">
        <f t="shared" si="45"/>
        <v/>
      </c>
      <c r="AM35" s="8" t="str">
        <f t="shared" si="45"/>
        <v/>
      </c>
      <c r="AN35" s="8" t="str">
        <f t="shared" si="45"/>
        <v/>
      </c>
      <c r="AO35" s="8" t="str">
        <f t="shared" si="45"/>
        <v/>
      </c>
      <c r="AP35" s="8" t="str">
        <f t="shared" si="45"/>
        <v/>
      </c>
      <c r="AQ35" s="8" t="str">
        <f t="shared" si="45"/>
        <v/>
      </c>
      <c r="AR35" s="8" t="str">
        <f t="shared" si="45"/>
        <v/>
      </c>
      <c r="AS35" s="8" t="str">
        <f t="shared" si="45"/>
        <v/>
      </c>
      <c r="AT35" s="8" t="str">
        <f t="shared" si="45"/>
        <v/>
      </c>
      <c r="AU35" s="8" t="str">
        <f t="shared" si="45"/>
        <v/>
      </c>
      <c r="AV35" s="8" t="str">
        <f t="shared" si="45"/>
        <v/>
      </c>
      <c r="AW35" s="8" t="str">
        <f t="shared" si="45"/>
        <v/>
      </c>
      <c r="AX35" s="8" t="str">
        <f t="shared" si="45"/>
        <v/>
      </c>
      <c r="AY35" s="8" t="str">
        <f t="shared" si="45"/>
        <v/>
      </c>
      <c r="AZ35" s="8" t="str">
        <f t="shared" si="45"/>
        <v/>
      </c>
      <c r="BA35" s="8" t="str">
        <f t="shared" si="45"/>
        <v/>
      </c>
      <c r="BB35" s="8" t="str">
        <f t="shared" si="45"/>
        <v/>
      </c>
      <c r="BC35" s="8" t="str">
        <f t="shared" si="45"/>
        <v/>
      </c>
      <c r="BD35" s="8" t="str">
        <f t="shared" si="45"/>
        <v/>
      </c>
      <c r="BE35" s="8" t="str">
        <f t="shared" si="45"/>
        <v/>
      </c>
      <c r="BG35" s="6"/>
      <c r="BH35" s="4"/>
      <c r="BI35" s="4"/>
      <c r="BL35" t="str">
        <f t="shared" si="3"/>
        <v/>
      </c>
      <c r="BM35">
        <f t="shared" si="4"/>
        <v>0</v>
      </c>
      <c r="BN35" t="str">
        <f t="shared" si="5"/>
        <v/>
      </c>
      <c r="BO35">
        <f t="shared" si="6"/>
        <v>0</v>
      </c>
      <c r="BP35">
        <f t="shared" si="7"/>
        <v>0</v>
      </c>
      <c r="BQ35">
        <f t="shared" si="8"/>
        <v>9999</v>
      </c>
      <c r="BR35">
        <f t="shared" si="9"/>
        <v>9999</v>
      </c>
      <c r="BS35">
        <f>ROW()+IF($A35="",0,COUNTIF($A36:$A$36,$A35&amp;".*"))</f>
        <v>35</v>
      </c>
      <c r="BT35">
        <f t="shared" si="10"/>
        <v>9999</v>
      </c>
      <c r="BU35">
        <f t="shared" si="11"/>
        <v>9999</v>
      </c>
      <c r="BV35" t="str">
        <f t="shared" si="12"/>
        <v/>
      </c>
      <c r="BW35" t="str">
        <f t="shared" si="13"/>
        <v/>
      </c>
      <c r="BX35" t="str">
        <f t="shared" si="14"/>
        <v/>
      </c>
      <c r="BY35" t="str">
        <f t="shared" si="15"/>
        <v/>
      </c>
      <c r="BZ35">
        <f>IF($BG35="",0,COUNTA($BG$7:$BG35))</f>
        <v>0</v>
      </c>
      <c r="CA35" t="str">
        <f t="shared" ca="1" si="16"/>
        <v/>
      </c>
      <c r="CB35" t="str">
        <f t="shared" si="17"/>
        <v/>
      </c>
    </row>
    <row r="36" spans="1:80" ht="30" customHeight="1" x14ac:dyDescent="0.3"/>
    <row r="37" spans="1:80" x14ac:dyDescent="0.3">
      <c r="A37" s="9" t="s">
        <v>27</v>
      </c>
    </row>
    <row r="38" spans="1:80" x14ac:dyDescent="0.3">
      <c r="B38" s="10"/>
      <c r="C38" s="11" t="s">
        <v>28</v>
      </c>
    </row>
    <row r="39" spans="1:80" x14ac:dyDescent="0.3">
      <c r="B39" s="12"/>
      <c r="C39" s="11" t="s">
        <v>29</v>
      </c>
    </row>
    <row r="40" spans="1:80" x14ac:dyDescent="0.3">
      <c r="B40" s="13"/>
      <c r="C40" s="11" t="s">
        <v>30</v>
      </c>
    </row>
    <row r="41" spans="1:80" x14ac:dyDescent="0.3">
      <c r="B41" s="14"/>
      <c r="C41" s="11" t="s">
        <v>31</v>
      </c>
    </row>
    <row r="42" spans="1:80" x14ac:dyDescent="0.3">
      <c r="B42" s="14"/>
      <c r="C42" s="11" t="s">
        <v>32</v>
      </c>
    </row>
    <row r="43" spans="1:80" x14ac:dyDescent="0.3">
      <c r="B43" s="21" t="s">
        <v>33</v>
      </c>
      <c r="C43" s="11" t="s">
        <v>34</v>
      </c>
    </row>
    <row r="44" spans="1:80" x14ac:dyDescent="0.3">
      <c r="A44" s="15"/>
      <c r="B44" s="22" t="s">
        <v>35</v>
      </c>
      <c r="C44" s="11" t="s">
        <v>36</v>
      </c>
    </row>
    <row r="45" spans="1:80" x14ac:dyDescent="0.3">
      <c r="A45" s="15" t="s">
        <v>37</v>
      </c>
    </row>
    <row r="46" spans="1:80" x14ac:dyDescent="0.3">
      <c r="A46" s="15" t="s">
        <v>38</v>
      </c>
    </row>
    <row r="47" spans="1:80" x14ac:dyDescent="0.3">
      <c r="A47" s="15" t="s">
        <v>39</v>
      </c>
    </row>
    <row r="48" spans="1:80" x14ac:dyDescent="0.3">
      <c r="A48" s="15" t="s">
        <v>40</v>
      </c>
    </row>
    <row r="49" spans="1:1" x14ac:dyDescent="0.3">
      <c r="A49" s="15" t="s">
        <v>41</v>
      </c>
    </row>
    <row r="50" spans="1:1" x14ac:dyDescent="0.3">
      <c r="A50" s="15" t="s">
        <v>42</v>
      </c>
    </row>
    <row r="51" spans="1:1" x14ac:dyDescent="0.3">
      <c r="A51" s="15" t="s">
        <v>43</v>
      </c>
    </row>
    <row r="52" spans="1:1" x14ac:dyDescent="0.3">
      <c r="A52" s="15" t="s">
        <v>44</v>
      </c>
    </row>
  </sheetData>
  <mergeCells count="19">
    <mergeCell ref="H5:N5"/>
    <mergeCell ref="P5:S5"/>
    <mergeCell ref="AW1:BB1"/>
    <mergeCell ref="D4:F4"/>
    <mergeCell ref="Y4:AB4"/>
    <mergeCell ref="P4:S4"/>
    <mergeCell ref="T5:W5"/>
    <mergeCell ref="AC4:AD4"/>
    <mergeCell ref="H4:N4"/>
    <mergeCell ref="D5:F5"/>
    <mergeCell ref="T4:W4"/>
    <mergeCell ref="C2:AV3"/>
    <mergeCell ref="AW2:BB2"/>
    <mergeCell ref="C1:AV1"/>
    <mergeCell ref="BC3:BF3"/>
    <mergeCell ref="AW3:BB3"/>
    <mergeCell ref="BC1:BF1"/>
    <mergeCell ref="BC2:BF2"/>
    <mergeCell ref="A1:B3"/>
  </mergeCells>
  <conditionalFormatting sqref="BH7:BI36">
    <cfRule type="expression" dxfId="32" priority="14">
      <formula>_xlfn.ISFORMULA(BH7)</formula>
    </cfRule>
  </conditionalFormatting>
  <conditionalFormatting sqref="J36:BE36">
    <cfRule type="expression" dxfId="31" priority="8" stopIfTrue="1">
      <formula>AND($A36="",$BJ$6&lt;&gt;1)</formula>
    </cfRule>
  </conditionalFormatting>
  <conditionalFormatting sqref="Y4:AD4">
    <cfRule type="expression" dxfId="30" priority="15" stopIfTrue="1">
      <formula>$BJ$6=1</formula>
    </cfRule>
  </conditionalFormatting>
  <conditionalFormatting sqref="AF4:BE4">
    <cfRule type="expression" dxfId="29" priority="9" stopIfTrue="1">
      <formula>$BJ$6&lt;&gt;1</formula>
    </cfRule>
  </conditionalFormatting>
  <conditionalFormatting sqref="J7:BE36">
    <cfRule type="expression" dxfId="28" priority="1">
      <formula>J7="◆"</formula>
    </cfRule>
    <cfRule type="expression" dxfId="27" priority="2">
      <formula>AND(J7=1,$F7&gt;=1)</formula>
    </cfRule>
    <cfRule type="expression" dxfId="26" priority="3">
      <formula>AND(J7=1,N($F7)&gt;0,J$6&lt;$C7+($D7-$C7+1)*N($F7))</formula>
    </cfRule>
    <cfRule type="expression" dxfId="25" priority="4">
      <formula>AND(J7=1,$BN7=1)</formula>
    </cfRule>
    <cfRule type="expression" dxfId="24" priority="5">
      <formula>AND(J7=1,$BN7=2)</formula>
    </cfRule>
    <cfRule type="expression" dxfId="23" priority="6">
      <formula>J7=1</formula>
    </cfRule>
  </conditionalFormatting>
  <conditionalFormatting sqref="J6:BE6">
    <cfRule type="expression" dxfId="22" priority="10">
      <formula>$T$4="Day"</formula>
    </cfRule>
    <cfRule type="expression" dxfId="21" priority="11">
      <formula>$T$4="Month"</formula>
    </cfRule>
    <cfRule type="expression" dxfId="20" priority="12">
      <formula>$T$4="Year"</formula>
    </cfRule>
    <cfRule type="expression" dxfId="19" priority="16">
      <formula>AND(TODAY()&gt;=J6,TODAY()&lt;K6)</formula>
    </cfRule>
  </conditionalFormatting>
  <conditionalFormatting sqref="J7:BE35">
    <cfRule type="expression" dxfId="18" priority="90">
      <formula>AND($T$4="Day",WEEKDAY(J$6,2)&gt;5)</formula>
    </cfRule>
  </conditionalFormatting>
  <conditionalFormatting sqref="A7:BE36 BG7:BI36">
    <cfRule type="expression" dxfId="17" priority="99">
      <formula>AND($A7&lt;&gt;"",MOD(ROW(),2)=1)</formula>
    </cfRule>
  </conditionalFormatting>
  <conditionalFormatting sqref="C7:C36">
    <cfRule type="expression" dxfId="16" priority="24">
      <formula>AND($A7&lt;&gt;"",$G7&lt;&gt;"",NOT(_xlfn.ISFORMULA(C7)),C7&lt;$BO7)</formula>
    </cfRule>
    <cfRule type="expression" dxfId="15" priority="25">
      <formula>AND($A7&lt;&gt;"",$G7="",NOT(_xlfn.ISFORMULA(C7)))</formula>
    </cfRule>
  </conditionalFormatting>
  <conditionalFormatting sqref="C7:D36">
    <cfRule type="expression" dxfId="14" priority="26">
      <formula>AND($A7&lt;&gt;"",NOT(_xlfn.ISFORMULA(C7)))</formula>
    </cfRule>
  </conditionalFormatting>
  <conditionalFormatting sqref="H7:H36">
    <cfRule type="expression" dxfId="13" priority="27">
      <formula>AND($A7&lt;&gt;"",NOT(_xlfn.ISFORMULA($C7)))</formula>
    </cfRule>
  </conditionalFormatting>
  <conditionalFormatting sqref="I7:I36">
    <cfRule type="expression" dxfId="12" priority="28">
      <formula>AND($A7&lt;&gt;"",NOT(_xlfn.ISFORMULA($D7)))</formula>
    </cfRule>
  </conditionalFormatting>
  <conditionalFormatting sqref="A7:A36 C7:I36 BG7:BI36">
    <cfRule type="expression" dxfId="11" priority="30">
      <formula>OR($BN7=1,$BN7=2)</formula>
    </cfRule>
  </conditionalFormatting>
  <conditionalFormatting sqref="B7:B36">
    <cfRule type="expression" dxfId="10" priority="40">
      <formula>$BN7=1</formula>
    </cfRule>
    <cfRule type="expression" dxfId="9" priority="41">
      <formula>AND($BN7=2,$BL7&gt;=3)</formula>
    </cfRule>
    <cfRule type="expression" dxfId="8" priority="42">
      <formula>$BN7=2</formula>
    </cfRule>
    <cfRule type="expression" dxfId="7" priority="43">
      <formula>AND($BN7=3,$BL7&gt;=4)</formula>
    </cfRule>
    <cfRule type="expression" dxfId="6" priority="44">
      <formula>$BN7=3</formula>
    </cfRule>
  </conditionalFormatting>
  <dataValidations count="2">
    <dataValidation type="list" showInputMessage="1" showErrorMessage="1" error="Choose Day, Week, Month or Year." promptTitle="Timescale" prompt="Day / Week / Month / Year - the Gantt columns and arrows follow." sqref="T4" xr:uid="{00000000-0002-0000-0000-000000000000}">
      <formula1>"Day,Week,Month,Year"</formula1>
    </dataValidation>
    <dataValidation type="date" operator="greaterThan" allowBlank="1" showInputMessage="1" promptTitle="View from" prompt="Optional: first date shown in the Gantt. Empty = project start." sqref="T5" xr:uid="{00000000-0002-0000-0000-000001000000}">
      <formula1>1</formula1>
    </dataValidation>
  </dataValidations>
  <printOptions horizontalCentered="1"/>
  <pageMargins left="0.25" right="0.25" top="0.4" bottom="0.44999999999999996" header="0.2" footer="0.2"/>
  <pageSetup paperSize="9" scale="60" orientation="landscape" horizontalDpi="300" verticalDpi="300" r:id="rId1"/>
  <headerFooter>
    <oddFooter>&amp;L&amp;8 PL130 Rev.01 - Project Plan&amp;R&amp;8 Page &amp;P / &amp;N</oddFooter>
  </headerFooter>
  <ignoredErrors>
    <ignoredError sqref="C36:D36 H36:I36" calculatedColumn="1"/>
    <ignoredError sqref="A36 G3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0" r:id="rId4" name="Scroll Bar 76">
              <controlPr defaultSize="0" print="0" autoFill="0" autoPict="0">
                <anchor moveWithCells="1" sizeWithCells="1">
                  <from>
                    <xdr:col>9</xdr:col>
                    <xdr:colOff>30480</xdr:colOff>
                    <xdr:row>35</xdr:row>
                    <xdr:rowOff>38100</xdr:rowOff>
                  </from>
                  <to>
                    <xdr:col>56</xdr:col>
                    <xdr:colOff>137160</xdr:colOff>
                    <xdr:row>35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" name="Scroll Bar 77">
              <controlPr defaultSize="0" print="0" autoFill="0" autoPict="0">
                <anchor moveWithCells="1" sizeWithCells="1">
                  <from>
                    <xdr:col>31</xdr:col>
                    <xdr:colOff>30480</xdr:colOff>
                    <xdr:row>3</xdr:row>
                    <xdr:rowOff>30480</xdr:rowOff>
                  </from>
                  <to>
                    <xdr:col>56</xdr:col>
                    <xdr:colOff>137160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" name="Button 78">
              <controlPr defaultSize="0" print="0" autoFill="0" autoPict="0" macro="[0]!ExportGanttPdf">
                <anchor moveWithCells="1" sizeWithCells="1">
                  <from>
                    <xdr:col>24</xdr:col>
                    <xdr:colOff>15240</xdr:colOff>
                    <xdr:row>4</xdr:row>
                    <xdr:rowOff>22860</xdr:rowOff>
                  </from>
                  <to>
                    <xdr:col>30</xdr:col>
                    <xdr:colOff>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3"/>
  <sheetViews>
    <sheetView showGridLines="0" workbookViewId="0"/>
  </sheetViews>
  <sheetFormatPr defaultRowHeight="14.4" x14ac:dyDescent="0.3"/>
  <cols>
    <col min="1" max="1" width="3" customWidth="1"/>
    <col min="2" max="2" width="14" customWidth="1"/>
    <col min="4" max="4" width="3" customWidth="1"/>
    <col min="5" max="5" width="14" customWidth="1"/>
    <col min="7" max="7" width="3" customWidth="1"/>
    <col min="8" max="8" width="14" customWidth="1"/>
    <col min="10" max="10" width="3" customWidth="1"/>
    <col min="11" max="11" width="14" customWidth="1"/>
    <col min="13" max="13" width="3" customWidth="1"/>
    <col min="14" max="14" width="14" customWidth="1"/>
    <col min="16" max="16" width="3" customWidth="1"/>
    <col min="17" max="17" width="14" customWidth="1"/>
  </cols>
  <sheetData>
    <row r="1" spans="1:17" ht="17.399999999999999" x14ac:dyDescent="0.3">
      <c r="A1" s="24" t="str">
        <f>IF(Gantt!$B$4="","",Gantt!$B$4&amp;" — ")&amp;"GANTT CHART WITH DEPENDENCIES"</f>
        <v>GANTT CHART WITH DEPENDENCIES</v>
      </c>
    </row>
    <row r="2" spans="1:17" x14ac:dyDescent="0.3">
      <c r="A2" s="33" t="s">
        <v>45</v>
      </c>
    </row>
    <row r="3" spans="1:17" x14ac:dyDescent="0.3">
      <c r="A3" s="34"/>
      <c r="B3" s="35" t="s">
        <v>46</v>
      </c>
      <c r="D3" s="36"/>
      <c r="E3" s="35" t="s">
        <v>47</v>
      </c>
      <c r="G3" s="37"/>
      <c r="H3" s="35" t="s">
        <v>48</v>
      </c>
      <c r="J3" s="38"/>
      <c r="K3" s="35" t="s">
        <v>30</v>
      </c>
      <c r="M3" s="39"/>
      <c r="N3" s="35" t="s">
        <v>49</v>
      </c>
      <c r="P3" s="40" t="s">
        <v>50</v>
      </c>
      <c r="Q3" s="35" t="s">
        <v>51</v>
      </c>
    </row>
  </sheetData>
  <pageMargins left="0.75" right="0.75" top="1" bottom="1" header="0.5" footer="0.5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3"/>
  <sheetViews>
    <sheetView showGridLines="0" workbookViewId="0">
      <pane ySplit="11" topLeftCell="A12" activePane="bottomLeft" state="frozen"/>
      <selection pane="bottomLeft"/>
    </sheetView>
  </sheetViews>
  <sheetFormatPr defaultRowHeight="14.4" x14ac:dyDescent="0.3"/>
  <cols>
    <col min="1" max="1" width="5" customWidth="1"/>
    <col min="2" max="2" width="8" customWidth="1"/>
    <col min="3" max="3" width="46" customWidth="1"/>
    <col min="4" max="6" width="12" customWidth="1"/>
    <col min="7" max="7" width="19" customWidth="1"/>
    <col min="8" max="8" width="58" customWidth="1"/>
    <col min="9" max="10" width="4" hidden="1" customWidth="1"/>
  </cols>
  <sheetData>
    <row r="1" spans="1:10" ht="17.399999999999999" x14ac:dyDescent="0.3">
      <c r="A1" s="24" t="str">
        <f>IF(Gantt!$B$4="","",Gantt!$B$4&amp;" — ")&amp;"IMPLEMENTATION STATUS"</f>
        <v>IMPLEMENTATION STATUS</v>
      </c>
    </row>
    <row r="2" spans="1:10" x14ac:dyDescent="0.3">
      <c r="A2" s="25"/>
    </row>
    <row r="3" spans="1:10" x14ac:dyDescent="0.3">
      <c r="B3" s="58" t="s">
        <v>52</v>
      </c>
      <c r="C3" s="59"/>
      <c r="D3" s="60">
        <f>Gantt!BC3</f>
        <v>0</v>
      </c>
      <c r="E3" s="61"/>
      <c r="F3" s="61"/>
      <c r="G3" s="61"/>
      <c r="H3" s="59"/>
    </row>
    <row r="4" spans="1:10" x14ac:dyDescent="0.3">
      <c r="B4" s="58" t="s">
        <v>53</v>
      </c>
      <c r="C4" s="59"/>
      <c r="D4" s="62" t="str">
        <f>IF(COUNT($A$12:$A$51)=0,"",IF(COUNTIF($F$12:$F$51,"Completed")=COUNT($A$12:$A$51),TRIM(Gantt!$B$4&amp;" fully implemented"),TRIM(Gantt!$B$4&amp;" NOT yet fully implemented")&amp;" — "&amp;(COUNT($A$12:$A$51)-COUNTIF($F$12:$F$51,"Completed"))&amp;" of "&amp;COUNT($A$12:$A$51)&amp;" milestones pending"))</f>
        <v/>
      </c>
      <c r="E4" s="61"/>
      <c r="F4" s="61"/>
      <c r="G4" s="61"/>
      <c r="H4" s="59"/>
    </row>
    <row r="5" spans="1:10" x14ac:dyDescent="0.3">
      <c r="B5" s="58" t="s">
        <v>54</v>
      </c>
      <c r="C5" s="59"/>
      <c r="D5" s="60" t="str">
        <f>COUNTIF($F$12:$F$51,"Completed")&amp;" / "&amp;COUNT($A$12:$A$51)</f>
        <v>0 / 0</v>
      </c>
      <c r="E5" s="61"/>
      <c r="F5" s="61"/>
      <c r="G5" s="61"/>
      <c r="H5" s="59"/>
    </row>
    <row r="6" spans="1:10" x14ac:dyDescent="0.3">
      <c r="B6" s="58" t="s">
        <v>55</v>
      </c>
      <c r="C6" s="59"/>
      <c r="D6" s="63" t="str">
        <f>IFERROR(INDEX(Gantt!$D$7:$D$119,MATCH("*SOP*",Gantt!$B$7:$B$119,0)),"")</f>
        <v/>
      </c>
      <c r="E6" s="61"/>
      <c r="F6" s="61"/>
      <c r="G6" s="61"/>
      <c r="H6" s="59"/>
    </row>
    <row r="7" spans="1:10" x14ac:dyDescent="0.3">
      <c r="B7" s="58" t="s">
        <v>56</v>
      </c>
      <c r="C7" s="59"/>
      <c r="D7" s="63">
        <f>Gantt!H5</f>
        <v>46031</v>
      </c>
      <c r="E7" s="61"/>
      <c r="F7" s="61"/>
      <c r="G7" s="61"/>
      <c r="H7" s="59"/>
    </row>
    <row r="8" spans="1:10" ht="25.95" customHeight="1" x14ac:dyDescent="0.3">
      <c r="B8" s="58" t="s">
        <v>57</v>
      </c>
      <c r="C8" s="59"/>
      <c r="D8" s="60"/>
      <c r="E8" s="61"/>
      <c r="F8" s="61"/>
      <c r="G8" s="61"/>
      <c r="H8" s="59"/>
    </row>
    <row r="11" spans="1:10" ht="24" customHeight="1" x14ac:dyDescent="0.3">
      <c r="A11" s="26" t="s">
        <v>58</v>
      </c>
      <c r="B11" s="26" t="s">
        <v>16</v>
      </c>
      <c r="C11" s="26" t="s">
        <v>59</v>
      </c>
      <c r="D11" s="26" t="s">
        <v>60</v>
      </c>
      <c r="E11" s="26" t="s">
        <v>61</v>
      </c>
      <c r="F11" s="26" t="s">
        <v>62</v>
      </c>
      <c r="G11" s="26" t="s">
        <v>24</v>
      </c>
      <c r="H11" s="26" t="s">
        <v>63</v>
      </c>
    </row>
    <row r="12" spans="1:10" ht="24" customHeight="1" x14ac:dyDescent="0.3">
      <c r="A12" s="27" t="str">
        <f t="shared" ref="A12:A51" si="0">IF($J12="","",I12)</f>
        <v/>
      </c>
      <c r="B12" s="27" t="str">
        <f>IF($J12="","",INDEX(Gantt!$A$7:$A$119,$J12))</f>
        <v/>
      </c>
      <c r="C12" s="28" t="str">
        <f>IF($J12="","",INDEX(Gantt!$B$7:$B$119,$J12))</f>
        <v/>
      </c>
      <c r="D12" s="29" t="str">
        <f>IF($J12="","",INDEX(Gantt!$D$7:$D$119,$J12))</f>
        <v/>
      </c>
      <c r="E12" s="29" t="str">
        <f>IF($J12="","",IF(N(INDEX(Gantt!$F$7:$F$119,$J12))&gt;=1,INDEX(Gantt!$D$7:$D$119,$J12),""))</f>
        <v/>
      </c>
      <c r="F12" s="30" t="str">
        <f>IF($J12="","",IF(N(INDEX(Gantt!$F$7:$F$119,$J12))&gt;=1,"Completed",IF(N(INDEX(Gantt!$F$7:$F$119,$J12))&gt;0,"In progress","Open")))</f>
        <v/>
      </c>
      <c r="G12" s="31" t="str">
        <f>IF($J12="","",IF(INDEX(Gantt!$BH$7:$BH$119,$J12)&amp;""&lt;&gt;"",INDEX(Gantt!$BH$7:$BH$119,$J12)&amp;"",INDEX(Gantt!$CB$7:$CB$119,$J12)&amp;""))</f>
        <v/>
      </c>
      <c r="H12" s="28" t="str">
        <f>IF($J12="","",IF(INDEX(Gantt!$BI$7:$BI$119,$J12)&amp;""&lt;&gt;"",INDEX(Gantt!$BI$7:$BI$119,$J12)&amp;"",INDEX(Gantt!$CA$7:$CA$119,$J12)&amp;""))</f>
        <v/>
      </c>
      <c r="I12">
        <v>1</v>
      </c>
      <c r="J12" t="str">
        <f>IFERROR(MATCH(I12,Gantt!$BZ$7:$BZ$119,0),"")</f>
        <v/>
      </c>
    </row>
    <row r="13" spans="1:10" ht="24" customHeight="1" x14ac:dyDescent="0.3">
      <c r="A13" s="27" t="str">
        <f t="shared" si="0"/>
        <v/>
      </c>
      <c r="B13" s="27" t="str">
        <f>IF($J13="","",INDEX(Gantt!$A$7:$A$119,$J13))</f>
        <v/>
      </c>
      <c r="C13" s="28" t="str">
        <f>IF($J13="","",INDEX(Gantt!$B$7:$B$119,$J13))</f>
        <v/>
      </c>
      <c r="D13" s="29" t="str">
        <f>IF($J13="","",INDEX(Gantt!$D$7:$D$119,$J13))</f>
        <v/>
      </c>
      <c r="E13" s="29" t="str">
        <f>IF($J13="","",IF(N(INDEX(Gantt!$F$7:$F$119,$J13))&gt;=1,INDEX(Gantt!$D$7:$D$119,$J13),""))</f>
        <v/>
      </c>
      <c r="F13" s="30" t="str">
        <f>IF($J13="","",IF(N(INDEX(Gantt!$F$7:$F$119,$J13))&gt;=1,"Completed",IF(N(INDEX(Gantt!$F$7:$F$119,$J13))&gt;0,"In progress","Open")))</f>
        <v/>
      </c>
      <c r="G13" s="31" t="str">
        <f>IF($J13="","",IF(INDEX(Gantt!$BH$7:$BH$119,$J13)&amp;""&lt;&gt;"",INDEX(Gantt!$BH$7:$BH$119,$J13)&amp;"",INDEX(Gantt!$CB$7:$CB$119,$J13)&amp;""))</f>
        <v/>
      </c>
      <c r="H13" s="28" t="str">
        <f>IF($J13="","",IF(INDEX(Gantt!$BI$7:$BI$119,$J13)&amp;""&lt;&gt;"",INDEX(Gantt!$BI$7:$BI$119,$J13)&amp;"",INDEX(Gantt!$CA$7:$CA$119,$J13)&amp;""))</f>
        <v/>
      </c>
      <c r="I13">
        <v>2</v>
      </c>
      <c r="J13" t="str">
        <f>IFERROR(MATCH(I13,Gantt!$BZ$7:$BZ$119,0),"")</f>
        <v/>
      </c>
    </row>
    <row r="14" spans="1:10" ht="24" customHeight="1" x14ac:dyDescent="0.3">
      <c r="A14" s="27" t="str">
        <f t="shared" si="0"/>
        <v/>
      </c>
      <c r="B14" s="27" t="str">
        <f>IF($J14="","",INDEX(Gantt!$A$7:$A$119,$J14))</f>
        <v/>
      </c>
      <c r="C14" s="28" t="str">
        <f>IF($J14="","",INDEX(Gantt!$B$7:$B$119,$J14))</f>
        <v/>
      </c>
      <c r="D14" s="29" t="str">
        <f>IF($J14="","",INDEX(Gantt!$D$7:$D$119,$J14))</f>
        <v/>
      </c>
      <c r="E14" s="29" t="str">
        <f>IF($J14="","",IF(N(INDEX(Gantt!$F$7:$F$119,$J14))&gt;=1,INDEX(Gantt!$D$7:$D$119,$J14),""))</f>
        <v/>
      </c>
      <c r="F14" s="30" t="str">
        <f>IF($J14="","",IF(N(INDEX(Gantt!$F$7:$F$119,$J14))&gt;=1,"Completed",IF(N(INDEX(Gantt!$F$7:$F$119,$J14))&gt;0,"In progress","Open")))</f>
        <v/>
      </c>
      <c r="G14" s="31" t="str">
        <f>IF($J14="","",IF(INDEX(Gantt!$BH$7:$BH$119,$J14)&amp;""&lt;&gt;"",INDEX(Gantt!$BH$7:$BH$119,$J14)&amp;"",INDEX(Gantt!$CB$7:$CB$119,$J14)&amp;""))</f>
        <v/>
      </c>
      <c r="H14" s="28" t="str">
        <f>IF($J14="","",IF(INDEX(Gantt!$BI$7:$BI$119,$J14)&amp;""&lt;&gt;"",INDEX(Gantt!$BI$7:$BI$119,$J14)&amp;"",INDEX(Gantt!$CA$7:$CA$119,$J14)&amp;""))</f>
        <v/>
      </c>
      <c r="I14">
        <v>3</v>
      </c>
      <c r="J14" t="str">
        <f>IFERROR(MATCH(I14,Gantt!$BZ$7:$BZ$119,0),"")</f>
        <v/>
      </c>
    </row>
    <row r="15" spans="1:10" ht="24" customHeight="1" x14ac:dyDescent="0.3">
      <c r="A15" s="27" t="str">
        <f t="shared" si="0"/>
        <v/>
      </c>
      <c r="B15" s="27" t="str">
        <f>IF($J15="","",INDEX(Gantt!$A$7:$A$119,$J15))</f>
        <v/>
      </c>
      <c r="C15" s="28" t="str">
        <f>IF($J15="","",INDEX(Gantt!$B$7:$B$119,$J15))</f>
        <v/>
      </c>
      <c r="D15" s="29" t="str">
        <f>IF($J15="","",INDEX(Gantt!$D$7:$D$119,$J15))</f>
        <v/>
      </c>
      <c r="E15" s="29" t="str">
        <f>IF($J15="","",IF(N(INDEX(Gantt!$F$7:$F$119,$J15))&gt;=1,INDEX(Gantt!$D$7:$D$119,$J15),""))</f>
        <v/>
      </c>
      <c r="F15" s="30" t="str">
        <f>IF($J15="","",IF(N(INDEX(Gantt!$F$7:$F$119,$J15))&gt;=1,"Completed",IF(N(INDEX(Gantt!$F$7:$F$119,$J15))&gt;0,"In progress","Open")))</f>
        <v/>
      </c>
      <c r="G15" s="31" t="str">
        <f>IF($J15="","",IF(INDEX(Gantt!$BH$7:$BH$119,$J15)&amp;""&lt;&gt;"",INDEX(Gantt!$BH$7:$BH$119,$J15)&amp;"",INDEX(Gantt!$CB$7:$CB$119,$J15)&amp;""))</f>
        <v/>
      </c>
      <c r="H15" s="28" t="str">
        <f>IF($J15="","",IF(INDEX(Gantt!$BI$7:$BI$119,$J15)&amp;""&lt;&gt;"",INDEX(Gantt!$BI$7:$BI$119,$J15)&amp;"",INDEX(Gantt!$CA$7:$CA$119,$J15)&amp;""))</f>
        <v/>
      </c>
      <c r="I15">
        <v>4</v>
      </c>
      <c r="J15" t="str">
        <f>IFERROR(MATCH(I15,Gantt!$BZ$7:$BZ$119,0),"")</f>
        <v/>
      </c>
    </row>
    <row r="16" spans="1:10" ht="24" customHeight="1" x14ac:dyDescent="0.3">
      <c r="A16" s="27" t="str">
        <f t="shared" si="0"/>
        <v/>
      </c>
      <c r="B16" s="27" t="str">
        <f>IF($J16="","",INDEX(Gantt!$A$7:$A$119,$J16))</f>
        <v/>
      </c>
      <c r="C16" s="28" t="str">
        <f>IF($J16="","",INDEX(Gantt!$B$7:$B$119,$J16))</f>
        <v/>
      </c>
      <c r="D16" s="29" t="str">
        <f>IF($J16="","",INDEX(Gantt!$D$7:$D$119,$J16))</f>
        <v/>
      </c>
      <c r="E16" s="29" t="str">
        <f>IF($J16="","",IF(N(INDEX(Gantt!$F$7:$F$119,$J16))&gt;=1,INDEX(Gantt!$D$7:$D$119,$J16),""))</f>
        <v/>
      </c>
      <c r="F16" s="30" t="str">
        <f>IF($J16="","",IF(N(INDEX(Gantt!$F$7:$F$119,$J16))&gt;=1,"Completed",IF(N(INDEX(Gantt!$F$7:$F$119,$J16))&gt;0,"In progress","Open")))</f>
        <v/>
      </c>
      <c r="G16" s="31" t="str">
        <f>IF($J16="","",IF(INDEX(Gantt!$BH$7:$BH$119,$J16)&amp;""&lt;&gt;"",INDEX(Gantt!$BH$7:$BH$119,$J16)&amp;"",INDEX(Gantt!$CB$7:$CB$119,$J16)&amp;""))</f>
        <v/>
      </c>
      <c r="H16" s="28" t="str">
        <f>IF($J16="","",IF(INDEX(Gantt!$BI$7:$BI$119,$J16)&amp;""&lt;&gt;"",INDEX(Gantt!$BI$7:$BI$119,$J16)&amp;"",INDEX(Gantt!$CA$7:$CA$119,$J16)&amp;""))</f>
        <v/>
      </c>
      <c r="I16">
        <v>5</v>
      </c>
      <c r="J16" t="str">
        <f>IFERROR(MATCH(I16,Gantt!$BZ$7:$BZ$119,0),"")</f>
        <v/>
      </c>
    </row>
    <row r="17" spans="1:10" ht="24" customHeight="1" x14ac:dyDescent="0.3">
      <c r="A17" s="27" t="str">
        <f t="shared" si="0"/>
        <v/>
      </c>
      <c r="B17" s="27" t="str">
        <f>IF($J17="","",INDEX(Gantt!$A$7:$A$119,$J17))</f>
        <v/>
      </c>
      <c r="C17" s="28" t="str">
        <f>IF($J17="","",INDEX(Gantt!$B$7:$B$119,$J17))</f>
        <v/>
      </c>
      <c r="D17" s="29" t="str">
        <f>IF($J17="","",INDEX(Gantt!$D$7:$D$119,$J17))</f>
        <v/>
      </c>
      <c r="E17" s="29" t="str">
        <f>IF($J17="","",IF(N(INDEX(Gantt!$F$7:$F$119,$J17))&gt;=1,INDEX(Gantt!$D$7:$D$119,$J17),""))</f>
        <v/>
      </c>
      <c r="F17" s="30" t="str">
        <f>IF($J17="","",IF(N(INDEX(Gantt!$F$7:$F$119,$J17))&gt;=1,"Completed",IF(N(INDEX(Gantt!$F$7:$F$119,$J17))&gt;0,"In progress","Open")))</f>
        <v/>
      </c>
      <c r="G17" s="31" t="str">
        <f>IF($J17="","",IF(INDEX(Gantt!$BH$7:$BH$119,$J17)&amp;""&lt;&gt;"",INDEX(Gantt!$BH$7:$BH$119,$J17)&amp;"",INDEX(Gantt!$CB$7:$CB$119,$J17)&amp;""))</f>
        <v/>
      </c>
      <c r="H17" s="28" t="str">
        <f>IF($J17="","",IF(INDEX(Gantt!$BI$7:$BI$119,$J17)&amp;""&lt;&gt;"",INDEX(Gantt!$BI$7:$BI$119,$J17)&amp;"",INDEX(Gantt!$CA$7:$CA$119,$J17)&amp;""))</f>
        <v/>
      </c>
      <c r="I17">
        <v>6</v>
      </c>
      <c r="J17" t="str">
        <f>IFERROR(MATCH(I17,Gantt!$BZ$7:$BZ$119,0),"")</f>
        <v/>
      </c>
    </row>
    <row r="18" spans="1:10" ht="24" customHeight="1" x14ac:dyDescent="0.3">
      <c r="A18" s="27" t="str">
        <f t="shared" si="0"/>
        <v/>
      </c>
      <c r="B18" s="27" t="str">
        <f>IF($J18="","",INDEX(Gantt!$A$7:$A$119,$J18))</f>
        <v/>
      </c>
      <c r="C18" s="28" t="str">
        <f>IF($J18="","",INDEX(Gantt!$B$7:$B$119,$J18))</f>
        <v/>
      </c>
      <c r="D18" s="29" t="str">
        <f>IF($J18="","",INDEX(Gantt!$D$7:$D$119,$J18))</f>
        <v/>
      </c>
      <c r="E18" s="29" t="str">
        <f>IF($J18="","",IF(N(INDEX(Gantt!$F$7:$F$119,$J18))&gt;=1,INDEX(Gantt!$D$7:$D$119,$J18),""))</f>
        <v/>
      </c>
      <c r="F18" s="30" t="str">
        <f>IF($J18="","",IF(N(INDEX(Gantt!$F$7:$F$119,$J18))&gt;=1,"Completed",IF(N(INDEX(Gantt!$F$7:$F$119,$J18))&gt;0,"In progress","Open")))</f>
        <v/>
      </c>
      <c r="G18" s="31" t="str">
        <f>IF($J18="","",IF(INDEX(Gantt!$BH$7:$BH$119,$J18)&amp;""&lt;&gt;"",INDEX(Gantt!$BH$7:$BH$119,$J18)&amp;"",INDEX(Gantt!$CB$7:$CB$119,$J18)&amp;""))</f>
        <v/>
      </c>
      <c r="H18" s="28" t="str">
        <f>IF($J18="","",IF(INDEX(Gantt!$BI$7:$BI$119,$J18)&amp;""&lt;&gt;"",INDEX(Gantt!$BI$7:$BI$119,$J18)&amp;"",INDEX(Gantt!$CA$7:$CA$119,$J18)&amp;""))</f>
        <v/>
      </c>
      <c r="I18">
        <v>7</v>
      </c>
      <c r="J18" t="str">
        <f>IFERROR(MATCH(I18,Gantt!$BZ$7:$BZ$119,0),"")</f>
        <v/>
      </c>
    </row>
    <row r="19" spans="1:10" ht="24" customHeight="1" x14ac:dyDescent="0.3">
      <c r="A19" s="27" t="str">
        <f t="shared" si="0"/>
        <v/>
      </c>
      <c r="B19" s="27" t="str">
        <f>IF($J19="","",INDEX(Gantt!$A$7:$A$119,$J19))</f>
        <v/>
      </c>
      <c r="C19" s="28" t="str">
        <f>IF($J19="","",INDEX(Gantt!$B$7:$B$119,$J19))</f>
        <v/>
      </c>
      <c r="D19" s="29" t="str">
        <f>IF($J19="","",INDEX(Gantt!$D$7:$D$119,$J19))</f>
        <v/>
      </c>
      <c r="E19" s="29" t="str">
        <f>IF($J19="","",IF(N(INDEX(Gantt!$F$7:$F$119,$J19))&gt;=1,INDEX(Gantt!$D$7:$D$119,$J19),""))</f>
        <v/>
      </c>
      <c r="F19" s="30" t="str">
        <f>IF($J19="","",IF(N(INDEX(Gantt!$F$7:$F$119,$J19))&gt;=1,"Completed",IF(N(INDEX(Gantt!$F$7:$F$119,$J19))&gt;0,"In progress","Open")))</f>
        <v/>
      </c>
      <c r="G19" s="31" t="str">
        <f>IF($J19="","",IF(INDEX(Gantt!$BH$7:$BH$119,$J19)&amp;""&lt;&gt;"",INDEX(Gantt!$BH$7:$BH$119,$J19)&amp;"",INDEX(Gantt!$CB$7:$CB$119,$J19)&amp;""))</f>
        <v/>
      </c>
      <c r="H19" s="28" t="str">
        <f>IF($J19="","",IF(INDEX(Gantt!$BI$7:$BI$119,$J19)&amp;""&lt;&gt;"",INDEX(Gantt!$BI$7:$BI$119,$J19)&amp;"",INDEX(Gantt!$CA$7:$CA$119,$J19)&amp;""))</f>
        <v/>
      </c>
      <c r="I19">
        <v>8</v>
      </c>
      <c r="J19" t="str">
        <f>IFERROR(MATCH(I19,Gantt!$BZ$7:$BZ$119,0),"")</f>
        <v/>
      </c>
    </row>
    <row r="20" spans="1:10" ht="24" customHeight="1" x14ac:dyDescent="0.3">
      <c r="A20" s="27" t="str">
        <f t="shared" si="0"/>
        <v/>
      </c>
      <c r="B20" s="27" t="str">
        <f>IF($J20="","",INDEX(Gantt!$A$7:$A$119,$J20))</f>
        <v/>
      </c>
      <c r="C20" s="28" t="str">
        <f>IF($J20="","",INDEX(Gantt!$B$7:$B$119,$J20))</f>
        <v/>
      </c>
      <c r="D20" s="29" t="str">
        <f>IF($J20="","",INDEX(Gantt!$D$7:$D$119,$J20))</f>
        <v/>
      </c>
      <c r="E20" s="29" t="str">
        <f>IF($J20="","",IF(N(INDEX(Gantt!$F$7:$F$119,$J20))&gt;=1,INDEX(Gantt!$D$7:$D$119,$J20),""))</f>
        <v/>
      </c>
      <c r="F20" s="30" t="str">
        <f>IF($J20="","",IF(N(INDEX(Gantt!$F$7:$F$119,$J20))&gt;=1,"Completed",IF(N(INDEX(Gantt!$F$7:$F$119,$J20))&gt;0,"In progress","Open")))</f>
        <v/>
      </c>
      <c r="G20" s="31" t="str">
        <f>IF($J20="","",IF(INDEX(Gantt!$BH$7:$BH$119,$J20)&amp;""&lt;&gt;"",INDEX(Gantt!$BH$7:$BH$119,$J20)&amp;"",INDEX(Gantt!$CB$7:$CB$119,$J20)&amp;""))</f>
        <v/>
      </c>
      <c r="H20" s="28" t="str">
        <f>IF($J20="","",IF(INDEX(Gantt!$BI$7:$BI$119,$J20)&amp;""&lt;&gt;"",INDEX(Gantt!$BI$7:$BI$119,$J20)&amp;"",INDEX(Gantt!$CA$7:$CA$119,$J20)&amp;""))</f>
        <v/>
      </c>
      <c r="I20">
        <v>9</v>
      </c>
      <c r="J20" t="str">
        <f>IFERROR(MATCH(I20,Gantt!$BZ$7:$BZ$119,0),"")</f>
        <v/>
      </c>
    </row>
    <row r="21" spans="1:10" ht="24" customHeight="1" x14ac:dyDescent="0.3">
      <c r="A21" s="27" t="str">
        <f t="shared" si="0"/>
        <v/>
      </c>
      <c r="B21" s="27" t="str">
        <f>IF($J21="","",INDEX(Gantt!$A$7:$A$119,$J21))</f>
        <v/>
      </c>
      <c r="C21" s="28" t="str">
        <f>IF($J21="","",INDEX(Gantt!$B$7:$B$119,$J21))</f>
        <v/>
      </c>
      <c r="D21" s="29" t="str">
        <f>IF($J21="","",INDEX(Gantt!$D$7:$D$119,$J21))</f>
        <v/>
      </c>
      <c r="E21" s="29" t="str">
        <f>IF($J21="","",IF(N(INDEX(Gantt!$F$7:$F$119,$J21))&gt;=1,INDEX(Gantt!$D$7:$D$119,$J21),""))</f>
        <v/>
      </c>
      <c r="F21" s="30" t="str">
        <f>IF($J21="","",IF(N(INDEX(Gantt!$F$7:$F$119,$J21))&gt;=1,"Completed",IF(N(INDEX(Gantt!$F$7:$F$119,$J21))&gt;0,"In progress","Open")))</f>
        <v/>
      </c>
      <c r="G21" s="31" t="str">
        <f>IF($J21="","",IF(INDEX(Gantt!$BH$7:$BH$119,$J21)&amp;""&lt;&gt;"",INDEX(Gantt!$BH$7:$BH$119,$J21)&amp;"",INDEX(Gantt!$CB$7:$CB$119,$J21)&amp;""))</f>
        <v/>
      </c>
      <c r="H21" s="28" t="str">
        <f>IF($J21="","",IF(INDEX(Gantt!$BI$7:$BI$119,$J21)&amp;""&lt;&gt;"",INDEX(Gantt!$BI$7:$BI$119,$J21)&amp;"",INDEX(Gantt!$CA$7:$CA$119,$J21)&amp;""))</f>
        <v/>
      </c>
      <c r="I21">
        <v>10</v>
      </c>
      <c r="J21" t="str">
        <f>IFERROR(MATCH(I21,Gantt!$BZ$7:$BZ$119,0),"")</f>
        <v/>
      </c>
    </row>
    <row r="22" spans="1:10" ht="24" customHeight="1" x14ac:dyDescent="0.3">
      <c r="A22" s="27" t="str">
        <f t="shared" si="0"/>
        <v/>
      </c>
      <c r="B22" s="27" t="str">
        <f>IF($J22="","",INDEX(Gantt!$A$7:$A$119,$J22))</f>
        <v/>
      </c>
      <c r="C22" s="28" t="str">
        <f>IF($J22="","",INDEX(Gantt!$B$7:$B$119,$J22))</f>
        <v/>
      </c>
      <c r="D22" s="29" t="str">
        <f>IF($J22="","",INDEX(Gantt!$D$7:$D$119,$J22))</f>
        <v/>
      </c>
      <c r="E22" s="29" t="str">
        <f>IF($J22="","",IF(N(INDEX(Gantt!$F$7:$F$119,$J22))&gt;=1,INDEX(Gantt!$D$7:$D$119,$J22),""))</f>
        <v/>
      </c>
      <c r="F22" s="30" t="str">
        <f>IF($J22="","",IF(N(INDEX(Gantt!$F$7:$F$119,$J22))&gt;=1,"Completed",IF(N(INDEX(Gantt!$F$7:$F$119,$J22))&gt;0,"In progress","Open")))</f>
        <v/>
      </c>
      <c r="G22" s="31" t="str">
        <f>IF($J22="","",IF(INDEX(Gantt!$BH$7:$BH$119,$J22)&amp;""&lt;&gt;"",INDEX(Gantt!$BH$7:$BH$119,$J22)&amp;"",INDEX(Gantt!$CB$7:$CB$119,$J22)&amp;""))</f>
        <v/>
      </c>
      <c r="H22" s="28" t="str">
        <f>IF($J22="","",IF(INDEX(Gantt!$BI$7:$BI$119,$J22)&amp;""&lt;&gt;"",INDEX(Gantt!$BI$7:$BI$119,$J22)&amp;"",INDEX(Gantt!$CA$7:$CA$119,$J22)&amp;""))</f>
        <v/>
      </c>
      <c r="I22">
        <v>11</v>
      </c>
      <c r="J22" t="str">
        <f>IFERROR(MATCH(I22,Gantt!$BZ$7:$BZ$119,0),"")</f>
        <v/>
      </c>
    </row>
    <row r="23" spans="1:10" ht="24" customHeight="1" x14ac:dyDescent="0.3">
      <c r="A23" s="27" t="str">
        <f t="shared" si="0"/>
        <v/>
      </c>
      <c r="B23" s="27" t="str">
        <f>IF($J23="","",INDEX(Gantt!$A$7:$A$119,$J23))</f>
        <v/>
      </c>
      <c r="C23" s="28" t="str">
        <f>IF($J23="","",INDEX(Gantt!$B$7:$B$119,$J23))</f>
        <v/>
      </c>
      <c r="D23" s="29" t="str">
        <f>IF($J23="","",INDEX(Gantt!$D$7:$D$119,$J23))</f>
        <v/>
      </c>
      <c r="E23" s="29" t="str">
        <f>IF($J23="","",IF(N(INDEX(Gantt!$F$7:$F$119,$J23))&gt;=1,INDEX(Gantt!$D$7:$D$119,$J23),""))</f>
        <v/>
      </c>
      <c r="F23" s="30" t="str">
        <f>IF($J23="","",IF(N(INDEX(Gantt!$F$7:$F$119,$J23))&gt;=1,"Completed",IF(N(INDEX(Gantt!$F$7:$F$119,$J23))&gt;0,"In progress","Open")))</f>
        <v/>
      </c>
      <c r="G23" s="31" t="str">
        <f>IF($J23="","",IF(INDEX(Gantt!$BH$7:$BH$119,$J23)&amp;""&lt;&gt;"",INDEX(Gantt!$BH$7:$BH$119,$J23)&amp;"",INDEX(Gantt!$CB$7:$CB$119,$J23)&amp;""))</f>
        <v/>
      </c>
      <c r="H23" s="28" t="str">
        <f>IF($J23="","",IF(INDEX(Gantt!$BI$7:$BI$119,$J23)&amp;""&lt;&gt;"",INDEX(Gantt!$BI$7:$BI$119,$J23)&amp;"",INDEX(Gantt!$CA$7:$CA$119,$J23)&amp;""))</f>
        <v/>
      </c>
      <c r="I23">
        <v>12</v>
      </c>
      <c r="J23" t="str">
        <f>IFERROR(MATCH(I23,Gantt!$BZ$7:$BZ$119,0),"")</f>
        <v/>
      </c>
    </row>
    <row r="24" spans="1:10" ht="24" customHeight="1" x14ac:dyDescent="0.3">
      <c r="A24" s="27" t="str">
        <f t="shared" si="0"/>
        <v/>
      </c>
      <c r="B24" s="27" t="str">
        <f>IF($J24="","",INDEX(Gantt!$A$7:$A$119,$J24))</f>
        <v/>
      </c>
      <c r="C24" s="28" t="str">
        <f>IF($J24="","",INDEX(Gantt!$B$7:$B$119,$J24))</f>
        <v/>
      </c>
      <c r="D24" s="29" t="str">
        <f>IF($J24="","",INDEX(Gantt!$D$7:$D$119,$J24))</f>
        <v/>
      </c>
      <c r="E24" s="29" t="str">
        <f>IF($J24="","",IF(N(INDEX(Gantt!$F$7:$F$119,$J24))&gt;=1,INDEX(Gantt!$D$7:$D$119,$J24),""))</f>
        <v/>
      </c>
      <c r="F24" s="30" t="str">
        <f>IF($J24="","",IF(N(INDEX(Gantt!$F$7:$F$119,$J24))&gt;=1,"Completed",IF(N(INDEX(Gantt!$F$7:$F$119,$J24))&gt;0,"In progress","Open")))</f>
        <v/>
      </c>
      <c r="G24" s="31" t="str">
        <f>IF($J24="","",IF(INDEX(Gantt!$BH$7:$BH$119,$J24)&amp;""&lt;&gt;"",INDEX(Gantt!$BH$7:$BH$119,$J24)&amp;"",INDEX(Gantt!$CB$7:$CB$119,$J24)&amp;""))</f>
        <v/>
      </c>
      <c r="H24" s="28" t="str">
        <f>IF($J24="","",IF(INDEX(Gantt!$BI$7:$BI$119,$J24)&amp;""&lt;&gt;"",INDEX(Gantt!$BI$7:$BI$119,$J24)&amp;"",INDEX(Gantt!$CA$7:$CA$119,$J24)&amp;""))</f>
        <v/>
      </c>
      <c r="I24">
        <v>13</v>
      </c>
      <c r="J24" t="str">
        <f>IFERROR(MATCH(I24,Gantt!$BZ$7:$BZ$119,0),"")</f>
        <v/>
      </c>
    </row>
    <row r="25" spans="1:10" ht="24" customHeight="1" x14ac:dyDescent="0.3">
      <c r="A25" s="27" t="str">
        <f t="shared" si="0"/>
        <v/>
      </c>
      <c r="B25" s="27" t="str">
        <f>IF($J25="","",INDEX(Gantt!$A$7:$A$119,$J25))</f>
        <v/>
      </c>
      <c r="C25" s="28" t="str">
        <f>IF($J25="","",INDEX(Gantt!$B$7:$B$119,$J25))</f>
        <v/>
      </c>
      <c r="D25" s="29" t="str">
        <f>IF($J25="","",INDEX(Gantt!$D$7:$D$119,$J25))</f>
        <v/>
      </c>
      <c r="E25" s="29" t="str">
        <f>IF($J25="","",IF(N(INDEX(Gantt!$F$7:$F$119,$J25))&gt;=1,INDEX(Gantt!$D$7:$D$119,$J25),""))</f>
        <v/>
      </c>
      <c r="F25" s="30" t="str">
        <f>IF($J25="","",IF(N(INDEX(Gantt!$F$7:$F$119,$J25))&gt;=1,"Completed",IF(N(INDEX(Gantt!$F$7:$F$119,$J25))&gt;0,"In progress","Open")))</f>
        <v/>
      </c>
      <c r="G25" s="31" t="str">
        <f>IF($J25="","",IF(INDEX(Gantt!$BH$7:$BH$119,$J25)&amp;""&lt;&gt;"",INDEX(Gantt!$BH$7:$BH$119,$J25)&amp;"",INDEX(Gantt!$CB$7:$CB$119,$J25)&amp;""))</f>
        <v/>
      </c>
      <c r="H25" s="28" t="str">
        <f>IF($J25="","",IF(INDEX(Gantt!$BI$7:$BI$119,$J25)&amp;""&lt;&gt;"",INDEX(Gantt!$BI$7:$BI$119,$J25)&amp;"",INDEX(Gantt!$CA$7:$CA$119,$J25)&amp;""))</f>
        <v/>
      </c>
      <c r="I25">
        <v>14</v>
      </c>
      <c r="J25" t="str">
        <f>IFERROR(MATCH(I25,Gantt!$BZ$7:$BZ$119,0),"")</f>
        <v/>
      </c>
    </row>
    <row r="26" spans="1:10" ht="24" customHeight="1" x14ac:dyDescent="0.3">
      <c r="A26" s="27" t="str">
        <f t="shared" si="0"/>
        <v/>
      </c>
      <c r="B26" s="27" t="str">
        <f>IF($J26="","",INDEX(Gantt!$A$7:$A$119,$J26))</f>
        <v/>
      </c>
      <c r="C26" s="28" t="str">
        <f>IF($J26="","",INDEX(Gantt!$B$7:$B$119,$J26))</f>
        <v/>
      </c>
      <c r="D26" s="29" t="str">
        <f>IF($J26="","",INDEX(Gantt!$D$7:$D$119,$J26))</f>
        <v/>
      </c>
      <c r="E26" s="29" t="str">
        <f>IF($J26="","",IF(N(INDEX(Gantt!$F$7:$F$119,$J26))&gt;=1,INDEX(Gantt!$D$7:$D$119,$J26),""))</f>
        <v/>
      </c>
      <c r="F26" s="30" t="str">
        <f>IF($J26="","",IF(N(INDEX(Gantt!$F$7:$F$119,$J26))&gt;=1,"Completed",IF(N(INDEX(Gantt!$F$7:$F$119,$J26))&gt;0,"In progress","Open")))</f>
        <v/>
      </c>
      <c r="G26" s="31" t="str">
        <f>IF($J26="","",IF(INDEX(Gantt!$BH$7:$BH$119,$J26)&amp;""&lt;&gt;"",INDEX(Gantt!$BH$7:$BH$119,$J26)&amp;"",INDEX(Gantt!$CB$7:$CB$119,$J26)&amp;""))</f>
        <v/>
      </c>
      <c r="H26" s="28" t="str">
        <f>IF($J26="","",IF(INDEX(Gantt!$BI$7:$BI$119,$J26)&amp;""&lt;&gt;"",INDEX(Gantt!$BI$7:$BI$119,$J26)&amp;"",INDEX(Gantt!$CA$7:$CA$119,$J26)&amp;""))</f>
        <v/>
      </c>
      <c r="I26">
        <v>15</v>
      </c>
      <c r="J26" t="str">
        <f>IFERROR(MATCH(I26,Gantt!$BZ$7:$BZ$119,0),"")</f>
        <v/>
      </c>
    </row>
    <row r="27" spans="1:10" ht="24" customHeight="1" x14ac:dyDescent="0.3">
      <c r="A27" s="27" t="str">
        <f t="shared" si="0"/>
        <v/>
      </c>
      <c r="B27" s="27" t="str">
        <f>IF($J27="","",INDEX(Gantt!$A$7:$A$119,$J27))</f>
        <v/>
      </c>
      <c r="C27" s="28" t="str">
        <f>IF($J27="","",INDEX(Gantt!$B$7:$B$119,$J27))</f>
        <v/>
      </c>
      <c r="D27" s="29" t="str">
        <f>IF($J27="","",INDEX(Gantt!$D$7:$D$119,$J27))</f>
        <v/>
      </c>
      <c r="E27" s="29" t="str">
        <f>IF($J27="","",IF(N(INDEX(Gantt!$F$7:$F$119,$J27))&gt;=1,INDEX(Gantt!$D$7:$D$119,$J27),""))</f>
        <v/>
      </c>
      <c r="F27" s="30" t="str">
        <f>IF($J27="","",IF(N(INDEX(Gantt!$F$7:$F$119,$J27))&gt;=1,"Completed",IF(N(INDEX(Gantt!$F$7:$F$119,$J27))&gt;0,"In progress","Open")))</f>
        <v/>
      </c>
      <c r="G27" s="31" t="str">
        <f>IF($J27="","",IF(INDEX(Gantt!$BH$7:$BH$119,$J27)&amp;""&lt;&gt;"",INDEX(Gantt!$BH$7:$BH$119,$J27)&amp;"",INDEX(Gantt!$CB$7:$CB$119,$J27)&amp;""))</f>
        <v/>
      </c>
      <c r="H27" s="28" t="str">
        <f>IF($J27="","",IF(INDEX(Gantt!$BI$7:$BI$119,$J27)&amp;""&lt;&gt;"",INDEX(Gantt!$BI$7:$BI$119,$J27)&amp;"",INDEX(Gantt!$CA$7:$CA$119,$J27)&amp;""))</f>
        <v/>
      </c>
      <c r="I27">
        <v>16</v>
      </c>
      <c r="J27" t="str">
        <f>IFERROR(MATCH(I27,Gantt!$BZ$7:$BZ$119,0),"")</f>
        <v/>
      </c>
    </row>
    <row r="28" spans="1:10" ht="24" customHeight="1" x14ac:dyDescent="0.3">
      <c r="A28" s="27" t="str">
        <f t="shared" si="0"/>
        <v/>
      </c>
      <c r="B28" s="27" t="str">
        <f>IF($J28="","",INDEX(Gantt!$A$7:$A$119,$J28))</f>
        <v/>
      </c>
      <c r="C28" s="28" t="str">
        <f>IF($J28="","",INDEX(Gantt!$B$7:$B$119,$J28))</f>
        <v/>
      </c>
      <c r="D28" s="29" t="str">
        <f>IF($J28="","",INDEX(Gantt!$D$7:$D$119,$J28))</f>
        <v/>
      </c>
      <c r="E28" s="29" t="str">
        <f>IF($J28="","",IF(N(INDEX(Gantt!$F$7:$F$119,$J28))&gt;=1,INDEX(Gantt!$D$7:$D$119,$J28),""))</f>
        <v/>
      </c>
      <c r="F28" s="30" t="str">
        <f>IF($J28="","",IF(N(INDEX(Gantt!$F$7:$F$119,$J28))&gt;=1,"Completed",IF(N(INDEX(Gantt!$F$7:$F$119,$J28))&gt;0,"In progress","Open")))</f>
        <v/>
      </c>
      <c r="G28" s="31" t="str">
        <f>IF($J28="","",IF(INDEX(Gantt!$BH$7:$BH$119,$J28)&amp;""&lt;&gt;"",INDEX(Gantt!$BH$7:$BH$119,$J28)&amp;"",INDEX(Gantt!$CB$7:$CB$119,$J28)&amp;""))</f>
        <v/>
      </c>
      <c r="H28" s="28" t="str">
        <f>IF($J28="","",IF(INDEX(Gantt!$BI$7:$BI$119,$J28)&amp;""&lt;&gt;"",INDEX(Gantt!$BI$7:$BI$119,$J28)&amp;"",INDEX(Gantt!$CA$7:$CA$119,$J28)&amp;""))</f>
        <v/>
      </c>
      <c r="I28">
        <v>17</v>
      </c>
      <c r="J28" t="str">
        <f>IFERROR(MATCH(I28,Gantt!$BZ$7:$BZ$119,0),"")</f>
        <v/>
      </c>
    </row>
    <row r="29" spans="1:10" ht="24" customHeight="1" x14ac:dyDescent="0.3">
      <c r="A29" s="27" t="str">
        <f t="shared" si="0"/>
        <v/>
      </c>
      <c r="B29" s="27" t="str">
        <f>IF($J29="","",INDEX(Gantt!$A$7:$A$119,$J29))</f>
        <v/>
      </c>
      <c r="C29" s="28" t="str">
        <f>IF($J29="","",INDEX(Gantt!$B$7:$B$119,$J29))</f>
        <v/>
      </c>
      <c r="D29" s="29" t="str">
        <f>IF($J29="","",INDEX(Gantt!$D$7:$D$119,$J29))</f>
        <v/>
      </c>
      <c r="E29" s="29" t="str">
        <f>IF($J29="","",IF(N(INDEX(Gantt!$F$7:$F$119,$J29))&gt;=1,INDEX(Gantt!$D$7:$D$119,$J29),""))</f>
        <v/>
      </c>
      <c r="F29" s="30" t="str">
        <f>IF($J29="","",IF(N(INDEX(Gantt!$F$7:$F$119,$J29))&gt;=1,"Completed",IF(N(INDEX(Gantt!$F$7:$F$119,$J29))&gt;0,"In progress","Open")))</f>
        <v/>
      </c>
      <c r="G29" s="31" t="str">
        <f>IF($J29="","",IF(INDEX(Gantt!$BH$7:$BH$119,$J29)&amp;""&lt;&gt;"",INDEX(Gantt!$BH$7:$BH$119,$J29)&amp;"",INDEX(Gantt!$CB$7:$CB$119,$J29)&amp;""))</f>
        <v/>
      </c>
      <c r="H29" s="28" t="str">
        <f>IF($J29="","",IF(INDEX(Gantt!$BI$7:$BI$119,$J29)&amp;""&lt;&gt;"",INDEX(Gantt!$BI$7:$BI$119,$J29)&amp;"",INDEX(Gantt!$CA$7:$CA$119,$J29)&amp;""))</f>
        <v/>
      </c>
      <c r="I29">
        <v>18</v>
      </c>
      <c r="J29" t="str">
        <f>IFERROR(MATCH(I29,Gantt!$BZ$7:$BZ$119,0),"")</f>
        <v/>
      </c>
    </row>
    <row r="30" spans="1:10" ht="24" customHeight="1" x14ac:dyDescent="0.3">
      <c r="A30" s="27" t="str">
        <f t="shared" si="0"/>
        <v/>
      </c>
      <c r="B30" s="27" t="str">
        <f>IF($J30="","",INDEX(Gantt!$A$7:$A$119,$J30))</f>
        <v/>
      </c>
      <c r="C30" s="28" t="str">
        <f>IF($J30="","",INDEX(Gantt!$B$7:$B$119,$J30))</f>
        <v/>
      </c>
      <c r="D30" s="29" t="str">
        <f>IF($J30="","",INDEX(Gantt!$D$7:$D$119,$J30))</f>
        <v/>
      </c>
      <c r="E30" s="29" t="str">
        <f>IF($J30="","",IF(N(INDEX(Gantt!$F$7:$F$119,$J30))&gt;=1,INDEX(Gantt!$D$7:$D$119,$J30),""))</f>
        <v/>
      </c>
      <c r="F30" s="30" t="str">
        <f>IF($J30="","",IF(N(INDEX(Gantt!$F$7:$F$119,$J30))&gt;=1,"Completed",IF(N(INDEX(Gantt!$F$7:$F$119,$J30))&gt;0,"In progress","Open")))</f>
        <v/>
      </c>
      <c r="G30" s="31" t="str">
        <f>IF($J30="","",IF(INDEX(Gantt!$BH$7:$BH$119,$J30)&amp;""&lt;&gt;"",INDEX(Gantt!$BH$7:$BH$119,$J30)&amp;"",INDEX(Gantt!$CB$7:$CB$119,$J30)&amp;""))</f>
        <v/>
      </c>
      <c r="H30" s="28" t="str">
        <f>IF($J30="","",IF(INDEX(Gantt!$BI$7:$BI$119,$J30)&amp;""&lt;&gt;"",INDEX(Gantt!$BI$7:$BI$119,$J30)&amp;"",INDEX(Gantt!$CA$7:$CA$119,$J30)&amp;""))</f>
        <v/>
      </c>
      <c r="I30">
        <v>19</v>
      </c>
      <c r="J30" t="str">
        <f>IFERROR(MATCH(I30,Gantt!$BZ$7:$BZ$119,0),"")</f>
        <v/>
      </c>
    </row>
    <row r="31" spans="1:10" ht="24" customHeight="1" x14ac:dyDescent="0.3">
      <c r="A31" s="27" t="str">
        <f t="shared" si="0"/>
        <v/>
      </c>
      <c r="B31" s="27" t="str">
        <f>IF($J31="","",INDEX(Gantt!$A$7:$A$119,$J31))</f>
        <v/>
      </c>
      <c r="C31" s="28" t="str">
        <f>IF($J31="","",INDEX(Gantt!$B$7:$B$119,$J31))</f>
        <v/>
      </c>
      <c r="D31" s="29" t="str">
        <f>IF($J31="","",INDEX(Gantt!$D$7:$D$119,$J31))</f>
        <v/>
      </c>
      <c r="E31" s="29" t="str">
        <f>IF($J31="","",IF(N(INDEX(Gantt!$F$7:$F$119,$J31))&gt;=1,INDEX(Gantt!$D$7:$D$119,$J31),""))</f>
        <v/>
      </c>
      <c r="F31" s="30" t="str">
        <f>IF($J31="","",IF(N(INDEX(Gantt!$F$7:$F$119,$J31))&gt;=1,"Completed",IF(N(INDEX(Gantt!$F$7:$F$119,$J31))&gt;0,"In progress","Open")))</f>
        <v/>
      </c>
      <c r="G31" s="31" t="str">
        <f>IF($J31="","",IF(INDEX(Gantt!$BH$7:$BH$119,$J31)&amp;""&lt;&gt;"",INDEX(Gantt!$BH$7:$BH$119,$J31)&amp;"",INDEX(Gantt!$CB$7:$CB$119,$J31)&amp;""))</f>
        <v/>
      </c>
      <c r="H31" s="28" t="str">
        <f>IF($J31="","",IF(INDEX(Gantt!$BI$7:$BI$119,$J31)&amp;""&lt;&gt;"",INDEX(Gantt!$BI$7:$BI$119,$J31)&amp;"",INDEX(Gantt!$CA$7:$CA$119,$J31)&amp;""))</f>
        <v/>
      </c>
      <c r="I31">
        <v>20</v>
      </c>
      <c r="J31" t="str">
        <f>IFERROR(MATCH(I31,Gantt!$BZ$7:$BZ$119,0),"")</f>
        <v/>
      </c>
    </row>
    <row r="32" spans="1:10" ht="24" customHeight="1" x14ac:dyDescent="0.3">
      <c r="A32" s="27" t="str">
        <f t="shared" si="0"/>
        <v/>
      </c>
      <c r="B32" s="27" t="str">
        <f>IF($J32="","",INDEX(Gantt!$A$7:$A$119,$J32))</f>
        <v/>
      </c>
      <c r="C32" s="28" t="str">
        <f>IF($J32="","",INDEX(Gantt!$B$7:$B$119,$J32))</f>
        <v/>
      </c>
      <c r="D32" s="29" t="str">
        <f>IF($J32="","",INDEX(Gantt!$D$7:$D$119,$J32))</f>
        <v/>
      </c>
      <c r="E32" s="29" t="str">
        <f>IF($J32="","",IF(N(INDEX(Gantt!$F$7:$F$119,$J32))&gt;=1,INDEX(Gantt!$D$7:$D$119,$J32),""))</f>
        <v/>
      </c>
      <c r="F32" s="30" t="str">
        <f>IF($J32="","",IF(N(INDEX(Gantt!$F$7:$F$119,$J32))&gt;=1,"Completed",IF(N(INDEX(Gantt!$F$7:$F$119,$J32))&gt;0,"In progress","Open")))</f>
        <v/>
      </c>
      <c r="G32" s="31" t="str">
        <f>IF($J32="","",IF(INDEX(Gantt!$BH$7:$BH$119,$J32)&amp;""&lt;&gt;"",INDEX(Gantt!$BH$7:$BH$119,$J32)&amp;"",INDEX(Gantt!$CB$7:$CB$119,$J32)&amp;""))</f>
        <v/>
      </c>
      <c r="H32" s="28" t="str">
        <f>IF($J32="","",IF(INDEX(Gantt!$BI$7:$BI$119,$J32)&amp;""&lt;&gt;"",INDEX(Gantt!$BI$7:$BI$119,$J32)&amp;"",INDEX(Gantt!$CA$7:$CA$119,$J32)&amp;""))</f>
        <v/>
      </c>
      <c r="I32">
        <v>21</v>
      </c>
      <c r="J32" t="str">
        <f>IFERROR(MATCH(I32,Gantt!$BZ$7:$BZ$119,0),"")</f>
        <v/>
      </c>
    </row>
    <row r="33" spans="1:10" ht="24" customHeight="1" x14ac:dyDescent="0.3">
      <c r="A33" s="27" t="str">
        <f t="shared" si="0"/>
        <v/>
      </c>
      <c r="B33" s="27" t="str">
        <f>IF($J33="","",INDEX(Gantt!$A$7:$A$119,$J33))</f>
        <v/>
      </c>
      <c r="C33" s="28" t="str">
        <f>IF($J33="","",INDEX(Gantt!$B$7:$B$119,$J33))</f>
        <v/>
      </c>
      <c r="D33" s="29" t="str">
        <f>IF($J33="","",INDEX(Gantt!$D$7:$D$119,$J33))</f>
        <v/>
      </c>
      <c r="E33" s="29" t="str">
        <f>IF($J33="","",IF(N(INDEX(Gantt!$F$7:$F$119,$J33))&gt;=1,INDEX(Gantt!$D$7:$D$119,$J33),""))</f>
        <v/>
      </c>
      <c r="F33" s="30" t="str">
        <f>IF($J33="","",IF(N(INDEX(Gantt!$F$7:$F$119,$J33))&gt;=1,"Completed",IF(N(INDEX(Gantt!$F$7:$F$119,$J33))&gt;0,"In progress","Open")))</f>
        <v/>
      </c>
      <c r="G33" s="31" t="str">
        <f>IF($J33="","",IF(INDEX(Gantt!$BH$7:$BH$119,$J33)&amp;""&lt;&gt;"",INDEX(Gantt!$BH$7:$BH$119,$J33)&amp;"",INDEX(Gantt!$CB$7:$CB$119,$J33)&amp;""))</f>
        <v/>
      </c>
      <c r="H33" s="28" t="str">
        <f>IF($J33="","",IF(INDEX(Gantt!$BI$7:$BI$119,$J33)&amp;""&lt;&gt;"",INDEX(Gantt!$BI$7:$BI$119,$J33)&amp;"",INDEX(Gantt!$CA$7:$CA$119,$J33)&amp;""))</f>
        <v/>
      </c>
      <c r="I33">
        <v>22</v>
      </c>
      <c r="J33" t="str">
        <f>IFERROR(MATCH(I33,Gantt!$BZ$7:$BZ$119,0),"")</f>
        <v/>
      </c>
    </row>
    <row r="34" spans="1:10" ht="24" customHeight="1" x14ac:dyDescent="0.3">
      <c r="A34" s="27" t="str">
        <f t="shared" si="0"/>
        <v/>
      </c>
      <c r="B34" s="27" t="str">
        <f>IF($J34="","",INDEX(Gantt!$A$7:$A$119,$J34))</f>
        <v/>
      </c>
      <c r="C34" s="28" t="str">
        <f>IF($J34="","",INDEX(Gantt!$B$7:$B$119,$J34))</f>
        <v/>
      </c>
      <c r="D34" s="29" t="str">
        <f>IF($J34="","",INDEX(Gantt!$D$7:$D$119,$J34))</f>
        <v/>
      </c>
      <c r="E34" s="29" t="str">
        <f>IF($J34="","",IF(N(INDEX(Gantt!$F$7:$F$119,$J34))&gt;=1,INDEX(Gantt!$D$7:$D$119,$J34),""))</f>
        <v/>
      </c>
      <c r="F34" s="30" t="str">
        <f>IF($J34="","",IF(N(INDEX(Gantt!$F$7:$F$119,$J34))&gt;=1,"Completed",IF(N(INDEX(Gantt!$F$7:$F$119,$J34))&gt;0,"In progress","Open")))</f>
        <v/>
      </c>
      <c r="G34" s="31" t="str">
        <f>IF($J34="","",IF(INDEX(Gantt!$BH$7:$BH$119,$J34)&amp;""&lt;&gt;"",INDEX(Gantt!$BH$7:$BH$119,$J34)&amp;"",INDEX(Gantt!$CB$7:$CB$119,$J34)&amp;""))</f>
        <v/>
      </c>
      <c r="H34" s="28" t="str">
        <f>IF($J34="","",IF(INDEX(Gantt!$BI$7:$BI$119,$J34)&amp;""&lt;&gt;"",INDEX(Gantt!$BI$7:$BI$119,$J34)&amp;"",INDEX(Gantt!$CA$7:$CA$119,$J34)&amp;""))</f>
        <v/>
      </c>
      <c r="I34">
        <v>23</v>
      </c>
      <c r="J34" t="str">
        <f>IFERROR(MATCH(I34,Gantt!$BZ$7:$BZ$119,0),"")</f>
        <v/>
      </c>
    </row>
    <row r="35" spans="1:10" ht="24" customHeight="1" x14ac:dyDescent="0.3">
      <c r="A35" s="27" t="str">
        <f t="shared" si="0"/>
        <v/>
      </c>
      <c r="B35" s="27" t="str">
        <f>IF($J35="","",INDEX(Gantt!$A$7:$A$119,$J35))</f>
        <v/>
      </c>
      <c r="C35" s="28" t="str">
        <f>IF($J35="","",INDEX(Gantt!$B$7:$B$119,$J35))</f>
        <v/>
      </c>
      <c r="D35" s="29" t="str">
        <f>IF($J35="","",INDEX(Gantt!$D$7:$D$119,$J35))</f>
        <v/>
      </c>
      <c r="E35" s="29" t="str">
        <f>IF($J35="","",IF(N(INDEX(Gantt!$F$7:$F$119,$J35))&gt;=1,INDEX(Gantt!$D$7:$D$119,$J35),""))</f>
        <v/>
      </c>
      <c r="F35" s="30" t="str">
        <f>IF($J35="","",IF(N(INDEX(Gantt!$F$7:$F$119,$J35))&gt;=1,"Completed",IF(N(INDEX(Gantt!$F$7:$F$119,$J35))&gt;0,"In progress","Open")))</f>
        <v/>
      </c>
      <c r="G35" s="31" t="str">
        <f>IF($J35="","",IF(INDEX(Gantt!$BH$7:$BH$119,$J35)&amp;""&lt;&gt;"",INDEX(Gantt!$BH$7:$BH$119,$J35)&amp;"",INDEX(Gantt!$CB$7:$CB$119,$J35)&amp;""))</f>
        <v/>
      </c>
      <c r="H35" s="28" t="str">
        <f>IF($J35="","",IF(INDEX(Gantt!$BI$7:$BI$119,$J35)&amp;""&lt;&gt;"",INDEX(Gantt!$BI$7:$BI$119,$J35)&amp;"",INDEX(Gantt!$CA$7:$CA$119,$J35)&amp;""))</f>
        <v/>
      </c>
      <c r="I35">
        <v>24</v>
      </c>
      <c r="J35" t="str">
        <f>IFERROR(MATCH(I35,Gantt!$BZ$7:$BZ$119,0),"")</f>
        <v/>
      </c>
    </row>
    <row r="36" spans="1:10" ht="24" customHeight="1" x14ac:dyDescent="0.3">
      <c r="A36" s="27" t="str">
        <f t="shared" si="0"/>
        <v/>
      </c>
      <c r="B36" s="27" t="str">
        <f>IF($J36="","",INDEX(Gantt!$A$7:$A$119,$J36))</f>
        <v/>
      </c>
      <c r="C36" s="28" t="str">
        <f>IF($J36="","",INDEX(Gantt!$B$7:$B$119,$J36))</f>
        <v/>
      </c>
      <c r="D36" s="29" t="str">
        <f>IF($J36="","",INDEX(Gantt!$D$7:$D$119,$J36))</f>
        <v/>
      </c>
      <c r="E36" s="29" t="str">
        <f>IF($J36="","",IF(N(INDEX(Gantt!$F$7:$F$119,$J36))&gt;=1,INDEX(Gantt!$D$7:$D$119,$J36),""))</f>
        <v/>
      </c>
      <c r="F36" s="30" t="str">
        <f>IF($J36="","",IF(N(INDEX(Gantt!$F$7:$F$119,$J36))&gt;=1,"Completed",IF(N(INDEX(Gantt!$F$7:$F$119,$J36))&gt;0,"In progress","Open")))</f>
        <v/>
      </c>
      <c r="G36" s="31" t="str">
        <f>IF($J36="","",IF(INDEX(Gantt!$BH$7:$BH$119,$J36)&amp;""&lt;&gt;"",INDEX(Gantt!$BH$7:$BH$119,$J36)&amp;"",INDEX(Gantt!$CB$7:$CB$119,$J36)&amp;""))</f>
        <v/>
      </c>
      <c r="H36" s="28" t="str">
        <f>IF($J36="","",IF(INDEX(Gantt!$BI$7:$BI$119,$J36)&amp;""&lt;&gt;"",INDEX(Gantt!$BI$7:$BI$119,$J36)&amp;"",INDEX(Gantt!$CA$7:$CA$119,$J36)&amp;""))</f>
        <v/>
      </c>
      <c r="I36">
        <v>25</v>
      </c>
      <c r="J36" t="str">
        <f>IFERROR(MATCH(I36,Gantt!$BZ$7:$BZ$119,0),"")</f>
        <v/>
      </c>
    </row>
    <row r="37" spans="1:10" ht="24" customHeight="1" x14ac:dyDescent="0.3">
      <c r="A37" s="27" t="str">
        <f t="shared" si="0"/>
        <v/>
      </c>
      <c r="B37" s="27" t="str">
        <f>IF($J37="","",INDEX(Gantt!$A$7:$A$119,$J37))</f>
        <v/>
      </c>
      <c r="C37" s="28" t="str">
        <f>IF($J37="","",INDEX(Gantt!$B$7:$B$119,$J37))</f>
        <v/>
      </c>
      <c r="D37" s="29" t="str">
        <f>IF($J37="","",INDEX(Gantt!$D$7:$D$119,$J37))</f>
        <v/>
      </c>
      <c r="E37" s="29" t="str">
        <f>IF($J37="","",IF(N(INDEX(Gantt!$F$7:$F$119,$J37))&gt;=1,INDEX(Gantt!$D$7:$D$119,$J37),""))</f>
        <v/>
      </c>
      <c r="F37" s="30" t="str">
        <f>IF($J37="","",IF(N(INDEX(Gantt!$F$7:$F$119,$J37))&gt;=1,"Completed",IF(N(INDEX(Gantt!$F$7:$F$119,$J37))&gt;0,"In progress","Open")))</f>
        <v/>
      </c>
      <c r="G37" s="31" t="str">
        <f>IF($J37="","",IF(INDEX(Gantt!$BH$7:$BH$119,$J37)&amp;""&lt;&gt;"",INDEX(Gantt!$BH$7:$BH$119,$J37)&amp;"",INDEX(Gantt!$CB$7:$CB$119,$J37)&amp;""))</f>
        <v/>
      </c>
      <c r="H37" s="28" t="str">
        <f>IF($J37="","",IF(INDEX(Gantt!$BI$7:$BI$119,$J37)&amp;""&lt;&gt;"",INDEX(Gantt!$BI$7:$BI$119,$J37)&amp;"",INDEX(Gantt!$CA$7:$CA$119,$J37)&amp;""))</f>
        <v/>
      </c>
      <c r="I37">
        <v>26</v>
      </c>
      <c r="J37" t="str">
        <f>IFERROR(MATCH(I37,Gantt!$BZ$7:$BZ$119,0),"")</f>
        <v/>
      </c>
    </row>
    <row r="38" spans="1:10" ht="24" customHeight="1" x14ac:dyDescent="0.3">
      <c r="A38" s="27" t="str">
        <f t="shared" si="0"/>
        <v/>
      </c>
      <c r="B38" s="27" t="str">
        <f>IF($J38="","",INDEX(Gantt!$A$7:$A$119,$J38))</f>
        <v/>
      </c>
      <c r="C38" s="28" t="str">
        <f>IF($J38="","",INDEX(Gantt!$B$7:$B$119,$J38))</f>
        <v/>
      </c>
      <c r="D38" s="29" t="str">
        <f>IF($J38="","",INDEX(Gantt!$D$7:$D$119,$J38))</f>
        <v/>
      </c>
      <c r="E38" s="29" t="str">
        <f>IF($J38="","",IF(N(INDEX(Gantt!$F$7:$F$119,$J38))&gt;=1,INDEX(Gantt!$D$7:$D$119,$J38),""))</f>
        <v/>
      </c>
      <c r="F38" s="30" t="str">
        <f>IF($J38="","",IF(N(INDEX(Gantt!$F$7:$F$119,$J38))&gt;=1,"Completed",IF(N(INDEX(Gantt!$F$7:$F$119,$J38))&gt;0,"In progress","Open")))</f>
        <v/>
      </c>
      <c r="G38" s="31" t="str">
        <f>IF($J38="","",IF(INDEX(Gantt!$BH$7:$BH$119,$J38)&amp;""&lt;&gt;"",INDEX(Gantt!$BH$7:$BH$119,$J38)&amp;"",INDEX(Gantt!$CB$7:$CB$119,$J38)&amp;""))</f>
        <v/>
      </c>
      <c r="H38" s="28" t="str">
        <f>IF($J38="","",IF(INDEX(Gantt!$BI$7:$BI$119,$J38)&amp;""&lt;&gt;"",INDEX(Gantt!$BI$7:$BI$119,$J38)&amp;"",INDEX(Gantt!$CA$7:$CA$119,$J38)&amp;""))</f>
        <v/>
      </c>
      <c r="I38">
        <v>27</v>
      </c>
      <c r="J38" t="str">
        <f>IFERROR(MATCH(I38,Gantt!$BZ$7:$BZ$119,0),"")</f>
        <v/>
      </c>
    </row>
    <row r="39" spans="1:10" ht="24" customHeight="1" x14ac:dyDescent="0.3">
      <c r="A39" s="27" t="str">
        <f t="shared" si="0"/>
        <v/>
      </c>
      <c r="B39" s="27" t="str">
        <f>IF($J39="","",INDEX(Gantt!$A$7:$A$119,$J39))</f>
        <v/>
      </c>
      <c r="C39" s="28" t="str">
        <f>IF($J39="","",INDEX(Gantt!$B$7:$B$119,$J39))</f>
        <v/>
      </c>
      <c r="D39" s="29" t="str">
        <f>IF($J39="","",INDEX(Gantt!$D$7:$D$119,$J39))</f>
        <v/>
      </c>
      <c r="E39" s="29" t="str">
        <f>IF($J39="","",IF(N(INDEX(Gantt!$F$7:$F$119,$J39))&gt;=1,INDEX(Gantt!$D$7:$D$119,$J39),""))</f>
        <v/>
      </c>
      <c r="F39" s="30" t="str">
        <f>IF($J39="","",IF(N(INDEX(Gantt!$F$7:$F$119,$J39))&gt;=1,"Completed",IF(N(INDEX(Gantt!$F$7:$F$119,$J39))&gt;0,"In progress","Open")))</f>
        <v/>
      </c>
      <c r="G39" s="31" t="str">
        <f>IF($J39="","",IF(INDEX(Gantt!$BH$7:$BH$119,$J39)&amp;""&lt;&gt;"",INDEX(Gantt!$BH$7:$BH$119,$J39)&amp;"",INDEX(Gantt!$CB$7:$CB$119,$J39)&amp;""))</f>
        <v/>
      </c>
      <c r="H39" s="28" t="str">
        <f>IF($J39="","",IF(INDEX(Gantt!$BI$7:$BI$119,$J39)&amp;""&lt;&gt;"",INDEX(Gantt!$BI$7:$BI$119,$J39)&amp;"",INDEX(Gantt!$CA$7:$CA$119,$J39)&amp;""))</f>
        <v/>
      </c>
      <c r="I39">
        <v>28</v>
      </c>
      <c r="J39" t="str">
        <f>IFERROR(MATCH(I39,Gantt!$BZ$7:$BZ$119,0),"")</f>
        <v/>
      </c>
    </row>
    <row r="40" spans="1:10" ht="24" customHeight="1" x14ac:dyDescent="0.3">
      <c r="A40" s="27" t="str">
        <f t="shared" si="0"/>
        <v/>
      </c>
      <c r="B40" s="27" t="str">
        <f>IF($J40="","",INDEX(Gantt!$A$7:$A$119,$J40))</f>
        <v/>
      </c>
      <c r="C40" s="28" t="str">
        <f>IF($J40="","",INDEX(Gantt!$B$7:$B$119,$J40))</f>
        <v/>
      </c>
      <c r="D40" s="29" t="str">
        <f>IF($J40="","",INDEX(Gantt!$D$7:$D$119,$J40))</f>
        <v/>
      </c>
      <c r="E40" s="29" t="str">
        <f>IF($J40="","",IF(N(INDEX(Gantt!$F$7:$F$119,$J40))&gt;=1,INDEX(Gantt!$D$7:$D$119,$J40),""))</f>
        <v/>
      </c>
      <c r="F40" s="30" t="str">
        <f>IF($J40="","",IF(N(INDEX(Gantt!$F$7:$F$119,$J40))&gt;=1,"Completed",IF(N(INDEX(Gantt!$F$7:$F$119,$J40))&gt;0,"In progress","Open")))</f>
        <v/>
      </c>
      <c r="G40" s="31" t="str">
        <f>IF($J40="","",IF(INDEX(Gantt!$BH$7:$BH$119,$J40)&amp;""&lt;&gt;"",INDEX(Gantt!$BH$7:$BH$119,$J40)&amp;"",INDEX(Gantt!$CB$7:$CB$119,$J40)&amp;""))</f>
        <v/>
      </c>
      <c r="H40" s="28" t="str">
        <f>IF($J40="","",IF(INDEX(Gantt!$BI$7:$BI$119,$J40)&amp;""&lt;&gt;"",INDEX(Gantt!$BI$7:$BI$119,$J40)&amp;"",INDEX(Gantt!$CA$7:$CA$119,$J40)&amp;""))</f>
        <v/>
      </c>
      <c r="I40">
        <v>29</v>
      </c>
      <c r="J40" t="str">
        <f>IFERROR(MATCH(I40,Gantt!$BZ$7:$BZ$119,0),"")</f>
        <v/>
      </c>
    </row>
    <row r="41" spans="1:10" ht="24" customHeight="1" x14ac:dyDescent="0.3">
      <c r="A41" s="27" t="str">
        <f t="shared" si="0"/>
        <v/>
      </c>
      <c r="B41" s="27" t="str">
        <f>IF($J41="","",INDEX(Gantt!$A$7:$A$119,$J41))</f>
        <v/>
      </c>
      <c r="C41" s="28" t="str">
        <f>IF($J41="","",INDEX(Gantt!$B$7:$B$119,$J41))</f>
        <v/>
      </c>
      <c r="D41" s="29" t="str">
        <f>IF($J41="","",INDEX(Gantt!$D$7:$D$119,$J41))</f>
        <v/>
      </c>
      <c r="E41" s="29" t="str">
        <f>IF($J41="","",IF(N(INDEX(Gantt!$F$7:$F$119,$J41))&gt;=1,INDEX(Gantt!$D$7:$D$119,$J41),""))</f>
        <v/>
      </c>
      <c r="F41" s="30" t="str">
        <f>IF($J41="","",IF(N(INDEX(Gantt!$F$7:$F$119,$J41))&gt;=1,"Completed",IF(N(INDEX(Gantt!$F$7:$F$119,$J41))&gt;0,"In progress","Open")))</f>
        <v/>
      </c>
      <c r="G41" s="31" t="str">
        <f>IF($J41="","",IF(INDEX(Gantt!$BH$7:$BH$119,$J41)&amp;""&lt;&gt;"",INDEX(Gantt!$BH$7:$BH$119,$J41)&amp;"",INDEX(Gantt!$CB$7:$CB$119,$J41)&amp;""))</f>
        <v/>
      </c>
      <c r="H41" s="28" t="str">
        <f>IF($J41="","",IF(INDEX(Gantt!$BI$7:$BI$119,$J41)&amp;""&lt;&gt;"",INDEX(Gantt!$BI$7:$BI$119,$J41)&amp;"",INDEX(Gantt!$CA$7:$CA$119,$J41)&amp;""))</f>
        <v/>
      </c>
      <c r="I41">
        <v>30</v>
      </c>
      <c r="J41" t="str">
        <f>IFERROR(MATCH(I41,Gantt!$BZ$7:$BZ$119,0),"")</f>
        <v/>
      </c>
    </row>
    <row r="42" spans="1:10" ht="24" customHeight="1" x14ac:dyDescent="0.3">
      <c r="A42" s="27" t="str">
        <f t="shared" si="0"/>
        <v/>
      </c>
      <c r="B42" s="27" t="str">
        <f>IF($J42="","",INDEX(Gantt!$A$7:$A$119,$J42))</f>
        <v/>
      </c>
      <c r="C42" s="28" t="str">
        <f>IF($J42="","",INDEX(Gantt!$B$7:$B$119,$J42))</f>
        <v/>
      </c>
      <c r="D42" s="29" t="str">
        <f>IF($J42="","",INDEX(Gantt!$D$7:$D$119,$J42))</f>
        <v/>
      </c>
      <c r="E42" s="29" t="str">
        <f>IF($J42="","",IF(N(INDEX(Gantt!$F$7:$F$119,$J42))&gt;=1,INDEX(Gantt!$D$7:$D$119,$J42),""))</f>
        <v/>
      </c>
      <c r="F42" s="30" t="str">
        <f>IF($J42="","",IF(N(INDEX(Gantt!$F$7:$F$119,$J42))&gt;=1,"Completed",IF(N(INDEX(Gantt!$F$7:$F$119,$J42))&gt;0,"In progress","Open")))</f>
        <v/>
      </c>
      <c r="G42" s="31" t="str">
        <f>IF($J42="","",IF(INDEX(Gantt!$BH$7:$BH$119,$J42)&amp;""&lt;&gt;"",INDEX(Gantt!$BH$7:$BH$119,$J42)&amp;"",INDEX(Gantt!$CB$7:$CB$119,$J42)&amp;""))</f>
        <v/>
      </c>
      <c r="H42" s="28" t="str">
        <f>IF($J42="","",IF(INDEX(Gantt!$BI$7:$BI$119,$J42)&amp;""&lt;&gt;"",INDEX(Gantt!$BI$7:$BI$119,$J42)&amp;"",INDEX(Gantt!$CA$7:$CA$119,$J42)&amp;""))</f>
        <v/>
      </c>
      <c r="I42">
        <v>31</v>
      </c>
      <c r="J42" t="str">
        <f>IFERROR(MATCH(I42,Gantt!$BZ$7:$BZ$119,0),"")</f>
        <v/>
      </c>
    </row>
    <row r="43" spans="1:10" ht="24" customHeight="1" x14ac:dyDescent="0.3">
      <c r="A43" s="27" t="str">
        <f t="shared" si="0"/>
        <v/>
      </c>
      <c r="B43" s="27" t="str">
        <f>IF($J43="","",INDEX(Gantt!$A$7:$A$119,$J43))</f>
        <v/>
      </c>
      <c r="C43" s="28" t="str">
        <f>IF($J43="","",INDEX(Gantt!$B$7:$B$119,$J43))</f>
        <v/>
      </c>
      <c r="D43" s="29" t="str">
        <f>IF($J43="","",INDEX(Gantt!$D$7:$D$119,$J43))</f>
        <v/>
      </c>
      <c r="E43" s="29" t="str">
        <f>IF($J43="","",IF(N(INDEX(Gantt!$F$7:$F$119,$J43))&gt;=1,INDEX(Gantt!$D$7:$D$119,$J43),""))</f>
        <v/>
      </c>
      <c r="F43" s="30" t="str">
        <f>IF($J43="","",IF(N(INDEX(Gantt!$F$7:$F$119,$J43))&gt;=1,"Completed",IF(N(INDEX(Gantt!$F$7:$F$119,$J43))&gt;0,"In progress","Open")))</f>
        <v/>
      </c>
      <c r="G43" s="31" t="str">
        <f>IF($J43="","",IF(INDEX(Gantt!$BH$7:$BH$119,$J43)&amp;""&lt;&gt;"",INDEX(Gantt!$BH$7:$BH$119,$J43)&amp;"",INDEX(Gantt!$CB$7:$CB$119,$J43)&amp;""))</f>
        <v/>
      </c>
      <c r="H43" s="28" t="str">
        <f>IF($J43="","",IF(INDEX(Gantt!$BI$7:$BI$119,$J43)&amp;""&lt;&gt;"",INDEX(Gantt!$BI$7:$BI$119,$J43)&amp;"",INDEX(Gantt!$CA$7:$CA$119,$J43)&amp;""))</f>
        <v/>
      </c>
      <c r="I43">
        <v>32</v>
      </c>
      <c r="J43" t="str">
        <f>IFERROR(MATCH(I43,Gantt!$BZ$7:$BZ$119,0),"")</f>
        <v/>
      </c>
    </row>
    <row r="44" spans="1:10" ht="24" customHeight="1" x14ac:dyDescent="0.3">
      <c r="A44" s="27" t="str">
        <f t="shared" si="0"/>
        <v/>
      </c>
      <c r="B44" s="27" t="str">
        <f>IF($J44="","",INDEX(Gantt!$A$7:$A$119,$J44))</f>
        <v/>
      </c>
      <c r="C44" s="28" t="str">
        <f>IF($J44="","",INDEX(Gantt!$B$7:$B$119,$J44))</f>
        <v/>
      </c>
      <c r="D44" s="29" t="str">
        <f>IF($J44="","",INDEX(Gantt!$D$7:$D$119,$J44))</f>
        <v/>
      </c>
      <c r="E44" s="29" t="str">
        <f>IF($J44="","",IF(N(INDEX(Gantt!$F$7:$F$119,$J44))&gt;=1,INDEX(Gantt!$D$7:$D$119,$J44),""))</f>
        <v/>
      </c>
      <c r="F44" s="30" t="str">
        <f>IF($J44="","",IF(N(INDEX(Gantt!$F$7:$F$119,$J44))&gt;=1,"Completed",IF(N(INDEX(Gantt!$F$7:$F$119,$J44))&gt;0,"In progress","Open")))</f>
        <v/>
      </c>
      <c r="G44" s="31" t="str">
        <f>IF($J44="","",IF(INDEX(Gantt!$BH$7:$BH$119,$J44)&amp;""&lt;&gt;"",INDEX(Gantt!$BH$7:$BH$119,$J44)&amp;"",INDEX(Gantt!$CB$7:$CB$119,$J44)&amp;""))</f>
        <v/>
      </c>
      <c r="H44" s="28" t="str">
        <f>IF($J44="","",IF(INDEX(Gantt!$BI$7:$BI$119,$J44)&amp;""&lt;&gt;"",INDEX(Gantt!$BI$7:$BI$119,$J44)&amp;"",INDEX(Gantt!$CA$7:$CA$119,$J44)&amp;""))</f>
        <v/>
      </c>
      <c r="I44">
        <v>33</v>
      </c>
      <c r="J44" t="str">
        <f>IFERROR(MATCH(I44,Gantt!$BZ$7:$BZ$119,0),"")</f>
        <v/>
      </c>
    </row>
    <row r="45" spans="1:10" ht="24" customHeight="1" x14ac:dyDescent="0.3">
      <c r="A45" s="27" t="str">
        <f t="shared" si="0"/>
        <v/>
      </c>
      <c r="B45" s="27" t="str">
        <f>IF($J45="","",INDEX(Gantt!$A$7:$A$119,$J45))</f>
        <v/>
      </c>
      <c r="C45" s="28" t="str">
        <f>IF($J45="","",INDEX(Gantt!$B$7:$B$119,$J45))</f>
        <v/>
      </c>
      <c r="D45" s="29" t="str">
        <f>IF($J45="","",INDEX(Gantt!$D$7:$D$119,$J45))</f>
        <v/>
      </c>
      <c r="E45" s="29" t="str">
        <f>IF($J45="","",IF(N(INDEX(Gantt!$F$7:$F$119,$J45))&gt;=1,INDEX(Gantt!$D$7:$D$119,$J45),""))</f>
        <v/>
      </c>
      <c r="F45" s="30" t="str">
        <f>IF($J45="","",IF(N(INDEX(Gantt!$F$7:$F$119,$J45))&gt;=1,"Completed",IF(N(INDEX(Gantt!$F$7:$F$119,$J45))&gt;0,"In progress","Open")))</f>
        <v/>
      </c>
      <c r="G45" s="31" t="str">
        <f>IF($J45="","",IF(INDEX(Gantt!$BH$7:$BH$119,$J45)&amp;""&lt;&gt;"",INDEX(Gantt!$BH$7:$BH$119,$J45)&amp;"",INDEX(Gantt!$CB$7:$CB$119,$J45)&amp;""))</f>
        <v/>
      </c>
      <c r="H45" s="28" t="str">
        <f>IF($J45="","",IF(INDEX(Gantt!$BI$7:$BI$119,$J45)&amp;""&lt;&gt;"",INDEX(Gantt!$BI$7:$BI$119,$J45)&amp;"",INDEX(Gantt!$CA$7:$CA$119,$J45)&amp;""))</f>
        <v/>
      </c>
      <c r="I45">
        <v>34</v>
      </c>
      <c r="J45" t="str">
        <f>IFERROR(MATCH(I45,Gantt!$BZ$7:$BZ$119,0),"")</f>
        <v/>
      </c>
    </row>
    <row r="46" spans="1:10" ht="24" customHeight="1" x14ac:dyDescent="0.3">
      <c r="A46" s="27" t="str">
        <f t="shared" si="0"/>
        <v/>
      </c>
      <c r="B46" s="27" t="str">
        <f>IF($J46="","",INDEX(Gantt!$A$7:$A$119,$J46))</f>
        <v/>
      </c>
      <c r="C46" s="28" t="str">
        <f>IF($J46="","",INDEX(Gantt!$B$7:$B$119,$J46))</f>
        <v/>
      </c>
      <c r="D46" s="29" t="str">
        <f>IF($J46="","",INDEX(Gantt!$D$7:$D$119,$J46))</f>
        <v/>
      </c>
      <c r="E46" s="29" t="str">
        <f>IF($J46="","",IF(N(INDEX(Gantt!$F$7:$F$119,$J46))&gt;=1,INDEX(Gantt!$D$7:$D$119,$J46),""))</f>
        <v/>
      </c>
      <c r="F46" s="30" t="str">
        <f>IF($J46="","",IF(N(INDEX(Gantt!$F$7:$F$119,$J46))&gt;=1,"Completed",IF(N(INDEX(Gantt!$F$7:$F$119,$J46))&gt;0,"In progress","Open")))</f>
        <v/>
      </c>
      <c r="G46" s="31" t="str">
        <f>IF($J46="","",IF(INDEX(Gantt!$BH$7:$BH$119,$J46)&amp;""&lt;&gt;"",INDEX(Gantt!$BH$7:$BH$119,$J46)&amp;"",INDEX(Gantt!$CB$7:$CB$119,$J46)&amp;""))</f>
        <v/>
      </c>
      <c r="H46" s="28" t="str">
        <f>IF($J46="","",IF(INDEX(Gantt!$BI$7:$BI$119,$J46)&amp;""&lt;&gt;"",INDEX(Gantt!$BI$7:$BI$119,$J46)&amp;"",INDEX(Gantt!$CA$7:$CA$119,$J46)&amp;""))</f>
        <v/>
      </c>
      <c r="I46">
        <v>35</v>
      </c>
      <c r="J46" t="str">
        <f>IFERROR(MATCH(I46,Gantt!$BZ$7:$BZ$119,0),"")</f>
        <v/>
      </c>
    </row>
    <row r="47" spans="1:10" ht="24" customHeight="1" x14ac:dyDescent="0.3">
      <c r="A47" s="27" t="str">
        <f t="shared" si="0"/>
        <v/>
      </c>
      <c r="B47" s="27" t="str">
        <f>IF($J47="","",INDEX(Gantt!$A$7:$A$119,$J47))</f>
        <v/>
      </c>
      <c r="C47" s="28" t="str">
        <f>IF($J47="","",INDEX(Gantt!$B$7:$B$119,$J47))</f>
        <v/>
      </c>
      <c r="D47" s="29" t="str">
        <f>IF($J47="","",INDEX(Gantt!$D$7:$D$119,$J47))</f>
        <v/>
      </c>
      <c r="E47" s="29" t="str">
        <f>IF($J47="","",IF(N(INDEX(Gantt!$F$7:$F$119,$J47))&gt;=1,INDEX(Gantt!$D$7:$D$119,$J47),""))</f>
        <v/>
      </c>
      <c r="F47" s="30" t="str">
        <f>IF($J47="","",IF(N(INDEX(Gantt!$F$7:$F$119,$J47))&gt;=1,"Completed",IF(N(INDEX(Gantt!$F$7:$F$119,$J47))&gt;0,"In progress","Open")))</f>
        <v/>
      </c>
      <c r="G47" s="31" t="str">
        <f>IF($J47="","",IF(INDEX(Gantt!$BH$7:$BH$119,$J47)&amp;""&lt;&gt;"",INDEX(Gantt!$BH$7:$BH$119,$J47)&amp;"",INDEX(Gantt!$CB$7:$CB$119,$J47)&amp;""))</f>
        <v/>
      </c>
      <c r="H47" s="28" t="str">
        <f>IF($J47="","",IF(INDEX(Gantt!$BI$7:$BI$119,$J47)&amp;""&lt;&gt;"",INDEX(Gantt!$BI$7:$BI$119,$J47)&amp;"",INDEX(Gantt!$CA$7:$CA$119,$J47)&amp;""))</f>
        <v/>
      </c>
      <c r="I47">
        <v>36</v>
      </c>
      <c r="J47" t="str">
        <f>IFERROR(MATCH(I47,Gantt!$BZ$7:$BZ$119,0),"")</f>
        <v/>
      </c>
    </row>
    <row r="48" spans="1:10" ht="24" customHeight="1" x14ac:dyDescent="0.3">
      <c r="A48" s="27" t="str">
        <f t="shared" si="0"/>
        <v/>
      </c>
      <c r="B48" s="27" t="str">
        <f>IF($J48="","",INDEX(Gantt!$A$7:$A$119,$J48))</f>
        <v/>
      </c>
      <c r="C48" s="28" t="str">
        <f>IF($J48="","",INDEX(Gantt!$B$7:$B$119,$J48))</f>
        <v/>
      </c>
      <c r="D48" s="29" t="str">
        <f>IF($J48="","",INDEX(Gantt!$D$7:$D$119,$J48))</f>
        <v/>
      </c>
      <c r="E48" s="29" t="str">
        <f>IF($J48="","",IF(N(INDEX(Gantt!$F$7:$F$119,$J48))&gt;=1,INDEX(Gantt!$D$7:$D$119,$J48),""))</f>
        <v/>
      </c>
      <c r="F48" s="30" t="str">
        <f>IF($J48="","",IF(N(INDEX(Gantt!$F$7:$F$119,$J48))&gt;=1,"Completed",IF(N(INDEX(Gantt!$F$7:$F$119,$J48))&gt;0,"In progress","Open")))</f>
        <v/>
      </c>
      <c r="G48" s="31" t="str">
        <f>IF($J48="","",IF(INDEX(Gantt!$BH$7:$BH$119,$J48)&amp;""&lt;&gt;"",INDEX(Gantt!$BH$7:$BH$119,$J48)&amp;"",INDEX(Gantt!$CB$7:$CB$119,$J48)&amp;""))</f>
        <v/>
      </c>
      <c r="H48" s="28" t="str">
        <f>IF($J48="","",IF(INDEX(Gantt!$BI$7:$BI$119,$J48)&amp;""&lt;&gt;"",INDEX(Gantt!$BI$7:$BI$119,$J48)&amp;"",INDEX(Gantt!$CA$7:$CA$119,$J48)&amp;""))</f>
        <v/>
      </c>
      <c r="I48">
        <v>37</v>
      </c>
      <c r="J48" t="str">
        <f>IFERROR(MATCH(I48,Gantt!$BZ$7:$BZ$119,0),"")</f>
        <v/>
      </c>
    </row>
    <row r="49" spans="1:10" ht="24" customHeight="1" x14ac:dyDescent="0.3">
      <c r="A49" s="27" t="str">
        <f t="shared" si="0"/>
        <v/>
      </c>
      <c r="B49" s="27" t="str">
        <f>IF($J49="","",INDEX(Gantt!$A$7:$A$119,$J49))</f>
        <v/>
      </c>
      <c r="C49" s="28" t="str">
        <f>IF($J49="","",INDEX(Gantt!$B$7:$B$119,$J49))</f>
        <v/>
      </c>
      <c r="D49" s="29" t="str">
        <f>IF($J49="","",INDEX(Gantt!$D$7:$D$119,$J49))</f>
        <v/>
      </c>
      <c r="E49" s="29" t="str">
        <f>IF($J49="","",IF(N(INDEX(Gantt!$F$7:$F$119,$J49))&gt;=1,INDEX(Gantt!$D$7:$D$119,$J49),""))</f>
        <v/>
      </c>
      <c r="F49" s="30" t="str">
        <f>IF($J49="","",IF(N(INDEX(Gantt!$F$7:$F$119,$J49))&gt;=1,"Completed",IF(N(INDEX(Gantt!$F$7:$F$119,$J49))&gt;0,"In progress","Open")))</f>
        <v/>
      </c>
      <c r="G49" s="31" t="str">
        <f>IF($J49="","",IF(INDEX(Gantt!$BH$7:$BH$119,$J49)&amp;""&lt;&gt;"",INDEX(Gantt!$BH$7:$BH$119,$J49)&amp;"",INDEX(Gantt!$CB$7:$CB$119,$J49)&amp;""))</f>
        <v/>
      </c>
      <c r="H49" s="28" t="str">
        <f>IF($J49="","",IF(INDEX(Gantt!$BI$7:$BI$119,$J49)&amp;""&lt;&gt;"",INDEX(Gantt!$BI$7:$BI$119,$J49)&amp;"",INDEX(Gantt!$CA$7:$CA$119,$J49)&amp;""))</f>
        <v/>
      </c>
      <c r="I49">
        <v>38</v>
      </c>
      <c r="J49" t="str">
        <f>IFERROR(MATCH(I49,Gantt!$BZ$7:$BZ$119,0),"")</f>
        <v/>
      </c>
    </row>
    <row r="50" spans="1:10" ht="24" customHeight="1" x14ac:dyDescent="0.3">
      <c r="A50" s="27" t="str">
        <f t="shared" si="0"/>
        <v/>
      </c>
      <c r="B50" s="27" t="str">
        <f>IF($J50="","",INDEX(Gantt!$A$7:$A$119,$J50))</f>
        <v/>
      </c>
      <c r="C50" s="28" t="str">
        <f>IF($J50="","",INDEX(Gantt!$B$7:$B$119,$J50))</f>
        <v/>
      </c>
      <c r="D50" s="29" t="str">
        <f>IF($J50="","",INDEX(Gantt!$D$7:$D$119,$J50))</f>
        <v/>
      </c>
      <c r="E50" s="29" t="str">
        <f>IF($J50="","",IF(N(INDEX(Gantt!$F$7:$F$119,$J50))&gt;=1,INDEX(Gantt!$D$7:$D$119,$J50),""))</f>
        <v/>
      </c>
      <c r="F50" s="30" t="str">
        <f>IF($J50="","",IF(N(INDEX(Gantt!$F$7:$F$119,$J50))&gt;=1,"Completed",IF(N(INDEX(Gantt!$F$7:$F$119,$J50))&gt;0,"In progress","Open")))</f>
        <v/>
      </c>
      <c r="G50" s="31" t="str">
        <f>IF($J50="","",IF(INDEX(Gantt!$BH$7:$BH$119,$J50)&amp;""&lt;&gt;"",INDEX(Gantt!$BH$7:$BH$119,$J50)&amp;"",INDEX(Gantt!$CB$7:$CB$119,$J50)&amp;""))</f>
        <v/>
      </c>
      <c r="H50" s="28" t="str">
        <f>IF($J50="","",IF(INDEX(Gantt!$BI$7:$BI$119,$J50)&amp;""&lt;&gt;"",INDEX(Gantt!$BI$7:$BI$119,$J50)&amp;"",INDEX(Gantt!$CA$7:$CA$119,$J50)&amp;""))</f>
        <v/>
      </c>
      <c r="I50">
        <v>39</v>
      </c>
      <c r="J50" t="str">
        <f>IFERROR(MATCH(I50,Gantt!$BZ$7:$BZ$119,0),"")</f>
        <v/>
      </c>
    </row>
    <row r="51" spans="1:10" ht="24" customHeight="1" x14ac:dyDescent="0.3">
      <c r="A51" s="27" t="str">
        <f t="shared" si="0"/>
        <v/>
      </c>
      <c r="B51" s="27" t="str">
        <f>IF($J51="","",INDEX(Gantt!$A$7:$A$119,$J51))</f>
        <v/>
      </c>
      <c r="C51" s="28" t="str">
        <f>IF($J51="","",INDEX(Gantt!$B$7:$B$119,$J51))</f>
        <v/>
      </c>
      <c r="D51" s="29" t="str">
        <f>IF($J51="","",INDEX(Gantt!$D$7:$D$119,$J51))</f>
        <v/>
      </c>
      <c r="E51" s="29" t="str">
        <f>IF($J51="","",IF(N(INDEX(Gantt!$F$7:$F$119,$J51))&gt;=1,INDEX(Gantt!$D$7:$D$119,$J51),""))</f>
        <v/>
      </c>
      <c r="F51" s="30" t="str">
        <f>IF($J51="","",IF(N(INDEX(Gantt!$F$7:$F$119,$J51))&gt;=1,"Completed",IF(N(INDEX(Gantt!$F$7:$F$119,$J51))&gt;0,"In progress","Open")))</f>
        <v/>
      </c>
      <c r="G51" s="31" t="str">
        <f>IF($J51="","",IF(INDEX(Gantt!$BH$7:$BH$119,$J51)&amp;""&lt;&gt;"",INDEX(Gantt!$BH$7:$BH$119,$J51)&amp;"",INDEX(Gantt!$CB$7:$CB$119,$J51)&amp;""))</f>
        <v/>
      </c>
      <c r="H51" s="28" t="str">
        <f>IF($J51="","",IF(INDEX(Gantt!$BI$7:$BI$119,$J51)&amp;""&lt;&gt;"",INDEX(Gantt!$BI$7:$BI$119,$J51)&amp;"",INDEX(Gantt!$CA$7:$CA$119,$J51)&amp;""))</f>
        <v/>
      </c>
      <c r="I51">
        <v>40</v>
      </c>
      <c r="J51" t="str">
        <f>IFERROR(MATCH(I51,Gantt!$BZ$7:$BZ$119,0),"")</f>
        <v/>
      </c>
    </row>
    <row r="53" spans="1:10" x14ac:dyDescent="0.3">
      <c r="A53" s="32" t="s">
        <v>64</v>
      </c>
    </row>
  </sheetData>
  <mergeCells count="12">
    <mergeCell ref="B3:C3"/>
    <mergeCell ref="B5:C5"/>
    <mergeCell ref="D5:H5"/>
    <mergeCell ref="D4:H4"/>
    <mergeCell ref="B8:C8"/>
    <mergeCell ref="B4:C4"/>
    <mergeCell ref="D3:H3"/>
    <mergeCell ref="B6:C6"/>
    <mergeCell ref="D7:H7"/>
    <mergeCell ref="D8:H8"/>
    <mergeCell ref="D6:H6"/>
    <mergeCell ref="B7:C7"/>
  </mergeCells>
  <conditionalFormatting sqref="A12:H51">
    <cfRule type="expression" dxfId="4" priority="1">
      <formula>AND($J12&lt;&gt;"",MOD(ROW(),2)=0)</formula>
    </cfRule>
    <cfRule type="expression" dxfId="3" priority="2">
      <formula>$J12&lt;&gt;""</formula>
    </cfRule>
  </conditionalFormatting>
  <conditionalFormatting sqref="F12:F51">
    <cfRule type="expression" dxfId="2" priority="3">
      <formula>F12="Completed"</formula>
    </cfRule>
    <cfRule type="expression" dxfId="1" priority="4">
      <formula>F12="In progress"</formula>
    </cfRule>
    <cfRule type="expression" dxfId="0" priority="5">
      <formula>F12="Open"</formula>
    </cfRule>
  </conditionalFormatting>
  <pageMargins left="0.75" right="0.75" top="1" bottom="1" header="0.5" footer="0.5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U1446"/>
  <sheetViews>
    <sheetView workbookViewId="0"/>
  </sheetViews>
  <sheetFormatPr defaultRowHeight="14.4" x14ac:dyDescent="0.3"/>
  <sheetData>
    <row r="1" spans="1:99" x14ac:dyDescent="0.3">
      <c r="A1" t="s">
        <v>65</v>
      </c>
      <c r="B1" s="41">
        <f>MIN(Gantt!$C$7:$C$119)-WEEKDAY(MIN(Gantt!$C$7:$C$119),2)+1</f>
        <v>46027</v>
      </c>
      <c r="D1" t="s">
        <v>66</v>
      </c>
      <c r="E1" s="41">
        <f ca="1">TODAY()</f>
        <v>46296</v>
      </c>
    </row>
    <row r="2" spans="1:99" x14ac:dyDescent="0.3">
      <c r="A2" t="s">
        <v>67</v>
      </c>
      <c r="B2">
        <f>ROWS(GanttPlan[WBS])</f>
        <v>29</v>
      </c>
      <c r="D2" t="s">
        <v>68</v>
      </c>
      <c r="E2">
        <f ca="1">IF(OR(E1&lt;Gantt!$J$6,E1&gt;=Gantt!$BF$6),NA(),MATCH(E1,Gantt!$J$6:$BE$6,1))</f>
        <v>39</v>
      </c>
    </row>
    <row r="3" spans="1:99" x14ac:dyDescent="0.3">
      <c r="A3" t="s">
        <v>69</v>
      </c>
      <c r="B3">
        <f>ROW(Gantt!$A$7)-1</f>
        <v>6</v>
      </c>
      <c r="D3" t="s">
        <v>70</v>
      </c>
      <c r="F3">
        <f ca="1">(E2-1)*7+7*IF(Gantt!$T$4="Day",0.5,MIN(1,(NETWORKDAYS(INDEX(Gantt!$J$6:$BE$6,E2),E1)-IF(WEEKDAY(E1,2)&gt;5,0,0.5))/NETWORKDAYS(INDEX(Gantt!$J$6:$BE$6,E2),INDEX(Gantt!$K$6:$BF$6,E2)-1)))</f>
        <v>270.89999999999998</v>
      </c>
      <c r="G3">
        <f ca="1">F3</f>
        <v>270.89999999999998</v>
      </c>
      <c r="I3" t="s">
        <v>71</v>
      </c>
      <c r="J3">
        <f ca="1">E1-B1+0.5</f>
        <v>269.5</v>
      </c>
      <c r="K3">
        <f ca="1">J3</f>
        <v>269.5</v>
      </c>
    </row>
    <row r="4" spans="1:99" x14ac:dyDescent="0.3">
      <c r="A4" t="s">
        <v>72</v>
      </c>
      <c r="B4">
        <v>3</v>
      </c>
      <c r="D4" t="s">
        <v>73</v>
      </c>
      <c r="F4">
        <v>0</v>
      </c>
      <c r="G4">
        <v>1</v>
      </c>
      <c r="I4" t="s">
        <v>74</v>
      </c>
      <c r="J4">
        <v>-1.2</v>
      </c>
      <c r="K4">
        <f>B2+0.5</f>
        <v>29.5</v>
      </c>
    </row>
    <row r="5" spans="1:99" x14ac:dyDescent="0.3">
      <c r="A5" t="s">
        <v>75</v>
      </c>
    </row>
    <row r="6" spans="1:99" x14ac:dyDescent="0.3">
      <c r="A6" t="s">
        <v>76</v>
      </c>
      <c r="B6" t="s">
        <v>77</v>
      </c>
      <c r="C6" t="s">
        <v>78</v>
      </c>
      <c r="D6" t="s">
        <v>79</v>
      </c>
      <c r="E6" t="s">
        <v>80</v>
      </c>
      <c r="F6" t="s">
        <v>81</v>
      </c>
      <c r="G6" t="s">
        <v>82</v>
      </c>
      <c r="H6" t="s">
        <v>83</v>
      </c>
      <c r="I6" t="s">
        <v>84</v>
      </c>
      <c r="J6" t="s">
        <v>85</v>
      </c>
      <c r="K6" t="s">
        <v>86</v>
      </c>
      <c r="L6" t="s">
        <v>87</v>
      </c>
      <c r="M6" t="s">
        <v>88</v>
      </c>
      <c r="N6" t="s">
        <v>89</v>
      </c>
      <c r="O6" t="s">
        <v>90</v>
      </c>
      <c r="P6" t="s">
        <v>91</v>
      </c>
      <c r="Q6" t="s">
        <v>92</v>
      </c>
      <c r="R6" t="s">
        <v>93</v>
      </c>
      <c r="S6" t="s">
        <v>94</v>
      </c>
      <c r="T6" t="s">
        <v>95</v>
      </c>
      <c r="U6" t="s">
        <v>96</v>
      </c>
      <c r="V6" t="s">
        <v>97</v>
      </c>
      <c r="W6" t="s">
        <v>98</v>
      </c>
      <c r="X6" t="s">
        <v>99</v>
      </c>
      <c r="Y6" t="s">
        <v>100</v>
      </c>
      <c r="Z6" t="s">
        <v>101</v>
      </c>
      <c r="AA6" t="s">
        <v>102</v>
      </c>
      <c r="AB6" t="s">
        <v>103</v>
      </c>
      <c r="AC6" t="s">
        <v>104</v>
      </c>
      <c r="AD6" t="s">
        <v>105</v>
      </c>
      <c r="AE6" t="s">
        <v>106</v>
      </c>
      <c r="AF6" t="s">
        <v>107</v>
      </c>
      <c r="AG6" t="s">
        <v>108</v>
      </c>
      <c r="AH6" t="s">
        <v>109</v>
      </c>
      <c r="AI6" t="s">
        <v>110</v>
      </c>
      <c r="AJ6" t="s">
        <v>111</v>
      </c>
      <c r="AK6" t="s">
        <v>112</v>
      </c>
      <c r="AL6" t="s">
        <v>113</v>
      </c>
      <c r="AM6" t="s">
        <v>114</v>
      </c>
      <c r="AN6" t="s">
        <v>115</v>
      </c>
      <c r="AO6" t="s">
        <v>116</v>
      </c>
      <c r="AP6" t="s">
        <v>117</v>
      </c>
      <c r="AQ6" t="s">
        <v>118</v>
      </c>
      <c r="AR6" t="s">
        <v>119</v>
      </c>
      <c r="AS6" t="s">
        <v>120</v>
      </c>
      <c r="AT6" t="s">
        <v>121</v>
      </c>
      <c r="AU6" t="s">
        <v>122</v>
      </c>
      <c r="AV6" t="s">
        <v>123</v>
      </c>
      <c r="AW6" t="s">
        <v>124</v>
      </c>
      <c r="AX6" t="s">
        <v>125</v>
      </c>
      <c r="AY6" t="s">
        <v>126</v>
      </c>
      <c r="BA6" t="s">
        <v>127</v>
      </c>
      <c r="BB6" t="s">
        <v>128</v>
      </c>
      <c r="BC6" t="s">
        <v>129</v>
      </c>
      <c r="BE6" t="s">
        <v>130</v>
      </c>
      <c r="BF6" t="s">
        <v>131</v>
      </c>
      <c r="BG6" t="s">
        <v>132</v>
      </c>
      <c r="BH6" t="s">
        <v>133</v>
      </c>
      <c r="BI6" t="s">
        <v>134</v>
      </c>
      <c r="BJ6" t="s">
        <v>135</v>
      </c>
      <c r="BK6" t="s">
        <v>106</v>
      </c>
      <c r="BL6" t="s">
        <v>136</v>
      </c>
      <c r="BM6" t="s">
        <v>137</v>
      </c>
      <c r="BN6" t="s">
        <v>107</v>
      </c>
      <c r="BO6" t="s">
        <v>138</v>
      </c>
      <c r="BP6" t="s">
        <v>109</v>
      </c>
      <c r="BQ6" t="s">
        <v>110</v>
      </c>
      <c r="BR6" t="s">
        <v>111</v>
      </c>
      <c r="BS6" t="s">
        <v>112</v>
      </c>
      <c r="BT6" t="s">
        <v>113</v>
      </c>
      <c r="BU6" t="s">
        <v>114</v>
      </c>
      <c r="BV6" t="s">
        <v>115</v>
      </c>
      <c r="BW6" t="s">
        <v>116</v>
      </c>
      <c r="BX6" t="s">
        <v>117</v>
      </c>
      <c r="BY6" t="s">
        <v>118</v>
      </c>
      <c r="BZ6" t="s">
        <v>119</v>
      </c>
      <c r="CA6" t="s">
        <v>120</v>
      </c>
      <c r="CB6" t="s">
        <v>121</v>
      </c>
      <c r="CC6" t="s">
        <v>122</v>
      </c>
      <c r="CD6" t="s">
        <v>123</v>
      </c>
      <c r="CE6" t="s">
        <v>124</v>
      </c>
      <c r="CF6" t="s">
        <v>125</v>
      </c>
      <c r="CG6" t="s">
        <v>126</v>
      </c>
      <c r="CI6" t="s">
        <v>139</v>
      </c>
      <c r="CJ6" t="s">
        <v>140</v>
      </c>
      <c r="CK6" t="s">
        <v>141</v>
      </c>
      <c r="CL6" t="s">
        <v>142</v>
      </c>
      <c r="CM6" t="s">
        <v>143</v>
      </c>
      <c r="CN6" t="s">
        <v>144</v>
      </c>
      <c r="CP6" t="s">
        <v>145</v>
      </c>
      <c r="CQ6" t="s">
        <v>146</v>
      </c>
      <c r="CR6" t="s">
        <v>147</v>
      </c>
      <c r="CS6" t="s">
        <v>148</v>
      </c>
      <c r="CT6" t="s">
        <v>149</v>
      </c>
      <c r="CU6" t="s">
        <v>150</v>
      </c>
    </row>
    <row r="7" spans="1:99" x14ac:dyDescent="0.3">
      <c r="A7">
        <v>1</v>
      </c>
      <c r="B7">
        <f>IF(A7&lt;=$B$2,IF(INDEX(Gantt!$A$7:$A$119,A7)&lt;&gt;"",1,0),0)</f>
        <v>1</v>
      </c>
      <c r="C7">
        <f>IF(B7=1,INDEX(Gantt!$C$7:$C$119,A7),NA())</f>
        <v>46027</v>
      </c>
      <c r="D7">
        <f>IF(B7=1,INDEX(Gantt!$D$7:$D$119,A7)+1,NA())</f>
        <v>46032</v>
      </c>
      <c r="E7">
        <f>IF(B7=1,INDEX(Gantt!$BN$7:$BN$119,A7),0)</f>
        <v>1</v>
      </c>
      <c r="F7">
        <f>IF(B7=1,N(INDEX(Gantt!$F$7:$F$119,A7)),0)</f>
        <v>0</v>
      </c>
      <c r="G7">
        <f t="shared" ref="G7:G38" si="0">IF(B7=1,IF(AND(E7=3,D7-C7=1),1,0),0)</f>
        <v>0</v>
      </c>
      <c r="H7">
        <f t="shared" ref="H7:H38" si="1">IF(B7=1,C7-$B$1,NA())</f>
        <v>0</v>
      </c>
      <c r="I7">
        <f t="shared" ref="I7:I38" si="2">IF(B7=1,D7-C7,NA())</f>
        <v>5</v>
      </c>
      <c r="J7">
        <f t="shared" ref="J7:J38" si="3">IF($B7=1,$A7,NA())</f>
        <v>1</v>
      </c>
      <c r="K7" t="e">
        <f t="shared" ref="K7:K38" si="4">IF(AND(B7=1,G7=0,F7&gt;=1),H7,NA())</f>
        <v>#N/A</v>
      </c>
      <c r="L7">
        <f t="shared" ref="L7:L38" si="5">IF(AND(B7=1,G7=0,F7&lt;1,E7=1),H7+S7,NA())</f>
        <v>0</v>
      </c>
      <c r="M7" t="e">
        <f t="shared" ref="M7:M38" si="6">IF(AND(B7=1,G7=0,F7&lt;1,E7=2),H7+S7,NA())</f>
        <v>#N/A</v>
      </c>
      <c r="N7" t="e">
        <f t="shared" ref="N7:N38" si="7">IF(AND(B7=1,G7=0,F7&lt;1,E7=3),H7+S7,NA())</f>
        <v>#N/A</v>
      </c>
      <c r="O7" t="e">
        <f t="shared" ref="O7:O38" si="8">IF(AND(B7=1,G7=1),H7+0.5,NA())</f>
        <v>#N/A</v>
      </c>
      <c r="P7">
        <f t="shared" ref="P7:P38" si="9">IF(B7=1,H7+IF(G7=1,1.5,I7),NA())</f>
        <v>5</v>
      </c>
      <c r="Q7" t="str">
        <f>IF(B7=1,INDEX(Gantt!$A$7:$A$119,A7)&amp;"   "&amp;INDEX(Gantt!$B$7:$B$119,A7),"")</f>
        <v>1   Project</v>
      </c>
      <c r="R7" t="e">
        <f t="shared" ref="R7:R38" si="10">IF(AND(B7=1,G7=0,F7&gt;0,F7&lt;1),H7,NA())</f>
        <v>#N/A</v>
      </c>
      <c r="S7">
        <f t="shared" ref="S7:S38" si="11">IF(B7=1,I7*F7,0)</f>
        <v>0</v>
      </c>
      <c r="T7">
        <f t="shared" ref="T7:T38" si="12">IF(B7=1,MAX(0,I7-S7),0)</f>
        <v>5</v>
      </c>
      <c r="U7">
        <v>1</v>
      </c>
      <c r="V7">
        <f t="shared" ref="V7:V70" si="13">INT((U7-1)/4)+1</f>
        <v>1</v>
      </c>
      <c r="W7">
        <f t="shared" ref="W7:W70" si="14">MOD(U7-1,4)+1</f>
        <v>1</v>
      </c>
      <c r="X7">
        <f t="shared" ref="X7:X70" si="15">INDEX($B$7:$B$126,V7)</f>
        <v>1</v>
      </c>
      <c r="Y7">
        <f>IF(X7&lt;&gt;1,9999,CHOOSE(W7,INDEX(Gantt!$BQ$7:$BQ$119,V7),INDEX(Gantt!$BR$7:$BR$119,V7),INDEX(Gantt!$BT$7:$BT$119,V7),INDEX(Gantt!$BU$7:$BU$119,V7)))</f>
        <v>9999</v>
      </c>
      <c r="Z7">
        <f t="shared" ref="Z7:Z70" si="16">IF(AND(Y7&gt;$B$3,Y7&lt;=$B$3+MIN($B$2,120),Y7&lt;&gt;$B$3+V7),1,0)</f>
        <v>0</v>
      </c>
      <c r="AA7" t="e">
        <f t="shared" ref="AA7:AA70" si="17">IF(Z7=1,Y7-$B$3,NA())</f>
        <v>#N/A</v>
      </c>
      <c r="AB7" t="e">
        <f t="shared" ref="AB7:AB70" si="18">IF(Z7=1,INDEX($H$7:$H$126,V7)-IF(INDEX($G$7:$G$126,V7)=1,1,0),NA())</f>
        <v>#N/A</v>
      </c>
      <c r="AC7" t="e">
        <f t="shared" ref="AC7:AC70" si="19">IF(Z7=1,IF(AD7=1,INDEX($H$7:$H$126,AA7)+2,INDEX($D$7:$D$126,AA7)-$B$1),NA())</f>
        <v>#N/A</v>
      </c>
      <c r="AD7" t="e">
        <f t="shared" ref="AD7:AD70" si="20">IF(Z7=1,INDEX($G$7:$G$126,AA7),NA())</f>
        <v>#N/A</v>
      </c>
      <c r="AE7" t="e">
        <f t="shared" ref="AE7:AE70" si="21">IF(Z7=1,IF(AA7&lt;V7,1,-1),NA())</f>
        <v>#N/A</v>
      </c>
      <c r="AF7" t="e">
        <f t="shared" ref="AF7:AF70" si="22">IF(Z7=1,IF(AB7&gt;=AC7,1,2),NA())</f>
        <v>#N/A</v>
      </c>
      <c r="AG7" t="e">
        <f t="shared" ref="AG7:AG70" si="23">IF(Z7=1,IF(AD7=1,INDEX($H$7:$H$126,AA7)+0.5,AC7-MIN(1.5,INDEX($I$7:$I$126,AA7)/2)),NA())</f>
        <v>#N/A</v>
      </c>
      <c r="AH7" t="e">
        <f t="shared" ref="AH7:AH70" si="24">IF(Z7=1,AA7+AE7*IF(AD7=1,0.3,0.22),NA())</f>
        <v>#N/A</v>
      </c>
      <c r="AI7" t="e">
        <f t="shared" ref="AI7:AI70" si="25">IF(Z7=1,AC7+2,NA())</f>
        <v>#N/A</v>
      </c>
      <c r="AJ7" t="e">
        <f t="shared" ref="AJ7:AJ70" si="26">IF(Z7=1,V7-0.5*AE7,NA())</f>
        <v>#N/A</v>
      </c>
      <c r="AK7" t="e">
        <f t="shared" ref="AK7:AK70" si="27">IF(Z7=1,AB7-3,NA())</f>
        <v>#N/A</v>
      </c>
      <c r="AL7" t="e">
        <f t="shared" ref="AL7:AL70" si="28">IF(Z7=1,CHOOSE(AF7+1,0,AG7,AC7),NA())</f>
        <v>#N/A</v>
      </c>
      <c r="AM7" t="e">
        <f t="shared" ref="AM7:AM70" si="29">IF(Z7=1,CHOOSE(AF7+1,V7,V7,AA7),NA())</f>
        <v>#N/A</v>
      </c>
      <c r="AN7" t="e">
        <f t="shared" ref="AN7:AN70" si="30">IF(Z7=1,CHOOSE(AF7+1,AB7-2.5,AB7-2.5,AI7),NA())</f>
        <v>#N/A</v>
      </c>
      <c r="AO7" t="e">
        <f t="shared" ref="AO7:AO70" si="31">IF(Z7=1,CHOOSE(AF7+1,V7,AH7,AA7),NA())</f>
        <v>#N/A</v>
      </c>
      <c r="AP7" t="e">
        <f t="shared" ref="AP7:AP70" si="32">IF(Z7=1,IF(AF7=2,AI7,NA()),NA())</f>
        <v>#N/A</v>
      </c>
      <c r="AQ7" t="e">
        <f t="shared" ref="AQ7:AQ70" si="33">IF(Z7=1,IF(AF7=2,AJ7,NA()),NA())</f>
        <v>#N/A</v>
      </c>
      <c r="AR7" t="e">
        <f t="shared" ref="AR7:AR70" si="34">IF(Z7=1,AK7,NA())</f>
        <v>#N/A</v>
      </c>
      <c r="AS7" t="e">
        <f t="shared" ref="AS7:AS70" si="35">IF(Z7=1,AA7,NA())</f>
        <v>#N/A</v>
      </c>
      <c r="AT7" t="e">
        <f t="shared" ref="AT7:AT70" si="36">IF(Z7=1,IF(AF7=2,AK7,NA()),NA())</f>
        <v>#N/A</v>
      </c>
      <c r="AU7" t="e">
        <f t="shared" ref="AU7:AU70" si="37">IF(Z7=1,IF(AF7=2,V7,NA()),NA())</f>
        <v>#N/A</v>
      </c>
      <c r="AV7" t="e">
        <f t="shared" ref="AV7:AV70" si="38">IF(Z7=1,AB7-2.5,NA())</f>
        <v>#N/A</v>
      </c>
      <c r="AW7" t="e">
        <f t="shared" ref="AW7:AW70" si="39">IF(Z7=1,AJ7,NA())</f>
        <v>#N/A</v>
      </c>
      <c r="AX7" t="e">
        <f t="shared" ref="AX7:AX70" si="40">IF(Z7=1,IF(ISNUMBER(AF7),AB7-3,NA()),NA())</f>
        <v>#N/A</v>
      </c>
      <c r="AY7" t="e">
        <f t="shared" ref="AY7:AY70" si="41">IF(Z7=1,IF(ISNUMBER(AF7),V7,NA()),NA())</f>
        <v>#N/A</v>
      </c>
      <c r="BA7">
        <v>0</v>
      </c>
      <c r="BB7">
        <v>-0.6</v>
      </c>
      <c r="BC7" s="42">
        <f>$B$1+0</f>
        <v>46027</v>
      </c>
      <c r="BE7" t="e">
        <f>IF(Z7=1,IF(INDEX($C$7:$C$126,V7)&gt;=Gantt!$BF$6,NA(),MATCH(INDEX($C$7:$C$126,V7),Gantt!$J$6:$BE$6,1)),NA())</f>
        <v>#N/A</v>
      </c>
      <c r="BF7" t="e">
        <f>IF(Z7=1,IF((INDEX($D$7:$D$126,AA7)-1)&gt;=Gantt!$BF$6,NA(),IF((INDEX($D$7:$D$126,AA7)-1)&lt;Gantt!$J$6,0,MATCH((INDEX($D$7:$D$126,AA7)-1),Gantt!$J$6:$BE$6,1))),NA())</f>
        <v>#N/A</v>
      </c>
      <c r="BG7" t="e">
        <f t="shared" ref="BG7:BG70" si="42">IF(Z7=1,INDEX($G$7:$G$126,AA7),NA())</f>
        <v>#N/A</v>
      </c>
      <c r="BH7" t="e">
        <f t="shared" ref="BH7:BH70" si="43">IF(Z7=1,INDEX($G$7:$G$126,V7),NA())</f>
        <v>#N/A</v>
      </c>
      <c r="BI7" t="e">
        <f t="shared" ref="BI7:BI70" si="44">IF(Z7=1,(V7-0.5)/$B$2,NA())</f>
        <v>#N/A</v>
      </c>
      <c r="BJ7" t="e">
        <f t="shared" ref="BJ7:BJ70" si="45">IF(Z7=1,(AA7-0.5)/$B$2,NA())</f>
        <v>#N/A</v>
      </c>
      <c r="BK7" t="e">
        <f t="shared" ref="BK7:BK70" si="46">IF(Z7=1,IF(AA7&lt;V7,1,-1),NA())</f>
        <v>#N/A</v>
      </c>
      <c r="BL7" t="e">
        <f t="shared" ref="BL7:BL70" si="47">IF(Z7=1,IF(BH7=1,(BE7-1)*7+1.5,(BE7-1)*7),NA())</f>
        <v>#N/A</v>
      </c>
      <c r="BM7" t="e">
        <f t="shared" ref="BM7:BM70" si="48">IF(Z7=1,IF(BF7=0,0,IF(BG7=1,(BF7-1)*7+5.5,BF7*7)),NA())</f>
        <v>#N/A</v>
      </c>
      <c r="BN7" t="e">
        <f t="shared" ref="BN7:BN70" si="49">IF(Z7=1,BL7*0+IF(BF7=0,0,IF(BL7&gt;=BM7,1,2)),NA())</f>
        <v>#N/A</v>
      </c>
      <c r="BO7" t="e">
        <f t="shared" ref="BO7:BO70" si="50">IF(Z7=1,IF(BG7=1,(BF7-1)*7+3.5,BM7-3.5),NA())</f>
        <v>#N/A</v>
      </c>
      <c r="BP7" t="e">
        <f t="shared" ref="BP7:BP70" si="51">IF(Z7=1,IF(BG7=1,BJ7+BK7*0.25/$B$2,IF(BK7=1,AA7/$B$2,(AA7-1)/$B$2)),NA())</f>
        <v>#N/A</v>
      </c>
      <c r="BQ7" t="e">
        <f t="shared" ref="BQ7:BQ70" si="52">IF(Z7=1,BM7+2,NA())</f>
        <v>#N/A</v>
      </c>
      <c r="BR7" t="e">
        <f t="shared" ref="BR7:BR70" si="53">IF(Z7=1,IF(BK7=1,(V7-1)/$B$2,V7/$B$2),NA())</f>
        <v>#N/A</v>
      </c>
      <c r="BS7" t="e">
        <f t="shared" ref="BS7:BS70" si="54">IF(Z7=1,BL7-3,NA())</f>
        <v>#N/A</v>
      </c>
      <c r="BT7" t="e">
        <f t="shared" ref="BT7:BT70" si="55">IF(Z7=1,CHOOSE(BN7+1,0,BO7,BM7),NA())</f>
        <v>#N/A</v>
      </c>
      <c r="BU7" t="e">
        <f t="shared" ref="BU7:BU70" si="56">IF(Z7=1,CHOOSE(BN7+1,BI7,BI7,BJ7),NA())</f>
        <v>#N/A</v>
      </c>
      <c r="BV7" t="e">
        <f t="shared" ref="BV7:BV70" si="57">IF(Z7=1,CHOOSE(BN7+1,BL7-2,BL7-2,BQ7),NA())</f>
        <v>#N/A</v>
      </c>
      <c r="BW7" t="e">
        <f t="shared" ref="BW7:BW70" si="58">IF(Z7=1,CHOOSE(BN7+1,BI7,BP7,BJ7),NA())</f>
        <v>#N/A</v>
      </c>
      <c r="BX7" t="e">
        <f t="shared" ref="BX7:BX70" si="59">IF(Z7=1,IF(BN7=2,BQ7,NA()),NA())</f>
        <v>#N/A</v>
      </c>
      <c r="BY7" t="e">
        <f t="shared" ref="BY7:BY70" si="60">IF(Z7=1,IF(BN7=2,BR7,NA()),NA())</f>
        <v>#N/A</v>
      </c>
      <c r="BZ7" t="e">
        <f t="shared" ref="BZ7:BZ70" si="61">IF(Z7=1,BS7,NA())</f>
        <v>#N/A</v>
      </c>
      <c r="CA7" t="e">
        <f t="shared" ref="CA7:CA70" si="62">IF(Z7=1,BJ7,NA())</f>
        <v>#N/A</v>
      </c>
      <c r="CB7" t="e">
        <f t="shared" ref="CB7:CB70" si="63">IF(Z7=1,IF(BN7=2,BS7,NA()),NA())</f>
        <v>#N/A</v>
      </c>
      <c r="CC7" t="e">
        <f t="shared" ref="CC7:CC70" si="64">IF(Z7=1,IF(BN7=2,BI7,NA()),NA())</f>
        <v>#N/A</v>
      </c>
      <c r="CD7" t="e">
        <f t="shared" ref="CD7:CD70" si="65">IF(Z7=1,BL7-2,NA())</f>
        <v>#N/A</v>
      </c>
      <c r="CE7" t="e">
        <f t="shared" ref="CE7:CE70" si="66">IF(Z7=1,BR7,NA())</f>
        <v>#N/A</v>
      </c>
      <c r="CF7" t="e">
        <f t="shared" ref="CF7:CF70" si="67">IF(Z7=1,IF(ISNUMBER(BN7),BL7-2.5,NA()),NA())</f>
        <v>#N/A</v>
      </c>
      <c r="CG7" t="e">
        <f t="shared" ref="CG7:CG70" si="68">IF(Z7=1,IF(ISNUMBER(BN7),BI7,NA()),NA())</f>
        <v>#N/A</v>
      </c>
      <c r="CI7" t="e">
        <f>AL7</f>
        <v>#N/A</v>
      </c>
      <c r="CJ7" t="e">
        <f>AM7</f>
        <v>#N/A</v>
      </c>
      <c r="CK7">
        <f>IF(ISNUMBER(CI7),IFERROR(MAX(0,AN7-CI7),0),0)</f>
        <v>0</v>
      </c>
      <c r="CL7">
        <f>IF(ISNUMBER(CI7),IFERROR(MAX(0,CI7-AN7),0),0)</f>
        <v>0</v>
      </c>
      <c r="CM7">
        <f>IF(ISNUMBER(CJ7),IFERROR(MAX(0,AO7-CJ7),0),0)</f>
        <v>0</v>
      </c>
      <c r="CN7">
        <f>IF(ISNUMBER(CJ7),IFERROR(MAX(0,CJ7-AO7),0),0)</f>
        <v>0</v>
      </c>
      <c r="CP7" t="e">
        <f>BT7</f>
        <v>#N/A</v>
      </c>
      <c r="CQ7" t="e">
        <f>BU7</f>
        <v>#N/A</v>
      </c>
      <c r="CR7">
        <f>IF(ISNUMBER(CP7),IFERROR(MAX(0,BV7-CP7),0),0)</f>
        <v>0</v>
      </c>
      <c r="CS7">
        <f>IF(ISNUMBER(CP7),IFERROR(MAX(0,CP7-BV7),0),0)</f>
        <v>0</v>
      </c>
      <c r="CT7">
        <f>IF(ISNUMBER(CQ7),IFERROR(MAX(0,BW7-CQ7),0),0)</f>
        <v>0</v>
      </c>
      <c r="CU7">
        <f>IF(ISNUMBER(CQ7),IFERROR(MAX(0,CQ7-BW7),0),0)</f>
        <v>0</v>
      </c>
    </row>
    <row r="8" spans="1:99" x14ac:dyDescent="0.3">
      <c r="A8">
        <v>2</v>
      </c>
      <c r="B8">
        <f>IF(A8&lt;=$B$2,IF(INDEX(Gantt!$A$7:$A$119,A8)&lt;&gt;"",1,0),0)</f>
        <v>1</v>
      </c>
      <c r="C8">
        <f>IF(B8=1,INDEX(Gantt!$C$7:$C$119,A8),NA())</f>
        <v>46027</v>
      </c>
      <c r="D8">
        <f>IF(B8=1,INDEX(Gantt!$D$7:$D$119,A8)+1,NA())</f>
        <v>46032</v>
      </c>
      <c r="E8">
        <f>IF(B8=1,INDEX(Gantt!$BN$7:$BN$119,A8),0)</f>
        <v>3</v>
      </c>
      <c r="F8">
        <f>IF(B8=1,N(INDEX(Gantt!$F$7:$F$119,A8)),0)</f>
        <v>0</v>
      </c>
      <c r="G8">
        <f t="shared" si="0"/>
        <v>0</v>
      </c>
      <c r="H8">
        <f t="shared" si="1"/>
        <v>0</v>
      </c>
      <c r="I8">
        <f t="shared" si="2"/>
        <v>5</v>
      </c>
      <c r="J8">
        <f t="shared" si="3"/>
        <v>2</v>
      </c>
      <c r="K8" t="e">
        <f t="shared" si="4"/>
        <v>#N/A</v>
      </c>
      <c r="L8" t="e">
        <f t="shared" si="5"/>
        <v>#N/A</v>
      </c>
      <c r="M8" t="e">
        <f t="shared" si="6"/>
        <v>#N/A</v>
      </c>
      <c r="N8">
        <f t="shared" si="7"/>
        <v>0</v>
      </c>
      <c r="O8" t="e">
        <f t="shared" si="8"/>
        <v>#N/A</v>
      </c>
      <c r="P8">
        <f t="shared" si="9"/>
        <v>5</v>
      </c>
      <c r="Q8" t="str">
        <f>IF(B8=1,INDEX(Gantt!$A$7:$A$119,A8)&amp;"   "&amp;INDEX(Gantt!$B$7:$B$119,A8),"")</f>
        <v>1.1   Task</v>
      </c>
      <c r="R8" t="e">
        <f t="shared" si="10"/>
        <v>#N/A</v>
      </c>
      <c r="S8">
        <f t="shared" si="11"/>
        <v>0</v>
      </c>
      <c r="T8">
        <f t="shared" si="12"/>
        <v>5</v>
      </c>
      <c r="U8">
        <v>2</v>
      </c>
      <c r="V8">
        <f t="shared" si="13"/>
        <v>1</v>
      </c>
      <c r="W8">
        <f t="shared" si="14"/>
        <v>2</v>
      </c>
      <c r="X8">
        <f t="shared" si="15"/>
        <v>1</v>
      </c>
      <c r="Y8">
        <f>IF(X8&lt;&gt;1,9999,CHOOSE(W8,INDEX(Gantt!$BQ$7:$BQ$119,V8),INDEX(Gantt!$BR$7:$BR$119,V8),INDEX(Gantt!$BT$7:$BT$119,V8),INDEX(Gantt!$BU$7:$BU$119,V8)))</f>
        <v>9999</v>
      </c>
      <c r="Z8">
        <f t="shared" si="16"/>
        <v>0</v>
      </c>
      <c r="AA8" t="e">
        <f t="shared" si="17"/>
        <v>#N/A</v>
      </c>
      <c r="AB8" t="e">
        <f t="shared" si="18"/>
        <v>#N/A</v>
      </c>
      <c r="AC8" t="e">
        <f t="shared" si="19"/>
        <v>#N/A</v>
      </c>
      <c r="AD8" t="e">
        <f t="shared" si="20"/>
        <v>#N/A</v>
      </c>
      <c r="AE8" t="e">
        <f t="shared" si="21"/>
        <v>#N/A</v>
      </c>
      <c r="AF8" t="e">
        <f t="shared" si="22"/>
        <v>#N/A</v>
      </c>
      <c r="AG8" t="e">
        <f t="shared" si="23"/>
        <v>#N/A</v>
      </c>
      <c r="AH8" t="e">
        <f t="shared" si="24"/>
        <v>#N/A</v>
      </c>
      <c r="AI8" t="e">
        <f t="shared" si="25"/>
        <v>#N/A</v>
      </c>
      <c r="AJ8" t="e">
        <f t="shared" si="26"/>
        <v>#N/A</v>
      </c>
      <c r="AK8" t="e">
        <f t="shared" si="27"/>
        <v>#N/A</v>
      </c>
      <c r="AL8" t="e">
        <f t="shared" si="28"/>
        <v>#N/A</v>
      </c>
      <c r="AM8" t="e">
        <f t="shared" si="29"/>
        <v>#N/A</v>
      </c>
      <c r="AN8" t="e">
        <f t="shared" si="30"/>
        <v>#N/A</v>
      </c>
      <c r="AO8" t="e">
        <f t="shared" si="31"/>
        <v>#N/A</v>
      </c>
      <c r="AP8" t="e">
        <f t="shared" si="32"/>
        <v>#N/A</v>
      </c>
      <c r="AQ8" t="e">
        <f t="shared" si="33"/>
        <v>#N/A</v>
      </c>
      <c r="AR8" t="e">
        <f t="shared" si="34"/>
        <v>#N/A</v>
      </c>
      <c r="AS8" t="e">
        <f t="shared" si="35"/>
        <v>#N/A</v>
      </c>
      <c r="AT8" t="e">
        <f t="shared" si="36"/>
        <v>#N/A</v>
      </c>
      <c r="AU8" t="e">
        <f t="shared" si="37"/>
        <v>#N/A</v>
      </c>
      <c r="AV8" t="e">
        <f t="shared" si="38"/>
        <v>#N/A</v>
      </c>
      <c r="AW8" t="e">
        <f t="shared" si="39"/>
        <v>#N/A</v>
      </c>
      <c r="AX8" t="e">
        <f t="shared" si="40"/>
        <v>#N/A</v>
      </c>
      <c r="AY8" t="e">
        <f t="shared" si="41"/>
        <v>#N/A</v>
      </c>
      <c r="BA8">
        <v>14</v>
      </c>
      <c r="BB8">
        <v>-0.6</v>
      </c>
      <c r="BC8" s="42">
        <f>$B$1+14</f>
        <v>46041</v>
      </c>
      <c r="BE8" t="e">
        <f>IF(Z8=1,IF(INDEX($C$7:$C$126,V8)&gt;=Gantt!$BF$6,NA(),MATCH(INDEX($C$7:$C$126,V8),Gantt!$J$6:$BE$6,1)),NA())</f>
        <v>#N/A</v>
      </c>
      <c r="BF8" t="e">
        <f>IF(Z8=1,IF((INDEX($D$7:$D$126,AA8)-1)&gt;=Gantt!$BF$6,NA(),IF((INDEX($D$7:$D$126,AA8)-1)&lt;Gantt!$J$6,0,MATCH((INDEX($D$7:$D$126,AA8)-1),Gantt!$J$6:$BE$6,1))),NA())</f>
        <v>#N/A</v>
      </c>
      <c r="BG8" t="e">
        <f t="shared" si="42"/>
        <v>#N/A</v>
      </c>
      <c r="BH8" t="e">
        <f t="shared" si="43"/>
        <v>#N/A</v>
      </c>
      <c r="BI8" t="e">
        <f t="shared" si="44"/>
        <v>#N/A</v>
      </c>
      <c r="BJ8" t="e">
        <f t="shared" si="45"/>
        <v>#N/A</v>
      </c>
      <c r="BK8" t="e">
        <f t="shared" si="46"/>
        <v>#N/A</v>
      </c>
      <c r="BL8" t="e">
        <f t="shared" si="47"/>
        <v>#N/A</v>
      </c>
      <c r="BM8" t="e">
        <f t="shared" si="48"/>
        <v>#N/A</v>
      </c>
      <c r="BN8" t="e">
        <f t="shared" si="49"/>
        <v>#N/A</v>
      </c>
      <c r="BO8" t="e">
        <f t="shared" si="50"/>
        <v>#N/A</v>
      </c>
      <c r="BP8" t="e">
        <f t="shared" si="51"/>
        <v>#N/A</v>
      </c>
      <c r="BQ8" t="e">
        <f t="shared" si="52"/>
        <v>#N/A</v>
      </c>
      <c r="BR8" t="e">
        <f t="shared" si="53"/>
        <v>#N/A</v>
      </c>
      <c r="BS8" t="e">
        <f t="shared" si="54"/>
        <v>#N/A</v>
      </c>
      <c r="BT8" t="e">
        <f t="shared" si="55"/>
        <v>#N/A</v>
      </c>
      <c r="BU8" t="e">
        <f t="shared" si="56"/>
        <v>#N/A</v>
      </c>
      <c r="BV8" t="e">
        <f t="shared" si="57"/>
        <v>#N/A</v>
      </c>
      <c r="BW8" t="e">
        <f t="shared" si="58"/>
        <v>#N/A</v>
      </c>
      <c r="BX8" t="e">
        <f t="shared" si="59"/>
        <v>#N/A</v>
      </c>
      <c r="BY8" t="e">
        <f t="shared" si="60"/>
        <v>#N/A</v>
      </c>
      <c r="BZ8" t="e">
        <f t="shared" si="61"/>
        <v>#N/A</v>
      </c>
      <c r="CA8" t="e">
        <f t="shared" si="62"/>
        <v>#N/A</v>
      </c>
      <c r="CB8" t="e">
        <f t="shared" si="63"/>
        <v>#N/A</v>
      </c>
      <c r="CC8" t="e">
        <f t="shared" si="64"/>
        <v>#N/A</v>
      </c>
      <c r="CD8" t="e">
        <f t="shared" si="65"/>
        <v>#N/A</v>
      </c>
      <c r="CE8" t="e">
        <f t="shared" si="66"/>
        <v>#N/A</v>
      </c>
      <c r="CF8" t="e">
        <f t="shared" si="67"/>
        <v>#N/A</v>
      </c>
      <c r="CG8" t="e">
        <f t="shared" si="68"/>
        <v>#N/A</v>
      </c>
      <c r="CI8" t="e">
        <f>AP7</f>
        <v>#N/A</v>
      </c>
      <c r="CJ8" t="e">
        <f>AQ7</f>
        <v>#N/A</v>
      </c>
      <c r="CK8">
        <f>IF(ISNUMBER(CI8),IFERROR(MAX(0,AR7-CI8),0),0)</f>
        <v>0</v>
      </c>
      <c r="CL8">
        <f>IF(ISNUMBER(CI8),IFERROR(MAX(0,CI8-AR7),0),0)</f>
        <v>0</v>
      </c>
      <c r="CM8">
        <f>IF(ISNUMBER(CJ8),IFERROR(MAX(0,AS7-CJ8),0),0)</f>
        <v>0</v>
      </c>
      <c r="CN8">
        <f>IF(ISNUMBER(CJ8),IFERROR(MAX(0,CJ8-AS7),0),0)</f>
        <v>0</v>
      </c>
      <c r="CP8" t="e">
        <f>BX7</f>
        <v>#N/A</v>
      </c>
      <c r="CQ8" t="e">
        <f>BY7</f>
        <v>#N/A</v>
      </c>
      <c r="CR8">
        <f>IF(ISNUMBER(CP8),IFERROR(MAX(0,BZ7-CP8),0),0)</f>
        <v>0</v>
      </c>
      <c r="CS8">
        <f>IF(ISNUMBER(CP8),IFERROR(MAX(0,CP8-BZ7),0),0)</f>
        <v>0</v>
      </c>
      <c r="CT8">
        <f>IF(ISNUMBER(CQ8),IFERROR(MAX(0,CA7-CQ8),0),0)</f>
        <v>0</v>
      </c>
      <c r="CU8">
        <f>IF(ISNUMBER(CQ8),IFERROR(MAX(0,CQ8-CA7),0),0)</f>
        <v>0</v>
      </c>
    </row>
    <row r="9" spans="1:99" x14ac:dyDescent="0.3">
      <c r="A9">
        <v>3</v>
      </c>
      <c r="B9">
        <f>IF(A9&lt;=$B$2,IF(INDEX(Gantt!$A$7:$A$119,A9)&lt;&gt;"",1,0),0)</f>
        <v>0</v>
      </c>
      <c r="C9" t="e">
        <f>IF(B9=1,INDEX(Gantt!$C$7:$C$119,A9),NA())</f>
        <v>#N/A</v>
      </c>
      <c r="D9" t="e">
        <f>IF(B9=1,INDEX(Gantt!$D$7:$D$119,A9)+1,NA())</f>
        <v>#N/A</v>
      </c>
      <c r="E9">
        <f>IF(B9=1,INDEX(Gantt!$BN$7:$BN$119,A9),0)</f>
        <v>0</v>
      </c>
      <c r="F9">
        <f>IF(B9=1,N(INDEX(Gantt!$F$7:$F$119,A9)),0)</f>
        <v>0</v>
      </c>
      <c r="G9">
        <f t="shared" si="0"/>
        <v>0</v>
      </c>
      <c r="H9" t="e">
        <f t="shared" si="1"/>
        <v>#N/A</v>
      </c>
      <c r="I9" t="e">
        <f t="shared" si="2"/>
        <v>#N/A</v>
      </c>
      <c r="J9" t="e">
        <f t="shared" si="3"/>
        <v>#N/A</v>
      </c>
      <c r="K9" t="e">
        <f t="shared" si="4"/>
        <v>#N/A</v>
      </c>
      <c r="L9" t="e">
        <f t="shared" si="5"/>
        <v>#N/A</v>
      </c>
      <c r="M9" t="e">
        <f t="shared" si="6"/>
        <v>#N/A</v>
      </c>
      <c r="N9" t="e">
        <f t="shared" si="7"/>
        <v>#N/A</v>
      </c>
      <c r="O9" t="e">
        <f t="shared" si="8"/>
        <v>#N/A</v>
      </c>
      <c r="P9" t="e">
        <f t="shared" si="9"/>
        <v>#N/A</v>
      </c>
      <c r="Q9" t="str">
        <f>IF(B9=1,INDEX(Gantt!$A$7:$A$119,A9)&amp;"   "&amp;INDEX(Gantt!$B$7:$B$119,A9),"")</f>
        <v/>
      </c>
      <c r="R9" t="e">
        <f t="shared" si="10"/>
        <v>#N/A</v>
      </c>
      <c r="S9">
        <f t="shared" si="11"/>
        <v>0</v>
      </c>
      <c r="T9">
        <f t="shared" si="12"/>
        <v>0</v>
      </c>
      <c r="U9">
        <v>3</v>
      </c>
      <c r="V9">
        <f t="shared" si="13"/>
        <v>1</v>
      </c>
      <c r="W9">
        <f t="shared" si="14"/>
        <v>3</v>
      </c>
      <c r="X9">
        <f t="shared" si="15"/>
        <v>1</v>
      </c>
      <c r="Y9">
        <f>IF(X9&lt;&gt;1,9999,CHOOSE(W9,INDEX(Gantt!$BQ$7:$BQ$119,V9),INDEX(Gantt!$BR$7:$BR$119,V9),INDEX(Gantt!$BT$7:$BT$119,V9),INDEX(Gantt!$BU$7:$BU$119,V9)))</f>
        <v>9999</v>
      </c>
      <c r="Z9">
        <f t="shared" si="16"/>
        <v>0</v>
      </c>
      <c r="AA9" t="e">
        <f t="shared" si="17"/>
        <v>#N/A</v>
      </c>
      <c r="AB9" t="e">
        <f t="shared" si="18"/>
        <v>#N/A</v>
      </c>
      <c r="AC9" t="e">
        <f t="shared" si="19"/>
        <v>#N/A</v>
      </c>
      <c r="AD9" t="e">
        <f t="shared" si="20"/>
        <v>#N/A</v>
      </c>
      <c r="AE9" t="e">
        <f t="shared" si="21"/>
        <v>#N/A</v>
      </c>
      <c r="AF9" t="e">
        <f t="shared" si="22"/>
        <v>#N/A</v>
      </c>
      <c r="AG9" t="e">
        <f t="shared" si="23"/>
        <v>#N/A</v>
      </c>
      <c r="AH9" t="e">
        <f t="shared" si="24"/>
        <v>#N/A</v>
      </c>
      <c r="AI9" t="e">
        <f t="shared" si="25"/>
        <v>#N/A</v>
      </c>
      <c r="AJ9" t="e">
        <f t="shared" si="26"/>
        <v>#N/A</v>
      </c>
      <c r="AK9" t="e">
        <f t="shared" si="27"/>
        <v>#N/A</v>
      </c>
      <c r="AL9" t="e">
        <f t="shared" si="28"/>
        <v>#N/A</v>
      </c>
      <c r="AM9" t="e">
        <f t="shared" si="29"/>
        <v>#N/A</v>
      </c>
      <c r="AN9" t="e">
        <f t="shared" si="30"/>
        <v>#N/A</v>
      </c>
      <c r="AO9" t="e">
        <f t="shared" si="31"/>
        <v>#N/A</v>
      </c>
      <c r="AP9" t="e">
        <f t="shared" si="32"/>
        <v>#N/A</v>
      </c>
      <c r="AQ9" t="e">
        <f t="shared" si="33"/>
        <v>#N/A</v>
      </c>
      <c r="AR9" t="e">
        <f t="shared" si="34"/>
        <v>#N/A</v>
      </c>
      <c r="AS9" t="e">
        <f t="shared" si="35"/>
        <v>#N/A</v>
      </c>
      <c r="AT9" t="e">
        <f t="shared" si="36"/>
        <v>#N/A</v>
      </c>
      <c r="AU9" t="e">
        <f t="shared" si="37"/>
        <v>#N/A</v>
      </c>
      <c r="AV9" t="e">
        <f t="shared" si="38"/>
        <v>#N/A</v>
      </c>
      <c r="AW9" t="e">
        <f t="shared" si="39"/>
        <v>#N/A</v>
      </c>
      <c r="AX9" t="e">
        <f t="shared" si="40"/>
        <v>#N/A</v>
      </c>
      <c r="AY9" t="e">
        <f t="shared" si="41"/>
        <v>#N/A</v>
      </c>
      <c r="BA9">
        <v>28</v>
      </c>
      <c r="BB9">
        <v>-0.6</v>
      </c>
      <c r="BC9" s="42">
        <f>$B$1+28</f>
        <v>46055</v>
      </c>
      <c r="BE9" t="e">
        <f>IF(Z9=1,IF(INDEX($C$7:$C$126,V9)&gt;=Gantt!$BF$6,NA(),MATCH(INDEX($C$7:$C$126,V9),Gantt!$J$6:$BE$6,1)),NA())</f>
        <v>#N/A</v>
      </c>
      <c r="BF9" t="e">
        <f>IF(Z9=1,IF((INDEX($D$7:$D$126,AA9)-1)&gt;=Gantt!$BF$6,NA(),IF((INDEX($D$7:$D$126,AA9)-1)&lt;Gantt!$J$6,0,MATCH((INDEX($D$7:$D$126,AA9)-1),Gantt!$J$6:$BE$6,1))),NA())</f>
        <v>#N/A</v>
      </c>
      <c r="BG9" t="e">
        <f t="shared" si="42"/>
        <v>#N/A</v>
      </c>
      <c r="BH9" t="e">
        <f t="shared" si="43"/>
        <v>#N/A</v>
      </c>
      <c r="BI9" t="e">
        <f t="shared" si="44"/>
        <v>#N/A</v>
      </c>
      <c r="BJ9" t="e">
        <f t="shared" si="45"/>
        <v>#N/A</v>
      </c>
      <c r="BK9" t="e">
        <f t="shared" si="46"/>
        <v>#N/A</v>
      </c>
      <c r="BL9" t="e">
        <f t="shared" si="47"/>
        <v>#N/A</v>
      </c>
      <c r="BM9" t="e">
        <f t="shared" si="48"/>
        <v>#N/A</v>
      </c>
      <c r="BN9" t="e">
        <f t="shared" si="49"/>
        <v>#N/A</v>
      </c>
      <c r="BO9" t="e">
        <f t="shared" si="50"/>
        <v>#N/A</v>
      </c>
      <c r="BP9" t="e">
        <f t="shared" si="51"/>
        <v>#N/A</v>
      </c>
      <c r="BQ9" t="e">
        <f t="shared" si="52"/>
        <v>#N/A</v>
      </c>
      <c r="BR9" t="e">
        <f t="shared" si="53"/>
        <v>#N/A</v>
      </c>
      <c r="BS9" t="e">
        <f t="shared" si="54"/>
        <v>#N/A</v>
      </c>
      <c r="BT9" t="e">
        <f t="shared" si="55"/>
        <v>#N/A</v>
      </c>
      <c r="BU9" t="e">
        <f t="shared" si="56"/>
        <v>#N/A</v>
      </c>
      <c r="BV9" t="e">
        <f t="shared" si="57"/>
        <v>#N/A</v>
      </c>
      <c r="BW9" t="e">
        <f t="shared" si="58"/>
        <v>#N/A</v>
      </c>
      <c r="BX9" t="e">
        <f t="shared" si="59"/>
        <v>#N/A</v>
      </c>
      <c r="BY9" t="e">
        <f t="shared" si="60"/>
        <v>#N/A</v>
      </c>
      <c r="BZ9" t="e">
        <f t="shared" si="61"/>
        <v>#N/A</v>
      </c>
      <c r="CA9" t="e">
        <f t="shared" si="62"/>
        <v>#N/A</v>
      </c>
      <c r="CB9" t="e">
        <f t="shared" si="63"/>
        <v>#N/A</v>
      </c>
      <c r="CC9" t="e">
        <f t="shared" si="64"/>
        <v>#N/A</v>
      </c>
      <c r="CD9" t="e">
        <f t="shared" si="65"/>
        <v>#N/A</v>
      </c>
      <c r="CE9" t="e">
        <f t="shared" si="66"/>
        <v>#N/A</v>
      </c>
      <c r="CF9" t="e">
        <f t="shared" si="67"/>
        <v>#N/A</v>
      </c>
      <c r="CG9" t="e">
        <f t="shared" si="68"/>
        <v>#N/A</v>
      </c>
      <c r="CI9" t="e">
        <f>AT7</f>
        <v>#N/A</v>
      </c>
      <c r="CJ9" t="e">
        <f>AU7</f>
        <v>#N/A</v>
      </c>
      <c r="CK9">
        <f>IF(ISNUMBER(CI9),IFERROR(MAX(0,AV7-CI9),0),0)</f>
        <v>0</v>
      </c>
      <c r="CL9">
        <f>IF(ISNUMBER(CI9),IFERROR(MAX(0,CI9-AV7),0),0)</f>
        <v>0</v>
      </c>
      <c r="CM9">
        <f>IF(ISNUMBER(CJ9),IFERROR(MAX(0,AW7-CJ9),0),0)</f>
        <v>0</v>
      </c>
      <c r="CN9">
        <f>IF(ISNUMBER(CJ9),IFERROR(MAX(0,CJ9-AW7),0),0)</f>
        <v>0</v>
      </c>
      <c r="CP9" t="e">
        <f>CB7</f>
        <v>#N/A</v>
      </c>
      <c r="CQ9" t="e">
        <f>CC7</f>
        <v>#N/A</v>
      </c>
      <c r="CR9">
        <f>IF(ISNUMBER(CP9),IFERROR(MAX(0,CD7-CP9),0),0)</f>
        <v>0</v>
      </c>
      <c r="CS9">
        <f>IF(ISNUMBER(CP9),IFERROR(MAX(0,CP9-CD7),0),0)</f>
        <v>0</v>
      </c>
      <c r="CT9">
        <f>IF(ISNUMBER(CQ9),IFERROR(MAX(0,CE7-CQ9),0),0)</f>
        <v>0</v>
      </c>
      <c r="CU9">
        <f>IF(ISNUMBER(CQ9),IFERROR(MAX(0,CQ9-CE7),0),0)</f>
        <v>0</v>
      </c>
    </row>
    <row r="10" spans="1:99" x14ac:dyDescent="0.3">
      <c r="A10">
        <v>4</v>
      </c>
      <c r="B10">
        <f>IF(A10&lt;=$B$2,IF(INDEX(Gantt!$A$7:$A$119,A10)&lt;&gt;"",1,0),0)</f>
        <v>0</v>
      </c>
      <c r="C10" t="e">
        <f>IF(B10=1,INDEX(Gantt!$C$7:$C$119,A10),NA())</f>
        <v>#N/A</v>
      </c>
      <c r="D10" t="e">
        <f>IF(B10=1,INDEX(Gantt!$D$7:$D$119,A10)+1,NA())</f>
        <v>#N/A</v>
      </c>
      <c r="E10">
        <f>IF(B10=1,INDEX(Gantt!$BN$7:$BN$119,A10),0)</f>
        <v>0</v>
      </c>
      <c r="F10">
        <f>IF(B10=1,N(INDEX(Gantt!$F$7:$F$119,A10)),0)</f>
        <v>0</v>
      </c>
      <c r="G10">
        <f t="shared" si="0"/>
        <v>0</v>
      </c>
      <c r="H10" t="e">
        <f t="shared" si="1"/>
        <v>#N/A</v>
      </c>
      <c r="I10" t="e">
        <f t="shared" si="2"/>
        <v>#N/A</v>
      </c>
      <c r="J10" t="e">
        <f t="shared" si="3"/>
        <v>#N/A</v>
      </c>
      <c r="K10" t="e">
        <f t="shared" si="4"/>
        <v>#N/A</v>
      </c>
      <c r="L10" t="e">
        <f t="shared" si="5"/>
        <v>#N/A</v>
      </c>
      <c r="M10" t="e">
        <f t="shared" si="6"/>
        <v>#N/A</v>
      </c>
      <c r="N10" t="e">
        <f t="shared" si="7"/>
        <v>#N/A</v>
      </c>
      <c r="O10" t="e">
        <f t="shared" si="8"/>
        <v>#N/A</v>
      </c>
      <c r="P10" t="e">
        <f t="shared" si="9"/>
        <v>#N/A</v>
      </c>
      <c r="Q10" t="str">
        <f>IF(B10=1,INDEX(Gantt!$A$7:$A$119,A10)&amp;"   "&amp;INDEX(Gantt!$B$7:$B$119,A10),"")</f>
        <v/>
      </c>
      <c r="R10" t="e">
        <f t="shared" si="10"/>
        <v>#N/A</v>
      </c>
      <c r="S10">
        <f t="shared" si="11"/>
        <v>0</v>
      </c>
      <c r="T10">
        <f t="shared" si="12"/>
        <v>0</v>
      </c>
      <c r="U10">
        <v>4</v>
      </c>
      <c r="V10">
        <f t="shared" si="13"/>
        <v>1</v>
      </c>
      <c r="W10">
        <f t="shared" si="14"/>
        <v>4</v>
      </c>
      <c r="X10">
        <f t="shared" si="15"/>
        <v>1</v>
      </c>
      <c r="Y10">
        <f>IF(X10&lt;&gt;1,9999,CHOOSE(W10,INDEX(Gantt!$BQ$7:$BQ$119,V10),INDEX(Gantt!$BR$7:$BR$119,V10),INDEX(Gantt!$BT$7:$BT$119,V10),INDEX(Gantt!$BU$7:$BU$119,V10)))</f>
        <v>9999</v>
      </c>
      <c r="Z10">
        <f t="shared" si="16"/>
        <v>0</v>
      </c>
      <c r="AA10" t="e">
        <f t="shared" si="17"/>
        <v>#N/A</v>
      </c>
      <c r="AB10" t="e">
        <f t="shared" si="18"/>
        <v>#N/A</v>
      </c>
      <c r="AC10" t="e">
        <f t="shared" si="19"/>
        <v>#N/A</v>
      </c>
      <c r="AD10" t="e">
        <f t="shared" si="20"/>
        <v>#N/A</v>
      </c>
      <c r="AE10" t="e">
        <f t="shared" si="21"/>
        <v>#N/A</v>
      </c>
      <c r="AF10" t="e">
        <f t="shared" si="22"/>
        <v>#N/A</v>
      </c>
      <c r="AG10" t="e">
        <f t="shared" si="23"/>
        <v>#N/A</v>
      </c>
      <c r="AH10" t="e">
        <f t="shared" si="24"/>
        <v>#N/A</v>
      </c>
      <c r="AI10" t="e">
        <f t="shared" si="25"/>
        <v>#N/A</v>
      </c>
      <c r="AJ10" t="e">
        <f t="shared" si="26"/>
        <v>#N/A</v>
      </c>
      <c r="AK10" t="e">
        <f t="shared" si="27"/>
        <v>#N/A</v>
      </c>
      <c r="AL10" t="e">
        <f t="shared" si="28"/>
        <v>#N/A</v>
      </c>
      <c r="AM10" t="e">
        <f t="shared" si="29"/>
        <v>#N/A</v>
      </c>
      <c r="AN10" t="e">
        <f t="shared" si="30"/>
        <v>#N/A</v>
      </c>
      <c r="AO10" t="e">
        <f t="shared" si="31"/>
        <v>#N/A</v>
      </c>
      <c r="AP10" t="e">
        <f t="shared" si="32"/>
        <v>#N/A</v>
      </c>
      <c r="AQ10" t="e">
        <f t="shared" si="33"/>
        <v>#N/A</v>
      </c>
      <c r="AR10" t="e">
        <f t="shared" si="34"/>
        <v>#N/A</v>
      </c>
      <c r="AS10" t="e">
        <f t="shared" si="35"/>
        <v>#N/A</v>
      </c>
      <c r="AT10" t="e">
        <f t="shared" si="36"/>
        <v>#N/A</v>
      </c>
      <c r="AU10" t="e">
        <f t="shared" si="37"/>
        <v>#N/A</v>
      </c>
      <c r="AV10" t="e">
        <f t="shared" si="38"/>
        <v>#N/A</v>
      </c>
      <c r="AW10" t="e">
        <f t="shared" si="39"/>
        <v>#N/A</v>
      </c>
      <c r="AX10" t="e">
        <f t="shared" si="40"/>
        <v>#N/A</v>
      </c>
      <c r="AY10" t="e">
        <f t="shared" si="41"/>
        <v>#N/A</v>
      </c>
      <c r="BA10">
        <v>42</v>
      </c>
      <c r="BB10">
        <v>-0.6</v>
      </c>
      <c r="BC10" s="42">
        <f>$B$1+42</f>
        <v>46069</v>
      </c>
      <c r="BE10" t="e">
        <f>IF(Z10=1,IF(INDEX($C$7:$C$126,V10)&gt;=Gantt!$BF$6,NA(),MATCH(INDEX($C$7:$C$126,V10),Gantt!$J$6:$BE$6,1)),NA())</f>
        <v>#N/A</v>
      </c>
      <c r="BF10" t="e">
        <f>IF(Z10=1,IF((INDEX($D$7:$D$126,AA10)-1)&gt;=Gantt!$BF$6,NA(),IF((INDEX($D$7:$D$126,AA10)-1)&lt;Gantt!$J$6,0,MATCH((INDEX($D$7:$D$126,AA10)-1),Gantt!$J$6:$BE$6,1))),NA())</f>
        <v>#N/A</v>
      </c>
      <c r="BG10" t="e">
        <f t="shared" si="42"/>
        <v>#N/A</v>
      </c>
      <c r="BH10" t="e">
        <f t="shared" si="43"/>
        <v>#N/A</v>
      </c>
      <c r="BI10" t="e">
        <f t="shared" si="44"/>
        <v>#N/A</v>
      </c>
      <c r="BJ10" t="e">
        <f t="shared" si="45"/>
        <v>#N/A</v>
      </c>
      <c r="BK10" t="e">
        <f t="shared" si="46"/>
        <v>#N/A</v>
      </c>
      <c r="BL10" t="e">
        <f t="shared" si="47"/>
        <v>#N/A</v>
      </c>
      <c r="BM10" t="e">
        <f t="shared" si="48"/>
        <v>#N/A</v>
      </c>
      <c r="BN10" t="e">
        <f t="shared" si="49"/>
        <v>#N/A</v>
      </c>
      <c r="BO10" t="e">
        <f t="shared" si="50"/>
        <v>#N/A</v>
      </c>
      <c r="BP10" t="e">
        <f t="shared" si="51"/>
        <v>#N/A</v>
      </c>
      <c r="BQ10" t="e">
        <f t="shared" si="52"/>
        <v>#N/A</v>
      </c>
      <c r="BR10" t="e">
        <f t="shared" si="53"/>
        <v>#N/A</v>
      </c>
      <c r="BS10" t="e">
        <f t="shared" si="54"/>
        <v>#N/A</v>
      </c>
      <c r="BT10" t="e">
        <f t="shared" si="55"/>
        <v>#N/A</v>
      </c>
      <c r="BU10" t="e">
        <f t="shared" si="56"/>
        <v>#N/A</v>
      </c>
      <c r="BV10" t="e">
        <f t="shared" si="57"/>
        <v>#N/A</v>
      </c>
      <c r="BW10" t="e">
        <f t="shared" si="58"/>
        <v>#N/A</v>
      </c>
      <c r="BX10" t="e">
        <f t="shared" si="59"/>
        <v>#N/A</v>
      </c>
      <c r="BY10" t="e">
        <f t="shared" si="60"/>
        <v>#N/A</v>
      </c>
      <c r="BZ10" t="e">
        <f t="shared" si="61"/>
        <v>#N/A</v>
      </c>
      <c r="CA10" t="e">
        <f t="shared" si="62"/>
        <v>#N/A</v>
      </c>
      <c r="CB10" t="e">
        <f t="shared" si="63"/>
        <v>#N/A</v>
      </c>
      <c r="CC10" t="e">
        <f t="shared" si="64"/>
        <v>#N/A</v>
      </c>
      <c r="CD10" t="e">
        <f t="shared" si="65"/>
        <v>#N/A</v>
      </c>
      <c r="CE10" t="e">
        <f t="shared" si="66"/>
        <v>#N/A</v>
      </c>
      <c r="CF10" t="e">
        <f t="shared" si="67"/>
        <v>#N/A</v>
      </c>
      <c r="CG10" t="e">
        <f t="shared" si="68"/>
        <v>#N/A</v>
      </c>
      <c r="CI10" t="e">
        <f>AL8</f>
        <v>#N/A</v>
      </c>
      <c r="CJ10" t="e">
        <f>AM8</f>
        <v>#N/A</v>
      </c>
      <c r="CK10">
        <f>IF(ISNUMBER(CI10),IFERROR(MAX(0,AN8-CI10),0),0)</f>
        <v>0</v>
      </c>
      <c r="CL10">
        <f>IF(ISNUMBER(CI10),IFERROR(MAX(0,CI10-AN8),0),0)</f>
        <v>0</v>
      </c>
      <c r="CM10">
        <f>IF(ISNUMBER(CJ10),IFERROR(MAX(0,AO8-CJ10),0),0)</f>
        <v>0</v>
      </c>
      <c r="CN10">
        <f>IF(ISNUMBER(CJ10),IFERROR(MAX(0,CJ10-AO8),0),0)</f>
        <v>0</v>
      </c>
      <c r="CP10" t="e">
        <f>BT8</f>
        <v>#N/A</v>
      </c>
      <c r="CQ10" t="e">
        <f>BU8</f>
        <v>#N/A</v>
      </c>
      <c r="CR10">
        <f>IF(ISNUMBER(CP10),IFERROR(MAX(0,BV8-CP10),0),0)</f>
        <v>0</v>
      </c>
      <c r="CS10">
        <f>IF(ISNUMBER(CP10),IFERROR(MAX(0,CP10-BV8),0),0)</f>
        <v>0</v>
      </c>
      <c r="CT10">
        <f>IF(ISNUMBER(CQ10),IFERROR(MAX(0,BW8-CQ10),0),0)</f>
        <v>0</v>
      </c>
      <c r="CU10">
        <f>IF(ISNUMBER(CQ10),IFERROR(MAX(0,CQ10-BW8),0),0)</f>
        <v>0</v>
      </c>
    </row>
    <row r="11" spans="1:99" x14ac:dyDescent="0.3">
      <c r="A11">
        <v>5</v>
      </c>
      <c r="B11">
        <f>IF(A11&lt;=$B$2,IF(INDEX(Gantt!$A$7:$A$119,A11)&lt;&gt;"",1,0),0)</f>
        <v>0</v>
      </c>
      <c r="C11" t="e">
        <f>IF(B11=1,INDEX(Gantt!$C$7:$C$119,A11),NA())</f>
        <v>#N/A</v>
      </c>
      <c r="D11" t="e">
        <f>IF(B11=1,INDEX(Gantt!$D$7:$D$119,A11)+1,NA())</f>
        <v>#N/A</v>
      </c>
      <c r="E11">
        <f>IF(B11=1,INDEX(Gantt!$BN$7:$BN$119,A11),0)</f>
        <v>0</v>
      </c>
      <c r="F11">
        <f>IF(B11=1,N(INDEX(Gantt!$F$7:$F$119,A11)),0)</f>
        <v>0</v>
      </c>
      <c r="G11">
        <f t="shared" si="0"/>
        <v>0</v>
      </c>
      <c r="H11" t="e">
        <f t="shared" si="1"/>
        <v>#N/A</v>
      </c>
      <c r="I11" t="e">
        <f t="shared" si="2"/>
        <v>#N/A</v>
      </c>
      <c r="J11" t="e">
        <f t="shared" si="3"/>
        <v>#N/A</v>
      </c>
      <c r="K11" t="e">
        <f t="shared" si="4"/>
        <v>#N/A</v>
      </c>
      <c r="L11" t="e">
        <f t="shared" si="5"/>
        <v>#N/A</v>
      </c>
      <c r="M11" t="e">
        <f t="shared" si="6"/>
        <v>#N/A</v>
      </c>
      <c r="N11" t="e">
        <f t="shared" si="7"/>
        <v>#N/A</v>
      </c>
      <c r="O11" t="e">
        <f t="shared" si="8"/>
        <v>#N/A</v>
      </c>
      <c r="P11" t="e">
        <f t="shared" si="9"/>
        <v>#N/A</v>
      </c>
      <c r="Q11" t="str">
        <f>IF(B11=1,INDEX(Gantt!$A$7:$A$119,A11)&amp;"   "&amp;INDEX(Gantt!$B$7:$B$119,A11),"")</f>
        <v/>
      </c>
      <c r="R11" t="e">
        <f t="shared" si="10"/>
        <v>#N/A</v>
      </c>
      <c r="S11">
        <f t="shared" si="11"/>
        <v>0</v>
      </c>
      <c r="T11">
        <f t="shared" si="12"/>
        <v>0</v>
      </c>
      <c r="U11">
        <v>5</v>
      </c>
      <c r="V11">
        <f t="shared" si="13"/>
        <v>2</v>
      </c>
      <c r="W11">
        <f t="shared" si="14"/>
        <v>1</v>
      </c>
      <c r="X11">
        <f t="shared" si="15"/>
        <v>1</v>
      </c>
      <c r="Y11">
        <f>IF(X11&lt;&gt;1,9999,CHOOSE(W11,INDEX(Gantt!$BQ$7:$BQ$119,V11),INDEX(Gantt!$BR$7:$BR$119,V11),INDEX(Gantt!$BT$7:$BT$119,V11),INDEX(Gantt!$BU$7:$BU$119,V11)))</f>
        <v>9999</v>
      </c>
      <c r="Z11">
        <f t="shared" si="16"/>
        <v>0</v>
      </c>
      <c r="AA11" t="e">
        <f t="shared" si="17"/>
        <v>#N/A</v>
      </c>
      <c r="AB11" t="e">
        <f t="shared" si="18"/>
        <v>#N/A</v>
      </c>
      <c r="AC11" t="e">
        <f t="shared" si="19"/>
        <v>#N/A</v>
      </c>
      <c r="AD11" t="e">
        <f t="shared" si="20"/>
        <v>#N/A</v>
      </c>
      <c r="AE11" t="e">
        <f t="shared" si="21"/>
        <v>#N/A</v>
      </c>
      <c r="AF11" t="e">
        <f t="shared" si="22"/>
        <v>#N/A</v>
      </c>
      <c r="AG11" t="e">
        <f t="shared" si="23"/>
        <v>#N/A</v>
      </c>
      <c r="AH11" t="e">
        <f t="shared" si="24"/>
        <v>#N/A</v>
      </c>
      <c r="AI11" t="e">
        <f t="shared" si="25"/>
        <v>#N/A</v>
      </c>
      <c r="AJ11" t="e">
        <f t="shared" si="26"/>
        <v>#N/A</v>
      </c>
      <c r="AK11" t="e">
        <f t="shared" si="27"/>
        <v>#N/A</v>
      </c>
      <c r="AL11" t="e">
        <f t="shared" si="28"/>
        <v>#N/A</v>
      </c>
      <c r="AM11" t="e">
        <f t="shared" si="29"/>
        <v>#N/A</v>
      </c>
      <c r="AN11" t="e">
        <f t="shared" si="30"/>
        <v>#N/A</v>
      </c>
      <c r="AO11" t="e">
        <f t="shared" si="31"/>
        <v>#N/A</v>
      </c>
      <c r="AP11" t="e">
        <f t="shared" si="32"/>
        <v>#N/A</v>
      </c>
      <c r="AQ11" t="e">
        <f t="shared" si="33"/>
        <v>#N/A</v>
      </c>
      <c r="AR11" t="e">
        <f t="shared" si="34"/>
        <v>#N/A</v>
      </c>
      <c r="AS11" t="e">
        <f t="shared" si="35"/>
        <v>#N/A</v>
      </c>
      <c r="AT11" t="e">
        <f t="shared" si="36"/>
        <v>#N/A</v>
      </c>
      <c r="AU11" t="e">
        <f t="shared" si="37"/>
        <v>#N/A</v>
      </c>
      <c r="AV11" t="e">
        <f t="shared" si="38"/>
        <v>#N/A</v>
      </c>
      <c r="AW11" t="e">
        <f t="shared" si="39"/>
        <v>#N/A</v>
      </c>
      <c r="AX11" t="e">
        <f t="shared" si="40"/>
        <v>#N/A</v>
      </c>
      <c r="AY11" t="e">
        <f t="shared" si="41"/>
        <v>#N/A</v>
      </c>
      <c r="BA11">
        <v>56</v>
      </c>
      <c r="BB11">
        <v>-0.6</v>
      </c>
      <c r="BC11" s="42">
        <f>$B$1+56</f>
        <v>46083</v>
      </c>
      <c r="BE11" t="e">
        <f>IF(Z11=1,IF(INDEX($C$7:$C$126,V11)&gt;=Gantt!$BF$6,NA(),MATCH(INDEX($C$7:$C$126,V11),Gantt!$J$6:$BE$6,1)),NA())</f>
        <v>#N/A</v>
      </c>
      <c r="BF11" t="e">
        <f>IF(Z11=1,IF((INDEX($D$7:$D$126,AA11)-1)&gt;=Gantt!$BF$6,NA(),IF((INDEX($D$7:$D$126,AA11)-1)&lt;Gantt!$J$6,0,MATCH((INDEX($D$7:$D$126,AA11)-1),Gantt!$J$6:$BE$6,1))),NA())</f>
        <v>#N/A</v>
      </c>
      <c r="BG11" t="e">
        <f t="shared" si="42"/>
        <v>#N/A</v>
      </c>
      <c r="BH11" t="e">
        <f t="shared" si="43"/>
        <v>#N/A</v>
      </c>
      <c r="BI11" t="e">
        <f t="shared" si="44"/>
        <v>#N/A</v>
      </c>
      <c r="BJ11" t="e">
        <f t="shared" si="45"/>
        <v>#N/A</v>
      </c>
      <c r="BK11" t="e">
        <f t="shared" si="46"/>
        <v>#N/A</v>
      </c>
      <c r="BL11" t="e">
        <f t="shared" si="47"/>
        <v>#N/A</v>
      </c>
      <c r="BM11" t="e">
        <f t="shared" si="48"/>
        <v>#N/A</v>
      </c>
      <c r="BN11" t="e">
        <f t="shared" si="49"/>
        <v>#N/A</v>
      </c>
      <c r="BO11" t="e">
        <f t="shared" si="50"/>
        <v>#N/A</v>
      </c>
      <c r="BP11" t="e">
        <f t="shared" si="51"/>
        <v>#N/A</v>
      </c>
      <c r="BQ11" t="e">
        <f t="shared" si="52"/>
        <v>#N/A</v>
      </c>
      <c r="BR11" t="e">
        <f t="shared" si="53"/>
        <v>#N/A</v>
      </c>
      <c r="BS11" t="e">
        <f t="shared" si="54"/>
        <v>#N/A</v>
      </c>
      <c r="BT11" t="e">
        <f t="shared" si="55"/>
        <v>#N/A</v>
      </c>
      <c r="BU11" t="e">
        <f t="shared" si="56"/>
        <v>#N/A</v>
      </c>
      <c r="BV11" t="e">
        <f t="shared" si="57"/>
        <v>#N/A</v>
      </c>
      <c r="BW11" t="e">
        <f t="shared" si="58"/>
        <v>#N/A</v>
      </c>
      <c r="BX11" t="e">
        <f t="shared" si="59"/>
        <v>#N/A</v>
      </c>
      <c r="BY11" t="e">
        <f t="shared" si="60"/>
        <v>#N/A</v>
      </c>
      <c r="BZ11" t="e">
        <f t="shared" si="61"/>
        <v>#N/A</v>
      </c>
      <c r="CA11" t="e">
        <f t="shared" si="62"/>
        <v>#N/A</v>
      </c>
      <c r="CB11" t="e">
        <f t="shared" si="63"/>
        <v>#N/A</v>
      </c>
      <c r="CC11" t="e">
        <f t="shared" si="64"/>
        <v>#N/A</v>
      </c>
      <c r="CD11" t="e">
        <f t="shared" si="65"/>
        <v>#N/A</v>
      </c>
      <c r="CE11" t="e">
        <f t="shared" si="66"/>
        <v>#N/A</v>
      </c>
      <c r="CF11" t="e">
        <f t="shared" si="67"/>
        <v>#N/A</v>
      </c>
      <c r="CG11" t="e">
        <f t="shared" si="68"/>
        <v>#N/A</v>
      </c>
      <c r="CI11" t="e">
        <f>AP8</f>
        <v>#N/A</v>
      </c>
      <c r="CJ11" t="e">
        <f>AQ8</f>
        <v>#N/A</v>
      </c>
      <c r="CK11">
        <f>IF(ISNUMBER(CI11),IFERROR(MAX(0,AR8-CI11),0),0)</f>
        <v>0</v>
      </c>
      <c r="CL11">
        <f>IF(ISNUMBER(CI11),IFERROR(MAX(0,CI11-AR8),0),0)</f>
        <v>0</v>
      </c>
      <c r="CM11">
        <f>IF(ISNUMBER(CJ11),IFERROR(MAX(0,AS8-CJ11),0),0)</f>
        <v>0</v>
      </c>
      <c r="CN11">
        <f>IF(ISNUMBER(CJ11),IFERROR(MAX(0,CJ11-AS8),0),0)</f>
        <v>0</v>
      </c>
      <c r="CP11" t="e">
        <f>BX8</f>
        <v>#N/A</v>
      </c>
      <c r="CQ11" t="e">
        <f>BY8</f>
        <v>#N/A</v>
      </c>
      <c r="CR11">
        <f>IF(ISNUMBER(CP11),IFERROR(MAX(0,BZ8-CP11),0),0)</f>
        <v>0</v>
      </c>
      <c r="CS11">
        <f>IF(ISNUMBER(CP11),IFERROR(MAX(0,CP11-BZ8),0),0)</f>
        <v>0</v>
      </c>
      <c r="CT11">
        <f>IF(ISNUMBER(CQ11),IFERROR(MAX(0,CA8-CQ11),0),0)</f>
        <v>0</v>
      </c>
      <c r="CU11">
        <f>IF(ISNUMBER(CQ11),IFERROR(MAX(0,CQ11-CA8),0),0)</f>
        <v>0</v>
      </c>
    </row>
    <row r="12" spans="1:99" x14ac:dyDescent="0.3">
      <c r="A12">
        <v>6</v>
      </c>
      <c r="B12">
        <f>IF(A12&lt;=$B$2,IF(INDEX(Gantt!$A$7:$A$119,A12)&lt;&gt;"",1,0),0)</f>
        <v>0</v>
      </c>
      <c r="C12" t="e">
        <f>IF(B12=1,INDEX(Gantt!$C$7:$C$119,A12),NA())</f>
        <v>#N/A</v>
      </c>
      <c r="D12" t="e">
        <f>IF(B12=1,INDEX(Gantt!$D$7:$D$119,A12)+1,NA())</f>
        <v>#N/A</v>
      </c>
      <c r="E12">
        <f>IF(B12=1,INDEX(Gantt!$BN$7:$BN$119,A12),0)</f>
        <v>0</v>
      </c>
      <c r="F12">
        <f>IF(B12=1,N(INDEX(Gantt!$F$7:$F$119,A12)),0)</f>
        <v>0</v>
      </c>
      <c r="G12">
        <f t="shared" si="0"/>
        <v>0</v>
      </c>
      <c r="H12" t="e">
        <f t="shared" si="1"/>
        <v>#N/A</v>
      </c>
      <c r="I12" t="e">
        <f t="shared" si="2"/>
        <v>#N/A</v>
      </c>
      <c r="J12" t="e">
        <f t="shared" si="3"/>
        <v>#N/A</v>
      </c>
      <c r="K12" t="e">
        <f t="shared" si="4"/>
        <v>#N/A</v>
      </c>
      <c r="L12" t="e">
        <f t="shared" si="5"/>
        <v>#N/A</v>
      </c>
      <c r="M12" t="e">
        <f t="shared" si="6"/>
        <v>#N/A</v>
      </c>
      <c r="N12" t="e">
        <f t="shared" si="7"/>
        <v>#N/A</v>
      </c>
      <c r="O12" t="e">
        <f t="shared" si="8"/>
        <v>#N/A</v>
      </c>
      <c r="P12" t="e">
        <f t="shared" si="9"/>
        <v>#N/A</v>
      </c>
      <c r="Q12" t="str">
        <f>IF(B12=1,INDEX(Gantt!$A$7:$A$119,A12)&amp;"   "&amp;INDEX(Gantt!$B$7:$B$119,A12),"")</f>
        <v/>
      </c>
      <c r="R12" t="e">
        <f t="shared" si="10"/>
        <v>#N/A</v>
      </c>
      <c r="S12">
        <f t="shared" si="11"/>
        <v>0</v>
      </c>
      <c r="T12">
        <f t="shared" si="12"/>
        <v>0</v>
      </c>
      <c r="U12">
        <v>6</v>
      </c>
      <c r="V12">
        <f t="shared" si="13"/>
        <v>2</v>
      </c>
      <c r="W12">
        <f t="shared" si="14"/>
        <v>2</v>
      </c>
      <c r="X12">
        <f t="shared" si="15"/>
        <v>1</v>
      </c>
      <c r="Y12">
        <f>IF(X12&lt;&gt;1,9999,CHOOSE(W12,INDEX(Gantt!$BQ$7:$BQ$119,V12),INDEX(Gantt!$BR$7:$BR$119,V12),INDEX(Gantt!$BT$7:$BT$119,V12),INDEX(Gantt!$BU$7:$BU$119,V12)))</f>
        <v>9999</v>
      </c>
      <c r="Z12">
        <f t="shared" si="16"/>
        <v>0</v>
      </c>
      <c r="AA12" t="e">
        <f t="shared" si="17"/>
        <v>#N/A</v>
      </c>
      <c r="AB12" t="e">
        <f t="shared" si="18"/>
        <v>#N/A</v>
      </c>
      <c r="AC12" t="e">
        <f t="shared" si="19"/>
        <v>#N/A</v>
      </c>
      <c r="AD12" t="e">
        <f t="shared" si="20"/>
        <v>#N/A</v>
      </c>
      <c r="AE12" t="e">
        <f t="shared" si="21"/>
        <v>#N/A</v>
      </c>
      <c r="AF12" t="e">
        <f t="shared" si="22"/>
        <v>#N/A</v>
      </c>
      <c r="AG12" t="e">
        <f t="shared" si="23"/>
        <v>#N/A</v>
      </c>
      <c r="AH12" t="e">
        <f t="shared" si="24"/>
        <v>#N/A</v>
      </c>
      <c r="AI12" t="e">
        <f t="shared" si="25"/>
        <v>#N/A</v>
      </c>
      <c r="AJ12" t="e">
        <f t="shared" si="26"/>
        <v>#N/A</v>
      </c>
      <c r="AK12" t="e">
        <f t="shared" si="27"/>
        <v>#N/A</v>
      </c>
      <c r="AL12" t="e">
        <f t="shared" si="28"/>
        <v>#N/A</v>
      </c>
      <c r="AM12" t="e">
        <f t="shared" si="29"/>
        <v>#N/A</v>
      </c>
      <c r="AN12" t="e">
        <f t="shared" si="30"/>
        <v>#N/A</v>
      </c>
      <c r="AO12" t="e">
        <f t="shared" si="31"/>
        <v>#N/A</v>
      </c>
      <c r="AP12" t="e">
        <f t="shared" si="32"/>
        <v>#N/A</v>
      </c>
      <c r="AQ12" t="e">
        <f t="shared" si="33"/>
        <v>#N/A</v>
      </c>
      <c r="AR12" t="e">
        <f t="shared" si="34"/>
        <v>#N/A</v>
      </c>
      <c r="AS12" t="e">
        <f t="shared" si="35"/>
        <v>#N/A</v>
      </c>
      <c r="AT12" t="e">
        <f t="shared" si="36"/>
        <v>#N/A</v>
      </c>
      <c r="AU12" t="e">
        <f t="shared" si="37"/>
        <v>#N/A</v>
      </c>
      <c r="AV12" t="e">
        <f t="shared" si="38"/>
        <v>#N/A</v>
      </c>
      <c r="AW12" t="e">
        <f t="shared" si="39"/>
        <v>#N/A</v>
      </c>
      <c r="AX12" t="e">
        <f t="shared" si="40"/>
        <v>#N/A</v>
      </c>
      <c r="AY12" t="e">
        <f t="shared" si="41"/>
        <v>#N/A</v>
      </c>
      <c r="BA12">
        <v>70</v>
      </c>
      <c r="BB12">
        <v>-0.6</v>
      </c>
      <c r="BC12" s="42">
        <f>$B$1+70</f>
        <v>46097</v>
      </c>
      <c r="BE12" t="e">
        <f>IF(Z12=1,IF(INDEX($C$7:$C$126,V12)&gt;=Gantt!$BF$6,NA(),MATCH(INDEX($C$7:$C$126,V12),Gantt!$J$6:$BE$6,1)),NA())</f>
        <v>#N/A</v>
      </c>
      <c r="BF12" t="e">
        <f>IF(Z12=1,IF((INDEX($D$7:$D$126,AA12)-1)&gt;=Gantt!$BF$6,NA(),IF((INDEX($D$7:$D$126,AA12)-1)&lt;Gantt!$J$6,0,MATCH((INDEX($D$7:$D$126,AA12)-1),Gantt!$J$6:$BE$6,1))),NA())</f>
        <v>#N/A</v>
      </c>
      <c r="BG12" t="e">
        <f t="shared" si="42"/>
        <v>#N/A</v>
      </c>
      <c r="BH12" t="e">
        <f t="shared" si="43"/>
        <v>#N/A</v>
      </c>
      <c r="BI12" t="e">
        <f t="shared" si="44"/>
        <v>#N/A</v>
      </c>
      <c r="BJ12" t="e">
        <f t="shared" si="45"/>
        <v>#N/A</v>
      </c>
      <c r="BK12" t="e">
        <f t="shared" si="46"/>
        <v>#N/A</v>
      </c>
      <c r="BL12" t="e">
        <f t="shared" si="47"/>
        <v>#N/A</v>
      </c>
      <c r="BM12" t="e">
        <f t="shared" si="48"/>
        <v>#N/A</v>
      </c>
      <c r="BN12" t="e">
        <f t="shared" si="49"/>
        <v>#N/A</v>
      </c>
      <c r="BO12" t="e">
        <f t="shared" si="50"/>
        <v>#N/A</v>
      </c>
      <c r="BP12" t="e">
        <f t="shared" si="51"/>
        <v>#N/A</v>
      </c>
      <c r="BQ12" t="e">
        <f t="shared" si="52"/>
        <v>#N/A</v>
      </c>
      <c r="BR12" t="e">
        <f t="shared" si="53"/>
        <v>#N/A</v>
      </c>
      <c r="BS12" t="e">
        <f t="shared" si="54"/>
        <v>#N/A</v>
      </c>
      <c r="BT12" t="e">
        <f t="shared" si="55"/>
        <v>#N/A</v>
      </c>
      <c r="BU12" t="e">
        <f t="shared" si="56"/>
        <v>#N/A</v>
      </c>
      <c r="BV12" t="e">
        <f t="shared" si="57"/>
        <v>#N/A</v>
      </c>
      <c r="BW12" t="e">
        <f t="shared" si="58"/>
        <v>#N/A</v>
      </c>
      <c r="BX12" t="e">
        <f t="shared" si="59"/>
        <v>#N/A</v>
      </c>
      <c r="BY12" t="e">
        <f t="shared" si="60"/>
        <v>#N/A</v>
      </c>
      <c r="BZ12" t="e">
        <f t="shared" si="61"/>
        <v>#N/A</v>
      </c>
      <c r="CA12" t="e">
        <f t="shared" si="62"/>
        <v>#N/A</v>
      </c>
      <c r="CB12" t="e">
        <f t="shared" si="63"/>
        <v>#N/A</v>
      </c>
      <c r="CC12" t="e">
        <f t="shared" si="64"/>
        <v>#N/A</v>
      </c>
      <c r="CD12" t="e">
        <f t="shared" si="65"/>
        <v>#N/A</v>
      </c>
      <c r="CE12" t="e">
        <f t="shared" si="66"/>
        <v>#N/A</v>
      </c>
      <c r="CF12" t="e">
        <f t="shared" si="67"/>
        <v>#N/A</v>
      </c>
      <c r="CG12" t="e">
        <f t="shared" si="68"/>
        <v>#N/A</v>
      </c>
      <c r="CI12" t="e">
        <f>AT8</f>
        <v>#N/A</v>
      </c>
      <c r="CJ12" t="e">
        <f>AU8</f>
        <v>#N/A</v>
      </c>
      <c r="CK12">
        <f>IF(ISNUMBER(CI12),IFERROR(MAX(0,AV8-CI12),0),0)</f>
        <v>0</v>
      </c>
      <c r="CL12">
        <f>IF(ISNUMBER(CI12),IFERROR(MAX(0,CI12-AV8),0),0)</f>
        <v>0</v>
      </c>
      <c r="CM12">
        <f>IF(ISNUMBER(CJ12),IFERROR(MAX(0,AW8-CJ12),0),0)</f>
        <v>0</v>
      </c>
      <c r="CN12">
        <f>IF(ISNUMBER(CJ12),IFERROR(MAX(0,CJ12-AW8),0),0)</f>
        <v>0</v>
      </c>
      <c r="CP12" t="e">
        <f>CB8</f>
        <v>#N/A</v>
      </c>
      <c r="CQ12" t="e">
        <f>CC8</f>
        <v>#N/A</v>
      </c>
      <c r="CR12">
        <f>IF(ISNUMBER(CP12),IFERROR(MAX(0,CD8-CP12),0),0)</f>
        <v>0</v>
      </c>
      <c r="CS12">
        <f>IF(ISNUMBER(CP12),IFERROR(MAX(0,CP12-CD8),0),0)</f>
        <v>0</v>
      </c>
      <c r="CT12">
        <f>IF(ISNUMBER(CQ12),IFERROR(MAX(0,CE8-CQ12),0),0)</f>
        <v>0</v>
      </c>
      <c r="CU12">
        <f>IF(ISNUMBER(CQ12),IFERROR(MAX(0,CQ12-CE8),0),0)</f>
        <v>0</v>
      </c>
    </row>
    <row r="13" spans="1:99" x14ac:dyDescent="0.3">
      <c r="A13">
        <v>7</v>
      </c>
      <c r="B13">
        <f>IF(A13&lt;=$B$2,IF(INDEX(Gantt!$A$7:$A$119,A13)&lt;&gt;"",1,0),0)</f>
        <v>0</v>
      </c>
      <c r="C13" t="e">
        <f>IF(B13=1,INDEX(Gantt!$C$7:$C$119,A13),NA())</f>
        <v>#N/A</v>
      </c>
      <c r="D13" t="e">
        <f>IF(B13=1,INDEX(Gantt!$D$7:$D$119,A13)+1,NA())</f>
        <v>#N/A</v>
      </c>
      <c r="E13">
        <f>IF(B13=1,INDEX(Gantt!$BN$7:$BN$119,A13),0)</f>
        <v>0</v>
      </c>
      <c r="F13">
        <f>IF(B13=1,N(INDEX(Gantt!$F$7:$F$119,A13)),0)</f>
        <v>0</v>
      </c>
      <c r="G13">
        <f t="shared" si="0"/>
        <v>0</v>
      </c>
      <c r="H13" t="e">
        <f t="shared" si="1"/>
        <v>#N/A</v>
      </c>
      <c r="I13" t="e">
        <f t="shared" si="2"/>
        <v>#N/A</v>
      </c>
      <c r="J13" t="e">
        <f t="shared" si="3"/>
        <v>#N/A</v>
      </c>
      <c r="K13" t="e">
        <f t="shared" si="4"/>
        <v>#N/A</v>
      </c>
      <c r="L13" t="e">
        <f t="shared" si="5"/>
        <v>#N/A</v>
      </c>
      <c r="M13" t="e">
        <f t="shared" si="6"/>
        <v>#N/A</v>
      </c>
      <c r="N13" t="e">
        <f t="shared" si="7"/>
        <v>#N/A</v>
      </c>
      <c r="O13" t="e">
        <f t="shared" si="8"/>
        <v>#N/A</v>
      </c>
      <c r="P13" t="e">
        <f t="shared" si="9"/>
        <v>#N/A</v>
      </c>
      <c r="Q13" t="str">
        <f>IF(B13=1,INDEX(Gantt!$A$7:$A$119,A13)&amp;"   "&amp;INDEX(Gantt!$B$7:$B$119,A13),"")</f>
        <v/>
      </c>
      <c r="R13" t="e">
        <f t="shared" si="10"/>
        <v>#N/A</v>
      </c>
      <c r="S13">
        <f t="shared" si="11"/>
        <v>0</v>
      </c>
      <c r="T13">
        <f t="shared" si="12"/>
        <v>0</v>
      </c>
      <c r="U13">
        <v>7</v>
      </c>
      <c r="V13">
        <f t="shared" si="13"/>
        <v>2</v>
      </c>
      <c r="W13">
        <f t="shared" si="14"/>
        <v>3</v>
      </c>
      <c r="X13">
        <f t="shared" si="15"/>
        <v>1</v>
      </c>
      <c r="Y13">
        <f>IF(X13&lt;&gt;1,9999,CHOOSE(W13,INDEX(Gantt!$BQ$7:$BQ$119,V13),INDEX(Gantt!$BR$7:$BR$119,V13),INDEX(Gantt!$BT$7:$BT$119,V13),INDEX(Gantt!$BU$7:$BU$119,V13)))</f>
        <v>9999</v>
      </c>
      <c r="Z13">
        <f t="shared" si="16"/>
        <v>0</v>
      </c>
      <c r="AA13" t="e">
        <f t="shared" si="17"/>
        <v>#N/A</v>
      </c>
      <c r="AB13" t="e">
        <f t="shared" si="18"/>
        <v>#N/A</v>
      </c>
      <c r="AC13" t="e">
        <f t="shared" si="19"/>
        <v>#N/A</v>
      </c>
      <c r="AD13" t="e">
        <f t="shared" si="20"/>
        <v>#N/A</v>
      </c>
      <c r="AE13" t="e">
        <f t="shared" si="21"/>
        <v>#N/A</v>
      </c>
      <c r="AF13" t="e">
        <f t="shared" si="22"/>
        <v>#N/A</v>
      </c>
      <c r="AG13" t="e">
        <f t="shared" si="23"/>
        <v>#N/A</v>
      </c>
      <c r="AH13" t="e">
        <f t="shared" si="24"/>
        <v>#N/A</v>
      </c>
      <c r="AI13" t="e">
        <f t="shared" si="25"/>
        <v>#N/A</v>
      </c>
      <c r="AJ13" t="e">
        <f t="shared" si="26"/>
        <v>#N/A</v>
      </c>
      <c r="AK13" t="e">
        <f t="shared" si="27"/>
        <v>#N/A</v>
      </c>
      <c r="AL13" t="e">
        <f t="shared" si="28"/>
        <v>#N/A</v>
      </c>
      <c r="AM13" t="e">
        <f t="shared" si="29"/>
        <v>#N/A</v>
      </c>
      <c r="AN13" t="e">
        <f t="shared" si="30"/>
        <v>#N/A</v>
      </c>
      <c r="AO13" t="e">
        <f t="shared" si="31"/>
        <v>#N/A</v>
      </c>
      <c r="AP13" t="e">
        <f t="shared" si="32"/>
        <v>#N/A</v>
      </c>
      <c r="AQ13" t="e">
        <f t="shared" si="33"/>
        <v>#N/A</v>
      </c>
      <c r="AR13" t="e">
        <f t="shared" si="34"/>
        <v>#N/A</v>
      </c>
      <c r="AS13" t="e">
        <f t="shared" si="35"/>
        <v>#N/A</v>
      </c>
      <c r="AT13" t="e">
        <f t="shared" si="36"/>
        <v>#N/A</v>
      </c>
      <c r="AU13" t="e">
        <f t="shared" si="37"/>
        <v>#N/A</v>
      </c>
      <c r="AV13" t="e">
        <f t="shared" si="38"/>
        <v>#N/A</v>
      </c>
      <c r="AW13" t="e">
        <f t="shared" si="39"/>
        <v>#N/A</v>
      </c>
      <c r="AX13" t="e">
        <f t="shared" si="40"/>
        <v>#N/A</v>
      </c>
      <c r="AY13" t="e">
        <f t="shared" si="41"/>
        <v>#N/A</v>
      </c>
      <c r="BA13">
        <v>84</v>
      </c>
      <c r="BB13">
        <v>-0.6</v>
      </c>
      <c r="BC13" s="42">
        <f>$B$1+84</f>
        <v>46111</v>
      </c>
      <c r="BE13" t="e">
        <f>IF(Z13=1,IF(INDEX($C$7:$C$126,V13)&gt;=Gantt!$BF$6,NA(),MATCH(INDEX($C$7:$C$126,V13),Gantt!$J$6:$BE$6,1)),NA())</f>
        <v>#N/A</v>
      </c>
      <c r="BF13" t="e">
        <f>IF(Z13=1,IF((INDEX($D$7:$D$126,AA13)-1)&gt;=Gantt!$BF$6,NA(),IF((INDEX($D$7:$D$126,AA13)-1)&lt;Gantt!$J$6,0,MATCH((INDEX($D$7:$D$126,AA13)-1),Gantt!$J$6:$BE$6,1))),NA())</f>
        <v>#N/A</v>
      </c>
      <c r="BG13" t="e">
        <f t="shared" si="42"/>
        <v>#N/A</v>
      </c>
      <c r="BH13" t="e">
        <f t="shared" si="43"/>
        <v>#N/A</v>
      </c>
      <c r="BI13" t="e">
        <f t="shared" si="44"/>
        <v>#N/A</v>
      </c>
      <c r="BJ13" t="e">
        <f t="shared" si="45"/>
        <v>#N/A</v>
      </c>
      <c r="BK13" t="e">
        <f t="shared" si="46"/>
        <v>#N/A</v>
      </c>
      <c r="BL13" t="e">
        <f t="shared" si="47"/>
        <v>#N/A</v>
      </c>
      <c r="BM13" t="e">
        <f t="shared" si="48"/>
        <v>#N/A</v>
      </c>
      <c r="BN13" t="e">
        <f t="shared" si="49"/>
        <v>#N/A</v>
      </c>
      <c r="BO13" t="e">
        <f t="shared" si="50"/>
        <v>#N/A</v>
      </c>
      <c r="BP13" t="e">
        <f t="shared" si="51"/>
        <v>#N/A</v>
      </c>
      <c r="BQ13" t="e">
        <f t="shared" si="52"/>
        <v>#N/A</v>
      </c>
      <c r="BR13" t="e">
        <f t="shared" si="53"/>
        <v>#N/A</v>
      </c>
      <c r="BS13" t="e">
        <f t="shared" si="54"/>
        <v>#N/A</v>
      </c>
      <c r="BT13" t="e">
        <f t="shared" si="55"/>
        <v>#N/A</v>
      </c>
      <c r="BU13" t="e">
        <f t="shared" si="56"/>
        <v>#N/A</v>
      </c>
      <c r="BV13" t="e">
        <f t="shared" si="57"/>
        <v>#N/A</v>
      </c>
      <c r="BW13" t="e">
        <f t="shared" si="58"/>
        <v>#N/A</v>
      </c>
      <c r="BX13" t="e">
        <f t="shared" si="59"/>
        <v>#N/A</v>
      </c>
      <c r="BY13" t="e">
        <f t="shared" si="60"/>
        <v>#N/A</v>
      </c>
      <c r="BZ13" t="e">
        <f t="shared" si="61"/>
        <v>#N/A</v>
      </c>
      <c r="CA13" t="e">
        <f t="shared" si="62"/>
        <v>#N/A</v>
      </c>
      <c r="CB13" t="e">
        <f t="shared" si="63"/>
        <v>#N/A</v>
      </c>
      <c r="CC13" t="e">
        <f t="shared" si="64"/>
        <v>#N/A</v>
      </c>
      <c r="CD13" t="e">
        <f t="shared" si="65"/>
        <v>#N/A</v>
      </c>
      <c r="CE13" t="e">
        <f t="shared" si="66"/>
        <v>#N/A</v>
      </c>
      <c r="CF13" t="e">
        <f t="shared" si="67"/>
        <v>#N/A</v>
      </c>
      <c r="CG13" t="e">
        <f t="shared" si="68"/>
        <v>#N/A</v>
      </c>
      <c r="CI13" t="e">
        <f>AL9</f>
        <v>#N/A</v>
      </c>
      <c r="CJ13" t="e">
        <f>AM9</f>
        <v>#N/A</v>
      </c>
      <c r="CK13">
        <f>IF(ISNUMBER(CI13),IFERROR(MAX(0,AN9-CI13),0),0)</f>
        <v>0</v>
      </c>
      <c r="CL13">
        <f>IF(ISNUMBER(CI13),IFERROR(MAX(0,CI13-AN9),0),0)</f>
        <v>0</v>
      </c>
      <c r="CM13">
        <f>IF(ISNUMBER(CJ13),IFERROR(MAX(0,AO9-CJ13),0),0)</f>
        <v>0</v>
      </c>
      <c r="CN13">
        <f>IF(ISNUMBER(CJ13),IFERROR(MAX(0,CJ13-AO9),0),0)</f>
        <v>0</v>
      </c>
      <c r="CP13" t="e">
        <f>BT9</f>
        <v>#N/A</v>
      </c>
      <c r="CQ13" t="e">
        <f>BU9</f>
        <v>#N/A</v>
      </c>
      <c r="CR13">
        <f>IF(ISNUMBER(CP13),IFERROR(MAX(0,BV9-CP13),0),0)</f>
        <v>0</v>
      </c>
      <c r="CS13">
        <f>IF(ISNUMBER(CP13),IFERROR(MAX(0,CP13-BV9),0),0)</f>
        <v>0</v>
      </c>
      <c r="CT13">
        <f>IF(ISNUMBER(CQ13),IFERROR(MAX(0,BW9-CQ13),0),0)</f>
        <v>0</v>
      </c>
      <c r="CU13">
        <f>IF(ISNUMBER(CQ13),IFERROR(MAX(0,CQ13-BW9),0),0)</f>
        <v>0</v>
      </c>
    </row>
    <row r="14" spans="1:99" x14ac:dyDescent="0.3">
      <c r="A14">
        <v>8</v>
      </c>
      <c r="B14">
        <f>IF(A14&lt;=$B$2,IF(INDEX(Gantt!$A$7:$A$119,A14)&lt;&gt;"",1,0),0)</f>
        <v>0</v>
      </c>
      <c r="C14" t="e">
        <f>IF(B14=1,INDEX(Gantt!$C$7:$C$119,A14),NA())</f>
        <v>#N/A</v>
      </c>
      <c r="D14" t="e">
        <f>IF(B14=1,INDEX(Gantt!$D$7:$D$119,A14)+1,NA())</f>
        <v>#N/A</v>
      </c>
      <c r="E14">
        <f>IF(B14=1,INDEX(Gantt!$BN$7:$BN$119,A14),0)</f>
        <v>0</v>
      </c>
      <c r="F14">
        <f>IF(B14=1,N(INDEX(Gantt!$F$7:$F$119,A14)),0)</f>
        <v>0</v>
      </c>
      <c r="G14">
        <f t="shared" si="0"/>
        <v>0</v>
      </c>
      <c r="H14" t="e">
        <f t="shared" si="1"/>
        <v>#N/A</v>
      </c>
      <c r="I14" t="e">
        <f t="shared" si="2"/>
        <v>#N/A</v>
      </c>
      <c r="J14" t="e">
        <f t="shared" si="3"/>
        <v>#N/A</v>
      </c>
      <c r="K14" t="e">
        <f t="shared" si="4"/>
        <v>#N/A</v>
      </c>
      <c r="L14" t="e">
        <f t="shared" si="5"/>
        <v>#N/A</v>
      </c>
      <c r="M14" t="e">
        <f t="shared" si="6"/>
        <v>#N/A</v>
      </c>
      <c r="N14" t="e">
        <f t="shared" si="7"/>
        <v>#N/A</v>
      </c>
      <c r="O14" t="e">
        <f t="shared" si="8"/>
        <v>#N/A</v>
      </c>
      <c r="P14" t="e">
        <f t="shared" si="9"/>
        <v>#N/A</v>
      </c>
      <c r="Q14" t="str">
        <f>IF(B14=1,INDEX(Gantt!$A$7:$A$119,A14)&amp;"   "&amp;INDEX(Gantt!$B$7:$B$119,A14),"")</f>
        <v/>
      </c>
      <c r="R14" t="e">
        <f t="shared" si="10"/>
        <v>#N/A</v>
      </c>
      <c r="S14">
        <f t="shared" si="11"/>
        <v>0</v>
      </c>
      <c r="T14">
        <f t="shared" si="12"/>
        <v>0</v>
      </c>
      <c r="U14">
        <v>8</v>
      </c>
      <c r="V14">
        <f t="shared" si="13"/>
        <v>2</v>
      </c>
      <c r="W14">
        <f t="shared" si="14"/>
        <v>4</v>
      </c>
      <c r="X14">
        <f t="shared" si="15"/>
        <v>1</v>
      </c>
      <c r="Y14">
        <f>IF(X14&lt;&gt;1,9999,CHOOSE(W14,INDEX(Gantt!$BQ$7:$BQ$119,V14),INDEX(Gantt!$BR$7:$BR$119,V14),INDEX(Gantt!$BT$7:$BT$119,V14),INDEX(Gantt!$BU$7:$BU$119,V14)))</f>
        <v>9999</v>
      </c>
      <c r="Z14">
        <f t="shared" si="16"/>
        <v>0</v>
      </c>
      <c r="AA14" t="e">
        <f t="shared" si="17"/>
        <v>#N/A</v>
      </c>
      <c r="AB14" t="e">
        <f t="shared" si="18"/>
        <v>#N/A</v>
      </c>
      <c r="AC14" t="e">
        <f t="shared" si="19"/>
        <v>#N/A</v>
      </c>
      <c r="AD14" t="e">
        <f t="shared" si="20"/>
        <v>#N/A</v>
      </c>
      <c r="AE14" t="e">
        <f t="shared" si="21"/>
        <v>#N/A</v>
      </c>
      <c r="AF14" t="e">
        <f t="shared" si="22"/>
        <v>#N/A</v>
      </c>
      <c r="AG14" t="e">
        <f t="shared" si="23"/>
        <v>#N/A</v>
      </c>
      <c r="AH14" t="e">
        <f t="shared" si="24"/>
        <v>#N/A</v>
      </c>
      <c r="AI14" t="e">
        <f t="shared" si="25"/>
        <v>#N/A</v>
      </c>
      <c r="AJ14" t="e">
        <f t="shared" si="26"/>
        <v>#N/A</v>
      </c>
      <c r="AK14" t="e">
        <f t="shared" si="27"/>
        <v>#N/A</v>
      </c>
      <c r="AL14" t="e">
        <f t="shared" si="28"/>
        <v>#N/A</v>
      </c>
      <c r="AM14" t="e">
        <f t="shared" si="29"/>
        <v>#N/A</v>
      </c>
      <c r="AN14" t="e">
        <f t="shared" si="30"/>
        <v>#N/A</v>
      </c>
      <c r="AO14" t="e">
        <f t="shared" si="31"/>
        <v>#N/A</v>
      </c>
      <c r="AP14" t="e">
        <f t="shared" si="32"/>
        <v>#N/A</v>
      </c>
      <c r="AQ14" t="e">
        <f t="shared" si="33"/>
        <v>#N/A</v>
      </c>
      <c r="AR14" t="e">
        <f t="shared" si="34"/>
        <v>#N/A</v>
      </c>
      <c r="AS14" t="e">
        <f t="shared" si="35"/>
        <v>#N/A</v>
      </c>
      <c r="AT14" t="e">
        <f t="shared" si="36"/>
        <v>#N/A</v>
      </c>
      <c r="AU14" t="e">
        <f t="shared" si="37"/>
        <v>#N/A</v>
      </c>
      <c r="AV14" t="e">
        <f t="shared" si="38"/>
        <v>#N/A</v>
      </c>
      <c r="AW14" t="e">
        <f t="shared" si="39"/>
        <v>#N/A</v>
      </c>
      <c r="AX14" t="e">
        <f t="shared" si="40"/>
        <v>#N/A</v>
      </c>
      <c r="AY14" t="e">
        <f t="shared" si="41"/>
        <v>#N/A</v>
      </c>
      <c r="BA14">
        <v>98</v>
      </c>
      <c r="BB14">
        <v>-0.6</v>
      </c>
      <c r="BC14" s="42">
        <f>$B$1+98</f>
        <v>46125</v>
      </c>
      <c r="BE14" t="e">
        <f>IF(Z14=1,IF(INDEX($C$7:$C$126,V14)&gt;=Gantt!$BF$6,NA(),MATCH(INDEX($C$7:$C$126,V14),Gantt!$J$6:$BE$6,1)),NA())</f>
        <v>#N/A</v>
      </c>
      <c r="BF14" t="e">
        <f>IF(Z14=1,IF((INDEX($D$7:$D$126,AA14)-1)&gt;=Gantt!$BF$6,NA(),IF((INDEX($D$7:$D$126,AA14)-1)&lt;Gantt!$J$6,0,MATCH((INDEX($D$7:$D$126,AA14)-1),Gantt!$J$6:$BE$6,1))),NA())</f>
        <v>#N/A</v>
      </c>
      <c r="BG14" t="e">
        <f t="shared" si="42"/>
        <v>#N/A</v>
      </c>
      <c r="BH14" t="e">
        <f t="shared" si="43"/>
        <v>#N/A</v>
      </c>
      <c r="BI14" t="e">
        <f t="shared" si="44"/>
        <v>#N/A</v>
      </c>
      <c r="BJ14" t="e">
        <f t="shared" si="45"/>
        <v>#N/A</v>
      </c>
      <c r="BK14" t="e">
        <f t="shared" si="46"/>
        <v>#N/A</v>
      </c>
      <c r="BL14" t="e">
        <f t="shared" si="47"/>
        <v>#N/A</v>
      </c>
      <c r="BM14" t="e">
        <f t="shared" si="48"/>
        <v>#N/A</v>
      </c>
      <c r="BN14" t="e">
        <f t="shared" si="49"/>
        <v>#N/A</v>
      </c>
      <c r="BO14" t="e">
        <f t="shared" si="50"/>
        <v>#N/A</v>
      </c>
      <c r="BP14" t="e">
        <f t="shared" si="51"/>
        <v>#N/A</v>
      </c>
      <c r="BQ14" t="e">
        <f t="shared" si="52"/>
        <v>#N/A</v>
      </c>
      <c r="BR14" t="e">
        <f t="shared" si="53"/>
        <v>#N/A</v>
      </c>
      <c r="BS14" t="e">
        <f t="shared" si="54"/>
        <v>#N/A</v>
      </c>
      <c r="BT14" t="e">
        <f t="shared" si="55"/>
        <v>#N/A</v>
      </c>
      <c r="BU14" t="e">
        <f t="shared" si="56"/>
        <v>#N/A</v>
      </c>
      <c r="BV14" t="e">
        <f t="shared" si="57"/>
        <v>#N/A</v>
      </c>
      <c r="BW14" t="e">
        <f t="shared" si="58"/>
        <v>#N/A</v>
      </c>
      <c r="BX14" t="e">
        <f t="shared" si="59"/>
        <v>#N/A</v>
      </c>
      <c r="BY14" t="e">
        <f t="shared" si="60"/>
        <v>#N/A</v>
      </c>
      <c r="BZ14" t="e">
        <f t="shared" si="61"/>
        <v>#N/A</v>
      </c>
      <c r="CA14" t="e">
        <f t="shared" si="62"/>
        <v>#N/A</v>
      </c>
      <c r="CB14" t="e">
        <f t="shared" si="63"/>
        <v>#N/A</v>
      </c>
      <c r="CC14" t="e">
        <f t="shared" si="64"/>
        <v>#N/A</v>
      </c>
      <c r="CD14" t="e">
        <f t="shared" si="65"/>
        <v>#N/A</v>
      </c>
      <c r="CE14" t="e">
        <f t="shared" si="66"/>
        <v>#N/A</v>
      </c>
      <c r="CF14" t="e">
        <f t="shared" si="67"/>
        <v>#N/A</v>
      </c>
      <c r="CG14" t="e">
        <f t="shared" si="68"/>
        <v>#N/A</v>
      </c>
      <c r="CI14" t="e">
        <f>AP9</f>
        <v>#N/A</v>
      </c>
      <c r="CJ14" t="e">
        <f>AQ9</f>
        <v>#N/A</v>
      </c>
      <c r="CK14">
        <f>IF(ISNUMBER(CI14),IFERROR(MAX(0,AR9-CI14),0),0)</f>
        <v>0</v>
      </c>
      <c r="CL14">
        <f>IF(ISNUMBER(CI14),IFERROR(MAX(0,CI14-AR9),0),0)</f>
        <v>0</v>
      </c>
      <c r="CM14">
        <f>IF(ISNUMBER(CJ14),IFERROR(MAX(0,AS9-CJ14),0),0)</f>
        <v>0</v>
      </c>
      <c r="CN14">
        <f>IF(ISNUMBER(CJ14),IFERROR(MAX(0,CJ14-AS9),0),0)</f>
        <v>0</v>
      </c>
      <c r="CP14" t="e">
        <f>BX9</f>
        <v>#N/A</v>
      </c>
      <c r="CQ14" t="e">
        <f>BY9</f>
        <v>#N/A</v>
      </c>
      <c r="CR14">
        <f>IF(ISNUMBER(CP14),IFERROR(MAX(0,BZ9-CP14),0),0)</f>
        <v>0</v>
      </c>
      <c r="CS14">
        <f>IF(ISNUMBER(CP14),IFERROR(MAX(0,CP14-BZ9),0),0)</f>
        <v>0</v>
      </c>
      <c r="CT14">
        <f>IF(ISNUMBER(CQ14),IFERROR(MAX(0,CA9-CQ14),0),0)</f>
        <v>0</v>
      </c>
      <c r="CU14">
        <f>IF(ISNUMBER(CQ14),IFERROR(MAX(0,CQ14-CA9),0),0)</f>
        <v>0</v>
      </c>
    </row>
    <row r="15" spans="1:99" x14ac:dyDescent="0.3">
      <c r="A15">
        <v>9</v>
      </c>
      <c r="B15">
        <f>IF(A15&lt;=$B$2,IF(INDEX(Gantt!$A$7:$A$119,A15)&lt;&gt;"",1,0),0)</f>
        <v>0</v>
      </c>
      <c r="C15" t="e">
        <f>IF(B15=1,INDEX(Gantt!$C$7:$C$119,A15),NA())</f>
        <v>#N/A</v>
      </c>
      <c r="D15" t="e">
        <f>IF(B15=1,INDEX(Gantt!$D$7:$D$119,A15)+1,NA())</f>
        <v>#N/A</v>
      </c>
      <c r="E15">
        <f>IF(B15=1,INDEX(Gantt!$BN$7:$BN$119,A15),0)</f>
        <v>0</v>
      </c>
      <c r="F15">
        <f>IF(B15=1,N(INDEX(Gantt!$F$7:$F$119,A15)),0)</f>
        <v>0</v>
      </c>
      <c r="G15">
        <f t="shared" si="0"/>
        <v>0</v>
      </c>
      <c r="H15" t="e">
        <f t="shared" si="1"/>
        <v>#N/A</v>
      </c>
      <c r="I15" t="e">
        <f t="shared" si="2"/>
        <v>#N/A</v>
      </c>
      <c r="J15" t="e">
        <f t="shared" si="3"/>
        <v>#N/A</v>
      </c>
      <c r="K15" t="e">
        <f t="shared" si="4"/>
        <v>#N/A</v>
      </c>
      <c r="L15" t="e">
        <f t="shared" si="5"/>
        <v>#N/A</v>
      </c>
      <c r="M15" t="e">
        <f t="shared" si="6"/>
        <v>#N/A</v>
      </c>
      <c r="N15" t="e">
        <f t="shared" si="7"/>
        <v>#N/A</v>
      </c>
      <c r="O15" t="e">
        <f t="shared" si="8"/>
        <v>#N/A</v>
      </c>
      <c r="P15" t="e">
        <f t="shared" si="9"/>
        <v>#N/A</v>
      </c>
      <c r="Q15" t="str">
        <f>IF(B15=1,INDEX(Gantt!$A$7:$A$119,A15)&amp;"   "&amp;INDEX(Gantt!$B$7:$B$119,A15),"")</f>
        <v/>
      </c>
      <c r="R15" t="e">
        <f t="shared" si="10"/>
        <v>#N/A</v>
      </c>
      <c r="S15">
        <f t="shared" si="11"/>
        <v>0</v>
      </c>
      <c r="T15">
        <f t="shared" si="12"/>
        <v>0</v>
      </c>
      <c r="U15">
        <v>9</v>
      </c>
      <c r="V15">
        <f t="shared" si="13"/>
        <v>3</v>
      </c>
      <c r="W15">
        <f t="shared" si="14"/>
        <v>1</v>
      </c>
      <c r="X15">
        <f t="shared" si="15"/>
        <v>0</v>
      </c>
      <c r="Y15">
        <f>IF(X15&lt;&gt;1,9999,CHOOSE(W15,INDEX(Gantt!$BQ$7:$BQ$119,V15),INDEX(Gantt!$BR$7:$BR$119,V15),INDEX(Gantt!$BT$7:$BT$119,V15),INDEX(Gantt!$BU$7:$BU$119,V15)))</f>
        <v>9999</v>
      </c>
      <c r="Z15">
        <f t="shared" si="16"/>
        <v>0</v>
      </c>
      <c r="AA15" t="e">
        <f t="shared" si="17"/>
        <v>#N/A</v>
      </c>
      <c r="AB15" t="e">
        <f t="shared" si="18"/>
        <v>#N/A</v>
      </c>
      <c r="AC15" t="e">
        <f t="shared" si="19"/>
        <v>#N/A</v>
      </c>
      <c r="AD15" t="e">
        <f t="shared" si="20"/>
        <v>#N/A</v>
      </c>
      <c r="AE15" t="e">
        <f t="shared" si="21"/>
        <v>#N/A</v>
      </c>
      <c r="AF15" t="e">
        <f t="shared" si="22"/>
        <v>#N/A</v>
      </c>
      <c r="AG15" t="e">
        <f t="shared" si="23"/>
        <v>#N/A</v>
      </c>
      <c r="AH15" t="e">
        <f t="shared" si="24"/>
        <v>#N/A</v>
      </c>
      <c r="AI15" t="e">
        <f t="shared" si="25"/>
        <v>#N/A</v>
      </c>
      <c r="AJ15" t="e">
        <f t="shared" si="26"/>
        <v>#N/A</v>
      </c>
      <c r="AK15" t="e">
        <f t="shared" si="27"/>
        <v>#N/A</v>
      </c>
      <c r="AL15" t="e">
        <f t="shared" si="28"/>
        <v>#N/A</v>
      </c>
      <c r="AM15" t="e">
        <f t="shared" si="29"/>
        <v>#N/A</v>
      </c>
      <c r="AN15" t="e">
        <f t="shared" si="30"/>
        <v>#N/A</v>
      </c>
      <c r="AO15" t="e">
        <f t="shared" si="31"/>
        <v>#N/A</v>
      </c>
      <c r="AP15" t="e">
        <f t="shared" si="32"/>
        <v>#N/A</v>
      </c>
      <c r="AQ15" t="e">
        <f t="shared" si="33"/>
        <v>#N/A</v>
      </c>
      <c r="AR15" t="e">
        <f t="shared" si="34"/>
        <v>#N/A</v>
      </c>
      <c r="AS15" t="e">
        <f t="shared" si="35"/>
        <v>#N/A</v>
      </c>
      <c r="AT15" t="e">
        <f t="shared" si="36"/>
        <v>#N/A</v>
      </c>
      <c r="AU15" t="e">
        <f t="shared" si="37"/>
        <v>#N/A</v>
      </c>
      <c r="AV15" t="e">
        <f t="shared" si="38"/>
        <v>#N/A</v>
      </c>
      <c r="AW15" t="e">
        <f t="shared" si="39"/>
        <v>#N/A</v>
      </c>
      <c r="AX15" t="e">
        <f t="shared" si="40"/>
        <v>#N/A</v>
      </c>
      <c r="AY15" t="e">
        <f t="shared" si="41"/>
        <v>#N/A</v>
      </c>
      <c r="BA15">
        <v>112</v>
      </c>
      <c r="BB15">
        <v>-0.6</v>
      </c>
      <c r="BC15" s="42">
        <f>$B$1+112</f>
        <v>46139</v>
      </c>
      <c r="BE15" t="e">
        <f>IF(Z15=1,IF(INDEX($C$7:$C$126,V15)&gt;=Gantt!$BF$6,NA(),MATCH(INDEX($C$7:$C$126,V15),Gantt!$J$6:$BE$6,1)),NA())</f>
        <v>#N/A</v>
      </c>
      <c r="BF15" t="e">
        <f>IF(Z15=1,IF((INDEX($D$7:$D$126,AA15)-1)&gt;=Gantt!$BF$6,NA(),IF((INDEX($D$7:$D$126,AA15)-1)&lt;Gantt!$J$6,0,MATCH((INDEX($D$7:$D$126,AA15)-1),Gantt!$J$6:$BE$6,1))),NA())</f>
        <v>#N/A</v>
      </c>
      <c r="BG15" t="e">
        <f t="shared" si="42"/>
        <v>#N/A</v>
      </c>
      <c r="BH15" t="e">
        <f t="shared" si="43"/>
        <v>#N/A</v>
      </c>
      <c r="BI15" t="e">
        <f t="shared" si="44"/>
        <v>#N/A</v>
      </c>
      <c r="BJ15" t="e">
        <f t="shared" si="45"/>
        <v>#N/A</v>
      </c>
      <c r="BK15" t="e">
        <f t="shared" si="46"/>
        <v>#N/A</v>
      </c>
      <c r="BL15" t="e">
        <f t="shared" si="47"/>
        <v>#N/A</v>
      </c>
      <c r="BM15" t="e">
        <f t="shared" si="48"/>
        <v>#N/A</v>
      </c>
      <c r="BN15" t="e">
        <f t="shared" si="49"/>
        <v>#N/A</v>
      </c>
      <c r="BO15" t="e">
        <f t="shared" si="50"/>
        <v>#N/A</v>
      </c>
      <c r="BP15" t="e">
        <f t="shared" si="51"/>
        <v>#N/A</v>
      </c>
      <c r="BQ15" t="e">
        <f t="shared" si="52"/>
        <v>#N/A</v>
      </c>
      <c r="BR15" t="e">
        <f t="shared" si="53"/>
        <v>#N/A</v>
      </c>
      <c r="BS15" t="e">
        <f t="shared" si="54"/>
        <v>#N/A</v>
      </c>
      <c r="BT15" t="e">
        <f t="shared" si="55"/>
        <v>#N/A</v>
      </c>
      <c r="BU15" t="e">
        <f t="shared" si="56"/>
        <v>#N/A</v>
      </c>
      <c r="BV15" t="e">
        <f t="shared" si="57"/>
        <v>#N/A</v>
      </c>
      <c r="BW15" t="e">
        <f t="shared" si="58"/>
        <v>#N/A</v>
      </c>
      <c r="BX15" t="e">
        <f t="shared" si="59"/>
        <v>#N/A</v>
      </c>
      <c r="BY15" t="e">
        <f t="shared" si="60"/>
        <v>#N/A</v>
      </c>
      <c r="BZ15" t="e">
        <f t="shared" si="61"/>
        <v>#N/A</v>
      </c>
      <c r="CA15" t="e">
        <f t="shared" si="62"/>
        <v>#N/A</v>
      </c>
      <c r="CB15" t="e">
        <f t="shared" si="63"/>
        <v>#N/A</v>
      </c>
      <c r="CC15" t="e">
        <f t="shared" si="64"/>
        <v>#N/A</v>
      </c>
      <c r="CD15" t="e">
        <f t="shared" si="65"/>
        <v>#N/A</v>
      </c>
      <c r="CE15" t="e">
        <f t="shared" si="66"/>
        <v>#N/A</v>
      </c>
      <c r="CF15" t="e">
        <f t="shared" si="67"/>
        <v>#N/A</v>
      </c>
      <c r="CG15" t="e">
        <f t="shared" si="68"/>
        <v>#N/A</v>
      </c>
      <c r="CI15" t="e">
        <f>AT9</f>
        <v>#N/A</v>
      </c>
      <c r="CJ15" t="e">
        <f>AU9</f>
        <v>#N/A</v>
      </c>
      <c r="CK15">
        <f>IF(ISNUMBER(CI15),IFERROR(MAX(0,AV9-CI15),0),0)</f>
        <v>0</v>
      </c>
      <c r="CL15">
        <f>IF(ISNUMBER(CI15),IFERROR(MAX(0,CI15-AV9),0),0)</f>
        <v>0</v>
      </c>
      <c r="CM15">
        <f>IF(ISNUMBER(CJ15),IFERROR(MAX(0,AW9-CJ15),0),0)</f>
        <v>0</v>
      </c>
      <c r="CN15">
        <f>IF(ISNUMBER(CJ15),IFERROR(MAX(0,CJ15-AW9),0),0)</f>
        <v>0</v>
      </c>
      <c r="CP15" t="e">
        <f>CB9</f>
        <v>#N/A</v>
      </c>
      <c r="CQ15" t="e">
        <f>CC9</f>
        <v>#N/A</v>
      </c>
      <c r="CR15">
        <f>IF(ISNUMBER(CP15),IFERROR(MAX(0,CD9-CP15),0),0)</f>
        <v>0</v>
      </c>
      <c r="CS15">
        <f>IF(ISNUMBER(CP15),IFERROR(MAX(0,CP15-CD9),0),0)</f>
        <v>0</v>
      </c>
      <c r="CT15">
        <f>IF(ISNUMBER(CQ15),IFERROR(MAX(0,CE9-CQ15),0),0)</f>
        <v>0</v>
      </c>
      <c r="CU15">
        <f>IF(ISNUMBER(CQ15),IFERROR(MAX(0,CQ15-CE9),0),0)</f>
        <v>0</v>
      </c>
    </row>
    <row r="16" spans="1:99" x14ac:dyDescent="0.3">
      <c r="A16">
        <v>10</v>
      </c>
      <c r="B16">
        <f>IF(A16&lt;=$B$2,IF(INDEX(Gantt!$A$7:$A$119,A16)&lt;&gt;"",1,0),0)</f>
        <v>0</v>
      </c>
      <c r="C16" t="e">
        <f>IF(B16=1,INDEX(Gantt!$C$7:$C$119,A16),NA())</f>
        <v>#N/A</v>
      </c>
      <c r="D16" t="e">
        <f>IF(B16=1,INDEX(Gantt!$D$7:$D$119,A16)+1,NA())</f>
        <v>#N/A</v>
      </c>
      <c r="E16">
        <f>IF(B16=1,INDEX(Gantt!$BN$7:$BN$119,A16),0)</f>
        <v>0</v>
      </c>
      <c r="F16">
        <f>IF(B16=1,N(INDEX(Gantt!$F$7:$F$119,A16)),0)</f>
        <v>0</v>
      </c>
      <c r="G16">
        <f t="shared" si="0"/>
        <v>0</v>
      </c>
      <c r="H16" t="e">
        <f t="shared" si="1"/>
        <v>#N/A</v>
      </c>
      <c r="I16" t="e">
        <f t="shared" si="2"/>
        <v>#N/A</v>
      </c>
      <c r="J16" t="e">
        <f t="shared" si="3"/>
        <v>#N/A</v>
      </c>
      <c r="K16" t="e">
        <f t="shared" si="4"/>
        <v>#N/A</v>
      </c>
      <c r="L16" t="e">
        <f t="shared" si="5"/>
        <v>#N/A</v>
      </c>
      <c r="M16" t="e">
        <f t="shared" si="6"/>
        <v>#N/A</v>
      </c>
      <c r="N16" t="e">
        <f t="shared" si="7"/>
        <v>#N/A</v>
      </c>
      <c r="O16" t="e">
        <f t="shared" si="8"/>
        <v>#N/A</v>
      </c>
      <c r="P16" t="e">
        <f t="shared" si="9"/>
        <v>#N/A</v>
      </c>
      <c r="Q16" t="str">
        <f>IF(B16=1,INDEX(Gantt!$A$7:$A$119,A16)&amp;"   "&amp;INDEX(Gantt!$B$7:$B$119,A16),"")</f>
        <v/>
      </c>
      <c r="R16" t="e">
        <f t="shared" si="10"/>
        <v>#N/A</v>
      </c>
      <c r="S16">
        <f t="shared" si="11"/>
        <v>0</v>
      </c>
      <c r="T16">
        <f t="shared" si="12"/>
        <v>0</v>
      </c>
      <c r="U16">
        <v>10</v>
      </c>
      <c r="V16">
        <f t="shared" si="13"/>
        <v>3</v>
      </c>
      <c r="W16">
        <f t="shared" si="14"/>
        <v>2</v>
      </c>
      <c r="X16">
        <f t="shared" si="15"/>
        <v>0</v>
      </c>
      <c r="Y16">
        <f>IF(X16&lt;&gt;1,9999,CHOOSE(W16,INDEX(Gantt!$BQ$7:$BQ$119,V16),INDEX(Gantt!$BR$7:$BR$119,V16),INDEX(Gantt!$BT$7:$BT$119,V16),INDEX(Gantt!$BU$7:$BU$119,V16)))</f>
        <v>9999</v>
      </c>
      <c r="Z16">
        <f t="shared" si="16"/>
        <v>0</v>
      </c>
      <c r="AA16" t="e">
        <f t="shared" si="17"/>
        <v>#N/A</v>
      </c>
      <c r="AB16" t="e">
        <f t="shared" si="18"/>
        <v>#N/A</v>
      </c>
      <c r="AC16" t="e">
        <f t="shared" si="19"/>
        <v>#N/A</v>
      </c>
      <c r="AD16" t="e">
        <f t="shared" si="20"/>
        <v>#N/A</v>
      </c>
      <c r="AE16" t="e">
        <f t="shared" si="21"/>
        <v>#N/A</v>
      </c>
      <c r="AF16" t="e">
        <f t="shared" si="22"/>
        <v>#N/A</v>
      </c>
      <c r="AG16" t="e">
        <f t="shared" si="23"/>
        <v>#N/A</v>
      </c>
      <c r="AH16" t="e">
        <f t="shared" si="24"/>
        <v>#N/A</v>
      </c>
      <c r="AI16" t="e">
        <f t="shared" si="25"/>
        <v>#N/A</v>
      </c>
      <c r="AJ16" t="e">
        <f t="shared" si="26"/>
        <v>#N/A</v>
      </c>
      <c r="AK16" t="e">
        <f t="shared" si="27"/>
        <v>#N/A</v>
      </c>
      <c r="AL16" t="e">
        <f t="shared" si="28"/>
        <v>#N/A</v>
      </c>
      <c r="AM16" t="e">
        <f t="shared" si="29"/>
        <v>#N/A</v>
      </c>
      <c r="AN16" t="e">
        <f t="shared" si="30"/>
        <v>#N/A</v>
      </c>
      <c r="AO16" t="e">
        <f t="shared" si="31"/>
        <v>#N/A</v>
      </c>
      <c r="AP16" t="e">
        <f t="shared" si="32"/>
        <v>#N/A</v>
      </c>
      <c r="AQ16" t="e">
        <f t="shared" si="33"/>
        <v>#N/A</v>
      </c>
      <c r="AR16" t="e">
        <f t="shared" si="34"/>
        <v>#N/A</v>
      </c>
      <c r="AS16" t="e">
        <f t="shared" si="35"/>
        <v>#N/A</v>
      </c>
      <c r="AT16" t="e">
        <f t="shared" si="36"/>
        <v>#N/A</v>
      </c>
      <c r="AU16" t="e">
        <f t="shared" si="37"/>
        <v>#N/A</v>
      </c>
      <c r="AV16" t="e">
        <f t="shared" si="38"/>
        <v>#N/A</v>
      </c>
      <c r="AW16" t="e">
        <f t="shared" si="39"/>
        <v>#N/A</v>
      </c>
      <c r="AX16" t="e">
        <f t="shared" si="40"/>
        <v>#N/A</v>
      </c>
      <c r="AY16" t="e">
        <f t="shared" si="41"/>
        <v>#N/A</v>
      </c>
      <c r="BA16">
        <v>126</v>
      </c>
      <c r="BB16">
        <v>-0.6</v>
      </c>
      <c r="BC16" s="42">
        <f>$B$1+126</f>
        <v>46153</v>
      </c>
      <c r="BE16" t="e">
        <f>IF(Z16=1,IF(INDEX($C$7:$C$126,V16)&gt;=Gantt!$BF$6,NA(),MATCH(INDEX($C$7:$C$126,V16),Gantt!$J$6:$BE$6,1)),NA())</f>
        <v>#N/A</v>
      </c>
      <c r="BF16" t="e">
        <f>IF(Z16=1,IF((INDEX($D$7:$D$126,AA16)-1)&gt;=Gantt!$BF$6,NA(),IF((INDEX($D$7:$D$126,AA16)-1)&lt;Gantt!$J$6,0,MATCH((INDEX($D$7:$D$126,AA16)-1),Gantt!$J$6:$BE$6,1))),NA())</f>
        <v>#N/A</v>
      </c>
      <c r="BG16" t="e">
        <f t="shared" si="42"/>
        <v>#N/A</v>
      </c>
      <c r="BH16" t="e">
        <f t="shared" si="43"/>
        <v>#N/A</v>
      </c>
      <c r="BI16" t="e">
        <f t="shared" si="44"/>
        <v>#N/A</v>
      </c>
      <c r="BJ16" t="e">
        <f t="shared" si="45"/>
        <v>#N/A</v>
      </c>
      <c r="BK16" t="e">
        <f t="shared" si="46"/>
        <v>#N/A</v>
      </c>
      <c r="BL16" t="e">
        <f t="shared" si="47"/>
        <v>#N/A</v>
      </c>
      <c r="BM16" t="e">
        <f t="shared" si="48"/>
        <v>#N/A</v>
      </c>
      <c r="BN16" t="e">
        <f t="shared" si="49"/>
        <v>#N/A</v>
      </c>
      <c r="BO16" t="e">
        <f t="shared" si="50"/>
        <v>#N/A</v>
      </c>
      <c r="BP16" t="e">
        <f t="shared" si="51"/>
        <v>#N/A</v>
      </c>
      <c r="BQ16" t="e">
        <f t="shared" si="52"/>
        <v>#N/A</v>
      </c>
      <c r="BR16" t="e">
        <f t="shared" si="53"/>
        <v>#N/A</v>
      </c>
      <c r="BS16" t="e">
        <f t="shared" si="54"/>
        <v>#N/A</v>
      </c>
      <c r="BT16" t="e">
        <f t="shared" si="55"/>
        <v>#N/A</v>
      </c>
      <c r="BU16" t="e">
        <f t="shared" si="56"/>
        <v>#N/A</v>
      </c>
      <c r="BV16" t="e">
        <f t="shared" si="57"/>
        <v>#N/A</v>
      </c>
      <c r="BW16" t="e">
        <f t="shared" si="58"/>
        <v>#N/A</v>
      </c>
      <c r="BX16" t="e">
        <f t="shared" si="59"/>
        <v>#N/A</v>
      </c>
      <c r="BY16" t="e">
        <f t="shared" si="60"/>
        <v>#N/A</v>
      </c>
      <c r="BZ16" t="e">
        <f t="shared" si="61"/>
        <v>#N/A</v>
      </c>
      <c r="CA16" t="e">
        <f t="shared" si="62"/>
        <v>#N/A</v>
      </c>
      <c r="CB16" t="e">
        <f t="shared" si="63"/>
        <v>#N/A</v>
      </c>
      <c r="CC16" t="e">
        <f t="shared" si="64"/>
        <v>#N/A</v>
      </c>
      <c r="CD16" t="e">
        <f t="shared" si="65"/>
        <v>#N/A</v>
      </c>
      <c r="CE16" t="e">
        <f t="shared" si="66"/>
        <v>#N/A</v>
      </c>
      <c r="CF16" t="e">
        <f t="shared" si="67"/>
        <v>#N/A</v>
      </c>
      <c r="CG16" t="e">
        <f t="shared" si="68"/>
        <v>#N/A</v>
      </c>
      <c r="CI16" t="e">
        <f>AL10</f>
        <v>#N/A</v>
      </c>
      <c r="CJ16" t="e">
        <f>AM10</f>
        <v>#N/A</v>
      </c>
      <c r="CK16">
        <f>IF(ISNUMBER(CI16),IFERROR(MAX(0,AN10-CI16),0),0)</f>
        <v>0</v>
      </c>
      <c r="CL16">
        <f>IF(ISNUMBER(CI16),IFERROR(MAX(0,CI16-AN10),0),0)</f>
        <v>0</v>
      </c>
      <c r="CM16">
        <f>IF(ISNUMBER(CJ16),IFERROR(MAX(0,AO10-CJ16),0),0)</f>
        <v>0</v>
      </c>
      <c r="CN16">
        <f>IF(ISNUMBER(CJ16),IFERROR(MAX(0,CJ16-AO10),0),0)</f>
        <v>0</v>
      </c>
      <c r="CP16" t="e">
        <f>BT10</f>
        <v>#N/A</v>
      </c>
      <c r="CQ16" t="e">
        <f>BU10</f>
        <v>#N/A</v>
      </c>
      <c r="CR16">
        <f>IF(ISNUMBER(CP16),IFERROR(MAX(0,BV10-CP16),0),0)</f>
        <v>0</v>
      </c>
      <c r="CS16">
        <f>IF(ISNUMBER(CP16),IFERROR(MAX(0,CP16-BV10),0),0)</f>
        <v>0</v>
      </c>
      <c r="CT16">
        <f>IF(ISNUMBER(CQ16),IFERROR(MAX(0,BW10-CQ16),0),0)</f>
        <v>0</v>
      </c>
      <c r="CU16">
        <f>IF(ISNUMBER(CQ16),IFERROR(MAX(0,CQ16-BW10),0),0)</f>
        <v>0</v>
      </c>
    </row>
    <row r="17" spans="1:99" x14ac:dyDescent="0.3">
      <c r="A17">
        <v>11</v>
      </c>
      <c r="B17">
        <f>IF(A17&lt;=$B$2,IF(INDEX(Gantt!$A$7:$A$119,A17)&lt;&gt;"",1,0),0)</f>
        <v>0</v>
      </c>
      <c r="C17" t="e">
        <f>IF(B17=1,INDEX(Gantt!$C$7:$C$119,A17),NA())</f>
        <v>#N/A</v>
      </c>
      <c r="D17" t="e">
        <f>IF(B17=1,INDEX(Gantt!$D$7:$D$119,A17)+1,NA())</f>
        <v>#N/A</v>
      </c>
      <c r="E17">
        <f>IF(B17=1,INDEX(Gantt!$BN$7:$BN$119,A17),0)</f>
        <v>0</v>
      </c>
      <c r="F17">
        <f>IF(B17=1,N(INDEX(Gantt!$F$7:$F$119,A17)),0)</f>
        <v>0</v>
      </c>
      <c r="G17">
        <f t="shared" si="0"/>
        <v>0</v>
      </c>
      <c r="H17" t="e">
        <f t="shared" si="1"/>
        <v>#N/A</v>
      </c>
      <c r="I17" t="e">
        <f t="shared" si="2"/>
        <v>#N/A</v>
      </c>
      <c r="J17" t="e">
        <f t="shared" si="3"/>
        <v>#N/A</v>
      </c>
      <c r="K17" t="e">
        <f t="shared" si="4"/>
        <v>#N/A</v>
      </c>
      <c r="L17" t="e">
        <f t="shared" si="5"/>
        <v>#N/A</v>
      </c>
      <c r="M17" t="e">
        <f t="shared" si="6"/>
        <v>#N/A</v>
      </c>
      <c r="N17" t="e">
        <f t="shared" si="7"/>
        <v>#N/A</v>
      </c>
      <c r="O17" t="e">
        <f t="shared" si="8"/>
        <v>#N/A</v>
      </c>
      <c r="P17" t="e">
        <f t="shared" si="9"/>
        <v>#N/A</v>
      </c>
      <c r="Q17" t="str">
        <f>IF(B17=1,INDEX(Gantt!$A$7:$A$119,A17)&amp;"   "&amp;INDEX(Gantt!$B$7:$B$119,A17),"")</f>
        <v/>
      </c>
      <c r="R17" t="e">
        <f t="shared" si="10"/>
        <v>#N/A</v>
      </c>
      <c r="S17">
        <f t="shared" si="11"/>
        <v>0</v>
      </c>
      <c r="T17">
        <f t="shared" si="12"/>
        <v>0</v>
      </c>
      <c r="U17">
        <v>11</v>
      </c>
      <c r="V17">
        <f t="shared" si="13"/>
        <v>3</v>
      </c>
      <c r="W17">
        <f t="shared" si="14"/>
        <v>3</v>
      </c>
      <c r="X17">
        <f t="shared" si="15"/>
        <v>0</v>
      </c>
      <c r="Y17">
        <f>IF(X17&lt;&gt;1,9999,CHOOSE(W17,INDEX(Gantt!$BQ$7:$BQ$119,V17),INDEX(Gantt!$BR$7:$BR$119,V17),INDEX(Gantt!$BT$7:$BT$119,V17),INDEX(Gantt!$BU$7:$BU$119,V17)))</f>
        <v>9999</v>
      </c>
      <c r="Z17">
        <f t="shared" si="16"/>
        <v>0</v>
      </c>
      <c r="AA17" t="e">
        <f t="shared" si="17"/>
        <v>#N/A</v>
      </c>
      <c r="AB17" t="e">
        <f t="shared" si="18"/>
        <v>#N/A</v>
      </c>
      <c r="AC17" t="e">
        <f t="shared" si="19"/>
        <v>#N/A</v>
      </c>
      <c r="AD17" t="e">
        <f t="shared" si="20"/>
        <v>#N/A</v>
      </c>
      <c r="AE17" t="e">
        <f t="shared" si="21"/>
        <v>#N/A</v>
      </c>
      <c r="AF17" t="e">
        <f t="shared" si="22"/>
        <v>#N/A</v>
      </c>
      <c r="AG17" t="e">
        <f t="shared" si="23"/>
        <v>#N/A</v>
      </c>
      <c r="AH17" t="e">
        <f t="shared" si="24"/>
        <v>#N/A</v>
      </c>
      <c r="AI17" t="e">
        <f t="shared" si="25"/>
        <v>#N/A</v>
      </c>
      <c r="AJ17" t="e">
        <f t="shared" si="26"/>
        <v>#N/A</v>
      </c>
      <c r="AK17" t="e">
        <f t="shared" si="27"/>
        <v>#N/A</v>
      </c>
      <c r="AL17" t="e">
        <f t="shared" si="28"/>
        <v>#N/A</v>
      </c>
      <c r="AM17" t="e">
        <f t="shared" si="29"/>
        <v>#N/A</v>
      </c>
      <c r="AN17" t="e">
        <f t="shared" si="30"/>
        <v>#N/A</v>
      </c>
      <c r="AO17" t="e">
        <f t="shared" si="31"/>
        <v>#N/A</v>
      </c>
      <c r="AP17" t="e">
        <f t="shared" si="32"/>
        <v>#N/A</v>
      </c>
      <c r="AQ17" t="e">
        <f t="shared" si="33"/>
        <v>#N/A</v>
      </c>
      <c r="AR17" t="e">
        <f t="shared" si="34"/>
        <v>#N/A</v>
      </c>
      <c r="AS17" t="e">
        <f t="shared" si="35"/>
        <v>#N/A</v>
      </c>
      <c r="AT17" t="e">
        <f t="shared" si="36"/>
        <v>#N/A</v>
      </c>
      <c r="AU17" t="e">
        <f t="shared" si="37"/>
        <v>#N/A</v>
      </c>
      <c r="AV17" t="e">
        <f t="shared" si="38"/>
        <v>#N/A</v>
      </c>
      <c r="AW17" t="e">
        <f t="shared" si="39"/>
        <v>#N/A</v>
      </c>
      <c r="AX17" t="e">
        <f t="shared" si="40"/>
        <v>#N/A</v>
      </c>
      <c r="AY17" t="e">
        <f t="shared" si="41"/>
        <v>#N/A</v>
      </c>
      <c r="BA17">
        <v>140</v>
      </c>
      <c r="BB17">
        <v>-0.6</v>
      </c>
      <c r="BC17" s="42">
        <f>$B$1+140</f>
        <v>46167</v>
      </c>
      <c r="BE17" t="e">
        <f>IF(Z17=1,IF(INDEX($C$7:$C$126,V17)&gt;=Gantt!$BF$6,NA(),MATCH(INDEX($C$7:$C$126,V17),Gantt!$J$6:$BE$6,1)),NA())</f>
        <v>#N/A</v>
      </c>
      <c r="BF17" t="e">
        <f>IF(Z17=1,IF((INDEX($D$7:$D$126,AA17)-1)&gt;=Gantt!$BF$6,NA(),IF((INDEX($D$7:$D$126,AA17)-1)&lt;Gantt!$J$6,0,MATCH((INDEX($D$7:$D$126,AA17)-1),Gantt!$J$6:$BE$6,1))),NA())</f>
        <v>#N/A</v>
      </c>
      <c r="BG17" t="e">
        <f t="shared" si="42"/>
        <v>#N/A</v>
      </c>
      <c r="BH17" t="e">
        <f t="shared" si="43"/>
        <v>#N/A</v>
      </c>
      <c r="BI17" t="e">
        <f t="shared" si="44"/>
        <v>#N/A</v>
      </c>
      <c r="BJ17" t="e">
        <f t="shared" si="45"/>
        <v>#N/A</v>
      </c>
      <c r="BK17" t="e">
        <f t="shared" si="46"/>
        <v>#N/A</v>
      </c>
      <c r="BL17" t="e">
        <f t="shared" si="47"/>
        <v>#N/A</v>
      </c>
      <c r="BM17" t="e">
        <f t="shared" si="48"/>
        <v>#N/A</v>
      </c>
      <c r="BN17" t="e">
        <f t="shared" si="49"/>
        <v>#N/A</v>
      </c>
      <c r="BO17" t="e">
        <f t="shared" si="50"/>
        <v>#N/A</v>
      </c>
      <c r="BP17" t="e">
        <f t="shared" si="51"/>
        <v>#N/A</v>
      </c>
      <c r="BQ17" t="e">
        <f t="shared" si="52"/>
        <v>#N/A</v>
      </c>
      <c r="BR17" t="e">
        <f t="shared" si="53"/>
        <v>#N/A</v>
      </c>
      <c r="BS17" t="e">
        <f t="shared" si="54"/>
        <v>#N/A</v>
      </c>
      <c r="BT17" t="e">
        <f t="shared" si="55"/>
        <v>#N/A</v>
      </c>
      <c r="BU17" t="e">
        <f t="shared" si="56"/>
        <v>#N/A</v>
      </c>
      <c r="BV17" t="e">
        <f t="shared" si="57"/>
        <v>#N/A</v>
      </c>
      <c r="BW17" t="e">
        <f t="shared" si="58"/>
        <v>#N/A</v>
      </c>
      <c r="BX17" t="e">
        <f t="shared" si="59"/>
        <v>#N/A</v>
      </c>
      <c r="BY17" t="e">
        <f t="shared" si="60"/>
        <v>#N/A</v>
      </c>
      <c r="BZ17" t="e">
        <f t="shared" si="61"/>
        <v>#N/A</v>
      </c>
      <c r="CA17" t="e">
        <f t="shared" si="62"/>
        <v>#N/A</v>
      </c>
      <c r="CB17" t="e">
        <f t="shared" si="63"/>
        <v>#N/A</v>
      </c>
      <c r="CC17" t="e">
        <f t="shared" si="64"/>
        <v>#N/A</v>
      </c>
      <c r="CD17" t="e">
        <f t="shared" si="65"/>
        <v>#N/A</v>
      </c>
      <c r="CE17" t="e">
        <f t="shared" si="66"/>
        <v>#N/A</v>
      </c>
      <c r="CF17" t="e">
        <f t="shared" si="67"/>
        <v>#N/A</v>
      </c>
      <c r="CG17" t="e">
        <f t="shared" si="68"/>
        <v>#N/A</v>
      </c>
      <c r="CI17" t="e">
        <f>AP10</f>
        <v>#N/A</v>
      </c>
      <c r="CJ17" t="e">
        <f>AQ10</f>
        <v>#N/A</v>
      </c>
      <c r="CK17">
        <f>IF(ISNUMBER(CI17),IFERROR(MAX(0,AR10-CI17),0),0)</f>
        <v>0</v>
      </c>
      <c r="CL17">
        <f>IF(ISNUMBER(CI17),IFERROR(MAX(0,CI17-AR10),0),0)</f>
        <v>0</v>
      </c>
      <c r="CM17">
        <f>IF(ISNUMBER(CJ17),IFERROR(MAX(0,AS10-CJ17),0),0)</f>
        <v>0</v>
      </c>
      <c r="CN17">
        <f>IF(ISNUMBER(CJ17),IFERROR(MAX(0,CJ17-AS10),0),0)</f>
        <v>0</v>
      </c>
      <c r="CP17" t="e">
        <f>BX10</f>
        <v>#N/A</v>
      </c>
      <c r="CQ17" t="e">
        <f>BY10</f>
        <v>#N/A</v>
      </c>
      <c r="CR17">
        <f>IF(ISNUMBER(CP17),IFERROR(MAX(0,BZ10-CP17),0),0)</f>
        <v>0</v>
      </c>
      <c r="CS17">
        <f>IF(ISNUMBER(CP17),IFERROR(MAX(0,CP17-BZ10),0),0)</f>
        <v>0</v>
      </c>
      <c r="CT17">
        <f>IF(ISNUMBER(CQ17),IFERROR(MAX(0,CA10-CQ17),0),0)</f>
        <v>0</v>
      </c>
      <c r="CU17">
        <f>IF(ISNUMBER(CQ17),IFERROR(MAX(0,CQ17-CA10),0),0)</f>
        <v>0</v>
      </c>
    </row>
    <row r="18" spans="1:99" x14ac:dyDescent="0.3">
      <c r="A18">
        <v>12</v>
      </c>
      <c r="B18">
        <f>IF(A18&lt;=$B$2,IF(INDEX(Gantt!$A$7:$A$119,A18)&lt;&gt;"",1,0),0)</f>
        <v>0</v>
      </c>
      <c r="C18" t="e">
        <f>IF(B18=1,INDEX(Gantt!$C$7:$C$119,A18),NA())</f>
        <v>#N/A</v>
      </c>
      <c r="D18" t="e">
        <f>IF(B18=1,INDEX(Gantt!$D$7:$D$119,A18)+1,NA())</f>
        <v>#N/A</v>
      </c>
      <c r="E18">
        <f>IF(B18=1,INDEX(Gantt!$BN$7:$BN$119,A18),0)</f>
        <v>0</v>
      </c>
      <c r="F18">
        <f>IF(B18=1,N(INDEX(Gantt!$F$7:$F$119,A18)),0)</f>
        <v>0</v>
      </c>
      <c r="G18">
        <f t="shared" si="0"/>
        <v>0</v>
      </c>
      <c r="H18" t="e">
        <f t="shared" si="1"/>
        <v>#N/A</v>
      </c>
      <c r="I18" t="e">
        <f t="shared" si="2"/>
        <v>#N/A</v>
      </c>
      <c r="J18" t="e">
        <f t="shared" si="3"/>
        <v>#N/A</v>
      </c>
      <c r="K18" t="e">
        <f t="shared" si="4"/>
        <v>#N/A</v>
      </c>
      <c r="L18" t="e">
        <f t="shared" si="5"/>
        <v>#N/A</v>
      </c>
      <c r="M18" t="e">
        <f t="shared" si="6"/>
        <v>#N/A</v>
      </c>
      <c r="N18" t="e">
        <f t="shared" si="7"/>
        <v>#N/A</v>
      </c>
      <c r="O18" t="e">
        <f t="shared" si="8"/>
        <v>#N/A</v>
      </c>
      <c r="P18" t="e">
        <f t="shared" si="9"/>
        <v>#N/A</v>
      </c>
      <c r="Q18" t="str">
        <f>IF(B18=1,INDEX(Gantt!$A$7:$A$119,A18)&amp;"   "&amp;INDEX(Gantt!$B$7:$B$119,A18),"")</f>
        <v/>
      </c>
      <c r="R18" t="e">
        <f t="shared" si="10"/>
        <v>#N/A</v>
      </c>
      <c r="S18">
        <f t="shared" si="11"/>
        <v>0</v>
      </c>
      <c r="T18">
        <f t="shared" si="12"/>
        <v>0</v>
      </c>
      <c r="U18">
        <v>12</v>
      </c>
      <c r="V18">
        <f t="shared" si="13"/>
        <v>3</v>
      </c>
      <c r="W18">
        <f t="shared" si="14"/>
        <v>4</v>
      </c>
      <c r="X18">
        <f t="shared" si="15"/>
        <v>0</v>
      </c>
      <c r="Y18">
        <f>IF(X18&lt;&gt;1,9999,CHOOSE(W18,INDEX(Gantt!$BQ$7:$BQ$119,V18),INDEX(Gantt!$BR$7:$BR$119,V18),INDEX(Gantt!$BT$7:$BT$119,V18),INDEX(Gantt!$BU$7:$BU$119,V18)))</f>
        <v>9999</v>
      </c>
      <c r="Z18">
        <f t="shared" si="16"/>
        <v>0</v>
      </c>
      <c r="AA18" t="e">
        <f t="shared" si="17"/>
        <v>#N/A</v>
      </c>
      <c r="AB18" t="e">
        <f t="shared" si="18"/>
        <v>#N/A</v>
      </c>
      <c r="AC18" t="e">
        <f t="shared" si="19"/>
        <v>#N/A</v>
      </c>
      <c r="AD18" t="e">
        <f t="shared" si="20"/>
        <v>#N/A</v>
      </c>
      <c r="AE18" t="e">
        <f t="shared" si="21"/>
        <v>#N/A</v>
      </c>
      <c r="AF18" t="e">
        <f t="shared" si="22"/>
        <v>#N/A</v>
      </c>
      <c r="AG18" t="e">
        <f t="shared" si="23"/>
        <v>#N/A</v>
      </c>
      <c r="AH18" t="e">
        <f t="shared" si="24"/>
        <v>#N/A</v>
      </c>
      <c r="AI18" t="e">
        <f t="shared" si="25"/>
        <v>#N/A</v>
      </c>
      <c r="AJ18" t="e">
        <f t="shared" si="26"/>
        <v>#N/A</v>
      </c>
      <c r="AK18" t="e">
        <f t="shared" si="27"/>
        <v>#N/A</v>
      </c>
      <c r="AL18" t="e">
        <f t="shared" si="28"/>
        <v>#N/A</v>
      </c>
      <c r="AM18" t="e">
        <f t="shared" si="29"/>
        <v>#N/A</v>
      </c>
      <c r="AN18" t="e">
        <f t="shared" si="30"/>
        <v>#N/A</v>
      </c>
      <c r="AO18" t="e">
        <f t="shared" si="31"/>
        <v>#N/A</v>
      </c>
      <c r="AP18" t="e">
        <f t="shared" si="32"/>
        <v>#N/A</v>
      </c>
      <c r="AQ18" t="e">
        <f t="shared" si="33"/>
        <v>#N/A</v>
      </c>
      <c r="AR18" t="e">
        <f t="shared" si="34"/>
        <v>#N/A</v>
      </c>
      <c r="AS18" t="e">
        <f t="shared" si="35"/>
        <v>#N/A</v>
      </c>
      <c r="AT18" t="e">
        <f t="shared" si="36"/>
        <v>#N/A</v>
      </c>
      <c r="AU18" t="e">
        <f t="shared" si="37"/>
        <v>#N/A</v>
      </c>
      <c r="AV18" t="e">
        <f t="shared" si="38"/>
        <v>#N/A</v>
      </c>
      <c r="AW18" t="e">
        <f t="shared" si="39"/>
        <v>#N/A</v>
      </c>
      <c r="AX18" t="e">
        <f t="shared" si="40"/>
        <v>#N/A</v>
      </c>
      <c r="AY18" t="e">
        <f t="shared" si="41"/>
        <v>#N/A</v>
      </c>
      <c r="BA18">
        <v>154</v>
      </c>
      <c r="BB18">
        <v>-0.6</v>
      </c>
      <c r="BC18" s="42">
        <f>$B$1+154</f>
        <v>46181</v>
      </c>
      <c r="BE18" t="e">
        <f>IF(Z18=1,IF(INDEX($C$7:$C$126,V18)&gt;=Gantt!$BF$6,NA(),MATCH(INDEX($C$7:$C$126,V18),Gantt!$J$6:$BE$6,1)),NA())</f>
        <v>#N/A</v>
      </c>
      <c r="BF18" t="e">
        <f>IF(Z18=1,IF((INDEX($D$7:$D$126,AA18)-1)&gt;=Gantt!$BF$6,NA(),IF((INDEX($D$7:$D$126,AA18)-1)&lt;Gantt!$J$6,0,MATCH((INDEX($D$7:$D$126,AA18)-1),Gantt!$J$6:$BE$6,1))),NA())</f>
        <v>#N/A</v>
      </c>
      <c r="BG18" t="e">
        <f t="shared" si="42"/>
        <v>#N/A</v>
      </c>
      <c r="BH18" t="e">
        <f t="shared" si="43"/>
        <v>#N/A</v>
      </c>
      <c r="BI18" t="e">
        <f t="shared" si="44"/>
        <v>#N/A</v>
      </c>
      <c r="BJ18" t="e">
        <f t="shared" si="45"/>
        <v>#N/A</v>
      </c>
      <c r="BK18" t="e">
        <f t="shared" si="46"/>
        <v>#N/A</v>
      </c>
      <c r="BL18" t="e">
        <f t="shared" si="47"/>
        <v>#N/A</v>
      </c>
      <c r="BM18" t="e">
        <f t="shared" si="48"/>
        <v>#N/A</v>
      </c>
      <c r="BN18" t="e">
        <f t="shared" si="49"/>
        <v>#N/A</v>
      </c>
      <c r="BO18" t="e">
        <f t="shared" si="50"/>
        <v>#N/A</v>
      </c>
      <c r="BP18" t="e">
        <f t="shared" si="51"/>
        <v>#N/A</v>
      </c>
      <c r="BQ18" t="e">
        <f t="shared" si="52"/>
        <v>#N/A</v>
      </c>
      <c r="BR18" t="e">
        <f t="shared" si="53"/>
        <v>#N/A</v>
      </c>
      <c r="BS18" t="e">
        <f t="shared" si="54"/>
        <v>#N/A</v>
      </c>
      <c r="BT18" t="e">
        <f t="shared" si="55"/>
        <v>#N/A</v>
      </c>
      <c r="BU18" t="e">
        <f t="shared" si="56"/>
        <v>#N/A</v>
      </c>
      <c r="BV18" t="e">
        <f t="shared" si="57"/>
        <v>#N/A</v>
      </c>
      <c r="BW18" t="e">
        <f t="shared" si="58"/>
        <v>#N/A</v>
      </c>
      <c r="BX18" t="e">
        <f t="shared" si="59"/>
        <v>#N/A</v>
      </c>
      <c r="BY18" t="e">
        <f t="shared" si="60"/>
        <v>#N/A</v>
      </c>
      <c r="BZ18" t="e">
        <f t="shared" si="61"/>
        <v>#N/A</v>
      </c>
      <c r="CA18" t="e">
        <f t="shared" si="62"/>
        <v>#N/A</v>
      </c>
      <c r="CB18" t="e">
        <f t="shared" si="63"/>
        <v>#N/A</v>
      </c>
      <c r="CC18" t="e">
        <f t="shared" si="64"/>
        <v>#N/A</v>
      </c>
      <c r="CD18" t="e">
        <f t="shared" si="65"/>
        <v>#N/A</v>
      </c>
      <c r="CE18" t="e">
        <f t="shared" si="66"/>
        <v>#N/A</v>
      </c>
      <c r="CF18" t="e">
        <f t="shared" si="67"/>
        <v>#N/A</v>
      </c>
      <c r="CG18" t="e">
        <f t="shared" si="68"/>
        <v>#N/A</v>
      </c>
      <c r="CI18" t="e">
        <f>AT10</f>
        <v>#N/A</v>
      </c>
      <c r="CJ18" t="e">
        <f>AU10</f>
        <v>#N/A</v>
      </c>
      <c r="CK18">
        <f>IF(ISNUMBER(CI18),IFERROR(MAX(0,AV10-CI18),0),0)</f>
        <v>0</v>
      </c>
      <c r="CL18">
        <f>IF(ISNUMBER(CI18),IFERROR(MAX(0,CI18-AV10),0),0)</f>
        <v>0</v>
      </c>
      <c r="CM18">
        <f>IF(ISNUMBER(CJ18),IFERROR(MAX(0,AW10-CJ18),0),0)</f>
        <v>0</v>
      </c>
      <c r="CN18">
        <f>IF(ISNUMBER(CJ18),IFERROR(MAX(0,CJ18-AW10),0),0)</f>
        <v>0</v>
      </c>
      <c r="CP18" t="e">
        <f>CB10</f>
        <v>#N/A</v>
      </c>
      <c r="CQ18" t="e">
        <f>CC10</f>
        <v>#N/A</v>
      </c>
      <c r="CR18">
        <f>IF(ISNUMBER(CP18),IFERROR(MAX(0,CD10-CP18),0),0)</f>
        <v>0</v>
      </c>
      <c r="CS18">
        <f>IF(ISNUMBER(CP18),IFERROR(MAX(0,CP18-CD10),0),0)</f>
        <v>0</v>
      </c>
      <c r="CT18">
        <f>IF(ISNUMBER(CQ18),IFERROR(MAX(0,CE10-CQ18),0),0)</f>
        <v>0</v>
      </c>
      <c r="CU18">
        <f>IF(ISNUMBER(CQ18),IFERROR(MAX(0,CQ18-CE10),0),0)</f>
        <v>0</v>
      </c>
    </row>
    <row r="19" spans="1:99" x14ac:dyDescent="0.3">
      <c r="A19">
        <v>13</v>
      </c>
      <c r="B19">
        <f>IF(A19&lt;=$B$2,IF(INDEX(Gantt!$A$7:$A$119,A19)&lt;&gt;"",1,0),0)</f>
        <v>0</v>
      </c>
      <c r="C19" t="e">
        <f>IF(B19=1,INDEX(Gantt!$C$7:$C$119,A19),NA())</f>
        <v>#N/A</v>
      </c>
      <c r="D19" t="e">
        <f>IF(B19=1,INDEX(Gantt!$D$7:$D$119,A19)+1,NA())</f>
        <v>#N/A</v>
      </c>
      <c r="E19">
        <f>IF(B19=1,INDEX(Gantt!$BN$7:$BN$119,A19),0)</f>
        <v>0</v>
      </c>
      <c r="F19">
        <f>IF(B19=1,N(INDEX(Gantt!$F$7:$F$119,A19)),0)</f>
        <v>0</v>
      </c>
      <c r="G19">
        <f t="shared" si="0"/>
        <v>0</v>
      </c>
      <c r="H19" t="e">
        <f t="shared" si="1"/>
        <v>#N/A</v>
      </c>
      <c r="I19" t="e">
        <f t="shared" si="2"/>
        <v>#N/A</v>
      </c>
      <c r="J19" t="e">
        <f t="shared" si="3"/>
        <v>#N/A</v>
      </c>
      <c r="K19" t="e">
        <f t="shared" si="4"/>
        <v>#N/A</v>
      </c>
      <c r="L19" t="e">
        <f t="shared" si="5"/>
        <v>#N/A</v>
      </c>
      <c r="M19" t="e">
        <f t="shared" si="6"/>
        <v>#N/A</v>
      </c>
      <c r="N19" t="e">
        <f t="shared" si="7"/>
        <v>#N/A</v>
      </c>
      <c r="O19" t="e">
        <f t="shared" si="8"/>
        <v>#N/A</v>
      </c>
      <c r="P19" t="e">
        <f t="shared" si="9"/>
        <v>#N/A</v>
      </c>
      <c r="Q19" t="str">
        <f>IF(B19=1,INDEX(Gantt!$A$7:$A$119,A19)&amp;"   "&amp;INDEX(Gantt!$B$7:$B$119,A19),"")</f>
        <v/>
      </c>
      <c r="R19" t="e">
        <f t="shared" si="10"/>
        <v>#N/A</v>
      </c>
      <c r="S19">
        <f t="shared" si="11"/>
        <v>0</v>
      </c>
      <c r="T19">
        <f t="shared" si="12"/>
        <v>0</v>
      </c>
      <c r="U19">
        <v>13</v>
      </c>
      <c r="V19">
        <f t="shared" si="13"/>
        <v>4</v>
      </c>
      <c r="W19">
        <f t="shared" si="14"/>
        <v>1</v>
      </c>
      <c r="X19">
        <f t="shared" si="15"/>
        <v>0</v>
      </c>
      <c r="Y19">
        <f>IF(X19&lt;&gt;1,9999,CHOOSE(W19,INDEX(Gantt!$BQ$7:$BQ$119,V19),INDEX(Gantt!$BR$7:$BR$119,V19),INDEX(Gantt!$BT$7:$BT$119,V19),INDEX(Gantt!$BU$7:$BU$119,V19)))</f>
        <v>9999</v>
      </c>
      <c r="Z19">
        <f t="shared" si="16"/>
        <v>0</v>
      </c>
      <c r="AA19" t="e">
        <f t="shared" si="17"/>
        <v>#N/A</v>
      </c>
      <c r="AB19" t="e">
        <f t="shared" si="18"/>
        <v>#N/A</v>
      </c>
      <c r="AC19" t="e">
        <f t="shared" si="19"/>
        <v>#N/A</v>
      </c>
      <c r="AD19" t="e">
        <f t="shared" si="20"/>
        <v>#N/A</v>
      </c>
      <c r="AE19" t="e">
        <f t="shared" si="21"/>
        <v>#N/A</v>
      </c>
      <c r="AF19" t="e">
        <f t="shared" si="22"/>
        <v>#N/A</v>
      </c>
      <c r="AG19" t="e">
        <f t="shared" si="23"/>
        <v>#N/A</v>
      </c>
      <c r="AH19" t="e">
        <f t="shared" si="24"/>
        <v>#N/A</v>
      </c>
      <c r="AI19" t="e">
        <f t="shared" si="25"/>
        <v>#N/A</v>
      </c>
      <c r="AJ19" t="e">
        <f t="shared" si="26"/>
        <v>#N/A</v>
      </c>
      <c r="AK19" t="e">
        <f t="shared" si="27"/>
        <v>#N/A</v>
      </c>
      <c r="AL19" t="e">
        <f t="shared" si="28"/>
        <v>#N/A</v>
      </c>
      <c r="AM19" t="e">
        <f t="shared" si="29"/>
        <v>#N/A</v>
      </c>
      <c r="AN19" t="e">
        <f t="shared" si="30"/>
        <v>#N/A</v>
      </c>
      <c r="AO19" t="e">
        <f t="shared" si="31"/>
        <v>#N/A</v>
      </c>
      <c r="AP19" t="e">
        <f t="shared" si="32"/>
        <v>#N/A</v>
      </c>
      <c r="AQ19" t="e">
        <f t="shared" si="33"/>
        <v>#N/A</v>
      </c>
      <c r="AR19" t="e">
        <f t="shared" si="34"/>
        <v>#N/A</v>
      </c>
      <c r="AS19" t="e">
        <f t="shared" si="35"/>
        <v>#N/A</v>
      </c>
      <c r="AT19" t="e">
        <f t="shared" si="36"/>
        <v>#N/A</v>
      </c>
      <c r="AU19" t="e">
        <f t="shared" si="37"/>
        <v>#N/A</v>
      </c>
      <c r="AV19" t="e">
        <f t="shared" si="38"/>
        <v>#N/A</v>
      </c>
      <c r="AW19" t="e">
        <f t="shared" si="39"/>
        <v>#N/A</v>
      </c>
      <c r="AX19" t="e">
        <f t="shared" si="40"/>
        <v>#N/A</v>
      </c>
      <c r="AY19" t="e">
        <f t="shared" si="41"/>
        <v>#N/A</v>
      </c>
      <c r="BA19">
        <v>168</v>
      </c>
      <c r="BB19">
        <v>-0.6</v>
      </c>
      <c r="BC19" s="42">
        <f>$B$1+168</f>
        <v>46195</v>
      </c>
      <c r="BE19" t="e">
        <f>IF(Z19=1,IF(INDEX($C$7:$C$126,V19)&gt;=Gantt!$BF$6,NA(),MATCH(INDEX($C$7:$C$126,V19),Gantt!$J$6:$BE$6,1)),NA())</f>
        <v>#N/A</v>
      </c>
      <c r="BF19" t="e">
        <f>IF(Z19=1,IF((INDEX($D$7:$D$126,AA19)-1)&gt;=Gantt!$BF$6,NA(),IF((INDEX($D$7:$D$126,AA19)-1)&lt;Gantt!$J$6,0,MATCH((INDEX($D$7:$D$126,AA19)-1),Gantt!$J$6:$BE$6,1))),NA())</f>
        <v>#N/A</v>
      </c>
      <c r="BG19" t="e">
        <f t="shared" si="42"/>
        <v>#N/A</v>
      </c>
      <c r="BH19" t="e">
        <f t="shared" si="43"/>
        <v>#N/A</v>
      </c>
      <c r="BI19" t="e">
        <f t="shared" si="44"/>
        <v>#N/A</v>
      </c>
      <c r="BJ19" t="e">
        <f t="shared" si="45"/>
        <v>#N/A</v>
      </c>
      <c r="BK19" t="e">
        <f t="shared" si="46"/>
        <v>#N/A</v>
      </c>
      <c r="BL19" t="e">
        <f t="shared" si="47"/>
        <v>#N/A</v>
      </c>
      <c r="BM19" t="e">
        <f t="shared" si="48"/>
        <v>#N/A</v>
      </c>
      <c r="BN19" t="e">
        <f t="shared" si="49"/>
        <v>#N/A</v>
      </c>
      <c r="BO19" t="e">
        <f t="shared" si="50"/>
        <v>#N/A</v>
      </c>
      <c r="BP19" t="e">
        <f t="shared" si="51"/>
        <v>#N/A</v>
      </c>
      <c r="BQ19" t="e">
        <f t="shared" si="52"/>
        <v>#N/A</v>
      </c>
      <c r="BR19" t="e">
        <f t="shared" si="53"/>
        <v>#N/A</v>
      </c>
      <c r="BS19" t="e">
        <f t="shared" si="54"/>
        <v>#N/A</v>
      </c>
      <c r="BT19" t="e">
        <f t="shared" si="55"/>
        <v>#N/A</v>
      </c>
      <c r="BU19" t="e">
        <f t="shared" si="56"/>
        <v>#N/A</v>
      </c>
      <c r="BV19" t="e">
        <f t="shared" si="57"/>
        <v>#N/A</v>
      </c>
      <c r="BW19" t="e">
        <f t="shared" si="58"/>
        <v>#N/A</v>
      </c>
      <c r="BX19" t="e">
        <f t="shared" si="59"/>
        <v>#N/A</v>
      </c>
      <c r="BY19" t="e">
        <f t="shared" si="60"/>
        <v>#N/A</v>
      </c>
      <c r="BZ19" t="e">
        <f t="shared" si="61"/>
        <v>#N/A</v>
      </c>
      <c r="CA19" t="e">
        <f t="shared" si="62"/>
        <v>#N/A</v>
      </c>
      <c r="CB19" t="e">
        <f t="shared" si="63"/>
        <v>#N/A</v>
      </c>
      <c r="CC19" t="e">
        <f t="shared" si="64"/>
        <v>#N/A</v>
      </c>
      <c r="CD19" t="e">
        <f t="shared" si="65"/>
        <v>#N/A</v>
      </c>
      <c r="CE19" t="e">
        <f t="shared" si="66"/>
        <v>#N/A</v>
      </c>
      <c r="CF19" t="e">
        <f t="shared" si="67"/>
        <v>#N/A</v>
      </c>
      <c r="CG19" t="e">
        <f t="shared" si="68"/>
        <v>#N/A</v>
      </c>
      <c r="CI19" t="e">
        <f>AL11</f>
        <v>#N/A</v>
      </c>
      <c r="CJ19" t="e">
        <f>AM11</f>
        <v>#N/A</v>
      </c>
      <c r="CK19">
        <f>IF(ISNUMBER(CI19),IFERROR(MAX(0,AN11-CI19),0),0)</f>
        <v>0</v>
      </c>
      <c r="CL19">
        <f>IF(ISNUMBER(CI19),IFERROR(MAX(0,CI19-AN11),0),0)</f>
        <v>0</v>
      </c>
      <c r="CM19">
        <f>IF(ISNUMBER(CJ19),IFERROR(MAX(0,AO11-CJ19),0),0)</f>
        <v>0</v>
      </c>
      <c r="CN19">
        <f>IF(ISNUMBER(CJ19),IFERROR(MAX(0,CJ19-AO11),0),0)</f>
        <v>0</v>
      </c>
      <c r="CP19" t="e">
        <f>BT11</f>
        <v>#N/A</v>
      </c>
      <c r="CQ19" t="e">
        <f>BU11</f>
        <v>#N/A</v>
      </c>
      <c r="CR19">
        <f>IF(ISNUMBER(CP19),IFERROR(MAX(0,BV11-CP19),0),0)</f>
        <v>0</v>
      </c>
      <c r="CS19">
        <f>IF(ISNUMBER(CP19),IFERROR(MAX(0,CP19-BV11),0),0)</f>
        <v>0</v>
      </c>
      <c r="CT19">
        <f>IF(ISNUMBER(CQ19),IFERROR(MAX(0,BW11-CQ19),0),0)</f>
        <v>0</v>
      </c>
      <c r="CU19">
        <f>IF(ISNUMBER(CQ19),IFERROR(MAX(0,CQ19-BW11),0),0)</f>
        <v>0</v>
      </c>
    </row>
    <row r="20" spans="1:99" x14ac:dyDescent="0.3">
      <c r="A20">
        <v>14</v>
      </c>
      <c r="B20">
        <f>IF(A20&lt;=$B$2,IF(INDEX(Gantt!$A$7:$A$119,A20)&lt;&gt;"",1,0),0)</f>
        <v>0</v>
      </c>
      <c r="C20" t="e">
        <f>IF(B20=1,INDEX(Gantt!$C$7:$C$119,A20),NA())</f>
        <v>#N/A</v>
      </c>
      <c r="D20" t="e">
        <f>IF(B20=1,INDEX(Gantt!$D$7:$D$119,A20)+1,NA())</f>
        <v>#N/A</v>
      </c>
      <c r="E20">
        <f>IF(B20=1,INDEX(Gantt!$BN$7:$BN$119,A20),0)</f>
        <v>0</v>
      </c>
      <c r="F20">
        <f>IF(B20=1,N(INDEX(Gantt!$F$7:$F$119,A20)),0)</f>
        <v>0</v>
      </c>
      <c r="G20">
        <f t="shared" si="0"/>
        <v>0</v>
      </c>
      <c r="H20" t="e">
        <f t="shared" si="1"/>
        <v>#N/A</v>
      </c>
      <c r="I20" t="e">
        <f t="shared" si="2"/>
        <v>#N/A</v>
      </c>
      <c r="J20" t="e">
        <f t="shared" si="3"/>
        <v>#N/A</v>
      </c>
      <c r="K20" t="e">
        <f t="shared" si="4"/>
        <v>#N/A</v>
      </c>
      <c r="L20" t="e">
        <f t="shared" si="5"/>
        <v>#N/A</v>
      </c>
      <c r="M20" t="e">
        <f t="shared" si="6"/>
        <v>#N/A</v>
      </c>
      <c r="N20" t="e">
        <f t="shared" si="7"/>
        <v>#N/A</v>
      </c>
      <c r="O20" t="e">
        <f t="shared" si="8"/>
        <v>#N/A</v>
      </c>
      <c r="P20" t="e">
        <f t="shared" si="9"/>
        <v>#N/A</v>
      </c>
      <c r="Q20" t="str">
        <f>IF(B20=1,INDEX(Gantt!$A$7:$A$119,A20)&amp;"   "&amp;INDEX(Gantt!$B$7:$B$119,A20),"")</f>
        <v/>
      </c>
      <c r="R20" t="e">
        <f t="shared" si="10"/>
        <v>#N/A</v>
      </c>
      <c r="S20">
        <f t="shared" si="11"/>
        <v>0</v>
      </c>
      <c r="T20">
        <f t="shared" si="12"/>
        <v>0</v>
      </c>
      <c r="U20">
        <v>14</v>
      </c>
      <c r="V20">
        <f t="shared" si="13"/>
        <v>4</v>
      </c>
      <c r="W20">
        <f t="shared" si="14"/>
        <v>2</v>
      </c>
      <c r="X20">
        <f t="shared" si="15"/>
        <v>0</v>
      </c>
      <c r="Y20">
        <f>IF(X20&lt;&gt;1,9999,CHOOSE(W20,INDEX(Gantt!$BQ$7:$BQ$119,V20),INDEX(Gantt!$BR$7:$BR$119,V20),INDEX(Gantt!$BT$7:$BT$119,V20),INDEX(Gantt!$BU$7:$BU$119,V20)))</f>
        <v>9999</v>
      </c>
      <c r="Z20">
        <f t="shared" si="16"/>
        <v>0</v>
      </c>
      <c r="AA20" t="e">
        <f t="shared" si="17"/>
        <v>#N/A</v>
      </c>
      <c r="AB20" t="e">
        <f t="shared" si="18"/>
        <v>#N/A</v>
      </c>
      <c r="AC20" t="e">
        <f t="shared" si="19"/>
        <v>#N/A</v>
      </c>
      <c r="AD20" t="e">
        <f t="shared" si="20"/>
        <v>#N/A</v>
      </c>
      <c r="AE20" t="e">
        <f t="shared" si="21"/>
        <v>#N/A</v>
      </c>
      <c r="AF20" t="e">
        <f t="shared" si="22"/>
        <v>#N/A</v>
      </c>
      <c r="AG20" t="e">
        <f t="shared" si="23"/>
        <v>#N/A</v>
      </c>
      <c r="AH20" t="e">
        <f t="shared" si="24"/>
        <v>#N/A</v>
      </c>
      <c r="AI20" t="e">
        <f t="shared" si="25"/>
        <v>#N/A</v>
      </c>
      <c r="AJ20" t="e">
        <f t="shared" si="26"/>
        <v>#N/A</v>
      </c>
      <c r="AK20" t="e">
        <f t="shared" si="27"/>
        <v>#N/A</v>
      </c>
      <c r="AL20" t="e">
        <f t="shared" si="28"/>
        <v>#N/A</v>
      </c>
      <c r="AM20" t="e">
        <f t="shared" si="29"/>
        <v>#N/A</v>
      </c>
      <c r="AN20" t="e">
        <f t="shared" si="30"/>
        <v>#N/A</v>
      </c>
      <c r="AO20" t="e">
        <f t="shared" si="31"/>
        <v>#N/A</v>
      </c>
      <c r="AP20" t="e">
        <f t="shared" si="32"/>
        <v>#N/A</v>
      </c>
      <c r="AQ20" t="e">
        <f t="shared" si="33"/>
        <v>#N/A</v>
      </c>
      <c r="AR20" t="e">
        <f t="shared" si="34"/>
        <v>#N/A</v>
      </c>
      <c r="AS20" t="e">
        <f t="shared" si="35"/>
        <v>#N/A</v>
      </c>
      <c r="AT20" t="e">
        <f t="shared" si="36"/>
        <v>#N/A</v>
      </c>
      <c r="AU20" t="e">
        <f t="shared" si="37"/>
        <v>#N/A</v>
      </c>
      <c r="AV20" t="e">
        <f t="shared" si="38"/>
        <v>#N/A</v>
      </c>
      <c r="AW20" t="e">
        <f t="shared" si="39"/>
        <v>#N/A</v>
      </c>
      <c r="AX20" t="e">
        <f t="shared" si="40"/>
        <v>#N/A</v>
      </c>
      <c r="AY20" t="e">
        <f t="shared" si="41"/>
        <v>#N/A</v>
      </c>
      <c r="BA20">
        <v>182</v>
      </c>
      <c r="BB20">
        <v>-0.6</v>
      </c>
      <c r="BC20" s="42">
        <f>$B$1+182</f>
        <v>46209</v>
      </c>
      <c r="BE20" t="e">
        <f>IF(Z20=1,IF(INDEX($C$7:$C$126,V20)&gt;=Gantt!$BF$6,NA(),MATCH(INDEX($C$7:$C$126,V20),Gantt!$J$6:$BE$6,1)),NA())</f>
        <v>#N/A</v>
      </c>
      <c r="BF20" t="e">
        <f>IF(Z20=1,IF((INDEX($D$7:$D$126,AA20)-1)&gt;=Gantt!$BF$6,NA(),IF((INDEX($D$7:$D$126,AA20)-1)&lt;Gantt!$J$6,0,MATCH((INDEX($D$7:$D$126,AA20)-1),Gantt!$J$6:$BE$6,1))),NA())</f>
        <v>#N/A</v>
      </c>
      <c r="BG20" t="e">
        <f t="shared" si="42"/>
        <v>#N/A</v>
      </c>
      <c r="BH20" t="e">
        <f t="shared" si="43"/>
        <v>#N/A</v>
      </c>
      <c r="BI20" t="e">
        <f t="shared" si="44"/>
        <v>#N/A</v>
      </c>
      <c r="BJ20" t="e">
        <f t="shared" si="45"/>
        <v>#N/A</v>
      </c>
      <c r="BK20" t="e">
        <f t="shared" si="46"/>
        <v>#N/A</v>
      </c>
      <c r="BL20" t="e">
        <f t="shared" si="47"/>
        <v>#N/A</v>
      </c>
      <c r="BM20" t="e">
        <f t="shared" si="48"/>
        <v>#N/A</v>
      </c>
      <c r="BN20" t="e">
        <f t="shared" si="49"/>
        <v>#N/A</v>
      </c>
      <c r="BO20" t="e">
        <f t="shared" si="50"/>
        <v>#N/A</v>
      </c>
      <c r="BP20" t="e">
        <f t="shared" si="51"/>
        <v>#N/A</v>
      </c>
      <c r="BQ20" t="e">
        <f t="shared" si="52"/>
        <v>#N/A</v>
      </c>
      <c r="BR20" t="e">
        <f t="shared" si="53"/>
        <v>#N/A</v>
      </c>
      <c r="BS20" t="e">
        <f t="shared" si="54"/>
        <v>#N/A</v>
      </c>
      <c r="BT20" t="e">
        <f t="shared" si="55"/>
        <v>#N/A</v>
      </c>
      <c r="BU20" t="e">
        <f t="shared" si="56"/>
        <v>#N/A</v>
      </c>
      <c r="BV20" t="e">
        <f t="shared" si="57"/>
        <v>#N/A</v>
      </c>
      <c r="BW20" t="e">
        <f t="shared" si="58"/>
        <v>#N/A</v>
      </c>
      <c r="BX20" t="e">
        <f t="shared" si="59"/>
        <v>#N/A</v>
      </c>
      <c r="BY20" t="e">
        <f t="shared" si="60"/>
        <v>#N/A</v>
      </c>
      <c r="BZ20" t="e">
        <f t="shared" si="61"/>
        <v>#N/A</v>
      </c>
      <c r="CA20" t="e">
        <f t="shared" si="62"/>
        <v>#N/A</v>
      </c>
      <c r="CB20" t="e">
        <f t="shared" si="63"/>
        <v>#N/A</v>
      </c>
      <c r="CC20" t="e">
        <f t="shared" si="64"/>
        <v>#N/A</v>
      </c>
      <c r="CD20" t="e">
        <f t="shared" si="65"/>
        <v>#N/A</v>
      </c>
      <c r="CE20" t="e">
        <f t="shared" si="66"/>
        <v>#N/A</v>
      </c>
      <c r="CF20" t="e">
        <f t="shared" si="67"/>
        <v>#N/A</v>
      </c>
      <c r="CG20" t="e">
        <f t="shared" si="68"/>
        <v>#N/A</v>
      </c>
      <c r="CI20" t="e">
        <f>AP11</f>
        <v>#N/A</v>
      </c>
      <c r="CJ20" t="e">
        <f>AQ11</f>
        <v>#N/A</v>
      </c>
      <c r="CK20">
        <f>IF(ISNUMBER(CI20),IFERROR(MAX(0,AR11-CI20),0),0)</f>
        <v>0</v>
      </c>
      <c r="CL20">
        <f>IF(ISNUMBER(CI20),IFERROR(MAX(0,CI20-AR11),0),0)</f>
        <v>0</v>
      </c>
      <c r="CM20">
        <f>IF(ISNUMBER(CJ20),IFERROR(MAX(0,AS11-CJ20),0),0)</f>
        <v>0</v>
      </c>
      <c r="CN20">
        <f>IF(ISNUMBER(CJ20),IFERROR(MAX(0,CJ20-AS11),0),0)</f>
        <v>0</v>
      </c>
      <c r="CP20" t="e">
        <f>BX11</f>
        <v>#N/A</v>
      </c>
      <c r="CQ20" t="e">
        <f>BY11</f>
        <v>#N/A</v>
      </c>
      <c r="CR20">
        <f>IF(ISNUMBER(CP20),IFERROR(MAX(0,BZ11-CP20),0),0)</f>
        <v>0</v>
      </c>
      <c r="CS20">
        <f>IF(ISNUMBER(CP20),IFERROR(MAX(0,CP20-BZ11),0),0)</f>
        <v>0</v>
      </c>
      <c r="CT20">
        <f>IF(ISNUMBER(CQ20),IFERROR(MAX(0,CA11-CQ20),0),0)</f>
        <v>0</v>
      </c>
      <c r="CU20">
        <f>IF(ISNUMBER(CQ20),IFERROR(MAX(0,CQ20-CA11),0),0)</f>
        <v>0</v>
      </c>
    </row>
    <row r="21" spans="1:99" x14ac:dyDescent="0.3">
      <c r="A21">
        <v>15</v>
      </c>
      <c r="B21">
        <f>IF(A21&lt;=$B$2,IF(INDEX(Gantt!$A$7:$A$119,A21)&lt;&gt;"",1,0),0)</f>
        <v>0</v>
      </c>
      <c r="C21" t="e">
        <f>IF(B21=1,INDEX(Gantt!$C$7:$C$119,A21),NA())</f>
        <v>#N/A</v>
      </c>
      <c r="D21" t="e">
        <f>IF(B21=1,INDEX(Gantt!$D$7:$D$119,A21)+1,NA())</f>
        <v>#N/A</v>
      </c>
      <c r="E21">
        <f>IF(B21=1,INDEX(Gantt!$BN$7:$BN$119,A21),0)</f>
        <v>0</v>
      </c>
      <c r="F21">
        <f>IF(B21=1,N(INDEX(Gantt!$F$7:$F$119,A21)),0)</f>
        <v>0</v>
      </c>
      <c r="G21">
        <f t="shared" si="0"/>
        <v>0</v>
      </c>
      <c r="H21" t="e">
        <f t="shared" si="1"/>
        <v>#N/A</v>
      </c>
      <c r="I21" t="e">
        <f t="shared" si="2"/>
        <v>#N/A</v>
      </c>
      <c r="J21" t="e">
        <f t="shared" si="3"/>
        <v>#N/A</v>
      </c>
      <c r="K21" t="e">
        <f t="shared" si="4"/>
        <v>#N/A</v>
      </c>
      <c r="L21" t="e">
        <f t="shared" si="5"/>
        <v>#N/A</v>
      </c>
      <c r="M21" t="e">
        <f t="shared" si="6"/>
        <v>#N/A</v>
      </c>
      <c r="N21" t="e">
        <f t="shared" si="7"/>
        <v>#N/A</v>
      </c>
      <c r="O21" t="e">
        <f t="shared" si="8"/>
        <v>#N/A</v>
      </c>
      <c r="P21" t="e">
        <f t="shared" si="9"/>
        <v>#N/A</v>
      </c>
      <c r="Q21" t="str">
        <f>IF(B21=1,INDEX(Gantt!$A$7:$A$119,A21)&amp;"   "&amp;INDEX(Gantt!$B$7:$B$119,A21),"")</f>
        <v/>
      </c>
      <c r="R21" t="e">
        <f t="shared" si="10"/>
        <v>#N/A</v>
      </c>
      <c r="S21">
        <f t="shared" si="11"/>
        <v>0</v>
      </c>
      <c r="T21">
        <f t="shared" si="12"/>
        <v>0</v>
      </c>
      <c r="U21">
        <v>15</v>
      </c>
      <c r="V21">
        <f t="shared" si="13"/>
        <v>4</v>
      </c>
      <c r="W21">
        <f t="shared" si="14"/>
        <v>3</v>
      </c>
      <c r="X21">
        <f t="shared" si="15"/>
        <v>0</v>
      </c>
      <c r="Y21">
        <f>IF(X21&lt;&gt;1,9999,CHOOSE(W21,INDEX(Gantt!$BQ$7:$BQ$119,V21),INDEX(Gantt!$BR$7:$BR$119,V21),INDEX(Gantt!$BT$7:$BT$119,V21),INDEX(Gantt!$BU$7:$BU$119,V21)))</f>
        <v>9999</v>
      </c>
      <c r="Z21">
        <f t="shared" si="16"/>
        <v>0</v>
      </c>
      <c r="AA21" t="e">
        <f t="shared" si="17"/>
        <v>#N/A</v>
      </c>
      <c r="AB21" t="e">
        <f t="shared" si="18"/>
        <v>#N/A</v>
      </c>
      <c r="AC21" t="e">
        <f t="shared" si="19"/>
        <v>#N/A</v>
      </c>
      <c r="AD21" t="e">
        <f t="shared" si="20"/>
        <v>#N/A</v>
      </c>
      <c r="AE21" t="e">
        <f t="shared" si="21"/>
        <v>#N/A</v>
      </c>
      <c r="AF21" t="e">
        <f t="shared" si="22"/>
        <v>#N/A</v>
      </c>
      <c r="AG21" t="e">
        <f t="shared" si="23"/>
        <v>#N/A</v>
      </c>
      <c r="AH21" t="e">
        <f t="shared" si="24"/>
        <v>#N/A</v>
      </c>
      <c r="AI21" t="e">
        <f t="shared" si="25"/>
        <v>#N/A</v>
      </c>
      <c r="AJ21" t="e">
        <f t="shared" si="26"/>
        <v>#N/A</v>
      </c>
      <c r="AK21" t="e">
        <f t="shared" si="27"/>
        <v>#N/A</v>
      </c>
      <c r="AL21" t="e">
        <f t="shared" si="28"/>
        <v>#N/A</v>
      </c>
      <c r="AM21" t="e">
        <f t="shared" si="29"/>
        <v>#N/A</v>
      </c>
      <c r="AN21" t="e">
        <f t="shared" si="30"/>
        <v>#N/A</v>
      </c>
      <c r="AO21" t="e">
        <f t="shared" si="31"/>
        <v>#N/A</v>
      </c>
      <c r="AP21" t="e">
        <f t="shared" si="32"/>
        <v>#N/A</v>
      </c>
      <c r="AQ21" t="e">
        <f t="shared" si="33"/>
        <v>#N/A</v>
      </c>
      <c r="AR21" t="e">
        <f t="shared" si="34"/>
        <v>#N/A</v>
      </c>
      <c r="AS21" t="e">
        <f t="shared" si="35"/>
        <v>#N/A</v>
      </c>
      <c r="AT21" t="e">
        <f t="shared" si="36"/>
        <v>#N/A</v>
      </c>
      <c r="AU21" t="e">
        <f t="shared" si="37"/>
        <v>#N/A</v>
      </c>
      <c r="AV21" t="e">
        <f t="shared" si="38"/>
        <v>#N/A</v>
      </c>
      <c r="AW21" t="e">
        <f t="shared" si="39"/>
        <v>#N/A</v>
      </c>
      <c r="AX21" t="e">
        <f t="shared" si="40"/>
        <v>#N/A</v>
      </c>
      <c r="AY21" t="e">
        <f t="shared" si="41"/>
        <v>#N/A</v>
      </c>
      <c r="BA21">
        <v>196</v>
      </c>
      <c r="BB21">
        <v>-0.6</v>
      </c>
      <c r="BC21" s="42">
        <f>$B$1+196</f>
        <v>46223</v>
      </c>
      <c r="BE21" t="e">
        <f>IF(Z21=1,IF(INDEX($C$7:$C$126,V21)&gt;=Gantt!$BF$6,NA(),MATCH(INDEX($C$7:$C$126,V21),Gantt!$J$6:$BE$6,1)),NA())</f>
        <v>#N/A</v>
      </c>
      <c r="BF21" t="e">
        <f>IF(Z21=1,IF((INDEX($D$7:$D$126,AA21)-1)&gt;=Gantt!$BF$6,NA(),IF((INDEX($D$7:$D$126,AA21)-1)&lt;Gantt!$J$6,0,MATCH((INDEX($D$7:$D$126,AA21)-1),Gantt!$J$6:$BE$6,1))),NA())</f>
        <v>#N/A</v>
      </c>
      <c r="BG21" t="e">
        <f t="shared" si="42"/>
        <v>#N/A</v>
      </c>
      <c r="BH21" t="e">
        <f t="shared" si="43"/>
        <v>#N/A</v>
      </c>
      <c r="BI21" t="e">
        <f t="shared" si="44"/>
        <v>#N/A</v>
      </c>
      <c r="BJ21" t="e">
        <f t="shared" si="45"/>
        <v>#N/A</v>
      </c>
      <c r="BK21" t="e">
        <f t="shared" si="46"/>
        <v>#N/A</v>
      </c>
      <c r="BL21" t="e">
        <f t="shared" si="47"/>
        <v>#N/A</v>
      </c>
      <c r="BM21" t="e">
        <f t="shared" si="48"/>
        <v>#N/A</v>
      </c>
      <c r="BN21" t="e">
        <f t="shared" si="49"/>
        <v>#N/A</v>
      </c>
      <c r="BO21" t="e">
        <f t="shared" si="50"/>
        <v>#N/A</v>
      </c>
      <c r="BP21" t="e">
        <f t="shared" si="51"/>
        <v>#N/A</v>
      </c>
      <c r="BQ21" t="e">
        <f t="shared" si="52"/>
        <v>#N/A</v>
      </c>
      <c r="BR21" t="e">
        <f t="shared" si="53"/>
        <v>#N/A</v>
      </c>
      <c r="BS21" t="e">
        <f t="shared" si="54"/>
        <v>#N/A</v>
      </c>
      <c r="BT21" t="e">
        <f t="shared" si="55"/>
        <v>#N/A</v>
      </c>
      <c r="BU21" t="e">
        <f t="shared" si="56"/>
        <v>#N/A</v>
      </c>
      <c r="BV21" t="e">
        <f t="shared" si="57"/>
        <v>#N/A</v>
      </c>
      <c r="BW21" t="e">
        <f t="shared" si="58"/>
        <v>#N/A</v>
      </c>
      <c r="BX21" t="e">
        <f t="shared" si="59"/>
        <v>#N/A</v>
      </c>
      <c r="BY21" t="e">
        <f t="shared" si="60"/>
        <v>#N/A</v>
      </c>
      <c r="BZ21" t="e">
        <f t="shared" si="61"/>
        <v>#N/A</v>
      </c>
      <c r="CA21" t="e">
        <f t="shared" si="62"/>
        <v>#N/A</v>
      </c>
      <c r="CB21" t="e">
        <f t="shared" si="63"/>
        <v>#N/A</v>
      </c>
      <c r="CC21" t="e">
        <f t="shared" si="64"/>
        <v>#N/A</v>
      </c>
      <c r="CD21" t="e">
        <f t="shared" si="65"/>
        <v>#N/A</v>
      </c>
      <c r="CE21" t="e">
        <f t="shared" si="66"/>
        <v>#N/A</v>
      </c>
      <c r="CF21" t="e">
        <f t="shared" si="67"/>
        <v>#N/A</v>
      </c>
      <c r="CG21" t="e">
        <f t="shared" si="68"/>
        <v>#N/A</v>
      </c>
      <c r="CI21" t="e">
        <f>AT11</f>
        <v>#N/A</v>
      </c>
      <c r="CJ21" t="e">
        <f>AU11</f>
        <v>#N/A</v>
      </c>
      <c r="CK21">
        <f>IF(ISNUMBER(CI21),IFERROR(MAX(0,AV11-CI21),0),0)</f>
        <v>0</v>
      </c>
      <c r="CL21">
        <f>IF(ISNUMBER(CI21),IFERROR(MAX(0,CI21-AV11),0),0)</f>
        <v>0</v>
      </c>
      <c r="CM21">
        <f>IF(ISNUMBER(CJ21),IFERROR(MAX(0,AW11-CJ21),0),0)</f>
        <v>0</v>
      </c>
      <c r="CN21">
        <f>IF(ISNUMBER(CJ21),IFERROR(MAX(0,CJ21-AW11),0),0)</f>
        <v>0</v>
      </c>
      <c r="CP21" t="e">
        <f>CB11</f>
        <v>#N/A</v>
      </c>
      <c r="CQ21" t="e">
        <f>CC11</f>
        <v>#N/A</v>
      </c>
      <c r="CR21">
        <f>IF(ISNUMBER(CP21),IFERROR(MAX(0,CD11-CP21),0),0)</f>
        <v>0</v>
      </c>
      <c r="CS21">
        <f>IF(ISNUMBER(CP21),IFERROR(MAX(0,CP21-CD11),0),0)</f>
        <v>0</v>
      </c>
      <c r="CT21">
        <f>IF(ISNUMBER(CQ21),IFERROR(MAX(0,CE11-CQ21),0),0)</f>
        <v>0</v>
      </c>
      <c r="CU21">
        <f>IF(ISNUMBER(CQ21),IFERROR(MAX(0,CQ21-CE11),0),0)</f>
        <v>0</v>
      </c>
    </row>
    <row r="22" spans="1:99" x14ac:dyDescent="0.3">
      <c r="A22">
        <v>16</v>
      </c>
      <c r="B22">
        <f>IF(A22&lt;=$B$2,IF(INDEX(Gantt!$A$7:$A$119,A22)&lt;&gt;"",1,0),0)</f>
        <v>0</v>
      </c>
      <c r="C22" t="e">
        <f>IF(B22=1,INDEX(Gantt!$C$7:$C$119,A22),NA())</f>
        <v>#N/A</v>
      </c>
      <c r="D22" t="e">
        <f>IF(B22=1,INDEX(Gantt!$D$7:$D$119,A22)+1,NA())</f>
        <v>#N/A</v>
      </c>
      <c r="E22">
        <f>IF(B22=1,INDEX(Gantt!$BN$7:$BN$119,A22),0)</f>
        <v>0</v>
      </c>
      <c r="F22">
        <f>IF(B22=1,N(INDEX(Gantt!$F$7:$F$119,A22)),0)</f>
        <v>0</v>
      </c>
      <c r="G22">
        <f t="shared" si="0"/>
        <v>0</v>
      </c>
      <c r="H22" t="e">
        <f t="shared" si="1"/>
        <v>#N/A</v>
      </c>
      <c r="I22" t="e">
        <f t="shared" si="2"/>
        <v>#N/A</v>
      </c>
      <c r="J22" t="e">
        <f t="shared" si="3"/>
        <v>#N/A</v>
      </c>
      <c r="K22" t="e">
        <f t="shared" si="4"/>
        <v>#N/A</v>
      </c>
      <c r="L22" t="e">
        <f t="shared" si="5"/>
        <v>#N/A</v>
      </c>
      <c r="M22" t="e">
        <f t="shared" si="6"/>
        <v>#N/A</v>
      </c>
      <c r="N22" t="e">
        <f t="shared" si="7"/>
        <v>#N/A</v>
      </c>
      <c r="O22" t="e">
        <f t="shared" si="8"/>
        <v>#N/A</v>
      </c>
      <c r="P22" t="e">
        <f t="shared" si="9"/>
        <v>#N/A</v>
      </c>
      <c r="Q22" t="str">
        <f>IF(B22=1,INDEX(Gantt!$A$7:$A$119,A22)&amp;"   "&amp;INDEX(Gantt!$B$7:$B$119,A22),"")</f>
        <v/>
      </c>
      <c r="R22" t="e">
        <f t="shared" si="10"/>
        <v>#N/A</v>
      </c>
      <c r="S22">
        <f t="shared" si="11"/>
        <v>0</v>
      </c>
      <c r="T22">
        <f t="shared" si="12"/>
        <v>0</v>
      </c>
      <c r="U22">
        <v>16</v>
      </c>
      <c r="V22">
        <f t="shared" si="13"/>
        <v>4</v>
      </c>
      <c r="W22">
        <f t="shared" si="14"/>
        <v>4</v>
      </c>
      <c r="X22">
        <f t="shared" si="15"/>
        <v>0</v>
      </c>
      <c r="Y22">
        <f>IF(X22&lt;&gt;1,9999,CHOOSE(W22,INDEX(Gantt!$BQ$7:$BQ$119,V22),INDEX(Gantt!$BR$7:$BR$119,V22),INDEX(Gantt!$BT$7:$BT$119,V22),INDEX(Gantt!$BU$7:$BU$119,V22)))</f>
        <v>9999</v>
      </c>
      <c r="Z22">
        <f t="shared" si="16"/>
        <v>0</v>
      </c>
      <c r="AA22" t="e">
        <f t="shared" si="17"/>
        <v>#N/A</v>
      </c>
      <c r="AB22" t="e">
        <f t="shared" si="18"/>
        <v>#N/A</v>
      </c>
      <c r="AC22" t="e">
        <f t="shared" si="19"/>
        <v>#N/A</v>
      </c>
      <c r="AD22" t="e">
        <f t="shared" si="20"/>
        <v>#N/A</v>
      </c>
      <c r="AE22" t="e">
        <f t="shared" si="21"/>
        <v>#N/A</v>
      </c>
      <c r="AF22" t="e">
        <f t="shared" si="22"/>
        <v>#N/A</v>
      </c>
      <c r="AG22" t="e">
        <f t="shared" si="23"/>
        <v>#N/A</v>
      </c>
      <c r="AH22" t="e">
        <f t="shared" si="24"/>
        <v>#N/A</v>
      </c>
      <c r="AI22" t="e">
        <f t="shared" si="25"/>
        <v>#N/A</v>
      </c>
      <c r="AJ22" t="e">
        <f t="shared" si="26"/>
        <v>#N/A</v>
      </c>
      <c r="AK22" t="e">
        <f t="shared" si="27"/>
        <v>#N/A</v>
      </c>
      <c r="AL22" t="e">
        <f t="shared" si="28"/>
        <v>#N/A</v>
      </c>
      <c r="AM22" t="e">
        <f t="shared" si="29"/>
        <v>#N/A</v>
      </c>
      <c r="AN22" t="e">
        <f t="shared" si="30"/>
        <v>#N/A</v>
      </c>
      <c r="AO22" t="e">
        <f t="shared" si="31"/>
        <v>#N/A</v>
      </c>
      <c r="AP22" t="e">
        <f t="shared" si="32"/>
        <v>#N/A</v>
      </c>
      <c r="AQ22" t="e">
        <f t="shared" si="33"/>
        <v>#N/A</v>
      </c>
      <c r="AR22" t="e">
        <f t="shared" si="34"/>
        <v>#N/A</v>
      </c>
      <c r="AS22" t="e">
        <f t="shared" si="35"/>
        <v>#N/A</v>
      </c>
      <c r="AT22" t="e">
        <f t="shared" si="36"/>
        <v>#N/A</v>
      </c>
      <c r="AU22" t="e">
        <f t="shared" si="37"/>
        <v>#N/A</v>
      </c>
      <c r="AV22" t="e">
        <f t="shared" si="38"/>
        <v>#N/A</v>
      </c>
      <c r="AW22" t="e">
        <f t="shared" si="39"/>
        <v>#N/A</v>
      </c>
      <c r="AX22" t="e">
        <f t="shared" si="40"/>
        <v>#N/A</v>
      </c>
      <c r="AY22" t="e">
        <f t="shared" si="41"/>
        <v>#N/A</v>
      </c>
      <c r="BA22">
        <v>210</v>
      </c>
      <c r="BB22">
        <v>-0.6</v>
      </c>
      <c r="BC22" s="42">
        <f>$B$1+210</f>
        <v>46237</v>
      </c>
      <c r="BE22" t="e">
        <f>IF(Z22=1,IF(INDEX($C$7:$C$126,V22)&gt;=Gantt!$BF$6,NA(),MATCH(INDEX($C$7:$C$126,V22),Gantt!$J$6:$BE$6,1)),NA())</f>
        <v>#N/A</v>
      </c>
      <c r="BF22" t="e">
        <f>IF(Z22=1,IF((INDEX($D$7:$D$126,AA22)-1)&gt;=Gantt!$BF$6,NA(),IF((INDEX($D$7:$D$126,AA22)-1)&lt;Gantt!$J$6,0,MATCH((INDEX($D$7:$D$126,AA22)-1),Gantt!$J$6:$BE$6,1))),NA())</f>
        <v>#N/A</v>
      </c>
      <c r="BG22" t="e">
        <f t="shared" si="42"/>
        <v>#N/A</v>
      </c>
      <c r="BH22" t="e">
        <f t="shared" si="43"/>
        <v>#N/A</v>
      </c>
      <c r="BI22" t="e">
        <f t="shared" si="44"/>
        <v>#N/A</v>
      </c>
      <c r="BJ22" t="e">
        <f t="shared" si="45"/>
        <v>#N/A</v>
      </c>
      <c r="BK22" t="e">
        <f t="shared" si="46"/>
        <v>#N/A</v>
      </c>
      <c r="BL22" t="e">
        <f t="shared" si="47"/>
        <v>#N/A</v>
      </c>
      <c r="BM22" t="e">
        <f t="shared" si="48"/>
        <v>#N/A</v>
      </c>
      <c r="BN22" t="e">
        <f t="shared" si="49"/>
        <v>#N/A</v>
      </c>
      <c r="BO22" t="e">
        <f t="shared" si="50"/>
        <v>#N/A</v>
      </c>
      <c r="BP22" t="e">
        <f t="shared" si="51"/>
        <v>#N/A</v>
      </c>
      <c r="BQ22" t="e">
        <f t="shared" si="52"/>
        <v>#N/A</v>
      </c>
      <c r="BR22" t="e">
        <f t="shared" si="53"/>
        <v>#N/A</v>
      </c>
      <c r="BS22" t="e">
        <f t="shared" si="54"/>
        <v>#N/A</v>
      </c>
      <c r="BT22" t="e">
        <f t="shared" si="55"/>
        <v>#N/A</v>
      </c>
      <c r="BU22" t="e">
        <f t="shared" si="56"/>
        <v>#N/A</v>
      </c>
      <c r="BV22" t="e">
        <f t="shared" si="57"/>
        <v>#N/A</v>
      </c>
      <c r="BW22" t="e">
        <f t="shared" si="58"/>
        <v>#N/A</v>
      </c>
      <c r="BX22" t="e">
        <f t="shared" si="59"/>
        <v>#N/A</v>
      </c>
      <c r="BY22" t="e">
        <f t="shared" si="60"/>
        <v>#N/A</v>
      </c>
      <c r="BZ22" t="e">
        <f t="shared" si="61"/>
        <v>#N/A</v>
      </c>
      <c r="CA22" t="e">
        <f t="shared" si="62"/>
        <v>#N/A</v>
      </c>
      <c r="CB22" t="e">
        <f t="shared" si="63"/>
        <v>#N/A</v>
      </c>
      <c r="CC22" t="e">
        <f t="shared" si="64"/>
        <v>#N/A</v>
      </c>
      <c r="CD22" t="e">
        <f t="shared" si="65"/>
        <v>#N/A</v>
      </c>
      <c r="CE22" t="e">
        <f t="shared" si="66"/>
        <v>#N/A</v>
      </c>
      <c r="CF22" t="e">
        <f t="shared" si="67"/>
        <v>#N/A</v>
      </c>
      <c r="CG22" t="e">
        <f t="shared" si="68"/>
        <v>#N/A</v>
      </c>
      <c r="CI22" t="e">
        <f>AL12</f>
        <v>#N/A</v>
      </c>
      <c r="CJ22" t="e">
        <f>AM12</f>
        <v>#N/A</v>
      </c>
      <c r="CK22">
        <f>IF(ISNUMBER(CI22),IFERROR(MAX(0,AN12-CI22),0),0)</f>
        <v>0</v>
      </c>
      <c r="CL22">
        <f>IF(ISNUMBER(CI22),IFERROR(MAX(0,CI22-AN12),0),0)</f>
        <v>0</v>
      </c>
      <c r="CM22">
        <f>IF(ISNUMBER(CJ22),IFERROR(MAX(0,AO12-CJ22),0),0)</f>
        <v>0</v>
      </c>
      <c r="CN22">
        <f>IF(ISNUMBER(CJ22),IFERROR(MAX(0,CJ22-AO12),0),0)</f>
        <v>0</v>
      </c>
      <c r="CP22" t="e">
        <f>BT12</f>
        <v>#N/A</v>
      </c>
      <c r="CQ22" t="e">
        <f>BU12</f>
        <v>#N/A</v>
      </c>
      <c r="CR22">
        <f>IF(ISNUMBER(CP22),IFERROR(MAX(0,BV12-CP22),0),0)</f>
        <v>0</v>
      </c>
      <c r="CS22">
        <f>IF(ISNUMBER(CP22),IFERROR(MAX(0,CP22-BV12),0),0)</f>
        <v>0</v>
      </c>
      <c r="CT22">
        <f>IF(ISNUMBER(CQ22),IFERROR(MAX(0,BW12-CQ22),0),0)</f>
        <v>0</v>
      </c>
      <c r="CU22">
        <f>IF(ISNUMBER(CQ22),IFERROR(MAX(0,CQ22-BW12),0),0)</f>
        <v>0</v>
      </c>
    </row>
    <row r="23" spans="1:99" x14ac:dyDescent="0.3">
      <c r="A23">
        <v>17</v>
      </c>
      <c r="B23">
        <f>IF(A23&lt;=$B$2,IF(INDEX(Gantt!$A$7:$A$119,A23)&lt;&gt;"",1,0),0)</f>
        <v>0</v>
      </c>
      <c r="C23" t="e">
        <f>IF(B23=1,INDEX(Gantt!$C$7:$C$119,A23),NA())</f>
        <v>#N/A</v>
      </c>
      <c r="D23" t="e">
        <f>IF(B23=1,INDEX(Gantt!$D$7:$D$119,A23)+1,NA())</f>
        <v>#N/A</v>
      </c>
      <c r="E23">
        <f>IF(B23=1,INDEX(Gantt!$BN$7:$BN$119,A23),0)</f>
        <v>0</v>
      </c>
      <c r="F23">
        <f>IF(B23=1,N(INDEX(Gantt!$F$7:$F$119,A23)),0)</f>
        <v>0</v>
      </c>
      <c r="G23">
        <f t="shared" si="0"/>
        <v>0</v>
      </c>
      <c r="H23" t="e">
        <f t="shared" si="1"/>
        <v>#N/A</v>
      </c>
      <c r="I23" t="e">
        <f t="shared" si="2"/>
        <v>#N/A</v>
      </c>
      <c r="J23" t="e">
        <f t="shared" si="3"/>
        <v>#N/A</v>
      </c>
      <c r="K23" t="e">
        <f t="shared" si="4"/>
        <v>#N/A</v>
      </c>
      <c r="L23" t="e">
        <f t="shared" si="5"/>
        <v>#N/A</v>
      </c>
      <c r="M23" t="e">
        <f t="shared" si="6"/>
        <v>#N/A</v>
      </c>
      <c r="N23" t="e">
        <f t="shared" si="7"/>
        <v>#N/A</v>
      </c>
      <c r="O23" t="e">
        <f t="shared" si="8"/>
        <v>#N/A</v>
      </c>
      <c r="P23" t="e">
        <f t="shared" si="9"/>
        <v>#N/A</v>
      </c>
      <c r="Q23" t="str">
        <f>IF(B23=1,INDEX(Gantt!$A$7:$A$119,A23)&amp;"   "&amp;INDEX(Gantt!$B$7:$B$119,A23),"")</f>
        <v/>
      </c>
      <c r="R23" t="e">
        <f t="shared" si="10"/>
        <v>#N/A</v>
      </c>
      <c r="S23">
        <f t="shared" si="11"/>
        <v>0</v>
      </c>
      <c r="T23">
        <f t="shared" si="12"/>
        <v>0</v>
      </c>
      <c r="U23">
        <v>17</v>
      </c>
      <c r="V23">
        <f t="shared" si="13"/>
        <v>5</v>
      </c>
      <c r="W23">
        <f t="shared" si="14"/>
        <v>1</v>
      </c>
      <c r="X23">
        <f t="shared" si="15"/>
        <v>0</v>
      </c>
      <c r="Y23">
        <f>IF(X23&lt;&gt;1,9999,CHOOSE(W23,INDEX(Gantt!$BQ$7:$BQ$119,V23),INDEX(Gantt!$BR$7:$BR$119,V23),INDEX(Gantt!$BT$7:$BT$119,V23),INDEX(Gantt!$BU$7:$BU$119,V23)))</f>
        <v>9999</v>
      </c>
      <c r="Z23">
        <f t="shared" si="16"/>
        <v>0</v>
      </c>
      <c r="AA23" t="e">
        <f t="shared" si="17"/>
        <v>#N/A</v>
      </c>
      <c r="AB23" t="e">
        <f t="shared" si="18"/>
        <v>#N/A</v>
      </c>
      <c r="AC23" t="e">
        <f t="shared" si="19"/>
        <v>#N/A</v>
      </c>
      <c r="AD23" t="e">
        <f t="shared" si="20"/>
        <v>#N/A</v>
      </c>
      <c r="AE23" t="e">
        <f t="shared" si="21"/>
        <v>#N/A</v>
      </c>
      <c r="AF23" t="e">
        <f t="shared" si="22"/>
        <v>#N/A</v>
      </c>
      <c r="AG23" t="e">
        <f t="shared" si="23"/>
        <v>#N/A</v>
      </c>
      <c r="AH23" t="e">
        <f t="shared" si="24"/>
        <v>#N/A</v>
      </c>
      <c r="AI23" t="e">
        <f t="shared" si="25"/>
        <v>#N/A</v>
      </c>
      <c r="AJ23" t="e">
        <f t="shared" si="26"/>
        <v>#N/A</v>
      </c>
      <c r="AK23" t="e">
        <f t="shared" si="27"/>
        <v>#N/A</v>
      </c>
      <c r="AL23" t="e">
        <f t="shared" si="28"/>
        <v>#N/A</v>
      </c>
      <c r="AM23" t="e">
        <f t="shared" si="29"/>
        <v>#N/A</v>
      </c>
      <c r="AN23" t="e">
        <f t="shared" si="30"/>
        <v>#N/A</v>
      </c>
      <c r="AO23" t="e">
        <f t="shared" si="31"/>
        <v>#N/A</v>
      </c>
      <c r="AP23" t="e">
        <f t="shared" si="32"/>
        <v>#N/A</v>
      </c>
      <c r="AQ23" t="e">
        <f t="shared" si="33"/>
        <v>#N/A</v>
      </c>
      <c r="AR23" t="e">
        <f t="shared" si="34"/>
        <v>#N/A</v>
      </c>
      <c r="AS23" t="e">
        <f t="shared" si="35"/>
        <v>#N/A</v>
      </c>
      <c r="AT23" t="e">
        <f t="shared" si="36"/>
        <v>#N/A</v>
      </c>
      <c r="AU23" t="e">
        <f t="shared" si="37"/>
        <v>#N/A</v>
      </c>
      <c r="AV23" t="e">
        <f t="shared" si="38"/>
        <v>#N/A</v>
      </c>
      <c r="AW23" t="e">
        <f t="shared" si="39"/>
        <v>#N/A</v>
      </c>
      <c r="AX23" t="e">
        <f t="shared" si="40"/>
        <v>#N/A</v>
      </c>
      <c r="AY23" t="e">
        <f t="shared" si="41"/>
        <v>#N/A</v>
      </c>
      <c r="BA23">
        <v>224</v>
      </c>
      <c r="BB23">
        <v>-0.6</v>
      </c>
      <c r="BC23" s="42">
        <f>$B$1+224</f>
        <v>46251</v>
      </c>
      <c r="BE23" t="e">
        <f>IF(Z23=1,IF(INDEX($C$7:$C$126,V23)&gt;=Gantt!$BF$6,NA(),MATCH(INDEX($C$7:$C$126,V23),Gantt!$J$6:$BE$6,1)),NA())</f>
        <v>#N/A</v>
      </c>
      <c r="BF23" t="e">
        <f>IF(Z23=1,IF((INDEX($D$7:$D$126,AA23)-1)&gt;=Gantt!$BF$6,NA(),IF((INDEX($D$7:$D$126,AA23)-1)&lt;Gantt!$J$6,0,MATCH((INDEX($D$7:$D$126,AA23)-1),Gantt!$J$6:$BE$6,1))),NA())</f>
        <v>#N/A</v>
      </c>
      <c r="BG23" t="e">
        <f t="shared" si="42"/>
        <v>#N/A</v>
      </c>
      <c r="BH23" t="e">
        <f t="shared" si="43"/>
        <v>#N/A</v>
      </c>
      <c r="BI23" t="e">
        <f t="shared" si="44"/>
        <v>#N/A</v>
      </c>
      <c r="BJ23" t="e">
        <f t="shared" si="45"/>
        <v>#N/A</v>
      </c>
      <c r="BK23" t="e">
        <f t="shared" si="46"/>
        <v>#N/A</v>
      </c>
      <c r="BL23" t="e">
        <f t="shared" si="47"/>
        <v>#N/A</v>
      </c>
      <c r="BM23" t="e">
        <f t="shared" si="48"/>
        <v>#N/A</v>
      </c>
      <c r="BN23" t="e">
        <f t="shared" si="49"/>
        <v>#N/A</v>
      </c>
      <c r="BO23" t="e">
        <f t="shared" si="50"/>
        <v>#N/A</v>
      </c>
      <c r="BP23" t="e">
        <f t="shared" si="51"/>
        <v>#N/A</v>
      </c>
      <c r="BQ23" t="e">
        <f t="shared" si="52"/>
        <v>#N/A</v>
      </c>
      <c r="BR23" t="e">
        <f t="shared" si="53"/>
        <v>#N/A</v>
      </c>
      <c r="BS23" t="e">
        <f t="shared" si="54"/>
        <v>#N/A</v>
      </c>
      <c r="BT23" t="e">
        <f t="shared" si="55"/>
        <v>#N/A</v>
      </c>
      <c r="BU23" t="e">
        <f t="shared" si="56"/>
        <v>#N/A</v>
      </c>
      <c r="BV23" t="e">
        <f t="shared" si="57"/>
        <v>#N/A</v>
      </c>
      <c r="BW23" t="e">
        <f t="shared" si="58"/>
        <v>#N/A</v>
      </c>
      <c r="BX23" t="e">
        <f t="shared" si="59"/>
        <v>#N/A</v>
      </c>
      <c r="BY23" t="e">
        <f t="shared" si="60"/>
        <v>#N/A</v>
      </c>
      <c r="BZ23" t="e">
        <f t="shared" si="61"/>
        <v>#N/A</v>
      </c>
      <c r="CA23" t="e">
        <f t="shared" si="62"/>
        <v>#N/A</v>
      </c>
      <c r="CB23" t="e">
        <f t="shared" si="63"/>
        <v>#N/A</v>
      </c>
      <c r="CC23" t="e">
        <f t="shared" si="64"/>
        <v>#N/A</v>
      </c>
      <c r="CD23" t="e">
        <f t="shared" si="65"/>
        <v>#N/A</v>
      </c>
      <c r="CE23" t="e">
        <f t="shared" si="66"/>
        <v>#N/A</v>
      </c>
      <c r="CF23" t="e">
        <f t="shared" si="67"/>
        <v>#N/A</v>
      </c>
      <c r="CG23" t="e">
        <f t="shared" si="68"/>
        <v>#N/A</v>
      </c>
      <c r="CI23" t="e">
        <f>AP12</f>
        <v>#N/A</v>
      </c>
      <c r="CJ23" t="e">
        <f>AQ12</f>
        <v>#N/A</v>
      </c>
      <c r="CK23">
        <f>IF(ISNUMBER(CI23),IFERROR(MAX(0,AR12-CI23),0),0)</f>
        <v>0</v>
      </c>
      <c r="CL23">
        <f>IF(ISNUMBER(CI23),IFERROR(MAX(0,CI23-AR12),0),0)</f>
        <v>0</v>
      </c>
      <c r="CM23">
        <f>IF(ISNUMBER(CJ23),IFERROR(MAX(0,AS12-CJ23),0),0)</f>
        <v>0</v>
      </c>
      <c r="CN23">
        <f>IF(ISNUMBER(CJ23),IFERROR(MAX(0,CJ23-AS12),0),0)</f>
        <v>0</v>
      </c>
      <c r="CP23" t="e">
        <f>BX12</f>
        <v>#N/A</v>
      </c>
      <c r="CQ23" t="e">
        <f>BY12</f>
        <v>#N/A</v>
      </c>
      <c r="CR23">
        <f>IF(ISNUMBER(CP23),IFERROR(MAX(0,BZ12-CP23),0),0)</f>
        <v>0</v>
      </c>
      <c r="CS23">
        <f>IF(ISNUMBER(CP23),IFERROR(MAX(0,CP23-BZ12),0),0)</f>
        <v>0</v>
      </c>
      <c r="CT23">
        <f>IF(ISNUMBER(CQ23),IFERROR(MAX(0,CA12-CQ23),0),0)</f>
        <v>0</v>
      </c>
      <c r="CU23">
        <f>IF(ISNUMBER(CQ23),IFERROR(MAX(0,CQ23-CA12),0),0)</f>
        <v>0</v>
      </c>
    </row>
    <row r="24" spans="1:99" x14ac:dyDescent="0.3">
      <c r="A24">
        <v>18</v>
      </c>
      <c r="B24">
        <f>IF(A24&lt;=$B$2,IF(INDEX(Gantt!$A$7:$A$119,A24)&lt;&gt;"",1,0),0)</f>
        <v>0</v>
      </c>
      <c r="C24" t="e">
        <f>IF(B24=1,INDEX(Gantt!$C$7:$C$119,A24),NA())</f>
        <v>#N/A</v>
      </c>
      <c r="D24" t="e">
        <f>IF(B24=1,INDEX(Gantt!$D$7:$D$119,A24)+1,NA())</f>
        <v>#N/A</v>
      </c>
      <c r="E24">
        <f>IF(B24=1,INDEX(Gantt!$BN$7:$BN$119,A24),0)</f>
        <v>0</v>
      </c>
      <c r="F24">
        <f>IF(B24=1,N(INDEX(Gantt!$F$7:$F$119,A24)),0)</f>
        <v>0</v>
      </c>
      <c r="G24">
        <f t="shared" si="0"/>
        <v>0</v>
      </c>
      <c r="H24" t="e">
        <f t="shared" si="1"/>
        <v>#N/A</v>
      </c>
      <c r="I24" t="e">
        <f t="shared" si="2"/>
        <v>#N/A</v>
      </c>
      <c r="J24" t="e">
        <f t="shared" si="3"/>
        <v>#N/A</v>
      </c>
      <c r="K24" t="e">
        <f t="shared" si="4"/>
        <v>#N/A</v>
      </c>
      <c r="L24" t="e">
        <f t="shared" si="5"/>
        <v>#N/A</v>
      </c>
      <c r="M24" t="e">
        <f t="shared" si="6"/>
        <v>#N/A</v>
      </c>
      <c r="N24" t="e">
        <f t="shared" si="7"/>
        <v>#N/A</v>
      </c>
      <c r="O24" t="e">
        <f t="shared" si="8"/>
        <v>#N/A</v>
      </c>
      <c r="P24" t="e">
        <f t="shared" si="9"/>
        <v>#N/A</v>
      </c>
      <c r="Q24" t="str">
        <f>IF(B24=1,INDEX(Gantt!$A$7:$A$119,A24)&amp;"   "&amp;INDEX(Gantt!$B$7:$B$119,A24),"")</f>
        <v/>
      </c>
      <c r="R24" t="e">
        <f t="shared" si="10"/>
        <v>#N/A</v>
      </c>
      <c r="S24">
        <f t="shared" si="11"/>
        <v>0</v>
      </c>
      <c r="T24">
        <f t="shared" si="12"/>
        <v>0</v>
      </c>
      <c r="U24">
        <v>18</v>
      </c>
      <c r="V24">
        <f t="shared" si="13"/>
        <v>5</v>
      </c>
      <c r="W24">
        <f t="shared" si="14"/>
        <v>2</v>
      </c>
      <c r="X24">
        <f t="shared" si="15"/>
        <v>0</v>
      </c>
      <c r="Y24">
        <f>IF(X24&lt;&gt;1,9999,CHOOSE(W24,INDEX(Gantt!$BQ$7:$BQ$119,V24),INDEX(Gantt!$BR$7:$BR$119,V24),INDEX(Gantt!$BT$7:$BT$119,V24),INDEX(Gantt!$BU$7:$BU$119,V24)))</f>
        <v>9999</v>
      </c>
      <c r="Z24">
        <f t="shared" si="16"/>
        <v>0</v>
      </c>
      <c r="AA24" t="e">
        <f t="shared" si="17"/>
        <v>#N/A</v>
      </c>
      <c r="AB24" t="e">
        <f t="shared" si="18"/>
        <v>#N/A</v>
      </c>
      <c r="AC24" t="e">
        <f t="shared" si="19"/>
        <v>#N/A</v>
      </c>
      <c r="AD24" t="e">
        <f t="shared" si="20"/>
        <v>#N/A</v>
      </c>
      <c r="AE24" t="e">
        <f t="shared" si="21"/>
        <v>#N/A</v>
      </c>
      <c r="AF24" t="e">
        <f t="shared" si="22"/>
        <v>#N/A</v>
      </c>
      <c r="AG24" t="e">
        <f t="shared" si="23"/>
        <v>#N/A</v>
      </c>
      <c r="AH24" t="e">
        <f t="shared" si="24"/>
        <v>#N/A</v>
      </c>
      <c r="AI24" t="e">
        <f t="shared" si="25"/>
        <v>#N/A</v>
      </c>
      <c r="AJ24" t="e">
        <f t="shared" si="26"/>
        <v>#N/A</v>
      </c>
      <c r="AK24" t="e">
        <f t="shared" si="27"/>
        <v>#N/A</v>
      </c>
      <c r="AL24" t="e">
        <f t="shared" si="28"/>
        <v>#N/A</v>
      </c>
      <c r="AM24" t="e">
        <f t="shared" si="29"/>
        <v>#N/A</v>
      </c>
      <c r="AN24" t="e">
        <f t="shared" si="30"/>
        <v>#N/A</v>
      </c>
      <c r="AO24" t="e">
        <f t="shared" si="31"/>
        <v>#N/A</v>
      </c>
      <c r="AP24" t="e">
        <f t="shared" si="32"/>
        <v>#N/A</v>
      </c>
      <c r="AQ24" t="e">
        <f t="shared" si="33"/>
        <v>#N/A</v>
      </c>
      <c r="AR24" t="e">
        <f t="shared" si="34"/>
        <v>#N/A</v>
      </c>
      <c r="AS24" t="e">
        <f t="shared" si="35"/>
        <v>#N/A</v>
      </c>
      <c r="AT24" t="e">
        <f t="shared" si="36"/>
        <v>#N/A</v>
      </c>
      <c r="AU24" t="e">
        <f t="shared" si="37"/>
        <v>#N/A</v>
      </c>
      <c r="AV24" t="e">
        <f t="shared" si="38"/>
        <v>#N/A</v>
      </c>
      <c r="AW24" t="e">
        <f t="shared" si="39"/>
        <v>#N/A</v>
      </c>
      <c r="AX24" t="e">
        <f t="shared" si="40"/>
        <v>#N/A</v>
      </c>
      <c r="AY24" t="e">
        <f t="shared" si="41"/>
        <v>#N/A</v>
      </c>
      <c r="BA24">
        <v>238</v>
      </c>
      <c r="BB24">
        <v>-0.6</v>
      </c>
      <c r="BC24" s="42">
        <f>$B$1+238</f>
        <v>46265</v>
      </c>
      <c r="BE24" t="e">
        <f>IF(Z24=1,IF(INDEX($C$7:$C$126,V24)&gt;=Gantt!$BF$6,NA(),MATCH(INDEX($C$7:$C$126,V24),Gantt!$J$6:$BE$6,1)),NA())</f>
        <v>#N/A</v>
      </c>
      <c r="BF24" t="e">
        <f>IF(Z24=1,IF((INDEX($D$7:$D$126,AA24)-1)&gt;=Gantt!$BF$6,NA(),IF((INDEX($D$7:$D$126,AA24)-1)&lt;Gantt!$J$6,0,MATCH((INDEX($D$7:$D$126,AA24)-1),Gantt!$J$6:$BE$6,1))),NA())</f>
        <v>#N/A</v>
      </c>
      <c r="BG24" t="e">
        <f t="shared" si="42"/>
        <v>#N/A</v>
      </c>
      <c r="BH24" t="e">
        <f t="shared" si="43"/>
        <v>#N/A</v>
      </c>
      <c r="BI24" t="e">
        <f t="shared" si="44"/>
        <v>#N/A</v>
      </c>
      <c r="BJ24" t="e">
        <f t="shared" si="45"/>
        <v>#N/A</v>
      </c>
      <c r="BK24" t="e">
        <f t="shared" si="46"/>
        <v>#N/A</v>
      </c>
      <c r="BL24" t="e">
        <f t="shared" si="47"/>
        <v>#N/A</v>
      </c>
      <c r="BM24" t="e">
        <f t="shared" si="48"/>
        <v>#N/A</v>
      </c>
      <c r="BN24" t="e">
        <f t="shared" si="49"/>
        <v>#N/A</v>
      </c>
      <c r="BO24" t="e">
        <f t="shared" si="50"/>
        <v>#N/A</v>
      </c>
      <c r="BP24" t="e">
        <f t="shared" si="51"/>
        <v>#N/A</v>
      </c>
      <c r="BQ24" t="e">
        <f t="shared" si="52"/>
        <v>#N/A</v>
      </c>
      <c r="BR24" t="e">
        <f t="shared" si="53"/>
        <v>#N/A</v>
      </c>
      <c r="BS24" t="e">
        <f t="shared" si="54"/>
        <v>#N/A</v>
      </c>
      <c r="BT24" t="e">
        <f t="shared" si="55"/>
        <v>#N/A</v>
      </c>
      <c r="BU24" t="e">
        <f t="shared" si="56"/>
        <v>#N/A</v>
      </c>
      <c r="BV24" t="e">
        <f t="shared" si="57"/>
        <v>#N/A</v>
      </c>
      <c r="BW24" t="e">
        <f t="shared" si="58"/>
        <v>#N/A</v>
      </c>
      <c r="BX24" t="e">
        <f t="shared" si="59"/>
        <v>#N/A</v>
      </c>
      <c r="BY24" t="e">
        <f t="shared" si="60"/>
        <v>#N/A</v>
      </c>
      <c r="BZ24" t="e">
        <f t="shared" si="61"/>
        <v>#N/A</v>
      </c>
      <c r="CA24" t="e">
        <f t="shared" si="62"/>
        <v>#N/A</v>
      </c>
      <c r="CB24" t="e">
        <f t="shared" si="63"/>
        <v>#N/A</v>
      </c>
      <c r="CC24" t="e">
        <f t="shared" si="64"/>
        <v>#N/A</v>
      </c>
      <c r="CD24" t="e">
        <f t="shared" si="65"/>
        <v>#N/A</v>
      </c>
      <c r="CE24" t="e">
        <f t="shared" si="66"/>
        <v>#N/A</v>
      </c>
      <c r="CF24" t="e">
        <f t="shared" si="67"/>
        <v>#N/A</v>
      </c>
      <c r="CG24" t="e">
        <f t="shared" si="68"/>
        <v>#N/A</v>
      </c>
      <c r="CI24" t="e">
        <f>AT12</f>
        <v>#N/A</v>
      </c>
      <c r="CJ24" t="e">
        <f>AU12</f>
        <v>#N/A</v>
      </c>
      <c r="CK24">
        <f>IF(ISNUMBER(CI24),IFERROR(MAX(0,AV12-CI24),0),0)</f>
        <v>0</v>
      </c>
      <c r="CL24">
        <f>IF(ISNUMBER(CI24),IFERROR(MAX(0,CI24-AV12),0),0)</f>
        <v>0</v>
      </c>
      <c r="CM24">
        <f>IF(ISNUMBER(CJ24),IFERROR(MAX(0,AW12-CJ24),0),0)</f>
        <v>0</v>
      </c>
      <c r="CN24">
        <f>IF(ISNUMBER(CJ24),IFERROR(MAX(0,CJ24-AW12),0),0)</f>
        <v>0</v>
      </c>
      <c r="CP24" t="e">
        <f>CB12</f>
        <v>#N/A</v>
      </c>
      <c r="CQ24" t="e">
        <f>CC12</f>
        <v>#N/A</v>
      </c>
      <c r="CR24">
        <f>IF(ISNUMBER(CP24),IFERROR(MAX(0,CD12-CP24),0),0)</f>
        <v>0</v>
      </c>
      <c r="CS24">
        <f>IF(ISNUMBER(CP24),IFERROR(MAX(0,CP24-CD12),0),0)</f>
        <v>0</v>
      </c>
      <c r="CT24">
        <f>IF(ISNUMBER(CQ24),IFERROR(MAX(0,CE12-CQ24),0),0)</f>
        <v>0</v>
      </c>
      <c r="CU24">
        <f>IF(ISNUMBER(CQ24),IFERROR(MAX(0,CQ24-CE12),0),0)</f>
        <v>0</v>
      </c>
    </row>
    <row r="25" spans="1:99" x14ac:dyDescent="0.3">
      <c r="A25">
        <v>19</v>
      </c>
      <c r="B25">
        <f>IF(A25&lt;=$B$2,IF(INDEX(Gantt!$A$7:$A$119,A25)&lt;&gt;"",1,0),0)</f>
        <v>0</v>
      </c>
      <c r="C25" t="e">
        <f>IF(B25=1,INDEX(Gantt!$C$7:$C$119,A25),NA())</f>
        <v>#N/A</v>
      </c>
      <c r="D25" t="e">
        <f>IF(B25=1,INDEX(Gantt!$D$7:$D$119,A25)+1,NA())</f>
        <v>#N/A</v>
      </c>
      <c r="E25">
        <f>IF(B25=1,INDEX(Gantt!$BN$7:$BN$119,A25),0)</f>
        <v>0</v>
      </c>
      <c r="F25">
        <f>IF(B25=1,N(INDEX(Gantt!$F$7:$F$119,A25)),0)</f>
        <v>0</v>
      </c>
      <c r="G25">
        <f t="shared" si="0"/>
        <v>0</v>
      </c>
      <c r="H25" t="e">
        <f t="shared" si="1"/>
        <v>#N/A</v>
      </c>
      <c r="I25" t="e">
        <f t="shared" si="2"/>
        <v>#N/A</v>
      </c>
      <c r="J25" t="e">
        <f t="shared" si="3"/>
        <v>#N/A</v>
      </c>
      <c r="K25" t="e">
        <f t="shared" si="4"/>
        <v>#N/A</v>
      </c>
      <c r="L25" t="e">
        <f t="shared" si="5"/>
        <v>#N/A</v>
      </c>
      <c r="M25" t="e">
        <f t="shared" si="6"/>
        <v>#N/A</v>
      </c>
      <c r="N25" t="e">
        <f t="shared" si="7"/>
        <v>#N/A</v>
      </c>
      <c r="O25" t="e">
        <f t="shared" si="8"/>
        <v>#N/A</v>
      </c>
      <c r="P25" t="e">
        <f t="shared" si="9"/>
        <v>#N/A</v>
      </c>
      <c r="Q25" t="str">
        <f>IF(B25=1,INDEX(Gantt!$A$7:$A$119,A25)&amp;"   "&amp;INDEX(Gantt!$B$7:$B$119,A25),"")</f>
        <v/>
      </c>
      <c r="R25" t="e">
        <f t="shared" si="10"/>
        <v>#N/A</v>
      </c>
      <c r="S25">
        <f t="shared" si="11"/>
        <v>0</v>
      </c>
      <c r="T25">
        <f t="shared" si="12"/>
        <v>0</v>
      </c>
      <c r="U25">
        <v>19</v>
      </c>
      <c r="V25">
        <f t="shared" si="13"/>
        <v>5</v>
      </c>
      <c r="W25">
        <f t="shared" si="14"/>
        <v>3</v>
      </c>
      <c r="X25">
        <f t="shared" si="15"/>
        <v>0</v>
      </c>
      <c r="Y25">
        <f>IF(X25&lt;&gt;1,9999,CHOOSE(W25,INDEX(Gantt!$BQ$7:$BQ$119,V25),INDEX(Gantt!$BR$7:$BR$119,V25),INDEX(Gantt!$BT$7:$BT$119,V25),INDEX(Gantt!$BU$7:$BU$119,V25)))</f>
        <v>9999</v>
      </c>
      <c r="Z25">
        <f t="shared" si="16"/>
        <v>0</v>
      </c>
      <c r="AA25" t="e">
        <f t="shared" si="17"/>
        <v>#N/A</v>
      </c>
      <c r="AB25" t="e">
        <f t="shared" si="18"/>
        <v>#N/A</v>
      </c>
      <c r="AC25" t="e">
        <f t="shared" si="19"/>
        <v>#N/A</v>
      </c>
      <c r="AD25" t="e">
        <f t="shared" si="20"/>
        <v>#N/A</v>
      </c>
      <c r="AE25" t="e">
        <f t="shared" si="21"/>
        <v>#N/A</v>
      </c>
      <c r="AF25" t="e">
        <f t="shared" si="22"/>
        <v>#N/A</v>
      </c>
      <c r="AG25" t="e">
        <f t="shared" si="23"/>
        <v>#N/A</v>
      </c>
      <c r="AH25" t="e">
        <f t="shared" si="24"/>
        <v>#N/A</v>
      </c>
      <c r="AI25" t="e">
        <f t="shared" si="25"/>
        <v>#N/A</v>
      </c>
      <c r="AJ25" t="e">
        <f t="shared" si="26"/>
        <v>#N/A</v>
      </c>
      <c r="AK25" t="e">
        <f t="shared" si="27"/>
        <v>#N/A</v>
      </c>
      <c r="AL25" t="e">
        <f t="shared" si="28"/>
        <v>#N/A</v>
      </c>
      <c r="AM25" t="e">
        <f t="shared" si="29"/>
        <v>#N/A</v>
      </c>
      <c r="AN25" t="e">
        <f t="shared" si="30"/>
        <v>#N/A</v>
      </c>
      <c r="AO25" t="e">
        <f t="shared" si="31"/>
        <v>#N/A</v>
      </c>
      <c r="AP25" t="e">
        <f t="shared" si="32"/>
        <v>#N/A</v>
      </c>
      <c r="AQ25" t="e">
        <f t="shared" si="33"/>
        <v>#N/A</v>
      </c>
      <c r="AR25" t="e">
        <f t="shared" si="34"/>
        <v>#N/A</v>
      </c>
      <c r="AS25" t="e">
        <f t="shared" si="35"/>
        <v>#N/A</v>
      </c>
      <c r="AT25" t="e">
        <f t="shared" si="36"/>
        <v>#N/A</v>
      </c>
      <c r="AU25" t="e">
        <f t="shared" si="37"/>
        <v>#N/A</v>
      </c>
      <c r="AV25" t="e">
        <f t="shared" si="38"/>
        <v>#N/A</v>
      </c>
      <c r="AW25" t="e">
        <f t="shared" si="39"/>
        <v>#N/A</v>
      </c>
      <c r="AX25" t="e">
        <f t="shared" si="40"/>
        <v>#N/A</v>
      </c>
      <c r="AY25" t="e">
        <f t="shared" si="41"/>
        <v>#N/A</v>
      </c>
      <c r="BA25">
        <v>252</v>
      </c>
      <c r="BB25">
        <v>-0.6</v>
      </c>
      <c r="BC25" s="42">
        <f>$B$1+252</f>
        <v>46279</v>
      </c>
      <c r="BE25" t="e">
        <f>IF(Z25=1,IF(INDEX($C$7:$C$126,V25)&gt;=Gantt!$BF$6,NA(),MATCH(INDEX($C$7:$C$126,V25),Gantt!$J$6:$BE$6,1)),NA())</f>
        <v>#N/A</v>
      </c>
      <c r="BF25" t="e">
        <f>IF(Z25=1,IF((INDEX($D$7:$D$126,AA25)-1)&gt;=Gantt!$BF$6,NA(),IF((INDEX($D$7:$D$126,AA25)-1)&lt;Gantt!$J$6,0,MATCH((INDEX($D$7:$D$126,AA25)-1),Gantt!$J$6:$BE$6,1))),NA())</f>
        <v>#N/A</v>
      </c>
      <c r="BG25" t="e">
        <f t="shared" si="42"/>
        <v>#N/A</v>
      </c>
      <c r="BH25" t="e">
        <f t="shared" si="43"/>
        <v>#N/A</v>
      </c>
      <c r="BI25" t="e">
        <f t="shared" si="44"/>
        <v>#N/A</v>
      </c>
      <c r="BJ25" t="e">
        <f t="shared" si="45"/>
        <v>#N/A</v>
      </c>
      <c r="BK25" t="e">
        <f t="shared" si="46"/>
        <v>#N/A</v>
      </c>
      <c r="BL25" t="e">
        <f t="shared" si="47"/>
        <v>#N/A</v>
      </c>
      <c r="BM25" t="e">
        <f t="shared" si="48"/>
        <v>#N/A</v>
      </c>
      <c r="BN25" t="e">
        <f t="shared" si="49"/>
        <v>#N/A</v>
      </c>
      <c r="BO25" t="e">
        <f t="shared" si="50"/>
        <v>#N/A</v>
      </c>
      <c r="BP25" t="e">
        <f t="shared" si="51"/>
        <v>#N/A</v>
      </c>
      <c r="BQ25" t="e">
        <f t="shared" si="52"/>
        <v>#N/A</v>
      </c>
      <c r="BR25" t="e">
        <f t="shared" si="53"/>
        <v>#N/A</v>
      </c>
      <c r="BS25" t="e">
        <f t="shared" si="54"/>
        <v>#N/A</v>
      </c>
      <c r="BT25" t="e">
        <f t="shared" si="55"/>
        <v>#N/A</v>
      </c>
      <c r="BU25" t="e">
        <f t="shared" si="56"/>
        <v>#N/A</v>
      </c>
      <c r="BV25" t="e">
        <f t="shared" si="57"/>
        <v>#N/A</v>
      </c>
      <c r="BW25" t="e">
        <f t="shared" si="58"/>
        <v>#N/A</v>
      </c>
      <c r="BX25" t="e">
        <f t="shared" si="59"/>
        <v>#N/A</v>
      </c>
      <c r="BY25" t="e">
        <f t="shared" si="60"/>
        <v>#N/A</v>
      </c>
      <c r="BZ25" t="e">
        <f t="shared" si="61"/>
        <v>#N/A</v>
      </c>
      <c r="CA25" t="e">
        <f t="shared" si="62"/>
        <v>#N/A</v>
      </c>
      <c r="CB25" t="e">
        <f t="shared" si="63"/>
        <v>#N/A</v>
      </c>
      <c r="CC25" t="e">
        <f t="shared" si="64"/>
        <v>#N/A</v>
      </c>
      <c r="CD25" t="e">
        <f t="shared" si="65"/>
        <v>#N/A</v>
      </c>
      <c r="CE25" t="e">
        <f t="shared" si="66"/>
        <v>#N/A</v>
      </c>
      <c r="CF25" t="e">
        <f t="shared" si="67"/>
        <v>#N/A</v>
      </c>
      <c r="CG25" t="e">
        <f t="shared" si="68"/>
        <v>#N/A</v>
      </c>
      <c r="CI25" t="e">
        <f>AL13</f>
        <v>#N/A</v>
      </c>
      <c r="CJ25" t="e">
        <f>AM13</f>
        <v>#N/A</v>
      </c>
      <c r="CK25">
        <f>IF(ISNUMBER(CI25),IFERROR(MAX(0,AN13-CI25),0),0)</f>
        <v>0</v>
      </c>
      <c r="CL25">
        <f>IF(ISNUMBER(CI25),IFERROR(MAX(0,CI25-AN13),0),0)</f>
        <v>0</v>
      </c>
      <c r="CM25">
        <f>IF(ISNUMBER(CJ25),IFERROR(MAX(0,AO13-CJ25),0),0)</f>
        <v>0</v>
      </c>
      <c r="CN25">
        <f>IF(ISNUMBER(CJ25),IFERROR(MAX(0,CJ25-AO13),0),0)</f>
        <v>0</v>
      </c>
      <c r="CP25" t="e">
        <f>BT13</f>
        <v>#N/A</v>
      </c>
      <c r="CQ25" t="e">
        <f>BU13</f>
        <v>#N/A</v>
      </c>
      <c r="CR25">
        <f>IF(ISNUMBER(CP25),IFERROR(MAX(0,BV13-CP25),0),0)</f>
        <v>0</v>
      </c>
      <c r="CS25">
        <f>IF(ISNUMBER(CP25),IFERROR(MAX(0,CP25-BV13),0),0)</f>
        <v>0</v>
      </c>
      <c r="CT25">
        <f>IF(ISNUMBER(CQ25),IFERROR(MAX(0,BW13-CQ25),0),0)</f>
        <v>0</v>
      </c>
      <c r="CU25">
        <f>IF(ISNUMBER(CQ25),IFERROR(MAX(0,CQ25-BW13),0),0)</f>
        <v>0</v>
      </c>
    </row>
    <row r="26" spans="1:99" x14ac:dyDescent="0.3">
      <c r="A26">
        <v>20</v>
      </c>
      <c r="B26">
        <f>IF(A26&lt;=$B$2,IF(INDEX(Gantt!$A$7:$A$119,A26)&lt;&gt;"",1,0),0)</f>
        <v>0</v>
      </c>
      <c r="C26" t="e">
        <f>IF(B26=1,INDEX(Gantt!$C$7:$C$119,A26),NA())</f>
        <v>#N/A</v>
      </c>
      <c r="D26" t="e">
        <f>IF(B26=1,INDEX(Gantt!$D$7:$D$119,A26)+1,NA())</f>
        <v>#N/A</v>
      </c>
      <c r="E26">
        <f>IF(B26=1,INDEX(Gantt!$BN$7:$BN$119,A26),0)</f>
        <v>0</v>
      </c>
      <c r="F26">
        <f>IF(B26=1,N(INDEX(Gantt!$F$7:$F$119,A26)),0)</f>
        <v>0</v>
      </c>
      <c r="G26">
        <f t="shared" si="0"/>
        <v>0</v>
      </c>
      <c r="H26" t="e">
        <f t="shared" si="1"/>
        <v>#N/A</v>
      </c>
      <c r="I26" t="e">
        <f t="shared" si="2"/>
        <v>#N/A</v>
      </c>
      <c r="J26" t="e">
        <f t="shared" si="3"/>
        <v>#N/A</v>
      </c>
      <c r="K26" t="e">
        <f t="shared" si="4"/>
        <v>#N/A</v>
      </c>
      <c r="L26" t="e">
        <f t="shared" si="5"/>
        <v>#N/A</v>
      </c>
      <c r="M26" t="e">
        <f t="shared" si="6"/>
        <v>#N/A</v>
      </c>
      <c r="N26" t="e">
        <f t="shared" si="7"/>
        <v>#N/A</v>
      </c>
      <c r="O26" t="e">
        <f t="shared" si="8"/>
        <v>#N/A</v>
      </c>
      <c r="P26" t="e">
        <f t="shared" si="9"/>
        <v>#N/A</v>
      </c>
      <c r="Q26" t="str">
        <f>IF(B26=1,INDEX(Gantt!$A$7:$A$119,A26)&amp;"   "&amp;INDEX(Gantt!$B$7:$B$119,A26),"")</f>
        <v/>
      </c>
      <c r="R26" t="e">
        <f t="shared" si="10"/>
        <v>#N/A</v>
      </c>
      <c r="S26">
        <f t="shared" si="11"/>
        <v>0</v>
      </c>
      <c r="T26">
        <f t="shared" si="12"/>
        <v>0</v>
      </c>
      <c r="U26">
        <v>20</v>
      </c>
      <c r="V26">
        <f t="shared" si="13"/>
        <v>5</v>
      </c>
      <c r="W26">
        <f t="shared" si="14"/>
        <v>4</v>
      </c>
      <c r="X26">
        <f t="shared" si="15"/>
        <v>0</v>
      </c>
      <c r="Y26">
        <f>IF(X26&lt;&gt;1,9999,CHOOSE(W26,INDEX(Gantt!$BQ$7:$BQ$119,V26),INDEX(Gantt!$BR$7:$BR$119,V26),INDEX(Gantt!$BT$7:$BT$119,V26),INDEX(Gantt!$BU$7:$BU$119,V26)))</f>
        <v>9999</v>
      </c>
      <c r="Z26">
        <f t="shared" si="16"/>
        <v>0</v>
      </c>
      <c r="AA26" t="e">
        <f t="shared" si="17"/>
        <v>#N/A</v>
      </c>
      <c r="AB26" t="e">
        <f t="shared" si="18"/>
        <v>#N/A</v>
      </c>
      <c r="AC26" t="e">
        <f t="shared" si="19"/>
        <v>#N/A</v>
      </c>
      <c r="AD26" t="e">
        <f t="shared" si="20"/>
        <v>#N/A</v>
      </c>
      <c r="AE26" t="e">
        <f t="shared" si="21"/>
        <v>#N/A</v>
      </c>
      <c r="AF26" t="e">
        <f t="shared" si="22"/>
        <v>#N/A</v>
      </c>
      <c r="AG26" t="e">
        <f t="shared" si="23"/>
        <v>#N/A</v>
      </c>
      <c r="AH26" t="e">
        <f t="shared" si="24"/>
        <v>#N/A</v>
      </c>
      <c r="AI26" t="e">
        <f t="shared" si="25"/>
        <v>#N/A</v>
      </c>
      <c r="AJ26" t="e">
        <f t="shared" si="26"/>
        <v>#N/A</v>
      </c>
      <c r="AK26" t="e">
        <f t="shared" si="27"/>
        <v>#N/A</v>
      </c>
      <c r="AL26" t="e">
        <f t="shared" si="28"/>
        <v>#N/A</v>
      </c>
      <c r="AM26" t="e">
        <f t="shared" si="29"/>
        <v>#N/A</v>
      </c>
      <c r="AN26" t="e">
        <f t="shared" si="30"/>
        <v>#N/A</v>
      </c>
      <c r="AO26" t="e">
        <f t="shared" si="31"/>
        <v>#N/A</v>
      </c>
      <c r="AP26" t="e">
        <f t="shared" si="32"/>
        <v>#N/A</v>
      </c>
      <c r="AQ26" t="e">
        <f t="shared" si="33"/>
        <v>#N/A</v>
      </c>
      <c r="AR26" t="e">
        <f t="shared" si="34"/>
        <v>#N/A</v>
      </c>
      <c r="AS26" t="e">
        <f t="shared" si="35"/>
        <v>#N/A</v>
      </c>
      <c r="AT26" t="e">
        <f t="shared" si="36"/>
        <v>#N/A</v>
      </c>
      <c r="AU26" t="e">
        <f t="shared" si="37"/>
        <v>#N/A</v>
      </c>
      <c r="AV26" t="e">
        <f t="shared" si="38"/>
        <v>#N/A</v>
      </c>
      <c r="AW26" t="e">
        <f t="shared" si="39"/>
        <v>#N/A</v>
      </c>
      <c r="AX26" t="e">
        <f t="shared" si="40"/>
        <v>#N/A</v>
      </c>
      <c r="AY26" t="e">
        <f t="shared" si="41"/>
        <v>#N/A</v>
      </c>
      <c r="BA26">
        <v>266</v>
      </c>
      <c r="BB26">
        <v>-0.6</v>
      </c>
      <c r="BC26" s="42">
        <f>$B$1+266</f>
        <v>46293</v>
      </c>
      <c r="BE26" t="e">
        <f>IF(Z26=1,IF(INDEX($C$7:$C$126,V26)&gt;=Gantt!$BF$6,NA(),MATCH(INDEX($C$7:$C$126,V26),Gantt!$J$6:$BE$6,1)),NA())</f>
        <v>#N/A</v>
      </c>
      <c r="BF26" t="e">
        <f>IF(Z26=1,IF((INDEX($D$7:$D$126,AA26)-1)&gt;=Gantt!$BF$6,NA(),IF((INDEX($D$7:$D$126,AA26)-1)&lt;Gantt!$J$6,0,MATCH((INDEX($D$7:$D$126,AA26)-1),Gantt!$J$6:$BE$6,1))),NA())</f>
        <v>#N/A</v>
      </c>
      <c r="BG26" t="e">
        <f t="shared" si="42"/>
        <v>#N/A</v>
      </c>
      <c r="BH26" t="e">
        <f t="shared" si="43"/>
        <v>#N/A</v>
      </c>
      <c r="BI26" t="e">
        <f t="shared" si="44"/>
        <v>#N/A</v>
      </c>
      <c r="BJ26" t="e">
        <f t="shared" si="45"/>
        <v>#N/A</v>
      </c>
      <c r="BK26" t="e">
        <f t="shared" si="46"/>
        <v>#N/A</v>
      </c>
      <c r="BL26" t="e">
        <f t="shared" si="47"/>
        <v>#N/A</v>
      </c>
      <c r="BM26" t="e">
        <f t="shared" si="48"/>
        <v>#N/A</v>
      </c>
      <c r="BN26" t="e">
        <f t="shared" si="49"/>
        <v>#N/A</v>
      </c>
      <c r="BO26" t="e">
        <f t="shared" si="50"/>
        <v>#N/A</v>
      </c>
      <c r="BP26" t="e">
        <f t="shared" si="51"/>
        <v>#N/A</v>
      </c>
      <c r="BQ26" t="e">
        <f t="shared" si="52"/>
        <v>#N/A</v>
      </c>
      <c r="BR26" t="e">
        <f t="shared" si="53"/>
        <v>#N/A</v>
      </c>
      <c r="BS26" t="e">
        <f t="shared" si="54"/>
        <v>#N/A</v>
      </c>
      <c r="BT26" t="e">
        <f t="shared" si="55"/>
        <v>#N/A</v>
      </c>
      <c r="BU26" t="e">
        <f t="shared" si="56"/>
        <v>#N/A</v>
      </c>
      <c r="BV26" t="e">
        <f t="shared" si="57"/>
        <v>#N/A</v>
      </c>
      <c r="BW26" t="e">
        <f t="shared" si="58"/>
        <v>#N/A</v>
      </c>
      <c r="BX26" t="e">
        <f t="shared" si="59"/>
        <v>#N/A</v>
      </c>
      <c r="BY26" t="e">
        <f t="shared" si="60"/>
        <v>#N/A</v>
      </c>
      <c r="BZ26" t="e">
        <f t="shared" si="61"/>
        <v>#N/A</v>
      </c>
      <c r="CA26" t="e">
        <f t="shared" si="62"/>
        <v>#N/A</v>
      </c>
      <c r="CB26" t="e">
        <f t="shared" si="63"/>
        <v>#N/A</v>
      </c>
      <c r="CC26" t="e">
        <f t="shared" si="64"/>
        <v>#N/A</v>
      </c>
      <c r="CD26" t="e">
        <f t="shared" si="65"/>
        <v>#N/A</v>
      </c>
      <c r="CE26" t="e">
        <f t="shared" si="66"/>
        <v>#N/A</v>
      </c>
      <c r="CF26" t="e">
        <f t="shared" si="67"/>
        <v>#N/A</v>
      </c>
      <c r="CG26" t="e">
        <f t="shared" si="68"/>
        <v>#N/A</v>
      </c>
      <c r="CI26" t="e">
        <f>AP13</f>
        <v>#N/A</v>
      </c>
      <c r="CJ26" t="e">
        <f>AQ13</f>
        <v>#N/A</v>
      </c>
      <c r="CK26">
        <f>IF(ISNUMBER(CI26),IFERROR(MAX(0,AR13-CI26),0),0)</f>
        <v>0</v>
      </c>
      <c r="CL26">
        <f>IF(ISNUMBER(CI26),IFERROR(MAX(0,CI26-AR13),0),0)</f>
        <v>0</v>
      </c>
      <c r="CM26">
        <f>IF(ISNUMBER(CJ26),IFERROR(MAX(0,AS13-CJ26),0),0)</f>
        <v>0</v>
      </c>
      <c r="CN26">
        <f>IF(ISNUMBER(CJ26),IFERROR(MAX(0,CJ26-AS13),0),0)</f>
        <v>0</v>
      </c>
      <c r="CP26" t="e">
        <f>BX13</f>
        <v>#N/A</v>
      </c>
      <c r="CQ26" t="e">
        <f>BY13</f>
        <v>#N/A</v>
      </c>
      <c r="CR26">
        <f>IF(ISNUMBER(CP26),IFERROR(MAX(0,BZ13-CP26),0),0)</f>
        <v>0</v>
      </c>
      <c r="CS26">
        <f>IF(ISNUMBER(CP26),IFERROR(MAX(0,CP26-BZ13),0),0)</f>
        <v>0</v>
      </c>
      <c r="CT26">
        <f>IF(ISNUMBER(CQ26),IFERROR(MAX(0,CA13-CQ26),0),0)</f>
        <v>0</v>
      </c>
      <c r="CU26">
        <f>IF(ISNUMBER(CQ26),IFERROR(MAX(0,CQ26-CA13),0),0)</f>
        <v>0</v>
      </c>
    </row>
    <row r="27" spans="1:99" x14ac:dyDescent="0.3">
      <c r="A27">
        <v>21</v>
      </c>
      <c r="B27">
        <f>IF(A27&lt;=$B$2,IF(INDEX(Gantt!$A$7:$A$119,A27)&lt;&gt;"",1,0),0)</f>
        <v>0</v>
      </c>
      <c r="C27" t="e">
        <f>IF(B27=1,INDEX(Gantt!$C$7:$C$119,A27),NA())</f>
        <v>#N/A</v>
      </c>
      <c r="D27" t="e">
        <f>IF(B27=1,INDEX(Gantt!$D$7:$D$119,A27)+1,NA())</f>
        <v>#N/A</v>
      </c>
      <c r="E27">
        <f>IF(B27=1,INDEX(Gantt!$BN$7:$BN$119,A27),0)</f>
        <v>0</v>
      </c>
      <c r="F27">
        <f>IF(B27=1,N(INDEX(Gantt!$F$7:$F$119,A27)),0)</f>
        <v>0</v>
      </c>
      <c r="G27">
        <f t="shared" si="0"/>
        <v>0</v>
      </c>
      <c r="H27" t="e">
        <f t="shared" si="1"/>
        <v>#N/A</v>
      </c>
      <c r="I27" t="e">
        <f t="shared" si="2"/>
        <v>#N/A</v>
      </c>
      <c r="J27" t="e">
        <f t="shared" si="3"/>
        <v>#N/A</v>
      </c>
      <c r="K27" t="e">
        <f t="shared" si="4"/>
        <v>#N/A</v>
      </c>
      <c r="L27" t="e">
        <f t="shared" si="5"/>
        <v>#N/A</v>
      </c>
      <c r="M27" t="e">
        <f t="shared" si="6"/>
        <v>#N/A</v>
      </c>
      <c r="N27" t="e">
        <f t="shared" si="7"/>
        <v>#N/A</v>
      </c>
      <c r="O27" t="e">
        <f t="shared" si="8"/>
        <v>#N/A</v>
      </c>
      <c r="P27" t="e">
        <f t="shared" si="9"/>
        <v>#N/A</v>
      </c>
      <c r="Q27" t="str">
        <f>IF(B27=1,INDEX(Gantt!$A$7:$A$119,A27)&amp;"   "&amp;INDEX(Gantt!$B$7:$B$119,A27),"")</f>
        <v/>
      </c>
      <c r="R27" t="e">
        <f t="shared" si="10"/>
        <v>#N/A</v>
      </c>
      <c r="S27">
        <f t="shared" si="11"/>
        <v>0</v>
      </c>
      <c r="T27">
        <f t="shared" si="12"/>
        <v>0</v>
      </c>
      <c r="U27">
        <v>21</v>
      </c>
      <c r="V27">
        <f t="shared" si="13"/>
        <v>6</v>
      </c>
      <c r="W27">
        <f t="shared" si="14"/>
        <v>1</v>
      </c>
      <c r="X27">
        <f t="shared" si="15"/>
        <v>0</v>
      </c>
      <c r="Y27">
        <f>IF(X27&lt;&gt;1,9999,CHOOSE(W27,INDEX(Gantt!$BQ$7:$BQ$119,V27),INDEX(Gantt!$BR$7:$BR$119,V27),INDEX(Gantt!$BT$7:$BT$119,V27),INDEX(Gantt!$BU$7:$BU$119,V27)))</f>
        <v>9999</v>
      </c>
      <c r="Z27">
        <f t="shared" si="16"/>
        <v>0</v>
      </c>
      <c r="AA27" t="e">
        <f t="shared" si="17"/>
        <v>#N/A</v>
      </c>
      <c r="AB27" t="e">
        <f t="shared" si="18"/>
        <v>#N/A</v>
      </c>
      <c r="AC27" t="e">
        <f t="shared" si="19"/>
        <v>#N/A</v>
      </c>
      <c r="AD27" t="e">
        <f t="shared" si="20"/>
        <v>#N/A</v>
      </c>
      <c r="AE27" t="e">
        <f t="shared" si="21"/>
        <v>#N/A</v>
      </c>
      <c r="AF27" t="e">
        <f t="shared" si="22"/>
        <v>#N/A</v>
      </c>
      <c r="AG27" t="e">
        <f t="shared" si="23"/>
        <v>#N/A</v>
      </c>
      <c r="AH27" t="e">
        <f t="shared" si="24"/>
        <v>#N/A</v>
      </c>
      <c r="AI27" t="e">
        <f t="shared" si="25"/>
        <v>#N/A</v>
      </c>
      <c r="AJ27" t="e">
        <f t="shared" si="26"/>
        <v>#N/A</v>
      </c>
      <c r="AK27" t="e">
        <f t="shared" si="27"/>
        <v>#N/A</v>
      </c>
      <c r="AL27" t="e">
        <f t="shared" si="28"/>
        <v>#N/A</v>
      </c>
      <c r="AM27" t="e">
        <f t="shared" si="29"/>
        <v>#N/A</v>
      </c>
      <c r="AN27" t="e">
        <f t="shared" si="30"/>
        <v>#N/A</v>
      </c>
      <c r="AO27" t="e">
        <f t="shared" si="31"/>
        <v>#N/A</v>
      </c>
      <c r="AP27" t="e">
        <f t="shared" si="32"/>
        <v>#N/A</v>
      </c>
      <c r="AQ27" t="e">
        <f t="shared" si="33"/>
        <v>#N/A</v>
      </c>
      <c r="AR27" t="e">
        <f t="shared" si="34"/>
        <v>#N/A</v>
      </c>
      <c r="AS27" t="e">
        <f t="shared" si="35"/>
        <v>#N/A</v>
      </c>
      <c r="AT27" t="e">
        <f t="shared" si="36"/>
        <v>#N/A</v>
      </c>
      <c r="AU27" t="e">
        <f t="shared" si="37"/>
        <v>#N/A</v>
      </c>
      <c r="AV27" t="e">
        <f t="shared" si="38"/>
        <v>#N/A</v>
      </c>
      <c r="AW27" t="e">
        <f t="shared" si="39"/>
        <v>#N/A</v>
      </c>
      <c r="AX27" t="e">
        <f t="shared" si="40"/>
        <v>#N/A</v>
      </c>
      <c r="AY27" t="e">
        <f t="shared" si="41"/>
        <v>#N/A</v>
      </c>
      <c r="BA27">
        <v>280</v>
      </c>
      <c r="BB27">
        <v>-0.6</v>
      </c>
      <c r="BC27" s="42">
        <f>$B$1+280</f>
        <v>46307</v>
      </c>
      <c r="BE27" t="e">
        <f>IF(Z27=1,IF(INDEX($C$7:$C$126,V27)&gt;=Gantt!$BF$6,NA(),MATCH(INDEX($C$7:$C$126,V27),Gantt!$J$6:$BE$6,1)),NA())</f>
        <v>#N/A</v>
      </c>
      <c r="BF27" t="e">
        <f>IF(Z27=1,IF((INDEX($D$7:$D$126,AA27)-1)&gt;=Gantt!$BF$6,NA(),IF((INDEX($D$7:$D$126,AA27)-1)&lt;Gantt!$J$6,0,MATCH((INDEX($D$7:$D$126,AA27)-1),Gantt!$J$6:$BE$6,1))),NA())</f>
        <v>#N/A</v>
      </c>
      <c r="BG27" t="e">
        <f t="shared" si="42"/>
        <v>#N/A</v>
      </c>
      <c r="BH27" t="e">
        <f t="shared" si="43"/>
        <v>#N/A</v>
      </c>
      <c r="BI27" t="e">
        <f t="shared" si="44"/>
        <v>#N/A</v>
      </c>
      <c r="BJ27" t="e">
        <f t="shared" si="45"/>
        <v>#N/A</v>
      </c>
      <c r="BK27" t="e">
        <f t="shared" si="46"/>
        <v>#N/A</v>
      </c>
      <c r="BL27" t="e">
        <f t="shared" si="47"/>
        <v>#N/A</v>
      </c>
      <c r="BM27" t="e">
        <f t="shared" si="48"/>
        <v>#N/A</v>
      </c>
      <c r="BN27" t="e">
        <f t="shared" si="49"/>
        <v>#N/A</v>
      </c>
      <c r="BO27" t="e">
        <f t="shared" si="50"/>
        <v>#N/A</v>
      </c>
      <c r="BP27" t="e">
        <f t="shared" si="51"/>
        <v>#N/A</v>
      </c>
      <c r="BQ27" t="e">
        <f t="shared" si="52"/>
        <v>#N/A</v>
      </c>
      <c r="BR27" t="e">
        <f t="shared" si="53"/>
        <v>#N/A</v>
      </c>
      <c r="BS27" t="e">
        <f t="shared" si="54"/>
        <v>#N/A</v>
      </c>
      <c r="BT27" t="e">
        <f t="shared" si="55"/>
        <v>#N/A</v>
      </c>
      <c r="BU27" t="e">
        <f t="shared" si="56"/>
        <v>#N/A</v>
      </c>
      <c r="BV27" t="e">
        <f t="shared" si="57"/>
        <v>#N/A</v>
      </c>
      <c r="BW27" t="e">
        <f t="shared" si="58"/>
        <v>#N/A</v>
      </c>
      <c r="BX27" t="e">
        <f t="shared" si="59"/>
        <v>#N/A</v>
      </c>
      <c r="BY27" t="e">
        <f t="shared" si="60"/>
        <v>#N/A</v>
      </c>
      <c r="BZ27" t="e">
        <f t="shared" si="61"/>
        <v>#N/A</v>
      </c>
      <c r="CA27" t="e">
        <f t="shared" si="62"/>
        <v>#N/A</v>
      </c>
      <c r="CB27" t="e">
        <f t="shared" si="63"/>
        <v>#N/A</v>
      </c>
      <c r="CC27" t="e">
        <f t="shared" si="64"/>
        <v>#N/A</v>
      </c>
      <c r="CD27" t="e">
        <f t="shared" si="65"/>
        <v>#N/A</v>
      </c>
      <c r="CE27" t="e">
        <f t="shared" si="66"/>
        <v>#N/A</v>
      </c>
      <c r="CF27" t="e">
        <f t="shared" si="67"/>
        <v>#N/A</v>
      </c>
      <c r="CG27" t="e">
        <f t="shared" si="68"/>
        <v>#N/A</v>
      </c>
      <c r="CI27" t="e">
        <f>AT13</f>
        <v>#N/A</v>
      </c>
      <c r="CJ27" t="e">
        <f>AU13</f>
        <v>#N/A</v>
      </c>
      <c r="CK27">
        <f>IF(ISNUMBER(CI27),IFERROR(MAX(0,AV13-CI27),0),0)</f>
        <v>0</v>
      </c>
      <c r="CL27">
        <f>IF(ISNUMBER(CI27),IFERROR(MAX(0,CI27-AV13),0),0)</f>
        <v>0</v>
      </c>
      <c r="CM27">
        <f>IF(ISNUMBER(CJ27),IFERROR(MAX(0,AW13-CJ27),0),0)</f>
        <v>0</v>
      </c>
      <c r="CN27">
        <f>IF(ISNUMBER(CJ27),IFERROR(MAX(0,CJ27-AW13),0),0)</f>
        <v>0</v>
      </c>
      <c r="CP27" t="e">
        <f>CB13</f>
        <v>#N/A</v>
      </c>
      <c r="CQ27" t="e">
        <f>CC13</f>
        <v>#N/A</v>
      </c>
      <c r="CR27">
        <f>IF(ISNUMBER(CP27),IFERROR(MAX(0,CD13-CP27),0),0)</f>
        <v>0</v>
      </c>
      <c r="CS27">
        <f>IF(ISNUMBER(CP27),IFERROR(MAX(0,CP27-CD13),0),0)</f>
        <v>0</v>
      </c>
      <c r="CT27">
        <f>IF(ISNUMBER(CQ27),IFERROR(MAX(0,CE13-CQ27),0),0)</f>
        <v>0</v>
      </c>
      <c r="CU27">
        <f>IF(ISNUMBER(CQ27),IFERROR(MAX(0,CQ27-CE13),0),0)</f>
        <v>0</v>
      </c>
    </row>
    <row r="28" spans="1:99" x14ac:dyDescent="0.3">
      <c r="A28">
        <v>22</v>
      </c>
      <c r="B28">
        <f>IF(A28&lt;=$B$2,IF(INDEX(Gantt!$A$7:$A$119,A28)&lt;&gt;"",1,0),0)</f>
        <v>0</v>
      </c>
      <c r="C28" t="e">
        <f>IF(B28=1,INDEX(Gantt!$C$7:$C$119,A28),NA())</f>
        <v>#N/A</v>
      </c>
      <c r="D28" t="e">
        <f>IF(B28=1,INDEX(Gantt!$D$7:$D$119,A28)+1,NA())</f>
        <v>#N/A</v>
      </c>
      <c r="E28">
        <f>IF(B28=1,INDEX(Gantt!$BN$7:$BN$119,A28),0)</f>
        <v>0</v>
      </c>
      <c r="F28">
        <f>IF(B28=1,N(INDEX(Gantt!$F$7:$F$119,A28)),0)</f>
        <v>0</v>
      </c>
      <c r="G28">
        <f t="shared" si="0"/>
        <v>0</v>
      </c>
      <c r="H28" t="e">
        <f t="shared" si="1"/>
        <v>#N/A</v>
      </c>
      <c r="I28" t="e">
        <f t="shared" si="2"/>
        <v>#N/A</v>
      </c>
      <c r="J28" t="e">
        <f t="shared" si="3"/>
        <v>#N/A</v>
      </c>
      <c r="K28" t="e">
        <f t="shared" si="4"/>
        <v>#N/A</v>
      </c>
      <c r="L28" t="e">
        <f t="shared" si="5"/>
        <v>#N/A</v>
      </c>
      <c r="M28" t="e">
        <f t="shared" si="6"/>
        <v>#N/A</v>
      </c>
      <c r="N28" t="e">
        <f t="shared" si="7"/>
        <v>#N/A</v>
      </c>
      <c r="O28" t="e">
        <f t="shared" si="8"/>
        <v>#N/A</v>
      </c>
      <c r="P28" t="e">
        <f t="shared" si="9"/>
        <v>#N/A</v>
      </c>
      <c r="Q28" t="str">
        <f>IF(B28=1,INDEX(Gantt!$A$7:$A$119,A28)&amp;"   "&amp;INDEX(Gantt!$B$7:$B$119,A28),"")</f>
        <v/>
      </c>
      <c r="R28" t="e">
        <f t="shared" si="10"/>
        <v>#N/A</v>
      </c>
      <c r="S28">
        <f t="shared" si="11"/>
        <v>0</v>
      </c>
      <c r="T28">
        <f t="shared" si="12"/>
        <v>0</v>
      </c>
      <c r="U28">
        <v>22</v>
      </c>
      <c r="V28">
        <f t="shared" si="13"/>
        <v>6</v>
      </c>
      <c r="W28">
        <f t="shared" si="14"/>
        <v>2</v>
      </c>
      <c r="X28">
        <f t="shared" si="15"/>
        <v>0</v>
      </c>
      <c r="Y28">
        <f>IF(X28&lt;&gt;1,9999,CHOOSE(W28,INDEX(Gantt!$BQ$7:$BQ$119,V28),INDEX(Gantt!$BR$7:$BR$119,V28),INDEX(Gantt!$BT$7:$BT$119,V28),INDEX(Gantt!$BU$7:$BU$119,V28)))</f>
        <v>9999</v>
      </c>
      <c r="Z28">
        <f t="shared" si="16"/>
        <v>0</v>
      </c>
      <c r="AA28" t="e">
        <f t="shared" si="17"/>
        <v>#N/A</v>
      </c>
      <c r="AB28" t="e">
        <f t="shared" si="18"/>
        <v>#N/A</v>
      </c>
      <c r="AC28" t="e">
        <f t="shared" si="19"/>
        <v>#N/A</v>
      </c>
      <c r="AD28" t="e">
        <f t="shared" si="20"/>
        <v>#N/A</v>
      </c>
      <c r="AE28" t="e">
        <f t="shared" si="21"/>
        <v>#N/A</v>
      </c>
      <c r="AF28" t="e">
        <f t="shared" si="22"/>
        <v>#N/A</v>
      </c>
      <c r="AG28" t="e">
        <f t="shared" si="23"/>
        <v>#N/A</v>
      </c>
      <c r="AH28" t="e">
        <f t="shared" si="24"/>
        <v>#N/A</v>
      </c>
      <c r="AI28" t="e">
        <f t="shared" si="25"/>
        <v>#N/A</v>
      </c>
      <c r="AJ28" t="e">
        <f t="shared" si="26"/>
        <v>#N/A</v>
      </c>
      <c r="AK28" t="e">
        <f t="shared" si="27"/>
        <v>#N/A</v>
      </c>
      <c r="AL28" t="e">
        <f t="shared" si="28"/>
        <v>#N/A</v>
      </c>
      <c r="AM28" t="e">
        <f t="shared" si="29"/>
        <v>#N/A</v>
      </c>
      <c r="AN28" t="e">
        <f t="shared" si="30"/>
        <v>#N/A</v>
      </c>
      <c r="AO28" t="e">
        <f t="shared" si="31"/>
        <v>#N/A</v>
      </c>
      <c r="AP28" t="e">
        <f t="shared" si="32"/>
        <v>#N/A</v>
      </c>
      <c r="AQ28" t="e">
        <f t="shared" si="33"/>
        <v>#N/A</v>
      </c>
      <c r="AR28" t="e">
        <f t="shared" si="34"/>
        <v>#N/A</v>
      </c>
      <c r="AS28" t="e">
        <f t="shared" si="35"/>
        <v>#N/A</v>
      </c>
      <c r="AT28" t="e">
        <f t="shared" si="36"/>
        <v>#N/A</v>
      </c>
      <c r="AU28" t="e">
        <f t="shared" si="37"/>
        <v>#N/A</v>
      </c>
      <c r="AV28" t="e">
        <f t="shared" si="38"/>
        <v>#N/A</v>
      </c>
      <c r="AW28" t="e">
        <f t="shared" si="39"/>
        <v>#N/A</v>
      </c>
      <c r="AX28" t="e">
        <f t="shared" si="40"/>
        <v>#N/A</v>
      </c>
      <c r="AY28" t="e">
        <f t="shared" si="41"/>
        <v>#N/A</v>
      </c>
      <c r="BA28">
        <v>294</v>
      </c>
      <c r="BB28">
        <v>-0.6</v>
      </c>
      <c r="BC28" s="42">
        <f>$B$1+294</f>
        <v>46321</v>
      </c>
      <c r="BE28" t="e">
        <f>IF(Z28=1,IF(INDEX($C$7:$C$126,V28)&gt;=Gantt!$BF$6,NA(),MATCH(INDEX($C$7:$C$126,V28),Gantt!$J$6:$BE$6,1)),NA())</f>
        <v>#N/A</v>
      </c>
      <c r="BF28" t="e">
        <f>IF(Z28=1,IF((INDEX($D$7:$D$126,AA28)-1)&gt;=Gantt!$BF$6,NA(),IF((INDEX($D$7:$D$126,AA28)-1)&lt;Gantt!$J$6,0,MATCH((INDEX($D$7:$D$126,AA28)-1),Gantt!$J$6:$BE$6,1))),NA())</f>
        <v>#N/A</v>
      </c>
      <c r="BG28" t="e">
        <f t="shared" si="42"/>
        <v>#N/A</v>
      </c>
      <c r="BH28" t="e">
        <f t="shared" si="43"/>
        <v>#N/A</v>
      </c>
      <c r="BI28" t="e">
        <f t="shared" si="44"/>
        <v>#N/A</v>
      </c>
      <c r="BJ28" t="e">
        <f t="shared" si="45"/>
        <v>#N/A</v>
      </c>
      <c r="BK28" t="e">
        <f t="shared" si="46"/>
        <v>#N/A</v>
      </c>
      <c r="BL28" t="e">
        <f t="shared" si="47"/>
        <v>#N/A</v>
      </c>
      <c r="BM28" t="e">
        <f t="shared" si="48"/>
        <v>#N/A</v>
      </c>
      <c r="BN28" t="e">
        <f t="shared" si="49"/>
        <v>#N/A</v>
      </c>
      <c r="BO28" t="e">
        <f t="shared" si="50"/>
        <v>#N/A</v>
      </c>
      <c r="BP28" t="e">
        <f t="shared" si="51"/>
        <v>#N/A</v>
      </c>
      <c r="BQ28" t="e">
        <f t="shared" si="52"/>
        <v>#N/A</v>
      </c>
      <c r="BR28" t="e">
        <f t="shared" si="53"/>
        <v>#N/A</v>
      </c>
      <c r="BS28" t="e">
        <f t="shared" si="54"/>
        <v>#N/A</v>
      </c>
      <c r="BT28" t="e">
        <f t="shared" si="55"/>
        <v>#N/A</v>
      </c>
      <c r="BU28" t="e">
        <f t="shared" si="56"/>
        <v>#N/A</v>
      </c>
      <c r="BV28" t="e">
        <f t="shared" si="57"/>
        <v>#N/A</v>
      </c>
      <c r="BW28" t="e">
        <f t="shared" si="58"/>
        <v>#N/A</v>
      </c>
      <c r="BX28" t="e">
        <f t="shared" si="59"/>
        <v>#N/A</v>
      </c>
      <c r="BY28" t="e">
        <f t="shared" si="60"/>
        <v>#N/A</v>
      </c>
      <c r="BZ28" t="e">
        <f t="shared" si="61"/>
        <v>#N/A</v>
      </c>
      <c r="CA28" t="e">
        <f t="shared" si="62"/>
        <v>#N/A</v>
      </c>
      <c r="CB28" t="e">
        <f t="shared" si="63"/>
        <v>#N/A</v>
      </c>
      <c r="CC28" t="e">
        <f t="shared" si="64"/>
        <v>#N/A</v>
      </c>
      <c r="CD28" t="e">
        <f t="shared" si="65"/>
        <v>#N/A</v>
      </c>
      <c r="CE28" t="e">
        <f t="shared" si="66"/>
        <v>#N/A</v>
      </c>
      <c r="CF28" t="e">
        <f t="shared" si="67"/>
        <v>#N/A</v>
      </c>
      <c r="CG28" t="e">
        <f t="shared" si="68"/>
        <v>#N/A</v>
      </c>
      <c r="CI28" t="e">
        <f>AL14</f>
        <v>#N/A</v>
      </c>
      <c r="CJ28" t="e">
        <f>AM14</f>
        <v>#N/A</v>
      </c>
      <c r="CK28">
        <f>IF(ISNUMBER(CI28),IFERROR(MAX(0,AN14-CI28),0),0)</f>
        <v>0</v>
      </c>
      <c r="CL28">
        <f>IF(ISNUMBER(CI28),IFERROR(MAX(0,CI28-AN14),0),0)</f>
        <v>0</v>
      </c>
      <c r="CM28">
        <f>IF(ISNUMBER(CJ28),IFERROR(MAX(0,AO14-CJ28),0),0)</f>
        <v>0</v>
      </c>
      <c r="CN28">
        <f>IF(ISNUMBER(CJ28),IFERROR(MAX(0,CJ28-AO14),0),0)</f>
        <v>0</v>
      </c>
      <c r="CP28" t="e">
        <f>BT14</f>
        <v>#N/A</v>
      </c>
      <c r="CQ28" t="e">
        <f>BU14</f>
        <v>#N/A</v>
      </c>
      <c r="CR28">
        <f>IF(ISNUMBER(CP28),IFERROR(MAX(0,BV14-CP28),0),0)</f>
        <v>0</v>
      </c>
      <c r="CS28">
        <f>IF(ISNUMBER(CP28),IFERROR(MAX(0,CP28-BV14),0),0)</f>
        <v>0</v>
      </c>
      <c r="CT28">
        <f>IF(ISNUMBER(CQ28),IFERROR(MAX(0,BW14-CQ28),0),0)</f>
        <v>0</v>
      </c>
      <c r="CU28">
        <f>IF(ISNUMBER(CQ28),IFERROR(MAX(0,CQ28-BW14),0),0)</f>
        <v>0</v>
      </c>
    </row>
    <row r="29" spans="1:99" x14ac:dyDescent="0.3">
      <c r="A29">
        <v>23</v>
      </c>
      <c r="B29">
        <f>IF(A29&lt;=$B$2,IF(INDEX(Gantt!$A$7:$A$119,A29)&lt;&gt;"",1,0),0)</f>
        <v>0</v>
      </c>
      <c r="C29" t="e">
        <f>IF(B29=1,INDEX(Gantt!$C$7:$C$119,A29),NA())</f>
        <v>#N/A</v>
      </c>
      <c r="D29" t="e">
        <f>IF(B29=1,INDEX(Gantt!$D$7:$D$119,A29)+1,NA())</f>
        <v>#N/A</v>
      </c>
      <c r="E29">
        <f>IF(B29=1,INDEX(Gantt!$BN$7:$BN$119,A29),0)</f>
        <v>0</v>
      </c>
      <c r="F29">
        <f>IF(B29=1,N(INDEX(Gantt!$F$7:$F$119,A29)),0)</f>
        <v>0</v>
      </c>
      <c r="G29">
        <f t="shared" si="0"/>
        <v>0</v>
      </c>
      <c r="H29" t="e">
        <f t="shared" si="1"/>
        <v>#N/A</v>
      </c>
      <c r="I29" t="e">
        <f t="shared" si="2"/>
        <v>#N/A</v>
      </c>
      <c r="J29" t="e">
        <f t="shared" si="3"/>
        <v>#N/A</v>
      </c>
      <c r="K29" t="e">
        <f t="shared" si="4"/>
        <v>#N/A</v>
      </c>
      <c r="L29" t="e">
        <f t="shared" si="5"/>
        <v>#N/A</v>
      </c>
      <c r="M29" t="e">
        <f t="shared" si="6"/>
        <v>#N/A</v>
      </c>
      <c r="N29" t="e">
        <f t="shared" si="7"/>
        <v>#N/A</v>
      </c>
      <c r="O29" t="e">
        <f t="shared" si="8"/>
        <v>#N/A</v>
      </c>
      <c r="P29" t="e">
        <f t="shared" si="9"/>
        <v>#N/A</v>
      </c>
      <c r="Q29" t="str">
        <f>IF(B29=1,INDEX(Gantt!$A$7:$A$119,A29)&amp;"   "&amp;INDEX(Gantt!$B$7:$B$119,A29),"")</f>
        <v/>
      </c>
      <c r="R29" t="e">
        <f t="shared" si="10"/>
        <v>#N/A</v>
      </c>
      <c r="S29">
        <f t="shared" si="11"/>
        <v>0</v>
      </c>
      <c r="T29">
        <f t="shared" si="12"/>
        <v>0</v>
      </c>
      <c r="U29">
        <v>23</v>
      </c>
      <c r="V29">
        <f t="shared" si="13"/>
        <v>6</v>
      </c>
      <c r="W29">
        <f t="shared" si="14"/>
        <v>3</v>
      </c>
      <c r="X29">
        <f t="shared" si="15"/>
        <v>0</v>
      </c>
      <c r="Y29">
        <f>IF(X29&lt;&gt;1,9999,CHOOSE(W29,INDEX(Gantt!$BQ$7:$BQ$119,V29),INDEX(Gantt!$BR$7:$BR$119,V29),INDEX(Gantt!$BT$7:$BT$119,V29),INDEX(Gantt!$BU$7:$BU$119,V29)))</f>
        <v>9999</v>
      </c>
      <c r="Z29">
        <f t="shared" si="16"/>
        <v>0</v>
      </c>
      <c r="AA29" t="e">
        <f t="shared" si="17"/>
        <v>#N/A</v>
      </c>
      <c r="AB29" t="e">
        <f t="shared" si="18"/>
        <v>#N/A</v>
      </c>
      <c r="AC29" t="e">
        <f t="shared" si="19"/>
        <v>#N/A</v>
      </c>
      <c r="AD29" t="e">
        <f t="shared" si="20"/>
        <v>#N/A</v>
      </c>
      <c r="AE29" t="e">
        <f t="shared" si="21"/>
        <v>#N/A</v>
      </c>
      <c r="AF29" t="e">
        <f t="shared" si="22"/>
        <v>#N/A</v>
      </c>
      <c r="AG29" t="e">
        <f t="shared" si="23"/>
        <v>#N/A</v>
      </c>
      <c r="AH29" t="e">
        <f t="shared" si="24"/>
        <v>#N/A</v>
      </c>
      <c r="AI29" t="e">
        <f t="shared" si="25"/>
        <v>#N/A</v>
      </c>
      <c r="AJ29" t="e">
        <f t="shared" si="26"/>
        <v>#N/A</v>
      </c>
      <c r="AK29" t="e">
        <f t="shared" si="27"/>
        <v>#N/A</v>
      </c>
      <c r="AL29" t="e">
        <f t="shared" si="28"/>
        <v>#N/A</v>
      </c>
      <c r="AM29" t="e">
        <f t="shared" si="29"/>
        <v>#N/A</v>
      </c>
      <c r="AN29" t="e">
        <f t="shared" si="30"/>
        <v>#N/A</v>
      </c>
      <c r="AO29" t="e">
        <f t="shared" si="31"/>
        <v>#N/A</v>
      </c>
      <c r="AP29" t="e">
        <f t="shared" si="32"/>
        <v>#N/A</v>
      </c>
      <c r="AQ29" t="e">
        <f t="shared" si="33"/>
        <v>#N/A</v>
      </c>
      <c r="AR29" t="e">
        <f t="shared" si="34"/>
        <v>#N/A</v>
      </c>
      <c r="AS29" t="e">
        <f t="shared" si="35"/>
        <v>#N/A</v>
      </c>
      <c r="AT29" t="e">
        <f t="shared" si="36"/>
        <v>#N/A</v>
      </c>
      <c r="AU29" t="e">
        <f t="shared" si="37"/>
        <v>#N/A</v>
      </c>
      <c r="AV29" t="e">
        <f t="shared" si="38"/>
        <v>#N/A</v>
      </c>
      <c r="AW29" t="e">
        <f t="shared" si="39"/>
        <v>#N/A</v>
      </c>
      <c r="AX29" t="e">
        <f t="shared" si="40"/>
        <v>#N/A</v>
      </c>
      <c r="AY29" t="e">
        <f t="shared" si="41"/>
        <v>#N/A</v>
      </c>
      <c r="BA29">
        <v>308</v>
      </c>
      <c r="BB29">
        <v>-0.6</v>
      </c>
      <c r="BC29" s="42">
        <f>$B$1+308</f>
        <v>46335</v>
      </c>
      <c r="BE29" t="e">
        <f>IF(Z29=1,IF(INDEX($C$7:$C$126,V29)&gt;=Gantt!$BF$6,NA(),MATCH(INDEX($C$7:$C$126,V29),Gantt!$J$6:$BE$6,1)),NA())</f>
        <v>#N/A</v>
      </c>
      <c r="BF29" t="e">
        <f>IF(Z29=1,IF((INDEX($D$7:$D$126,AA29)-1)&gt;=Gantt!$BF$6,NA(),IF((INDEX($D$7:$D$126,AA29)-1)&lt;Gantt!$J$6,0,MATCH((INDEX($D$7:$D$126,AA29)-1),Gantt!$J$6:$BE$6,1))),NA())</f>
        <v>#N/A</v>
      </c>
      <c r="BG29" t="e">
        <f t="shared" si="42"/>
        <v>#N/A</v>
      </c>
      <c r="BH29" t="e">
        <f t="shared" si="43"/>
        <v>#N/A</v>
      </c>
      <c r="BI29" t="e">
        <f t="shared" si="44"/>
        <v>#N/A</v>
      </c>
      <c r="BJ29" t="e">
        <f t="shared" si="45"/>
        <v>#N/A</v>
      </c>
      <c r="BK29" t="e">
        <f t="shared" si="46"/>
        <v>#N/A</v>
      </c>
      <c r="BL29" t="e">
        <f t="shared" si="47"/>
        <v>#N/A</v>
      </c>
      <c r="BM29" t="e">
        <f t="shared" si="48"/>
        <v>#N/A</v>
      </c>
      <c r="BN29" t="e">
        <f t="shared" si="49"/>
        <v>#N/A</v>
      </c>
      <c r="BO29" t="e">
        <f t="shared" si="50"/>
        <v>#N/A</v>
      </c>
      <c r="BP29" t="e">
        <f t="shared" si="51"/>
        <v>#N/A</v>
      </c>
      <c r="BQ29" t="e">
        <f t="shared" si="52"/>
        <v>#N/A</v>
      </c>
      <c r="BR29" t="e">
        <f t="shared" si="53"/>
        <v>#N/A</v>
      </c>
      <c r="BS29" t="e">
        <f t="shared" si="54"/>
        <v>#N/A</v>
      </c>
      <c r="BT29" t="e">
        <f t="shared" si="55"/>
        <v>#N/A</v>
      </c>
      <c r="BU29" t="e">
        <f t="shared" si="56"/>
        <v>#N/A</v>
      </c>
      <c r="BV29" t="e">
        <f t="shared" si="57"/>
        <v>#N/A</v>
      </c>
      <c r="BW29" t="e">
        <f t="shared" si="58"/>
        <v>#N/A</v>
      </c>
      <c r="BX29" t="e">
        <f t="shared" si="59"/>
        <v>#N/A</v>
      </c>
      <c r="BY29" t="e">
        <f t="shared" si="60"/>
        <v>#N/A</v>
      </c>
      <c r="BZ29" t="e">
        <f t="shared" si="61"/>
        <v>#N/A</v>
      </c>
      <c r="CA29" t="e">
        <f t="shared" si="62"/>
        <v>#N/A</v>
      </c>
      <c r="CB29" t="e">
        <f t="shared" si="63"/>
        <v>#N/A</v>
      </c>
      <c r="CC29" t="e">
        <f t="shared" si="64"/>
        <v>#N/A</v>
      </c>
      <c r="CD29" t="e">
        <f t="shared" si="65"/>
        <v>#N/A</v>
      </c>
      <c r="CE29" t="e">
        <f t="shared" si="66"/>
        <v>#N/A</v>
      </c>
      <c r="CF29" t="e">
        <f t="shared" si="67"/>
        <v>#N/A</v>
      </c>
      <c r="CG29" t="e">
        <f t="shared" si="68"/>
        <v>#N/A</v>
      </c>
      <c r="CI29" t="e">
        <f>AP14</f>
        <v>#N/A</v>
      </c>
      <c r="CJ29" t="e">
        <f>AQ14</f>
        <v>#N/A</v>
      </c>
      <c r="CK29">
        <f>IF(ISNUMBER(CI29),IFERROR(MAX(0,AR14-CI29),0),0)</f>
        <v>0</v>
      </c>
      <c r="CL29">
        <f>IF(ISNUMBER(CI29),IFERROR(MAX(0,CI29-AR14),0),0)</f>
        <v>0</v>
      </c>
      <c r="CM29">
        <f>IF(ISNUMBER(CJ29),IFERROR(MAX(0,AS14-CJ29),0),0)</f>
        <v>0</v>
      </c>
      <c r="CN29">
        <f>IF(ISNUMBER(CJ29),IFERROR(MAX(0,CJ29-AS14),0),0)</f>
        <v>0</v>
      </c>
      <c r="CP29" t="e">
        <f>BX14</f>
        <v>#N/A</v>
      </c>
      <c r="CQ29" t="e">
        <f>BY14</f>
        <v>#N/A</v>
      </c>
      <c r="CR29">
        <f>IF(ISNUMBER(CP29),IFERROR(MAX(0,BZ14-CP29),0),0)</f>
        <v>0</v>
      </c>
      <c r="CS29">
        <f>IF(ISNUMBER(CP29),IFERROR(MAX(0,CP29-BZ14),0),0)</f>
        <v>0</v>
      </c>
      <c r="CT29">
        <f>IF(ISNUMBER(CQ29),IFERROR(MAX(0,CA14-CQ29),0),0)</f>
        <v>0</v>
      </c>
      <c r="CU29">
        <f>IF(ISNUMBER(CQ29),IFERROR(MAX(0,CQ29-CA14),0),0)</f>
        <v>0</v>
      </c>
    </row>
    <row r="30" spans="1:99" x14ac:dyDescent="0.3">
      <c r="A30">
        <v>24</v>
      </c>
      <c r="B30">
        <f>IF(A30&lt;=$B$2,IF(INDEX(Gantt!$A$7:$A$119,A30)&lt;&gt;"",1,0),0)</f>
        <v>0</v>
      </c>
      <c r="C30" t="e">
        <f>IF(B30=1,INDEX(Gantt!$C$7:$C$119,A30),NA())</f>
        <v>#N/A</v>
      </c>
      <c r="D30" t="e">
        <f>IF(B30=1,INDEX(Gantt!$D$7:$D$119,A30)+1,NA())</f>
        <v>#N/A</v>
      </c>
      <c r="E30">
        <f>IF(B30=1,INDEX(Gantt!$BN$7:$BN$119,A30),0)</f>
        <v>0</v>
      </c>
      <c r="F30">
        <f>IF(B30=1,N(INDEX(Gantt!$F$7:$F$119,A30)),0)</f>
        <v>0</v>
      </c>
      <c r="G30">
        <f t="shared" si="0"/>
        <v>0</v>
      </c>
      <c r="H30" t="e">
        <f t="shared" si="1"/>
        <v>#N/A</v>
      </c>
      <c r="I30" t="e">
        <f t="shared" si="2"/>
        <v>#N/A</v>
      </c>
      <c r="J30" t="e">
        <f t="shared" si="3"/>
        <v>#N/A</v>
      </c>
      <c r="K30" t="e">
        <f t="shared" si="4"/>
        <v>#N/A</v>
      </c>
      <c r="L30" t="e">
        <f t="shared" si="5"/>
        <v>#N/A</v>
      </c>
      <c r="M30" t="e">
        <f t="shared" si="6"/>
        <v>#N/A</v>
      </c>
      <c r="N30" t="e">
        <f t="shared" si="7"/>
        <v>#N/A</v>
      </c>
      <c r="O30" t="e">
        <f t="shared" si="8"/>
        <v>#N/A</v>
      </c>
      <c r="P30" t="e">
        <f t="shared" si="9"/>
        <v>#N/A</v>
      </c>
      <c r="Q30" t="str">
        <f>IF(B30=1,INDEX(Gantt!$A$7:$A$119,A30)&amp;"   "&amp;INDEX(Gantt!$B$7:$B$119,A30),"")</f>
        <v/>
      </c>
      <c r="R30" t="e">
        <f t="shared" si="10"/>
        <v>#N/A</v>
      </c>
      <c r="S30">
        <f t="shared" si="11"/>
        <v>0</v>
      </c>
      <c r="T30">
        <f t="shared" si="12"/>
        <v>0</v>
      </c>
      <c r="U30">
        <v>24</v>
      </c>
      <c r="V30">
        <f t="shared" si="13"/>
        <v>6</v>
      </c>
      <c r="W30">
        <f t="shared" si="14"/>
        <v>4</v>
      </c>
      <c r="X30">
        <f t="shared" si="15"/>
        <v>0</v>
      </c>
      <c r="Y30">
        <f>IF(X30&lt;&gt;1,9999,CHOOSE(W30,INDEX(Gantt!$BQ$7:$BQ$119,V30),INDEX(Gantt!$BR$7:$BR$119,V30),INDEX(Gantt!$BT$7:$BT$119,V30),INDEX(Gantt!$BU$7:$BU$119,V30)))</f>
        <v>9999</v>
      </c>
      <c r="Z30">
        <f t="shared" si="16"/>
        <v>0</v>
      </c>
      <c r="AA30" t="e">
        <f t="shared" si="17"/>
        <v>#N/A</v>
      </c>
      <c r="AB30" t="e">
        <f t="shared" si="18"/>
        <v>#N/A</v>
      </c>
      <c r="AC30" t="e">
        <f t="shared" si="19"/>
        <v>#N/A</v>
      </c>
      <c r="AD30" t="e">
        <f t="shared" si="20"/>
        <v>#N/A</v>
      </c>
      <c r="AE30" t="e">
        <f t="shared" si="21"/>
        <v>#N/A</v>
      </c>
      <c r="AF30" t="e">
        <f t="shared" si="22"/>
        <v>#N/A</v>
      </c>
      <c r="AG30" t="e">
        <f t="shared" si="23"/>
        <v>#N/A</v>
      </c>
      <c r="AH30" t="e">
        <f t="shared" si="24"/>
        <v>#N/A</v>
      </c>
      <c r="AI30" t="e">
        <f t="shared" si="25"/>
        <v>#N/A</v>
      </c>
      <c r="AJ30" t="e">
        <f t="shared" si="26"/>
        <v>#N/A</v>
      </c>
      <c r="AK30" t="e">
        <f t="shared" si="27"/>
        <v>#N/A</v>
      </c>
      <c r="AL30" t="e">
        <f t="shared" si="28"/>
        <v>#N/A</v>
      </c>
      <c r="AM30" t="e">
        <f t="shared" si="29"/>
        <v>#N/A</v>
      </c>
      <c r="AN30" t="e">
        <f t="shared" si="30"/>
        <v>#N/A</v>
      </c>
      <c r="AO30" t="e">
        <f t="shared" si="31"/>
        <v>#N/A</v>
      </c>
      <c r="AP30" t="e">
        <f t="shared" si="32"/>
        <v>#N/A</v>
      </c>
      <c r="AQ30" t="e">
        <f t="shared" si="33"/>
        <v>#N/A</v>
      </c>
      <c r="AR30" t="e">
        <f t="shared" si="34"/>
        <v>#N/A</v>
      </c>
      <c r="AS30" t="e">
        <f t="shared" si="35"/>
        <v>#N/A</v>
      </c>
      <c r="AT30" t="e">
        <f t="shared" si="36"/>
        <v>#N/A</v>
      </c>
      <c r="AU30" t="e">
        <f t="shared" si="37"/>
        <v>#N/A</v>
      </c>
      <c r="AV30" t="e">
        <f t="shared" si="38"/>
        <v>#N/A</v>
      </c>
      <c r="AW30" t="e">
        <f t="shared" si="39"/>
        <v>#N/A</v>
      </c>
      <c r="AX30" t="e">
        <f t="shared" si="40"/>
        <v>#N/A</v>
      </c>
      <c r="AY30" t="e">
        <f t="shared" si="41"/>
        <v>#N/A</v>
      </c>
      <c r="BA30">
        <v>322</v>
      </c>
      <c r="BB30">
        <v>-0.6</v>
      </c>
      <c r="BC30" s="42">
        <f>$B$1+322</f>
        <v>46349</v>
      </c>
      <c r="BE30" t="e">
        <f>IF(Z30=1,IF(INDEX($C$7:$C$126,V30)&gt;=Gantt!$BF$6,NA(),MATCH(INDEX($C$7:$C$126,V30),Gantt!$J$6:$BE$6,1)),NA())</f>
        <v>#N/A</v>
      </c>
      <c r="BF30" t="e">
        <f>IF(Z30=1,IF((INDEX($D$7:$D$126,AA30)-1)&gt;=Gantt!$BF$6,NA(),IF((INDEX($D$7:$D$126,AA30)-1)&lt;Gantt!$J$6,0,MATCH((INDEX($D$7:$D$126,AA30)-1),Gantt!$J$6:$BE$6,1))),NA())</f>
        <v>#N/A</v>
      </c>
      <c r="BG30" t="e">
        <f t="shared" si="42"/>
        <v>#N/A</v>
      </c>
      <c r="BH30" t="e">
        <f t="shared" si="43"/>
        <v>#N/A</v>
      </c>
      <c r="BI30" t="e">
        <f t="shared" si="44"/>
        <v>#N/A</v>
      </c>
      <c r="BJ30" t="e">
        <f t="shared" si="45"/>
        <v>#N/A</v>
      </c>
      <c r="BK30" t="e">
        <f t="shared" si="46"/>
        <v>#N/A</v>
      </c>
      <c r="BL30" t="e">
        <f t="shared" si="47"/>
        <v>#N/A</v>
      </c>
      <c r="BM30" t="e">
        <f t="shared" si="48"/>
        <v>#N/A</v>
      </c>
      <c r="BN30" t="e">
        <f t="shared" si="49"/>
        <v>#N/A</v>
      </c>
      <c r="BO30" t="e">
        <f t="shared" si="50"/>
        <v>#N/A</v>
      </c>
      <c r="BP30" t="e">
        <f t="shared" si="51"/>
        <v>#N/A</v>
      </c>
      <c r="BQ30" t="e">
        <f t="shared" si="52"/>
        <v>#N/A</v>
      </c>
      <c r="BR30" t="e">
        <f t="shared" si="53"/>
        <v>#N/A</v>
      </c>
      <c r="BS30" t="e">
        <f t="shared" si="54"/>
        <v>#N/A</v>
      </c>
      <c r="BT30" t="e">
        <f t="shared" si="55"/>
        <v>#N/A</v>
      </c>
      <c r="BU30" t="e">
        <f t="shared" si="56"/>
        <v>#N/A</v>
      </c>
      <c r="BV30" t="e">
        <f t="shared" si="57"/>
        <v>#N/A</v>
      </c>
      <c r="BW30" t="e">
        <f t="shared" si="58"/>
        <v>#N/A</v>
      </c>
      <c r="BX30" t="e">
        <f t="shared" si="59"/>
        <v>#N/A</v>
      </c>
      <c r="BY30" t="e">
        <f t="shared" si="60"/>
        <v>#N/A</v>
      </c>
      <c r="BZ30" t="e">
        <f t="shared" si="61"/>
        <v>#N/A</v>
      </c>
      <c r="CA30" t="e">
        <f t="shared" si="62"/>
        <v>#N/A</v>
      </c>
      <c r="CB30" t="e">
        <f t="shared" si="63"/>
        <v>#N/A</v>
      </c>
      <c r="CC30" t="e">
        <f t="shared" si="64"/>
        <v>#N/A</v>
      </c>
      <c r="CD30" t="e">
        <f t="shared" si="65"/>
        <v>#N/A</v>
      </c>
      <c r="CE30" t="e">
        <f t="shared" si="66"/>
        <v>#N/A</v>
      </c>
      <c r="CF30" t="e">
        <f t="shared" si="67"/>
        <v>#N/A</v>
      </c>
      <c r="CG30" t="e">
        <f t="shared" si="68"/>
        <v>#N/A</v>
      </c>
      <c r="CI30" t="e">
        <f>AT14</f>
        <v>#N/A</v>
      </c>
      <c r="CJ30" t="e">
        <f>AU14</f>
        <v>#N/A</v>
      </c>
      <c r="CK30">
        <f>IF(ISNUMBER(CI30),IFERROR(MAX(0,AV14-CI30),0),0)</f>
        <v>0</v>
      </c>
      <c r="CL30">
        <f>IF(ISNUMBER(CI30),IFERROR(MAX(0,CI30-AV14),0),0)</f>
        <v>0</v>
      </c>
      <c r="CM30">
        <f>IF(ISNUMBER(CJ30),IFERROR(MAX(0,AW14-CJ30),0),0)</f>
        <v>0</v>
      </c>
      <c r="CN30">
        <f>IF(ISNUMBER(CJ30),IFERROR(MAX(0,CJ30-AW14),0),0)</f>
        <v>0</v>
      </c>
      <c r="CP30" t="e">
        <f>CB14</f>
        <v>#N/A</v>
      </c>
      <c r="CQ30" t="e">
        <f>CC14</f>
        <v>#N/A</v>
      </c>
      <c r="CR30">
        <f>IF(ISNUMBER(CP30),IFERROR(MAX(0,CD14-CP30),0),0)</f>
        <v>0</v>
      </c>
      <c r="CS30">
        <f>IF(ISNUMBER(CP30),IFERROR(MAX(0,CP30-CD14),0),0)</f>
        <v>0</v>
      </c>
      <c r="CT30">
        <f>IF(ISNUMBER(CQ30),IFERROR(MAX(0,CE14-CQ30),0),0)</f>
        <v>0</v>
      </c>
      <c r="CU30">
        <f>IF(ISNUMBER(CQ30),IFERROR(MAX(0,CQ30-CE14),0),0)</f>
        <v>0</v>
      </c>
    </row>
    <row r="31" spans="1:99" x14ac:dyDescent="0.3">
      <c r="A31">
        <v>25</v>
      </c>
      <c r="B31">
        <f>IF(A31&lt;=$B$2,IF(INDEX(Gantt!$A$7:$A$119,A31)&lt;&gt;"",1,0),0)</f>
        <v>0</v>
      </c>
      <c r="C31" t="e">
        <f>IF(B31=1,INDEX(Gantt!$C$7:$C$119,A31),NA())</f>
        <v>#N/A</v>
      </c>
      <c r="D31" t="e">
        <f>IF(B31=1,INDEX(Gantt!$D$7:$D$119,A31)+1,NA())</f>
        <v>#N/A</v>
      </c>
      <c r="E31">
        <f>IF(B31=1,INDEX(Gantt!$BN$7:$BN$119,A31),0)</f>
        <v>0</v>
      </c>
      <c r="F31">
        <f>IF(B31=1,N(INDEX(Gantt!$F$7:$F$119,A31)),0)</f>
        <v>0</v>
      </c>
      <c r="G31">
        <f t="shared" si="0"/>
        <v>0</v>
      </c>
      <c r="H31" t="e">
        <f t="shared" si="1"/>
        <v>#N/A</v>
      </c>
      <c r="I31" t="e">
        <f t="shared" si="2"/>
        <v>#N/A</v>
      </c>
      <c r="J31" t="e">
        <f t="shared" si="3"/>
        <v>#N/A</v>
      </c>
      <c r="K31" t="e">
        <f t="shared" si="4"/>
        <v>#N/A</v>
      </c>
      <c r="L31" t="e">
        <f t="shared" si="5"/>
        <v>#N/A</v>
      </c>
      <c r="M31" t="e">
        <f t="shared" si="6"/>
        <v>#N/A</v>
      </c>
      <c r="N31" t="e">
        <f t="shared" si="7"/>
        <v>#N/A</v>
      </c>
      <c r="O31" t="e">
        <f t="shared" si="8"/>
        <v>#N/A</v>
      </c>
      <c r="P31" t="e">
        <f t="shared" si="9"/>
        <v>#N/A</v>
      </c>
      <c r="Q31" t="str">
        <f>IF(B31=1,INDEX(Gantt!$A$7:$A$119,A31)&amp;"   "&amp;INDEX(Gantt!$B$7:$B$119,A31),"")</f>
        <v/>
      </c>
      <c r="R31" t="e">
        <f t="shared" si="10"/>
        <v>#N/A</v>
      </c>
      <c r="S31">
        <f t="shared" si="11"/>
        <v>0</v>
      </c>
      <c r="T31">
        <f t="shared" si="12"/>
        <v>0</v>
      </c>
      <c r="U31">
        <v>25</v>
      </c>
      <c r="V31">
        <f t="shared" si="13"/>
        <v>7</v>
      </c>
      <c r="W31">
        <f t="shared" si="14"/>
        <v>1</v>
      </c>
      <c r="X31">
        <f t="shared" si="15"/>
        <v>0</v>
      </c>
      <c r="Y31">
        <f>IF(X31&lt;&gt;1,9999,CHOOSE(W31,INDEX(Gantt!$BQ$7:$BQ$119,V31),INDEX(Gantt!$BR$7:$BR$119,V31),INDEX(Gantt!$BT$7:$BT$119,V31),INDEX(Gantt!$BU$7:$BU$119,V31)))</f>
        <v>9999</v>
      </c>
      <c r="Z31">
        <f t="shared" si="16"/>
        <v>0</v>
      </c>
      <c r="AA31" t="e">
        <f t="shared" si="17"/>
        <v>#N/A</v>
      </c>
      <c r="AB31" t="e">
        <f t="shared" si="18"/>
        <v>#N/A</v>
      </c>
      <c r="AC31" t="e">
        <f t="shared" si="19"/>
        <v>#N/A</v>
      </c>
      <c r="AD31" t="e">
        <f t="shared" si="20"/>
        <v>#N/A</v>
      </c>
      <c r="AE31" t="e">
        <f t="shared" si="21"/>
        <v>#N/A</v>
      </c>
      <c r="AF31" t="e">
        <f t="shared" si="22"/>
        <v>#N/A</v>
      </c>
      <c r="AG31" t="e">
        <f t="shared" si="23"/>
        <v>#N/A</v>
      </c>
      <c r="AH31" t="e">
        <f t="shared" si="24"/>
        <v>#N/A</v>
      </c>
      <c r="AI31" t="e">
        <f t="shared" si="25"/>
        <v>#N/A</v>
      </c>
      <c r="AJ31" t="e">
        <f t="shared" si="26"/>
        <v>#N/A</v>
      </c>
      <c r="AK31" t="e">
        <f t="shared" si="27"/>
        <v>#N/A</v>
      </c>
      <c r="AL31" t="e">
        <f t="shared" si="28"/>
        <v>#N/A</v>
      </c>
      <c r="AM31" t="e">
        <f t="shared" si="29"/>
        <v>#N/A</v>
      </c>
      <c r="AN31" t="e">
        <f t="shared" si="30"/>
        <v>#N/A</v>
      </c>
      <c r="AO31" t="e">
        <f t="shared" si="31"/>
        <v>#N/A</v>
      </c>
      <c r="AP31" t="e">
        <f t="shared" si="32"/>
        <v>#N/A</v>
      </c>
      <c r="AQ31" t="e">
        <f t="shared" si="33"/>
        <v>#N/A</v>
      </c>
      <c r="AR31" t="e">
        <f t="shared" si="34"/>
        <v>#N/A</v>
      </c>
      <c r="AS31" t="e">
        <f t="shared" si="35"/>
        <v>#N/A</v>
      </c>
      <c r="AT31" t="e">
        <f t="shared" si="36"/>
        <v>#N/A</v>
      </c>
      <c r="AU31" t="e">
        <f t="shared" si="37"/>
        <v>#N/A</v>
      </c>
      <c r="AV31" t="e">
        <f t="shared" si="38"/>
        <v>#N/A</v>
      </c>
      <c r="AW31" t="e">
        <f t="shared" si="39"/>
        <v>#N/A</v>
      </c>
      <c r="AX31" t="e">
        <f t="shared" si="40"/>
        <v>#N/A</v>
      </c>
      <c r="AY31" t="e">
        <f t="shared" si="41"/>
        <v>#N/A</v>
      </c>
      <c r="BA31">
        <v>336</v>
      </c>
      <c r="BB31">
        <v>-0.6</v>
      </c>
      <c r="BC31" s="42">
        <f>$B$1+336</f>
        <v>46363</v>
      </c>
      <c r="BE31" t="e">
        <f>IF(Z31=1,IF(INDEX($C$7:$C$126,V31)&gt;=Gantt!$BF$6,NA(),MATCH(INDEX($C$7:$C$126,V31),Gantt!$J$6:$BE$6,1)),NA())</f>
        <v>#N/A</v>
      </c>
      <c r="BF31" t="e">
        <f>IF(Z31=1,IF((INDEX($D$7:$D$126,AA31)-1)&gt;=Gantt!$BF$6,NA(),IF((INDEX($D$7:$D$126,AA31)-1)&lt;Gantt!$J$6,0,MATCH((INDEX($D$7:$D$126,AA31)-1),Gantt!$J$6:$BE$6,1))),NA())</f>
        <v>#N/A</v>
      </c>
      <c r="BG31" t="e">
        <f t="shared" si="42"/>
        <v>#N/A</v>
      </c>
      <c r="BH31" t="e">
        <f t="shared" si="43"/>
        <v>#N/A</v>
      </c>
      <c r="BI31" t="e">
        <f t="shared" si="44"/>
        <v>#N/A</v>
      </c>
      <c r="BJ31" t="e">
        <f t="shared" si="45"/>
        <v>#N/A</v>
      </c>
      <c r="BK31" t="e">
        <f t="shared" si="46"/>
        <v>#N/A</v>
      </c>
      <c r="BL31" t="e">
        <f t="shared" si="47"/>
        <v>#N/A</v>
      </c>
      <c r="BM31" t="e">
        <f t="shared" si="48"/>
        <v>#N/A</v>
      </c>
      <c r="BN31" t="e">
        <f t="shared" si="49"/>
        <v>#N/A</v>
      </c>
      <c r="BO31" t="e">
        <f t="shared" si="50"/>
        <v>#N/A</v>
      </c>
      <c r="BP31" t="e">
        <f t="shared" si="51"/>
        <v>#N/A</v>
      </c>
      <c r="BQ31" t="e">
        <f t="shared" si="52"/>
        <v>#N/A</v>
      </c>
      <c r="BR31" t="e">
        <f t="shared" si="53"/>
        <v>#N/A</v>
      </c>
      <c r="BS31" t="e">
        <f t="shared" si="54"/>
        <v>#N/A</v>
      </c>
      <c r="BT31" t="e">
        <f t="shared" si="55"/>
        <v>#N/A</v>
      </c>
      <c r="BU31" t="e">
        <f t="shared" si="56"/>
        <v>#N/A</v>
      </c>
      <c r="BV31" t="e">
        <f t="shared" si="57"/>
        <v>#N/A</v>
      </c>
      <c r="BW31" t="e">
        <f t="shared" si="58"/>
        <v>#N/A</v>
      </c>
      <c r="BX31" t="e">
        <f t="shared" si="59"/>
        <v>#N/A</v>
      </c>
      <c r="BY31" t="e">
        <f t="shared" si="60"/>
        <v>#N/A</v>
      </c>
      <c r="BZ31" t="e">
        <f t="shared" si="61"/>
        <v>#N/A</v>
      </c>
      <c r="CA31" t="e">
        <f t="shared" si="62"/>
        <v>#N/A</v>
      </c>
      <c r="CB31" t="e">
        <f t="shared" si="63"/>
        <v>#N/A</v>
      </c>
      <c r="CC31" t="e">
        <f t="shared" si="64"/>
        <v>#N/A</v>
      </c>
      <c r="CD31" t="e">
        <f t="shared" si="65"/>
        <v>#N/A</v>
      </c>
      <c r="CE31" t="e">
        <f t="shared" si="66"/>
        <v>#N/A</v>
      </c>
      <c r="CF31" t="e">
        <f t="shared" si="67"/>
        <v>#N/A</v>
      </c>
      <c r="CG31" t="e">
        <f t="shared" si="68"/>
        <v>#N/A</v>
      </c>
      <c r="CI31" t="e">
        <f>AL15</f>
        <v>#N/A</v>
      </c>
      <c r="CJ31" t="e">
        <f>AM15</f>
        <v>#N/A</v>
      </c>
      <c r="CK31">
        <f>IF(ISNUMBER(CI31),IFERROR(MAX(0,AN15-CI31),0),0)</f>
        <v>0</v>
      </c>
      <c r="CL31">
        <f>IF(ISNUMBER(CI31),IFERROR(MAX(0,CI31-AN15),0),0)</f>
        <v>0</v>
      </c>
      <c r="CM31">
        <f>IF(ISNUMBER(CJ31),IFERROR(MAX(0,AO15-CJ31),0),0)</f>
        <v>0</v>
      </c>
      <c r="CN31">
        <f>IF(ISNUMBER(CJ31),IFERROR(MAX(0,CJ31-AO15),0),0)</f>
        <v>0</v>
      </c>
      <c r="CP31" t="e">
        <f>BT15</f>
        <v>#N/A</v>
      </c>
      <c r="CQ31" t="e">
        <f>BU15</f>
        <v>#N/A</v>
      </c>
      <c r="CR31">
        <f>IF(ISNUMBER(CP31),IFERROR(MAX(0,BV15-CP31),0),0)</f>
        <v>0</v>
      </c>
      <c r="CS31">
        <f>IF(ISNUMBER(CP31),IFERROR(MAX(0,CP31-BV15),0),0)</f>
        <v>0</v>
      </c>
      <c r="CT31">
        <f>IF(ISNUMBER(CQ31),IFERROR(MAX(0,BW15-CQ31),0),0)</f>
        <v>0</v>
      </c>
      <c r="CU31">
        <f>IF(ISNUMBER(CQ31),IFERROR(MAX(0,CQ31-BW15),0),0)</f>
        <v>0</v>
      </c>
    </row>
    <row r="32" spans="1:99" x14ac:dyDescent="0.3">
      <c r="A32">
        <v>26</v>
      </c>
      <c r="B32">
        <f>IF(A32&lt;=$B$2,IF(INDEX(Gantt!$A$7:$A$119,A32)&lt;&gt;"",1,0),0)</f>
        <v>0</v>
      </c>
      <c r="C32" t="e">
        <f>IF(B32=1,INDEX(Gantt!$C$7:$C$119,A32),NA())</f>
        <v>#N/A</v>
      </c>
      <c r="D32" t="e">
        <f>IF(B32=1,INDEX(Gantt!$D$7:$D$119,A32)+1,NA())</f>
        <v>#N/A</v>
      </c>
      <c r="E32">
        <f>IF(B32=1,INDEX(Gantt!$BN$7:$BN$119,A32),0)</f>
        <v>0</v>
      </c>
      <c r="F32">
        <f>IF(B32=1,N(INDEX(Gantt!$F$7:$F$119,A32)),0)</f>
        <v>0</v>
      </c>
      <c r="G32">
        <f t="shared" si="0"/>
        <v>0</v>
      </c>
      <c r="H32" t="e">
        <f t="shared" si="1"/>
        <v>#N/A</v>
      </c>
      <c r="I32" t="e">
        <f t="shared" si="2"/>
        <v>#N/A</v>
      </c>
      <c r="J32" t="e">
        <f t="shared" si="3"/>
        <v>#N/A</v>
      </c>
      <c r="K32" t="e">
        <f t="shared" si="4"/>
        <v>#N/A</v>
      </c>
      <c r="L32" t="e">
        <f t="shared" si="5"/>
        <v>#N/A</v>
      </c>
      <c r="M32" t="e">
        <f t="shared" si="6"/>
        <v>#N/A</v>
      </c>
      <c r="N32" t="e">
        <f t="shared" si="7"/>
        <v>#N/A</v>
      </c>
      <c r="O32" t="e">
        <f t="shared" si="8"/>
        <v>#N/A</v>
      </c>
      <c r="P32" t="e">
        <f t="shared" si="9"/>
        <v>#N/A</v>
      </c>
      <c r="Q32" t="str">
        <f>IF(B32=1,INDEX(Gantt!$A$7:$A$119,A32)&amp;"   "&amp;INDEX(Gantt!$B$7:$B$119,A32),"")</f>
        <v/>
      </c>
      <c r="R32" t="e">
        <f t="shared" si="10"/>
        <v>#N/A</v>
      </c>
      <c r="S32">
        <f t="shared" si="11"/>
        <v>0</v>
      </c>
      <c r="T32">
        <f t="shared" si="12"/>
        <v>0</v>
      </c>
      <c r="U32">
        <v>26</v>
      </c>
      <c r="V32">
        <f t="shared" si="13"/>
        <v>7</v>
      </c>
      <c r="W32">
        <f t="shared" si="14"/>
        <v>2</v>
      </c>
      <c r="X32">
        <f t="shared" si="15"/>
        <v>0</v>
      </c>
      <c r="Y32">
        <f>IF(X32&lt;&gt;1,9999,CHOOSE(W32,INDEX(Gantt!$BQ$7:$BQ$119,V32),INDEX(Gantt!$BR$7:$BR$119,V32),INDEX(Gantt!$BT$7:$BT$119,V32),INDEX(Gantt!$BU$7:$BU$119,V32)))</f>
        <v>9999</v>
      </c>
      <c r="Z32">
        <f t="shared" si="16"/>
        <v>0</v>
      </c>
      <c r="AA32" t="e">
        <f t="shared" si="17"/>
        <v>#N/A</v>
      </c>
      <c r="AB32" t="e">
        <f t="shared" si="18"/>
        <v>#N/A</v>
      </c>
      <c r="AC32" t="e">
        <f t="shared" si="19"/>
        <v>#N/A</v>
      </c>
      <c r="AD32" t="e">
        <f t="shared" si="20"/>
        <v>#N/A</v>
      </c>
      <c r="AE32" t="e">
        <f t="shared" si="21"/>
        <v>#N/A</v>
      </c>
      <c r="AF32" t="e">
        <f t="shared" si="22"/>
        <v>#N/A</v>
      </c>
      <c r="AG32" t="e">
        <f t="shared" si="23"/>
        <v>#N/A</v>
      </c>
      <c r="AH32" t="e">
        <f t="shared" si="24"/>
        <v>#N/A</v>
      </c>
      <c r="AI32" t="e">
        <f t="shared" si="25"/>
        <v>#N/A</v>
      </c>
      <c r="AJ32" t="e">
        <f t="shared" si="26"/>
        <v>#N/A</v>
      </c>
      <c r="AK32" t="e">
        <f t="shared" si="27"/>
        <v>#N/A</v>
      </c>
      <c r="AL32" t="e">
        <f t="shared" si="28"/>
        <v>#N/A</v>
      </c>
      <c r="AM32" t="e">
        <f t="shared" si="29"/>
        <v>#N/A</v>
      </c>
      <c r="AN32" t="e">
        <f t="shared" si="30"/>
        <v>#N/A</v>
      </c>
      <c r="AO32" t="e">
        <f t="shared" si="31"/>
        <v>#N/A</v>
      </c>
      <c r="AP32" t="e">
        <f t="shared" si="32"/>
        <v>#N/A</v>
      </c>
      <c r="AQ32" t="e">
        <f t="shared" si="33"/>
        <v>#N/A</v>
      </c>
      <c r="AR32" t="e">
        <f t="shared" si="34"/>
        <v>#N/A</v>
      </c>
      <c r="AS32" t="e">
        <f t="shared" si="35"/>
        <v>#N/A</v>
      </c>
      <c r="AT32" t="e">
        <f t="shared" si="36"/>
        <v>#N/A</v>
      </c>
      <c r="AU32" t="e">
        <f t="shared" si="37"/>
        <v>#N/A</v>
      </c>
      <c r="AV32" t="e">
        <f t="shared" si="38"/>
        <v>#N/A</v>
      </c>
      <c r="AW32" t="e">
        <f t="shared" si="39"/>
        <v>#N/A</v>
      </c>
      <c r="AX32" t="e">
        <f t="shared" si="40"/>
        <v>#N/A</v>
      </c>
      <c r="AY32" t="e">
        <f t="shared" si="41"/>
        <v>#N/A</v>
      </c>
      <c r="BE32" t="e">
        <f>IF(Z32=1,IF(INDEX($C$7:$C$126,V32)&gt;=Gantt!$BF$6,NA(),MATCH(INDEX($C$7:$C$126,V32),Gantt!$J$6:$BE$6,1)),NA())</f>
        <v>#N/A</v>
      </c>
      <c r="BF32" t="e">
        <f>IF(Z32=1,IF((INDEX($D$7:$D$126,AA32)-1)&gt;=Gantt!$BF$6,NA(),IF((INDEX($D$7:$D$126,AA32)-1)&lt;Gantt!$J$6,0,MATCH((INDEX($D$7:$D$126,AA32)-1),Gantt!$J$6:$BE$6,1))),NA())</f>
        <v>#N/A</v>
      </c>
      <c r="BG32" t="e">
        <f t="shared" si="42"/>
        <v>#N/A</v>
      </c>
      <c r="BH32" t="e">
        <f t="shared" si="43"/>
        <v>#N/A</v>
      </c>
      <c r="BI32" t="e">
        <f t="shared" si="44"/>
        <v>#N/A</v>
      </c>
      <c r="BJ32" t="e">
        <f t="shared" si="45"/>
        <v>#N/A</v>
      </c>
      <c r="BK32" t="e">
        <f t="shared" si="46"/>
        <v>#N/A</v>
      </c>
      <c r="BL32" t="e">
        <f t="shared" si="47"/>
        <v>#N/A</v>
      </c>
      <c r="BM32" t="e">
        <f t="shared" si="48"/>
        <v>#N/A</v>
      </c>
      <c r="BN32" t="e">
        <f t="shared" si="49"/>
        <v>#N/A</v>
      </c>
      <c r="BO32" t="e">
        <f t="shared" si="50"/>
        <v>#N/A</v>
      </c>
      <c r="BP32" t="e">
        <f t="shared" si="51"/>
        <v>#N/A</v>
      </c>
      <c r="BQ32" t="e">
        <f t="shared" si="52"/>
        <v>#N/A</v>
      </c>
      <c r="BR32" t="e">
        <f t="shared" si="53"/>
        <v>#N/A</v>
      </c>
      <c r="BS32" t="e">
        <f t="shared" si="54"/>
        <v>#N/A</v>
      </c>
      <c r="BT32" t="e">
        <f t="shared" si="55"/>
        <v>#N/A</v>
      </c>
      <c r="BU32" t="e">
        <f t="shared" si="56"/>
        <v>#N/A</v>
      </c>
      <c r="BV32" t="e">
        <f t="shared" si="57"/>
        <v>#N/A</v>
      </c>
      <c r="BW32" t="e">
        <f t="shared" si="58"/>
        <v>#N/A</v>
      </c>
      <c r="BX32" t="e">
        <f t="shared" si="59"/>
        <v>#N/A</v>
      </c>
      <c r="BY32" t="e">
        <f t="shared" si="60"/>
        <v>#N/A</v>
      </c>
      <c r="BZ32" t="e">
        <f t="shared" si="61"/>
        <v>#N/A</v>
      </c>
      <c r="CA32" t="e">
        <f t="shared" si="62"/>
        <v>#N/A</v>
      </c>
      <c r="CB32" t="e">
        <f t="shared" si="63"/>
        <v>#N/A</v>
      </c>
      <c r="CC32" t="e">
        <f t="shared" si="64"/>
        <v>#N/A</v>
      </c>
      <c r="CD32" t="e">
        <f t="shared" si="65"/>
        <v>#N/A</v>
      </c>
      <c r="CE32" t="e">
        <f t="shared" si="66"/>
        <v>#N/A</v>
      </c>
      <c r="CF32" t="e">
        <f t="shared" si="67"/>
        <v>#N/A</v>
      </c>
      <c r="CG32" t="e">
        <f t="shared" si="68"/>
        <v>#N/A</v>
      </c>
      <c r="CI32" t="e">
        <f>AP15</f>
        <v>#N/A</v>
      </c>
      <c r="CJ32" t="e">
        <f>AQ15</f>
        <v>#N/A</v>
      </c>
      <c r="CK32">
        <f>IF(ISNUMBER(CI32),IFERROR(MAX(0,AR15-CI32),0),0)</f>
        <v>0</v>
      </c>
      <c r="CL32">
        <f>IF(ISNUMBER(CI32),IFERROR(MAX(0,CI32-AR15),0),0)</f>
        <v>0</v>
      </c>
      <c r="CM32">
        <f>IF(ISNUMBER(CJ32),IFERROR(MAX(0,AS15-CJ32),0),0)</f>
        <v>0</v>
      </c>
      <c r="CN32">
        <f>IF(ISNUMBER(CJ32),IFERROR(MAX(0,CJ32-AS15),0),0)</f>
        <v>0</v>
      </c>
      <c r="CP32" t="e">
        <f>BX15</f>
        <v>#N/A</v>
      </c>
      <c r="CQ32" t="e">
        <f>BY15</f>
        <v>#N/A</v>
      </c>
      <c r="CR32">
        <f>IF(ISNUMBER(CP32),IFERROR(MAX(0,BZ15-CP32),0),0)</f>
        <v>0</v>
      </c>
      <c r="CS32">
        <f>IF(ISNUMBER(CP32),IFERROR(MAX(0,CP32-BZ15),0),0)</f>
        <v>0</v>
      </c>
      <c r="CT32">
        <f>IF(ISNUMBER(CQ32),IFERROR(MAX(0,CA15-CQ32),0),0)</f>
        <v>0</v>
      </c>
      <c r="CU32">
        <f>IF(ISNUMBER(CQ32),IFERROR(MAX(0,CQ32-CA15),0),0)</f>
        <v>0</v>
      </c>
    </row>
    <row r="33" spans="1:99" x14ac:dyDescent="0.3">
      <c r="A33">
        <v>27</v>
      </c>
      <c r="B33">
        <f>IF(A33&lt;=$B$2,IF(INDEX(Gantt!$A$7:$A$119,A33)&lt;&gt;"",1,0),0)</f>
        <v>0</v>
      </c>
      <c r="C33" t="e">
        <f>IF(B33=1,INDEX(Gantt!$C$7:$C$119,A33),NA())</f>
        <v>#N/A</v>
      </c>
      <c r="D33" t="e">
        <f>IF(B33=1,INDEX(Gantt!$D$7:$D$119,A33)+1,NA())</f>
        <v>#N/A</v>
      </c>
      <c r="E33">
        <f>IF(B33=1,INDEX(Gantt!$BN$7:$BN$119,A33),0)</f>
        <v>0</v>
      </c>
      <c r="F33">
        <f>IF(B33=1,N(INDEX(Gantt!$F$7:$F$119,A33)),0)</f>
        <v>0</v>
      </c>
      <c r="G33">
        <f t="shared" si="0"/>
        <v>0</v>
      </c>
      <c r="H33" t="e">
        <f t="shared" si="1"/>
        <v>#N/A</v>
      </c>
      <c r="I33" t="e">
        <f t="shared" si="2"/>
        <v>#N/A</v>
      </c>
      <c r="J33" t="e">
        <f t="shared" si="3"/>
        <v>#N/A</v>
      </c>
      <c r="K33" t="e">
        <f t="shared" si="4"/>
        <v>#N/A</v>
      </c>
      <c r="L33" t="e">
        <f t="shared" si="5"/>
        <v>#N/A</v>
      </c>
      <c r="M33" t="e">
        <f t="shared" si="6"/>
        <v>#N/A</v>
      </c>
      <c r="N33" t="e">
        <f t="shared" si="7"/>
        <v>#N/A</v>
      </c>
      <c r="O33" t="e">
        <f t="shared" si="8"/>
        <v>#N/A</v>
      </c>
      <c r="P33" t="e">
        <f t="shared" si="9"/>
        <v>#N/A</v>
      </c>
      <c r="Q33" t="str">
        <f>IF(B33=1,INDEX(Gantt!$A$7:$A$119,A33)&amp;"   "&amp;INDEX(Gantt!$B$7:$B$119,A33),"")</f>
        <v/>
      </c>
      <c r="R33" t="e">
        <f t="shared" si="10"/>
        <v>#N/A</v>
      </c>
      <c r="S33">
        <f t="shared" si="11"/>
        <v>0</v>
      </c>
      <c r="T33">
        <f t="shared" si="12"/>
        <v>0</v>
      </c>
      <c r="U33">
        <v>27</v>
      </c>
      <c r="V33">
        <f t="shared" si="13"/>
        <v>7</v>
      </c>
      <c r="W33">
        <f t="shared" si="14"/>
        <v>3</v>
      </c>
      <c r="X33">
        <f t="shared" si="15"/>
        <v>0</v>
      </c>
      <c r="Y33">
        <f>IF(X33&lt;&gt;1,9999,CHOOSE(W33,INDEX(Gantt!$BQ$7:$BQ$119,V33),INDEX(Gantt!$BR$7:$BR$119,V33),INDEX(Gantt!$BT$7:$BT$119,V33),INDEX(Gantt!$BU$7:$BU$119,V33)))</f>
        <v>9999</v>
      </c>
      <c r="Z33">
        <f t="shared" si="16"/>
        <v>0</v>
      </c>
      <c r="AA33" t="e">
        <f t="shared" si="17"/>
        <v>#N/A</v>
      </c>
      <c r="AB33" t="e">
        <f t="shared" si="18"/>
        <v>#N/A</v>
      </c>
      <c r="AC33" t="e">
        <f t="shared" si="19"/>
        <v>#N/A</v>
      </c>
      <c r="AD33" t="e">
        <f t="shared" si="20"/>
        <v>#N/A</v>
      </c>
      <c r="AE33" t="e">
        <f t="shared" si="21"/>
        <v>#N/A</v>
      </c>
      <c r="AF33" t="e">
        <f t="shared" si="22"/>
        <v>#N/A</v>
      </c>
      <c r="AG33" t="e">
        <f t="shared" si="23"/>
        <v>#N/A</v>
      </c>
      <c r="AH33" t="e">
        <f t="shared" si="24"/>
        <v>#N/A</v>
      </c>
      <c r="AI33" t="e">
        <f t="shared" si="25"/>
        <v>#N/A</v>
      </c>
      <c r="AJ33" t="e">
        <f t="shared" si="26"/>
        <v>#N/A</v>
      </c>
      <c r="AK33" t="e">
        <f t="shared" si="27"/>
        <v>#N/A</v>
      </c>
      <c r="AL33" t="e">
        <f t="shared" si="28"/>
        <v>#N/A</v>
      </c>
      <c r="AM33" t="e">
        <f t="shared" si="29"/>
        <v>#N/A</v>
      </c>
      <c r="AN33" t="e">
        <f t="shared" si="30"/>
        <v>#N/A</v>
      </c>
      <c r="AO33" t="e">
        <f t="shared" si="31"/>
        <v>#N/A</v>
      </c>
      <c r="AP33" t="e">
        <f t="shared" si="32"/>
        <v>#N/A</v>
      </c>
      <c r="AQ33" t="e">
        <f t="shared" si="33"/>
        <v>#N/A</v>
      </c>
      <c r="AR33" t="e">
        <f t="shared" si="34"/>
        <v>#N/A</v>
      </c>
      <c r="AS33" t="e">
        <f t="shared" si="35"/>
        <v>#N/A</v>
      </c>
      <c r="AT33" t="e">
        <f t="shared" si="36"/>
        <v>#N/A</v>
      </c>
      <c r="AU33" t="e">
        <f t="shared" si="37"/>
        <v>#N/A</v>
      </c>
      <c r="AV33" t="e">
        <f t="shared" si="38"/>
        <v>#N/A</v>
      </c>
      <c r="AW33" t="e">
        <f t="shared" si="39"/>
        <v>#N/A</v>
      </c>
      <c r="AX33" t="e">
        <f t="shared" si="40"/>
        <v>#N/A</v>
      </c>
      <c r="AY33" t="e">
        <f t="shared" si="41"/>
        <v>#N/A</v>
      </c>
      <c r="BE33" t="e">
        <f>IF(Z33=1,IF(INDEX($C$7:$C$126,V33)&gt;=Gantt!$BF$6,NA(),MATCH(INDEX($C$7:$C$126,V33),Gantt!$J$6:$BE$6,1)),NA())</f>
        <v>#N/A</v>
      </c>
      <c r="BF33" t="e">
        <f>IF(Z33=1,IF((INDEX($D$7:$D$126,AA33)-1)&gt;=Gantt!$BF$6,NA(),IF((INDEX($D$7:$D$126,AA33)-1)&lt;Gantt!$J$6,0,MATCH((INDEX($D$7:$D$126,AA33)-1),Gantt!$J$6:$BE$6,1))),NA())</f>
        <v>#N/A</v>
      </c>
      <c r="BG33" t="e">
        <f t="shared" si="42"/>
        <v>#N/A</v>
      </c>
      <c r="BH33" t="e">
        <f t="shared" si="43"/>
        <v>#N/A</v>
      </c>
      <c r="BI33" t="e">
        <f t="shared" si="44"/>
        <v>#N/A</v>
      </c>
      <c r="BJ33" t="e">
        <f t="shared" si="45"/>
        <v>#N/A</v>
      </c>
      <c r="BK33" t="e">
        <f t="shared" si="46"/>
        <v>#N/A</v>
      </c>
      <c r="BL33" t="e">
        <f t="shared" si="47"/>
        <v>#N/A</v>
      </c>
      <c r="BM33" t="e">
        <f t="shared" si="48"/>
        <v>#N/A</v>
      </c>
      <c r="BN33" t="e">
        <f t="shared" si="49"/>
        <v>#N/A</v>
      </c>
      <c r="BO33" t="e">
        <f t="shared" si="50"/>
        <v>#N/A</v>
      </c>
      <c r="BP33" t="e">
        <f t="shared" si="51"/>
        <v>#N/A</v>
      </c>
      <c r="BQ33" t="e">
        <f t="shared" si="52"/>
        <v>#N/A</v>
      </c>
      <c r="BR33" t="e">
        <f t="shared" si="53"/>
        <v>#N/A</v>
      </c>
      <c r="BS33" t="e">
        <f t="shared" si="54"/>
        <v>#N/A</v>
      </c>
      <c r="BT33" t="e">
        <f t="shared" si="55"/>
        <v>#N/A</v>
      </c>
      <c r="BU33" t="e">
        <f t="shared" si="56"/>
        <v>#N/A</v>
      </c>
      <c r="BV33" t="e">
        <f t="shared" si="57"/>
        <v>#N/A</v>
      </c>
      <c r="BW33" t="e">
        <f t="shared" si="58"/>
        <v>#N/A</v>
      </c>
      <c r="BX33" t="e">
        <f t="shared" si="59"/>
        <v>#N/A</v>
      </c>
      <c r="BY33" t="e">
        <f t="shared" si="60"/>
        <v>#N/A</v>
      </c>
      <c r="BZ33" t="e">
        <f t="shared" si="61"/>
        <v>#N/A</v>
      </c>
      <c r="CA33" t="e">
        <f t="shared" si="62"/>
        <v>#N/A</v>
      </c>
      <c r="CB33" t="e">
        <f t="shared" si="63"/>
        <v>#N/A</v>
      </c>
      <c r="CC33" t="e">
        <f t="shared" si="64"/>
        <v>#N/A</v>
      </c>
      <c r="CD33" t="e">
        <f t="shared" si="65"/>
        <v>#N/A</v>
      </c>
      <c r="CE33" t="e">
        <f t="shared" si="66"/>
        <v>#N/A</v>
      </c>
      <c r="CF33" t="e">
        <f t="shared" si="67"/>
        <v>#N/A</v>
      </c>
      <c r="CG33" t="e">
        <f t="shared" si="68"/>
        <v>#N/A</v>
      </c>
      <c r="CI33" t="e">
        <f>AT15</f>
        <v>#N/A</v>
      </c>
      <c r="CJ33" t="e">
        <f>AU15</f>
        <v>#N/A</v>
      </c>
      <c r="CK33">
        <f>IF(ISNUMBER(CI33),IFERROR(MAX(0,AV15-CI33),0),0)</f>
        <v>0</v>
      </c>
      <c r="CL33">
        <f>IF(ISNUMBER(CI33),IFERROR(MAX(0,CI33-AV15),0),0)</f>
        <v>0</v>
      </c>
      <c r="CM33">
        <f>IF(ISNUMBER(CJ33),IFERROR(MAX(0,AW15-CJ33),0),0)</f>
        <v>0</v>
      </c>
      <c r="CN33">
        <f>IF(ISNUMBER(CJ33),IFERROR(MAX(0,CJ33-AW15),0),0)</f>
        <v>0</v>
      </c>
      <c r="CP33" t="e">
        <f>CB15</f>
        <v>#N/A</v>
      </c>
      <c r="CQ33" t="e">
        <f>CC15</f>
        <v>#N/A</v>
      </c>
      <c r="CR33">
        <f>IF(ISNUMBER(CP33),IFERROR(MAX(0,CD15-CP33),0),0)</f>
        <v>0</v>
      </c>
      <c r="CS33">
        <f>IF(ISNUMBER(CP33),IFERROR(MAX(0,CP33-CD15),0),0)</f>
        <v>0</v>
      </c>
      <c r="CT33">
        <f>IF(ISNUMBER(CQ33),IFERROR(MAX(0,CE15-CQ33),0),0)</f>
        <v>0</v>
      </c>
      <c r="CU33">
        <f>IF(ISNUMBER(CQ33),IFERROR(MAX(0,CQ33-CE15),0),0)</f>
        <v>0</v>
      </c>
    </row>
    <row r="34" spans="1:99" x14ac:dyDescent="0.3">
      <c r="A34">
        <v>28</v>
      </c>
      <c r="B34">
        <f>IF(A34&lt;=$B$2,IF(INDEX(Gantt!$A$7:$A$119,A34)&lt;&gt;"",1,0),0)</f>
        <v>0</v>
      </c>
      <c r="C34" t="e">
        <f>IF(B34=1,INDEX(Gantt!$C$7:$C$119,A34),NA())</f>
        <v>#N/A</v>
      </c>
      <c r="D34" t="e">
        <f>IF(B34=1,INDEX(Gantt!$D$7:$D$119,A34)+1,NA())</f>
        <v>#N/A</v>
      </c>
      <c r="E34">
        <f>IF(B34=1,INDEX(Gantt!$BN$7:$BN$119,A34),0)</f>
        <v>0</v>
      </c>
      <c r="F34">
        <f>IF(B34=1,N(INDEX(Gantt!$F$7:$F$119,A34)),0)</f>
        <v>0</v>
      </c>
      <c r="G34">
        <f t="shared" si="0"/>
        <v>0</v>
      </c>
      <c r="H34" t="e">
        <f t="shared" si="1"/>
        <v>#N/A</v>
      </c>
      <c r="I34" t="e">
        <f t="shared" si="2"/>
        <v>#N/A</v>
      </c>
      <c r="J34" t="e">
        <f t="shared" si="3"/>
        <v>#N/A</v>
      </c>
      <c r="K34" t="e">
        <f t="shared" si="4"/>
        <v>#N/A</v>
      </c>
      <c r="L34" t="e">
        <f t="shared" si="5"/>
        <v>#N/A</v>
      </c>
      <c r="M34" t="e">
        <f t="shared" si="6"/>
        <v>#N/A</v>
      </c>
      <c r="N34" t="e">
        <f t="shared" si="7"/>
        <v>#N/A</v>
      </c>
      <c r="O34" t="e">
        <f t="shared" si="8"/>
        <v>#N/A</v>
      </c>
      <c r="P34" t="e">
        <f t="shared" si="9"/>
        <v>#N/A</v>
      </c>
      <c r="Q34" t="str">
        <f>IF(B34=1,INDEX(Gantt!$A$7:$A$119,A34)&amp;"   "&amp;INDEX(Gantt!$B$7:$B$119,A34),"")</f>
        <v/>
      </c>
      <c r="R34" t="e">
        <f t="shared" si="10"/>
        <v>#N/A</v>
      </c>
      <c r="S34">
        <f t="shared" si="11"/>
        <v>0</v>
      </c>
      <c r="T34">
        <f t="shared" si="12"/>
        <v>0</v>
      </c>
      <c r="U34">
        <v>28</v>
      </c>
      <c r="V34">
        <f t="shared" si="13"/>
        <v>7</v>
      </c>
      <c r="W34">
        <f t="shared" si="14"/>
        <v>4</v>
      </c>
      <c r="X34">
        <f t="shared" si="15"/>
        <v>0</v>
      </c>
      <c r="Y34">
        <f>IF(X34&lt;&gt;1,9999,CHOOSE(W34,INDEX(Gantt!$BQ$7:$BQ$119,V34),INDEX(Gantt!$BR$7:$BR$119,V34),INDEX(Gantt!$BT$7:$BT$119,V34),INDEX(Gantt!$BU$7:$BU$119,V34)))</f>
        <v>9999</v>
      </c>
      <c r="Z34">
        <f t="shared" si="16"/>
        <v>0</v>
      </c>
      <c r="AA34" t="e">
        <f t="shared" si="17"/>
        <v>#N/A</v>
      </c>
      <c r="AB34" t="e">
        <f t="shared" si="18"/>
        <v>#N/A</v>
      </c>
      <c r="AC34" t="e">
        <f t="shared" si="19"/>
        <v>#N/A</v>
      </c>
      <c r="AD34" t="e">
        <f t="shared" si="20"/>
        <v>#N/A</v>
      </c>
      <c r="AE34" t="e">
        <f t="shared" si="21"/>
        <v>#N/A</v>
      </c>
      <c r="AF34" t="e">
        <f t="shared" si="22"/>
        <v>#N/A</v>
      </c>
      <c r="AG34" t="e">
        <f t="shared" si="23"/>
        <v>#N/A</v>
      </c>
      <c r="AH34" t="e">
        <f t="shared" si="24"/>
        <v>#N/A</v>
      </c>
      <c r="AI34" t="e">
        <f t="shared" si="25"/>
        <v>#N/A</v>
      </c>
      <c r="AJ34" t="e">
        <f t="shared" si="26"/>
        <v>#N/A</v>
      </c>
      <c r="AK34" t="e">
        <f t="shared" si="27"/>
        <v>#N/A</v>
      </c>
      <c r="AL34" t="e">
        <f t="shared" si="28"/>
        <v>#N/A</v>
      </c>
      <c r="AM34" t="e">
        <f t="shared" si="29"/>
        <v>#N/A</v>
      </c>
      <c r="AN34" t="e">
        <f t="shared" si="30"/>
        <v>#N/A</v>
      </c>
      <c r="AO34" t="e">
        <f t="shared" si="31"/>
        <v>#N/A</v>
      </c>
      <c r="AP34" t="e">
        <f t="shared" si="32"/>
        <v>#N/A</v>
      </c>
      <c r="AQ34" t="e">
        <f t="shared" si="33"/>
        <v>#N/A</v>
      </c>
      <c r="AR34" t="e">
        <f t="shared" si="34"/>
        <v>#N/A</v>
      </c>
      <c r="AS34" t="e">
        <f t="shared" si="35"/>
        <v>#N/A</v>
      </c>
      <c r="AT34" t="e">
        <f t="shared" si="36"/>
        <v>#N/A</v>
      </c>
      <c r="AU34" t="e">
        <f t="shared" si="37"/>
        <v>#N/A</v>
      </c>
      <c r="AV34" t="e">
        <f t="shared" si="38"/>
        <v>#N/A</v>
      </c>
      <c r="AW34" t="e">
        <f t="shared" si="39"/>
        <v>#N/A</v>
      </c>
      <c r="AX34" t="e">
        <f t="shared" si="40"/>
        <v>#N/A</v>
      </c>
      <c r="AY34" t="e">
        <f t="shared" si="41"/>
        <v>#N/A</v>
      </c>
      <c r="BE34" t="e">
        <f>IF(Z34=1,IF(INDEX($C$7:$C$126,V34)&gt;=Gantt!$BF$6,NA(),MATCH(INDEX($C$7:$C$126,V34),Gantt!$J$6:$BE$6,1)),NA())</f>
        <v>#N/A</v>
      </c>
      <c r="BF34" t="e">
        <f>IF(Z34=1,IF((INDEX($D$7:$D$126,AA34)-1)&gt;=Gantt!$BF$6,NA(),IF((INDEX($D$7:$D$126,AA34)-1)&lt;Gantt!$J$6,0,MATCH((INDEX($D$7:$D$126,AA34)-1),Gantt!$J$6:$BE$6,1))),NA())</f>
        <v>#N/A</v>
      </c>
      <c r="BG34" t="e">
        <f t="shared" si="42"/>
        <v>#N/A</v>
      </c>
      <c r="BH34" t="e">
        <f t="shared" si="43"/>
        <v>#N/A</v>
      </c>
      <c r="BI34" t="e">
        <f t="shared" si="44"/>
        <v>#N/A</v>
      </c>
      <c r="BJ34" t="e">
        <f t="shared" si="45"/>
        <v>#N/A</v>
      </c>
      <c r="BK34" t="e">
        <f t="shared" si="46"/>
        <v>#N/A</v>
      </c>
      <c r="BL34" t="e">
        <f t="shared" si="47"/>
        <v>#N/A</v>
      </c>
      <c r="BM34" t="e">
        <f t="shared" si="48"/>
        <v>#N/A</v>
      </c>
      <c r="BN34" t="e">
        <f t="shared" si="49"/>
        <v>#N/A</v>
      </c>
      <c r="BO34" t="e">
        <f t="shared" si="50"/>
        <v>#N/A</v>
      </c>
      <c r="BP34" t="e">
        <f t="shared" si="51"/>
        <v>#N/A</v>
      </c>
      <c r="BQ34" t="e">
        <f t="shared" si="52"/>
        <v>#N/A</v>
      </c>
      <c r="BR34" t="e">
        <f t="shared" si="53"/>
        <v>#N/A</v>
      </c>
      <c r="BS34" t="e">
        <f t="shared" si="54"/>
        <v>#N/A</v>
      </c>
      <c r="BT34" t="e">
        <f t="shared" si="55"/>
        <v>#N/A</v>
      </c>
      <c r="BU34" t="e">
        <f t="shared" si="56"/>
        <v>#N/A</v>
      </c>
      <c r="BV34" t="e">
        <f t="shared" si="57"/>
        <v>#N/A</v>
      </c>
      <c r="BW34" t="e">
        <f t="shared" si="58"/>
        <v>#N/A</v>
      </c>
      <c r="BX34" t="e">
        <f t="shared" si="59"/>
        <v>#N/A</v>
      </c>
      <c r="BY34" t="e">
        <f t="shared" si="60"/>
        <v>#N/A</v>
      </c>
      <c r="BZ34" t="e">
        <f t="shared" si="61"/>
        <v>#N/A</v>
      </c>
      <c r="CA34" t="e">
        <f t="shared" si="62"/>
        <v>#N/A</v>
      </c>
      <c r="CB34" t="e">
        <f t="shared" si="63"/>
        <v>#N/A</v>
      </c>
      <c r="CC34" t="e">
        <f t="shared" si="64"/>
        <v>#N/A</v>
      </c>
      <c r="CD34" t="e">
        <f t="shared" si="65"/>
        <v>#N/A</v>
      </c>
      <c r="CE34" t="e">
        <f t="shared" si="66"/>
        <v>#N/A</v>
      </c>
      <c r="CF34" t="e">
        <f t="shared" si="67"/>
        <v>#N/A</v>
      </c>
      <c r="CG34" t="e">
        <f t="shared" si="68"/>
        <v>#N/A</v>
      </c>
      <c r="CI34" t="e">
        <f>AL16</f>
        <v>#N/A</v>
      </c>
      <c r="CJ34" t="e">
        <f>AM16</f>
        <v>#N/A</v>
      </c>
      <c r="CK34">
        <f>IF(ISNUMBER(CI34),IFERROR(MAX(0,AN16-CI34),0),0)</f>
        <v>0</v>
      </c>
      <c r="CL34">
        <f>IF(ISNUMBER(CI34),IFERROR(MAX(0,CI34-AN16),0),0)</f>
        <v>0</v>
      </c>
      <c r="CM34">
        <f>IF(ISNUMBER(CJ34),IFERROR(MAX(0,AO16-CJ34),0),0)</f>
        <v>0</v>
      </c>
      <c r="CN34">
        <f>IF(ISNUMBER(CJ34),IFERROR(MAX(0,CJ34-AO16),0),0)</f>
        <v>0</v>
      </c>
      <c r="CP34" t="e">
        <f>BT16</f>
        <v>#N/A</v>
      </c>
      <c r="CQ34" t="e">
        <f>BU16</f>
        <v>#N/A</v>
      </c>
      <c r="CR34">
        <f>IF(ISNUMBER(CP34),IFERROR(MAX(0,BV16-CP34),0),0)</f>
        <v>0</v>
      </c>
      <c r="CS34">
        <f>IF(ISNUMBER(CP34),IFERROR(MAX(0,CP34-BV16),0),0)</f>
        <v>0</v>
      </c>
      <c r="CT34">
        <f>IF(ISNUMBER(CQ34),IFERROR(MAX(0,BW16-CQ34),0),0)</f>
        <v>0</v>
      </c>
      <c r="CU34">
        <f>IF(ISNUMBER(CQ34),IFERROR(MAX(0,CQ34-BW16),0),0)</f>
        <v>0</v>
      </c>
    </row>
    <row r="35" spans="1:99" x14ac:dyDescent="0.3">
      <c r="A35">
        <v>29</v>
      </c>
      <c r="B35">
        <f>IF(A35&lt;=$B$2,IF(INDEX(Gantt!$A$7:$A$119,A35)&lt;&gt;"",1,0),0)</f>
        <v>0</v>
      </c>
      <c r="C35" t="e">
        <f>IF(B35=1,INDEX(Gantt!$C$7:$C$119,A35),NA())</f>
        <v>#N/A</v>
      </c>
      <c r="D35" t="e">
        <f>IF(B35=1,INDEX(Gantt!$D$7:$D$119,A35)+1,NA())</f>
        <v>#N/A</v>
      </c>
      <c r="E35">
        <f>IF(B35=1,INDEX(Gantt!$BN$7:$BN$119,A35),0)</f>
        <v>0</v>
      </c>
      <c r="F35">
        <f>IF(B35=1,N(INDEX(Gantt!$F$7:$F$119,A35)),0)</f>
        <v>0</v>
      </c>
      <c r="G35">
        <f t="shared" si="0"/>
        <v>0</v>
      </c>
      <c r="H35" t="e">
        <f t="shared" si="1"/>
        <v>#N/A</v>
      </c>
      <c r="I35" t="e">
        <f t="shared" si="2"/>
        <v>#N/A</v>
      </c>
      <c r="J35" t="e">
        <f t="shared" si="3"/>
        <v>#N/A</v>
      </c>
      <c r="K35" t="e">
        <f t="shared" si="4"/>
        <v>#N/A</v>
      </c>
      <c r="L35" t="e">
        <f t="shared" si="5"/>
        <v>#N/A</v>
      </c>
      <c r="M35" t="e">
        <f t="shared" si="6"/>
        <v>#N/A</v>
      </c>
      <c r="N35" t="e">
        <f t="shared" si="7"/>
        <v>#N/A</v>
      </c>
      <c r="O35" t="e">
        <f t="shared" si="8"/>
        <v>#N/A</v>
      </c>
      <c r="P35" t="e">
        <f t="shared" si="9"/>
        <v>#N/A</v>
      </c>
      <c r="Q35" t="str">
        <f>IF(B35=1,INDEX(Gantt!$A$7:$A$119,A35)&amp;"   "&amp;INDEX(Gantt!$B$7:$B$119,A35),"")</f>
        <v/>
      </c>
      <c r="R35" t="e">
        <f t="shared" si="10"/>
        <v>#N/A</v>
      </c>
      <c r="S35">
        <f t="shared" si="11"/>
        <v>0</v>
      </c>
      <c r="T35">
        <f t="shared" si="12"/>
        <v>0</v>
      </c>
      <c r="U35">
        <v>29</v>
      </c>
      <c r="V35">
        <f t="shared" si="13"/>
        <v>8</v>
      </c>
      <c r="W35">
        <f t="shared" si="14"/>
        <v>1</v>
      </c>
      <c r="X35">
        <f t="shared" si="15"/>
        <v>0</v>
      </c>
      <c r="Y35">
        <f>IF(X35&lt;&gt;1,9999,CHOOSE(W35,INDEX(Gantt!$BQ$7:$BQ$119,V35),INDEX(Gantt!$BR$7:$BR$119,V35),INDEX(Gantt!$BT$7:$BT$119,V35),INDEX(Gantt!$BU$7:$BU$119,V35)))</f>
        <v>9999</v>
      </c>
      <c r="Z35">
        <f t="shared" si="16"/>
        <v>0</v>
      </c>
      <c r="AA35" t="e">
        <f t="shared" si="17"/>
        <v>#N/A</v>
      </c>
      <c r="AB35" t="e">
        <f t="shared" si="18"/>
        <v>#N/A</v>
      </c>
      <c r="AC35" t="e">
        <f t="shared" si="19"/>
        <v>#N/A</v>
      </c>
      <c r="AD35" t="e">
        <f t="shared" si="20"/>
        <v>#N/A</v>
      </c>
      <c r="AE35" t="e">
        <f t="shared" si="21"/>
        <v>#N/A</v>
      </c>
      <c r="AF35" t="e">
        <f t="shared" si="22"/>
        <v>#N/A</v>
      </c>
      <c r="AG35" t="e">
        <f t="shared" si="23"/>
        <v>#N/A</v>
      </c>
      <c r="AH35" t="e">
        <f t="shared" si="24"/>
        <v>#N/A</v>
      </c>
      <c r="AI35" t="e">
        <f t="shared" si="25"/>
        <v>#N/A</v>
      </c>
      <c r="AJ35" t="e">
        <f t="shared" si="26"/>
        <v>#N/A</v>
      </c>
      <c r="AK35" t="e">
        <f t="shared" si="27"/>
        <v>#N/A</v>
      </c>
      <c r="AL35" t="e">
        <f t="shared" si="28"/>
        <v>#N/A</v>
      </c>
      <c r="AM35" t="e">
        <f t="shared" si="29"/>
        <v>#N/A</v>
      </c>
      <c r="AN35" t="e">
        <f t="shared" si="30"/>
        <v>#N/A</v>
      </c>
      <c r="AO35" t="e">
        <f t="shared" si="31"/>
        <v>#N/A</v>
      </c>
      <c r="AP35" t="e">
        <f t="shared" si="32"/>
        <v>#N/A</v>
      </c>
      <c r="AQ35" t="e">
        <f t="shared" si="33"/>
        <v>#N/A</v>
      </c>
      <c r="AR35" t="e">
        <f t="shared" si="34"/>
        <v>#N/A</v>
      </c>
      <c r="AS35" t="e">
        <f t="shared" si="35"/>
        <v>#N/A</v>
      </c>
      <c r="AT35" t="e">
        <f t="shared" si="36"/>
        <v>#N/A</v>
      </c>
      <c r="AU35" t="e">
        <f t="shared" si="37"/>
        <v>#N/A</v>
      </c>
      <c r="AV35" t="e">
        <f t="shared" si="38"/>
        <v>#N/A</v>
      </c>
      <c r="AW35" t="e">
        <f t="shared" si="39"/>
        <v>#N/A</v>
      </c>
      <c r="AX35" t="e">
        <f t="shared" si="40"/>
        <v>#N/A</v>
      </c>
      <c r="AY35" t="e">
        <f t="shared" si="41"/>
        <v>#N/A</v>
      </c>
      <c r="BE35" t="e">
        <f>IF(Z35=1,IF(INDEX($C$7:$C$126,V35)&gt;=Gantt!$BF$6,NA(),MATCH(INDEX($C$7:$C$126,V35),Gantt!$J$6:$BE$6,1)),NA())</f>
        <v>#N/A</v>
      </c>
      <c r="BF35" t="e">
        <f>IF(Z35=1,IF((INDEX($D$7:$D$126,AA35)-1)&gt;=Gantt!$BF$6,NA(),IF((INDEX($D$7:$D$126,AA35)-1)&lt;Gantt!$J$6,0,MATCH((INDEX($D$7:$D$126,AA35)-1),Gantt!$J$6:$BE$6,1))),NA())</f>
        <v>#N/A</v>
      </c>
      <c r="BG35" t="e">
        <f t="shared" si="42"/>
        <v>#N/A</v>
      </c>
      <c r="BH35" t="e">
        <f t="shared" si="43"/>
        <v>#N/A</v>
      </c>
      <c r="BI35" t="e">
        <f t="shared" si="44"/>
        <v>#N/A</v>
      </c>
      <c r="BJ35" t="e">
        <f t="shared" si="45"/>
        <v>#N/A</v>
      </c>
      <c r="BK35" t="e">
        <f t="shared" si="46"/>
        <v>#N/A</v>
      </c>
      <c r="BL35" t="e">
        <f t="shared" si="47"/>
        <v>#N/A</v>
      </c>
      <c r="BM35" t="e">
        <f t="shared" si="48"/>
        <v>#N/A</v>
      </c>
      <c r="BN35" t="e">
        <f t="shared" si="49"/>
        <v>#N/A</v>
      </c>
      <c r="BO35" t="e">
        <f t="shared" si="50"/>
        <v>#N/A</v>
      </c>
      <c r="BP35" t="e">
        <f t="shared" si="51"/>
        <v>#N/A</v>
      </c>
      <c r="BQ35" t="e">
        <f t="shared" si="52"/>
        <v>#N/A</v>
      </c>
      <c r="BR35" t="e">
        <f t="shared" si="53"/>
        <v>#N/A</v>
      </c>
      <c r="BS35" t="e">
        <f t="shared" si="54"/>
        <v>#N/A</v>
      </c>
      <c r="BT35" t="e">
        <f t="shared" si="55"/>
        <v>#N/A</v>
      </c>
      <c r="BU35" t="e">
        <f t="shared" si="56"/>
        <v>#N/A</v>
      </c>
      <c r="BV35" t="e">
        <f t="shared" si="57"/>
        <v>#N/A</v>
      </c>
      <c r="BW35" t="e">
        <f t="shared" si="58"/>
        <v>#N/A</v>
      </c>
      <c r="BX35" t="e">
        <f t="shared" si="59"/>
        <v>#N/A</v>
      </c>
      <c r="BY35" t="e">
        <f t="shared" si="60"/>
        <v>#N/A</v>
      </c>
      <c r="BZ35" t="e">
        <f t="shared" si="61"/>
        <v>#N/A</v>
      </c>
      <c r="CA35" t="e">
        <f t="shared" si="62"/>
        <v>#N/A</v>
      </c>
      <c r="CB35" t="e">
        <f t="shared" si="63"/>
        <v>#N/A</v>
      </c>
      <c r="CC35" t="e">
        <f t="shared" si="64"/>
        <v>#N/A</v>
      </c>
      <c r="CD35" t="e">
        <f t="shared" si="65"/>
        <v>#N/A</v>
      </c>
      <c r="CE35" t="e">
        <f t="shared" si="66"/>
        <v>#N/A</v>
      </c>
      <c r="CF35" t="e">
        <f t="shared" si="67"/>
        <v>#N/A</v>
      </c>
      <c r="CG35" t="e">
        <f t="shared" si="68"/>
        <v>#N/A</v>
      </c>
      <c r="CI35" t="e">
        <f>AP16</f>
        <v>#N/A</v>
      </c>
      <c r="CJ35" t="e">
        <f>AQ16</f>
        <v>#N/A</v>
      </c>
      <c r="CK35">
        <f>IF(ISNUMBER(CI35),IFERROR(MAX(0,AR16-CI35),0),0)</f>
        <v>0</v>
      </c>
      <c r="CL35">
        <f>IF(ISNUMBER(CI35),IFERROR(MAX(0,CI35-AR16),0),0)</f>
        <v>0</v>
      </c>
      <c r="CM35">
        <f>IF(ISNUMBER(CJ35),IFERROR(MAX(0,AS16-CJ35),0),0)</f>
        <v>0</v>
      </c>
      <c r="CN35">
        <f>IF(ISNUMBER(CJ35),IFERROR(MAX(0,CJ35-AS16),0),0)</f>
        <v>0</v>
      </c>
      <c r="CP35" t="e">
        <f>BX16</f>
        <v>#N/A</v>
      </c>
      <c r="CQ35" t="e">
        <f>BY16</f>
        <v>#N/A</v>
      </c>
      <c r="CR35">
        <f>IF(ISNUMBER(CP35),IFERROR(MAX(0,BZ16-CP35),0),0)</f>
        <v>0</v>
      </c>
      <c r="CS35">
        <f>IF(ISNUMBER(CP35),IFERROR(MAX(0,CP35-BZ16),0),0)</f>
        <v>0</v>
      </c>
      <c r="CT35">
        <f>IF(ISNUMBER(CQ35),IFERROR(MAX(0,CA16-CQ35),0),0)</f>
        <v>0</v>
      </c>
      <c r="CU35">
        <f>IF(ISNUMBER(CQ35),IFERROR(MAX(0,CQ35-CA16),0),0)</f>
        <v>0</v>
      </c>
    </row>
    <row r="36" spans="1:99" x14ac:dyDescent="0.3">
      <c r="A36">
        <v>30</v>
      </c>
      <c r="B36">
        <f>IF(A36&lt;=$B$2,IF(INDEX(Gantt!$A$7:$A$119,A36)&lt;&gt;"",1,0),0)</f>
        <v>0</v>
      </c>
      <c r="C36" t="e">
        <f>IF(B36=1,INDEX(Gantt!$C$7:$C$119,A36),NA())</f>
        <v>#N/A</v>
      </c>
      <c r="D36" t="e">
        <f>IF(B36=1,INDEX(Gantt!$D$7:$D$119,A36)+1,NA())</f>
        <v>#N/A</v>
      </c>
      <c r="E36">
        <f>IF(B36=1,INDEX(Gantt!$BN$7:$BN$119,A36),0)</f>
        <v>0</v>
      </c>
      <c r="F36">
        <f>IF(B36=1,N(INDEX(Gantt!$F$7:$F$119,A36)),0)</f>
        <v>0</v>
      </c>
      <c r="G36">
        <f t="shared" si="0"/>
        <v>0</v>
      </c>
      <c r="H36" t="e">
        <f t="shared" si="1"/>
        <v>#N/A</v>
      </c>
      <c r="I36" t="e">
        <f t="shared" si="2"/>
        <v>#N/A</v>
      </c>
      <c r="J36" t="e">
        <f t="shared" si="3"/>
        <v>#N/A</v>
      </c>
      <c r="K36" t="e">
        <f t="shared" si="4"/>
        <v>#N/A</v>
      </c>
      <c r="L36" t="e">
        <f t="shared" si="5"/>
        <v>#N/A</v>
      </c>
      <c r="M36" t="e">
        <f t="shared" si="6"/>
        <v>#N/A</v>
      </c>
      <c r="N36" t="e">
        <f t="shared" si="7"/>
        <v>#N/A</v>
      </c>
      <c r="O36" t="e">
        <f t="shared" si="8"/>
        <v>#N/A</v>
      </c>
      <c r="P36" t="e">
        <f t="shared" si="9"/>
        <v>#N/A</v>
      </c>
      <c r="Q36" t="str">
        <f>IF(B36=1,INDEX(Gantt!$A$7:$A$119,A36)&amp;"   "&amp;INDEX(Gantt!$B$7:$B$119,A36),"")</f>
        <v/>
      </c>
      <c r="R36" t="e">
        <f t="shared" si="10"/>
        <v>#N/A</v>
      </c>
      <c r="S36">
        <f t="shared" si="11"/>
        <v>0</v>
      </c>
      <c r="T36">
        <f t="shared" si="12"/>
        <v>0</v>
      </c>
      <c r="U36">
        <v>30</v>
      </c>
      <c r="V36">
        <f t="shared" si="13"/>
        <v>8</v>
      </c>
      <c r="W36">
        <f t="shared" si="14"/>
        <v>2</v>
      </c>
      <c r="X36">
        <f t="shared" si="15"/>
        <v>0</v>
      </c>
      <c r="Y36">
        <f>IF(X36&lt;&gt;1,9999,CHOOSE(W36,INDEX(Gantt!$BQ$7:$BQ$119,V36),INDEX(Gantt!$BR$7:$BR$119,V36),INDEX(Gantt!$BT$7:$BT$119,V36),INDEX(Gantt!$BU$7:$BU$119,V36)))</f>
        <v>9999</v>
      </c>
      <c r="Z36">
        <f t="shared" si="16"/>
        <v>0</v>
      </c>
      <c r="AA36" t="e">
        <f t="shared" si="17"/>
        <v>#N/A</v>
      </c>
      <c r="AB36" t="e">
        <f t="shared" si="18"/>
        <v>#N/A</v>
      </c>
      <c r="AC36" t="e">
        <f t="shared" si="19"/>
        <v>#N/A</v>
      </c>
      <c r="AD36" t="e">
        <f t="shared" si="20"/>
        <v>#N/A</v>
      </c>
      <c r="AE36" t="e">
        <f t="shared" si="21"/>
        <v>#N/A</v>
      </c>
      <c r="AF36" t="e">
        <f t="shared" si="22"/>
        <v>#N/A</v>
      </c>
      <c r="AG36" t="e">
        <f t="shared" si="23"/>
        <v>#N/A</v>
      </c>
      <c r="AH36" t="e">
        <f t="shared" si="24"/>
        <v>#N/A</v>
      </c>
      <c r="AI36" t="e">
        <f t="shared" si="25"/>
        <v>#N/A</v>
      </c>
      <c r="AJ36" t="e">
        <f t="shared" si="26"/>
        <v>#N/A</v>
      </c>
      <c r="AK36" t="e">
        <f t="shared" si="27"/>
        <v>#N/A</v>
      </c>
      <c r="AL36" t="e">
        <f t="shared" si="28"/>
        <v>#N/A</v>
      </c>
      <c r="AM36" t="e">
        <f t="shared" si="29"/>
        <v>#N/A</v>
      </c>
      <c r="AN36" t="e">
        <f t="shared" si="30"/>
        <v>#N/A</v>
      </c>
      <c r="AO36" t="e">
        <f t="shared" si="31"/>
        <v>#N/A</v>
      </c>
      <c r="AP36" t="e">
        <f t="shared" si="32"/>
        <v>#N/A</v>
      </c>
      <c r="AQ36" t="e">
        <f t="shared" si="33"/>
        <v>#N/A</v>
      </c>
      <c r="AR36" t="e">
        <f t="shared" si="34"/>
        <v>#N/A</v>
      </c>
      <c r="AS36" t="e">
        <f t="shared" si="35"/>
        <v>#N/A</v>
      </c>
      <c r="AT36" t="e">
        <f t="shared" si="36"/>
        <v>#N/A</v>
      </c>
      <c r="AU36" t="e">
        <f t="shared" si="37"/>
        <v>#N/A</v>
      </c>
      <c r="AV36" t="e">
        <f t="shared" si="38"/>
        <v>#N/A</v>
      </c>
      <c r="AW36" t="e">
        <f t="shared" si="39"/>
        <v>#N/A</v>
      </c>
      <c r="AX36" t="e">
        <f t="shared" si="40"/>
        <v>#N/A</v>
      </c>
      <c r="AY36" t="e">
        <f t="shared" si="41"/>
        <v>#N/A</v>
      </c>
      <c r="BE36" t="e">
        <f>IF(Z36=1,IF(INDEX($C$7:$C$126,V36)&gt;=Gantt!$BF$6,NA(),MATCH(INDEX($C$7:$C$126,V36),Gantt!$J$6:$BE$6,1)),NA())</f>
        <v>#N/A</v>
      </c>
      <c r="BF36" t="e">
        <f>IF(Z36=1,IF((INDEX($D$7:$D$126,AA36)-1)&gt;=Gantt!$BF$6,NA(),IF((INDEX($D$7:$D$126,AA36)-1)&lt;Gantt!$J$6,0,MATCH((INDEX($D$7:$D$126,AA36)-1),Gantt!$J$6:$BE$6,1))),NA())</f>
        <v>#N/A</v>
      </c>
      <c r="BG36" t="e">
        <f t="shared" si="42"/>
        <v>#N/A</v>
      </c>
      <c r="BH36" t="e">
        <f t="shared" si="43"/>
        <v>#N/A</v>
      </c>
      <c r="BI36" t="e">
        <f t="shared" si="44"/>
        <v>#N/A</v>
      </c>
      <c r="BJ36" t="e">
        <f t="shared" si="45"/>
        <v>#N/A</v>
      </c>
      <c r="BK36" t="e">
        <f t="shared" si="46"/>
        <v>#N/A</v>
      </c>
      <c r="BL36" t="e">
        <f t="shared" si="47"/>
        <v>#N/A</v>
      </c>
      <c r="BM36" t="e">
        <f t="shared" si="48"/>
        <v>#N/A</v>
      </c>
      <c r="BN36" t="e">
        <f t="shared" si="49"/>
        <v>#N/A</v>
      </c>
      <c r="BO36" t="e">
        <f t="shared" si="50"/>
        <v>#N/A</v>
      </c>
      <c r="BP36" t="e">
        <f t="shared" si="51"/>
        <v>#N/A</v>
      </c>
      <c r="BQ36" t="e">
        <f t="shared" si="52"/>
        <v>#N/A</v>
      </c>
      <c r="BR36" t="e">
        <f t="shared" si="53"/>
        <v>#N/A</v>
      </c>
      <c r="BS36" t="e">
        <f t="shared" si="54"/>
        <v>#N/A</v>
      </c>
      <c r="BT36" t="e">
        <f t="shared" si="55"/>
        <v>#N/A</v>
      </c>
      <c r="BU36" t="e">
        <f t="shared" si="56"/>
        <v>#N/A</v>
      </c>
      <c r="BV36" t="e">
        <f t="shared" si="57"/>
        <v>#N/A</v>
      </c>
      <c r="BW36" t="e">
        <f t="shared" si="58"/>
        <v>#N/A</v>
      </c>
      <c r="BX36" t="e">
        <f t="shared" si="59"/>
        <v>#N/A</v>
      </c>
      <c r="BY36" t="e">
        <f t="shared" si="60"/>
        <v>#N/A</v>
      </c>
      <c r="BZ36" t="e">
        <f t="shared" si="61"/>
        <v>#N/A</v>
      </c>
      <c r="CA36" t="e">
        <f t="shared" si="62"/>
        <v>#N/A</v>
      </c>
      <c r="CB36" t="e">
        <f t="shared" si="63"/>
        <v>#N/A</v>
      </c>
      <c r="CC36" t="e">
        <f t="shared" si="64"/>
        <v>#N/A</v>
      </c>
      <c r="CD36" t="e">
        <f t="shared" si="65"/>
        <v>#N/A</v>
      </c>
      <c r="CE36" t="e">
        <f t="shared" si="66"/>
        <v>#N/A</v>
      </c>
      <c r="CF36" t="e">
        <f t="shared" si="67"/>
        <v>#N/A</v>
      </c>
      <c r="CG36" t="e">
        <f t="shared" si="68"/>
        <v>#N/A</v>
      </c>
      <c r="CI36" t="e">
        <f>AT16</f>
        <v>#N/A</v>
      </c>
      <c r="CJ36" t="e">
        <f>AU16</f>
        <v>#N/A</v>
      </c>
      <c r="CK36">
        <f>IF(ISNUMBER(CI36),IFERROR(MAX(0,AV16-CI36),0),0)</f>
        <v>0</v>
      </c>
      <c r="CL36">
        <f>IF(ISNUMBER(CI36),IFERROR(MAX(0,CI36-AV16),0),0)</f>
        <v>0</v>
      </c>
      <c r="CM36">
        <f>IF(ISNUMBER(CJ36),IFERROR(MAX(0,AW16-CJ36),0),0)</f>
        <v>0</v>
      </c>
      <c r="CN36">
        <f>IF(ISNUMBER(CJ36),IFERROR(MAX(0,CJ36-AW16),0),0)</f>
        <v>0</v>
      </c>
      <c r="CP36" t="e">
        <f>CB16</f>
        <v>#N/A</v>
      </c>
      <c r="CQ36" t="e">
        <f>CC16</f>
        <v>#N/A</v>
      </c>
      <c r="CR36">
        <f>IF(ISNUMBER(CP36),IFERROR(MAX(0,CD16-CP36),0),0)</f>
        <v>0</v>
      </c>
      <c r="CS36">
        <f>IF(ISNUMBER(CP36),IFERROR(MAX(0,CP36-CD16),0),0)</f>
        <v>0</v>
      </c>
      <c r="CT36">
        <f>IF(ISNUMBER(CQ36),IFERROR(MAX(0,CE16-CQ36),0),0)</f>
        <v>0</v>
      </c>
      <c r="CU36">
        <f>IF(ISNUMBER(CQ36),IFERROR(MAX(0,CQ36-CE16),0),0)</f>
        <v>0</v>
      </c>
    </row>
    <row r="37" spans="1:99" x14ac:dyDescent="0.3">
      <c r="A37">
        <v>31</v>
      </c>
      <c r="B37">
        <f>IF(A37&lt;=$B$2,IF(INDEX(Gantt!$A$7:$A$119,A37)&lt;&gt;"",1,0),0)</f>
        <v>0</v>
      </c>
      <c r="C37" t="e">
        <f>IF(B37=1,INDEX(Gantt!$C$7:$C$119,A37),NA())</f>
        <v>#N/A</v>
      </c>
      <c r="D37" t="e">
        <f>IF(B37=1,INDEX(Gantt!$D$7:$D$119,A37)+1,NA())</f>
        <v>#N/A</v>
      </c>
      <c r="E37">
        <f>IF(B37=1,INDEX(Gantt!$BN$7:$BN$119,A37),0)</f>
        <v>0</v>
      </c>
      <c r="F37">
        <f>IF(B37=1,N(INDEX(Gantt!$F$7:$F$119,A37)),0)</f>
        <v>0</v>
      </c>
      <c r="G37">
        <f t="shared" si="0"/>
        <v>0</v>
      </c>
      <c r="H37" t="e">
        <f t="shared" si="1"/>
        <v>#N/A</v>
      </c>
      <c r="I37" t="e">
        <f t="shared" si="2"/>
        <v>#N/A</v>
      </c>
      <c r="J37" t="e">
        <f t="shared" si="3"/>
        <v>#N/A</v>
      </c>
      <c r="K37" t="e">
        <f t="shared" si="4"/>
        <v>#N/A</v>
      </c>
      <c r="L37" t="e">
        <f t="shared" si="5"/>
        <v>#N/A</v>
      </c>
      <c r="M37" t="e">
        <f t="shared" si="6"/>
        <v>#N/A</v>
      </c>
      <c r="N37" t="e">
        <f t="shared" si="7"/>
        <v>#N/A</v>
      </c>
      <c r="O37" t="e">
        <f t="shared" si="8"/>
        <v>#N/A</v>
      </c>
      <c r="P37" t="e">
        <f t="shared" si="9"/>
        <v>#N/A</v>
      </c>
      <c r="Q37" t="str">
        <f>IF(B37=1,INDEX(Gantt!$A$7:$A$119,A37)&amp;"   "&amp;INDEX(Gantt!$B$7:$B$119,A37),"")</f>
        <v/>
      </c>
      <c r="R37" t="e">
        <f t="shared" si="10"/>
        <v>#N/A</v>
      </c>
      <c r="S37">
        <f t="shared" si="11"/>
        <v>0</v>
      </c>
      <c r="T37">
        <f t="shared" si="12"/>
        <v>0</v>
      </c>
      <c r="U37">
        <v>31</v>
      </c>
      <c r="V37">
        <f t="shared" si="13"/>
        <v>8</v>
      </c>
      <c r="W37">
        <f t="shared" si="14"/>
        <v>3</v>
      </c>
      <c r="X37">
        <f t="shared" si="15"/>
        <v>0</v>
      </c>
      <c r="Y37">
        <f>IF(X37&lt;&gt;1,9999,CHOOSE(W37,INDEX(Gantt!$BQ$7:$BQ$119,V37),INDEX(Gantt!$BR$7:$BR$119,V37),INDEX(Gantt!$BT$7:$BT$119,V37),INDEX(Gantt!$BU$7:$BU$119,V37)))</f>
        <v>9999</v>
      </c>
      <c r="Z37">
        <f t="shared" si="16"/>
        <v>0</v>
      </c>
      <c r="AA37" t="e">
        <f t="shared" si="17"/>
        <v>#N/A</v>
      </c>
      <c r="AB37" t="e">
        <f t="shared" si="18"/>
        <v>#N/A</v>
      </c>
      <c r="AC37" t="e">
        <f t="shared" si="19"/>
        <v>#N/A</v>
      </c>
      <c r="AD37" t="e">
        <f t="shared" si="20"/>
        <v>#N/A</v>
      </c>
      <c r="AE37" t="e">
        <f t="shared" si="21"/>
        <v>#N/A</v>
      </c>
      <c r="AF37" t="e">
        <f t="shared" si="22"/>
        <v>#N/A</v>
      </c>
      <c r="AG37" t="e">
        <f t="shared" si="23"/>
        <v>#N/A</v>
      </c>
      <c r="AH37" t="e">
        <f t="shared" si="24"/>
        <v>#N/A</v>
      </c>
      <c r="AI37" t="e">
        <f t="shared" si="25"/>
        <v>#N/A</v>
      </c>
      <c r="AJ37" t="e">
        <f t="shared" si="26"/>
        <v>#N/A</v>
      </c>
      <c r="AK37" t="e">
        <f t="shared" si="27"/>
        <v>#N/A</v>
      </c>
      <c r="AL37" t="e">
        <f t="shared" si="28"/>
        <v>#N/A</v>
      </c>
      <c r="AM37" t="e">
        <f t="shared" si="29"/>
        <v>#N/A</v>
      </c>
      <c r="AN37" t="e">
        <f t="shared" si="30"/>
        <v>#N/A</v>
      </c>
      <c r="AO37" t="e">
        <f t="shared" si="31"/>
        <v>#N/A</v>
      </c>
      <c r="AP37" t="e">
        <f t="shared" si="32"/>
        <v>#N/A</v>
      </c>
      <c r="AQ37" t="e">
        <f t="shared" si="33"/>
        <v>#N/A</v>
      </c>
      <c r="AR37" t="e">
        <f t="shared" si="34"/>
        <v>#N/A</v>
      </c>
      <c r="AS37" t="e">
        <f t="shared" si="35"/>
        <v>#N/A</v>
      </c>
      <c r="AT37" t="e">
        <f t="shared" si="36"/>
        <v>#N/A</v>
      </c>
      <c r="AU37" t="e">
        <f t="shared" si="37"/>
        <v>#N/A</v>
      </c>
      <c r="AV37" t="e">
        <f t="shared" si="38"/>
        <v>#N/A</v>
      </c>
      <c r="AW37" t="e">
        <f t="shared" si="39"/>
        <v>#N/A</v>
      </c>
      <c r="AX37" t="e">
        <f t="shared" si="40"/>
        <v>#N/A</v>
      </c>
      <c r="AY37" t="e">
        <f t="shared" si="41"/>
        <v>#N/A</v>
      </c>
      <c r="BE37" t="e">
        <f>IF(Z37=1,IF(INDEX($C$7:$C$126,V37)&gt;=Gantt!$BF$6,NA(),MATCH(INDEX($C$7:$C$126,V37),Gantt!$J$6:$BE$6,1)),NA())</f>
        <v>#N/A</v>
      </c>
      <c r="BF37" t="e">
        <f>IF(Z37=1,IF((INDEX($D$7:$D$126,AA37)-1)&gt;=Gantt!$BF$6,NA(),IF((INDEX($D$7:$D$126,AA37)-1)&lt;Gantt!$J$6,0,MATCH((INDEX($D$7:$D$126,AA37)-1),Gantt!$J$6:$BE$6,1))),NA())</f>
        <v>#N/A</v>
      </c>
      <c r="BG37" t="e">
        <f t="shared" si="42"/>
        <v>#N/A</v>
      </c>
      <c r="BH37" t="e">
        <f t="shared" si="43"/>
        <v>#N/A</v>
      </c>
      <c r="BI37" t="e">
        <f t="shared" si="44"/>
        <v>#N/A</v>
      </c>
      <c r="BJ37" t="e">
        <f t="shared" si="45"/>
        <v>#N/A</v>
      </c>
      <c r="BK37" t="e">
        <f t="shared" si="46"/>
        <v>#N/A</v>
      </c>
      <c r="BL37" t="e">
        <f t="shared" si="47"/>
        <v>#N/A</v>
      </c>
      <c r="BM37" t="e">
        <f t="shared" si="48"/>
        <v>#N/A</v>
      </c>
      <c r="BN37" t="e">
        <f t="shared" si="49"/>
        <v>#N/A</v>
      </c>
      <c r="BO37" t="e">
        <f t="shared" si="50"/>
        <v>#N/A</v>
      </c>
      <c r="BP37" t="e">
        <f t="shared" si="51"/>
        <v>#N/A</v>
      </c>
      <c r="BQ37" t="e">
        <f t="shared" si="52"/>
        <v>#N/A</v>
      </c>
      <c r="BR37" t="e">
        <f t="shared" si="53"/>
        <v>#N/A</v>
      </c>
      <c r="BS37" t="e">
        <f t="shared" si="54"/>
        <v>#N/A</v>
      </c>
      <c r="BT37" t="e">
        <f t="shared" si="55"/>
        <v>#N/A</v>
      </c>
      <c r="BU37" t="e">
        <f t="shared" si="56"/>
        <v>#N/A</v>
      </c>
      <c r="BV37" t="e">
        <f t="shared" si="57"/>
        <v>#N/A</v>
      </c>
      <c r="BW37" t="e">
        <f t="shared" si="58"/>
        <v>#N/A</v>
      </c>
      <c r="BX37" t="e">
        <f t="shared" si="59"/>
        <v>#N/A</v>
      </c>
      <c r="BY37" t="e">
        <f t="shared" si="60"/>
        <v>#N/A</v>
      </c>
      <c r="BZ37" t="e">
        <f t="shared" si="61"/>
        <v>#N/A</v>
      </c>
      <c r="CA37" t="e">
        <f t="shared" si="62"/>
        <v>#N/A</v>
      </c>
      <c r="CB37" t="e">
        <f t="shared" si="63"/>
        <v>#N/A</v>
      </c>
      <c r="CC37" t="e">
        <f t="shared" si="64"/>
        <v>#N/A</v>
      </c>
      <c r="CD37" t="e">
        <f t="shared" si="65"/>
        <v>#N/A</v>
      </c>
      <c r="CE37" t="e">
        <f t="shared" si="66"/>
        <v>#N/A</v>
      </c>
      <c r="CF37" t="e">
        <f t="shared" si="67"/>
        <v>#N/A</v>
      </c>
      <c r="CG37" t="e">
        <f t="shared" si="68"/>
        <v>#N/A</v>
      </c>
      <c r="CI37" t="e">
        <f>AL17</f>
        <v>#N/A</v>
      </c>
      <c r="CJ37" t="e">
        <f>AM17</f>
        <v>#N/A</v>
      </c>
      <c r="CK37">
        <f>IF(ISNUMBER(CI37),IFERROR(MAX(0,AN17-CI37),0),0)</f>
        <v>0</v>
      </c>
      <c r="CL37">
        <f>IF(ISNUMBER(CI37),IFERROR(MAX(0,CI37-AN17),0),0)</f>
        <v>0</v>
      </c>
      <c r="CM37">
        <f>IF(ISNUMBER(CJ37),IFERROR(MAX(0,AO17-CJ37),0),0)</f>
        <v>0</v>
      </c>
      <c r="CN37">
        <f>IF(ISNUMBER(CJ37),IFERROR(MAX(0,CJ37-AO17),0),0)</f>
        <v>0</v>
      </c>
      <c r="CP37" t="e">
        <f>BT17</f>
        <v>#N/A</v>
      </c>
      <c r="CQ37" t="e">
        <f>BU17</f>
        <v>#N/A</v>
      </c>
      <c r="CR37">
        <f>IF(ISNUMBER(CP37),IFERROR(MAX(0,BV17-CP37),0),0)</f>
        <v>0</v>
      </c>
      <c r="CS37">
        <f>IF(ISNUMBER(CP37),IFERROR(MAX(0,CP37-BV17),0),0)</f>
        <v>0</v>
      </c>
      <c r="CT37">
        <f>IF(ISNUMBER(CQ37),IFERROR(MAX(0,BW17-CQ37),0),0)</f>
        <v>0</v>
      </c>
      <c r="CU37">
        <f>IF(ISNUMBER(CQ37),IFERROR(MAX(0,CQ37-BW17),0),0)</f>
        <v>0</v>
      </c>
    </row>
    <row r="38" spans="1:99" x14ac:dyDescent="0.3">
      <c r="A38">
        <v>32</v>
      </c>
      <c r="B38">
        <f>IF(A38&lt;=$B$2,IF(INDEX(Gantt!$A$7:$A$119,A38)&lt;&gt;"",1,0),0)</f>
        <v>0</v>
      </c>
      <c r="C38" t="e">
        <f>IF(B38=1,INDEX(Gantt!$C$7:$C$119,A38),NA())</f>
        <v>#N/A</v>
      </c>
      <c r="D38" t="e">
        <f>IF(B38=1,INDEX(Gantt!$D$7:$D$119,A38)+1,NA())</f>
        <v>#N/A</v>
      </c>
      <c r="E38">
        <f>IF(B38=1,INDEX(Gantt!$BN$7:$BN$119,A38),0)</f>
        <v>0</v>
      </c>
      <c r="F38">
        <f>IF(B38=1,N(INDEX(Gantt!$F$7:$F$119,A38)),0)</f>
        <v>0</v>
      </c>
      <c r="G38">
        <f t="shared" si="0"/>
        <v>0</v>
      </c>
      <c r="H38" t="e">
        <f t="shared" si="1"/>
        <v>#N/A</v>
      </c>
      <c r="I38" t="e">
        <f t="shared" si="2"/>
        <v>#N/A</v>
      </c>
      <c r="J38" t="e">
        <f t="shared" si="3"/>
        <v>#N/A</v>
      </c>
      <c r="K38" t="e">
        <f t="shared" si="4"/>
        <v>#N/A</v>
      </c>
      <c r="L38" t="e">
        <f t="shared" si="5"/>
        <v>#N/A</v>
      </c>
      <c r="M38" t="e">
        <f t="shared" si="6"/>
        <v>#N/A</v>
      </c>
      <c r="N38" t="e">
        <f t="shared" si="7"/>
        <v>#N/A</v>
      </c>
      <c r="O38" t="e">
        <f t="shared" si="8"/>
        <v>#N/A</v>
      </c>
      <c r="P38" t="e">
        <f t="shared" si="9"/>
        <v>#N/A</v>
      </c>
      <c r="Q38" t="str">
        <f>IF(B38=1,INDEX(Gantt!$A$7:$A$119,A38)&amp;"   "&amp;INDEX(Gantt!$B$7:$B$119,A38),"")</f>
        <v/>
      </c>
      <c r="R38" t="e">
        <f t="shared" si="10"/>
        <v>#N/A</v>
      </c>
      <c r="S38">
        <f t="shared" si="11"/>
        <v>0</v>
      </c>
      <c r="T38">
        <f t="shared" si="12"/>
        <v>0</v>
      </c>
      <c r="U38">
        <v>32</v>
      </c>
      <c r="V38">
        <f t="shared" si="13"/>
        <v>8</v>
      </c>
      <c r="W38">
        <f t="shared" si="14"/>
        <v>4</v>
      </c>
      <c r="X38">
        <f t="shared" si="15"/>
        <v>0</v>
      </c>
      <c r="Y38">
        <f>IF(X38&lt;&gt;1,9999,CHOOSE(W38,INDEX(Gantt!$BQ$7:$BQ$119,V38),INDEX(Gantt!$BR$7:$BR$119,V38),INDEX(Gantt!$BT$7:$BT$119,V38),INDEX(Gantt!$BU$7:$BU$119,V38)))</f>
        <v>9999</v>
      </c>
      <c r="Z38">
        <f t="shared" si="16"/>
        <v>0</v>
      </c>
      <c r="AA38" t="e">
        <f t="shared" si="17"/>
        <v>#N/A</v>
      </c>
      <c r="AB38" t="e">
        <f t="shared" si="18"/>
        <v>#N/A</v>
      </c>
      <c r="AC38" t="e">
        <f t="shared" si="19"/>
        <v>#N/A</v>
      </c>
      <c r="AD38" t="e">
        <f t="shared" si="20"/>
        <v>#N/A</v>
      </c>
      <c r="AE38" t="e">
        <f t="shared" si="21"/>
        <v>#N/A</v>
      </c>
      <c r="AF38" t="e">
        <f t="shared" si="22"/>
        <v>#N/A</v>
      </c>
      <c r="AG38" t="e">
        <f t="shared" si="23"/>
        <v>#N/A</v>
      </c>
      <c r="AH38" t="e">
        <f t="shared" si="24"/>
        <v>#N/A</v>
      </c>
      <c r="AI38" t="e">
        <f t="shared" si="25"/>
        <v>#N/A</v>
      </c>
      <c r="AJ38" t="e">
        <f t="shared" si="26"/>
        <v>#N/A</v>
      </c>
      <c r="AK38" t="e">
        <f t="shared" si="27"/>
        <v>#N/A</v>
      </c>
      <c r="AL38" t="e">
        <f t="shared" si="28"/>
        <v>#N/A</v>
      </c>
      <c r="AM38" t="e">
        <f t="shared" si="29"/>
        <v>#N/A</v>
      </c>
      <c r="AN38" t="e">
        <f t="shared" si="30"/>
        <v>#N/A</v>
      </c>
      <c r="AO38" t="e">
        <f t="shared" si="31"/>
        <v>#N/A</v>
      </c>
      <c r="AP38" t="e">
        <f t="shared" si="32"/>
        <v>#N/A</v>
      </c>
      <c r="AQ38" t="e">
        <f t="shared" si="33"/>
        <v>#N/A</v>
      </c>
      <c r="AR38" t="e">
        <f t="shared" si="34"/>
        <v>#N/A</v>
      </c>
      <c r="AS38" t="e">
        <f t="shared" si="35"/>
        <v>#N/A</v>
      </c>
      <c r="AT38" t="e">
        <f t="shared" si="36"/>
        <v>#N/A</v>
      </c>
      <c r="AU38" t="e">
        <f t="shared" si="37"/>
        <v>#N/A</v>
      </c>
      <c r="AV38" t="e">
        <f t="shared" si="38"/>
        <v>#N/A</v>
      </c>
      <c r="AW38" t="e">
        <f t="shared" si="39"/>
        <v>#N/A</v>
      </c>
      <c r="AX38" t="e">
        <f t="shared" si="40"/>
        <v>#N/A</v>
      </c>
      <c r="AY38" t="e">
        <f t="shared" si="41"/>
        <v>#N/A</v>
      </c>
      <c r="BE38" t="e">
        <f>IF(Z38=1,IF(INDEX($C$7:$C$126,V38)&gt;=Gantt!$BF$6,NA(),MATCH(INDEX($C$7:$C$126,V38),Gantt!$J$6:$BE$6,1)),NA())</f>
        <v>#N/A</v>
      </c>
      <c r="BF38" t="e">
        <f>IF(Z38=1,IF((INDEX($D$7:$D$126,AA38)-1)&gt;=Gantt!$BF$6,NA(),IF((INDEX($D$7:$D$126,AA38)-1)&lt;Gantt!$J$6,0,MATCH((INDEX($D$7:$D$126,AA38)-1),Gantt!$J$6:$BE$6,1))),NA())</f>
        <v>#N/A</v>
      </c>
      <c r="BG38" t="e">
        <f t="shared" si="42"/>
        <v>#N/A</v>
      </c>
      <c r="BH38" t="e">
        <f t="shared" si="43"/>
        <v>#N/A</v>
      </c>
      <c r="BI38" t="e">
        <f t="shared" si="44"/>
        <v>#N/A</v>
      </c>
      <c r="BJ38" t="e">
        <f t="shared" si="45"/>
        <v>#N/A</v>
      </c>
      <c r="BK38" t="e">
        <f t="shared" si="46"/>
        <v>#N/A</v>
      </c>
      <c r="BL38" t="e">
        <f t="shared" si="47"/>
        <v>#N/A</v>
      </c>
      <c r="BM38" t="e">
        <f t="shared" si="48"/>
        <v>#N/A</v>
      </c>
      <c r="BN38" t="e">
        <f t="shared" si="49"/>
        <v>#N/A</v>
      </c>
      <c r="BO38" t="e">
        <f t="shared" si="50"/>
        <v>#N/A</v>
      </c>
      <c r="BP38" t="e">
        <f t="shared" si="51"/>
        <v>#N/A</v>
      </c>
      <c r="BQ38" t="e">
        <f t="shared" si="52"/>
        <v>#N/A</v>
      </c>
      <c r="BR38" t="e">
        <f t="shared" si="53"/>
        <v>#N/A</v>
      </c>
      <c r="BS38" t="e">
        <f t="shared" si="54"/>
        <v>#N/A</v>
      </c>
      <c r="BT38" t="e">
        <f t="shared" si="55"/>
        <v>#N/A</v>
      </c>
      <c r="BU38" t="e">
        <f t="shared" si="56"/>
        <v>#N/A</v>
      </c>
      <c r="BV38" t="e">
        <f t="shared" si="57"/>
        <v>#N/A</v>
      </c>
      <c r="BW38" t="e">
        <f t="shared" si="58"/>
        <v>#N/A</v>
      </c>
      <c r="BX38" t="e">
        <f t="shared" si="59"/>
        <v>#N/A</v>
      </c>
      <c r="BY38" t="e">
        <f t="shared" si="60"/>
        <v>#N/A</v>
      </c>
      <c r="BZ38" t="e">
        <f t="shared" si="61"/>
        <v>#N/A</v>
      </c>
      <c r="CA38" t="e">
        <f t="shared" si="62"/>
        <v>#N/A</v>
      </c>
      <c r="CB38" t="e">
        <f t="shared" si="63"/>
        <v>#N/A</v>
      </c>
      <c r="CC38" t="e">
        <f t="shared" si="64"/>
        <v>#N/A</v>
      </c>
      <c r="CD38" t="e">
        <f t="shared" si="65"/>
        <v>#N/A</v>
      </c>
      <c r="CE38" t="e">
        <f t="shared" si="66"/>
        <v>#N/A</v>
      </c>
      <c r="CF38" t="e">
        <f t="shared" si="67"/>
        <v>#N/A</v>
      </c>
      <c r="CG38" t="e">
        <f t="shared" si="68"/>
        <v>#N/A</v>
      </c>
      <c r="CI38" t="e">
        <f>AP17</f>
        <v>#N/A</v>
      </c>
      <c r="CJ38" t="e">
        <f>AQ17</f>
        <v>#N/A</v>
      </c>
      <c r="CK38">
        <f>IF(ISNUMBER(CI38),IFERROR(MAX(0,AR17-CI38),0),0)</f>
        <v>0</v>
      </c>
      <c r="CL38">
        <f>IF(ISNUMBER(CI38),IFERROR(MAX(0,CI38-AR17),0),0)</f>
        <v>0</v>
      </c>
      <c r="CM38">
        <f>IF(ISNUMBER(CJ38),IFERROR(MAX(0,AS17-CJ38),0),0)</f>
        <v>0</v>
      </c>
      <c r="CN38">
        <f>IF(ISNUMBER(CJ38),IFERROR(MAX(0,CJ38-AS17),0),0)</f>
        <v>0</v>
      </c>
      <c r="CP38" t="e">
        <f>BX17</f>
        <v>#N/A</v>
      </c>
      <c r="CQ38" t="e">
        <f>BY17</f>
        <v>#N/A</v>
      </c>
      <c r="CR38">
        <f>IF(ISNUMBER(CP38),IFERROR(MAX(0,BZ17-CP38),0),0)</f>
        <v>0</v>
      </c>
      <c r="CS38">
        <f>IF(ISNUMBER(CP38),IFERROR(MAX(0,CP38-BZ17),0),0)</f>
        <v>0</v>
      </c>
      <c r="CT38">
        <f>IF(ISNUMBER(CQ38),IFERROR(MAX(0,CA17-CQ38),0),0)</f>
        <v>0</v>
      </c>
      <c r="CU38">
        <f>IF(ISNUMBER(CQ38),IFERROR(MAX(0,CQ38-CA17),0),0)</f>
        <v>0</v>
      </c>
    </row>
    <row r="39" spans="1:99" x14ac:dyDescent="0.3">
      <c r="A39">
        <v>33</v>
      </c>
      <c r="B39">
        <f>IF(A39&lt;=$B$2,IF(INDEX(Gantt!$A$7:$A$119,A39)&lt;&gt;"",1,0),0)</f>
        <v>0</v>
      </c>
      <c r="C39" t="e">
        <f>IF(B39=1,INDEX(Gantt!$C$7:$C$119,A39),NA())</f>
        <v>#N/A</v>
      </c>
      <c r="D39" t="e">
        <f>IF(B39=1,INDEX(Gantt!$D$7:$D$119,A39)+1,NA())</f>
        <v>#N/A</v>
      </c>
      <c r="E39">
        <f>IF(B39=1,INDEX(Gantt!$BN$7:$BN$119,A39),0)</f>
        <v>0</v>
      </c>
      <c r="F39">
        <f>IF(B39=1,N(INDEX(Gantt!$F$7:$F$119,A39)),0)</f>
        <v>0</v>
      </c>
      <c r="G39">
        <f t="shared" ref="G39:G70" si="69">IF(B39=1,IF(AND(E39=3,D39-C39=1),1,0),0)</f>
        <v>0</v>
      </c>
      <c r="H39" t="e">
        <f t="shared" ref="H39:H70" si="70">IF(B39=1,C39-$B$1,NA())</f>
        <v>#N/A</v>
      </c>
      <c r="I39" t="e">
        <f t="shared" ref="I39:I70" si="71">IF(B39=1,D39-C39,NA())</f>
        <v>#N/A</v>
      </c>
      <c r="J39" t="e">
        <f t="shared" ref="J39:J70" si="72">IF($B39=1,$A39,NA())</f>
        <v>#N/A</v>
      </c>
      <c r="K39" t="e">
        <f t="shared" ref="K39:K70" si="73">IF(AND(B39=1,G39=0,F39&gt;=1),H39,NA())</f>
        <v>#N/A</v>
      </c>
      <c r="L39" t="e">
        <f t="shared" ref="L39:L70" si="74">IF(AND(B39=1,G39=0,F39&lt;1,E39=1),H39+S39,NA())</f>
        <v>#N/A</v>
      </c>
      <c r="M39" t="e">
        <f t="shared" ref="M39:M70" si="75">IF(AND(B39=1,G39=0,F39&lt;1,E39=2),H39+S39,NA())</f>
        <v>#N/A</v>
      </c>
      <c r="N39" t="e">
        <f t="shared" ref="N39:N70" si="76">IF(AND(B39=1,G39=0,F39&lt;1,E39=3),H39+S39,NA())</f>
        <v>#N/A</v>
      </c>
      <c r="O39" t="e">
        <f t="shared" ref="O39:O70" si="77">IF(AND(B39=1,G39=1),H39+0.5,NA())</f>
        <v>#N/A</v>
      </c>
      <c r="P39" t="e">
        <f t="shared" ref="P39:P70" si="78">IF(B39=1,H39+IF(G39=1,1.5,I39),NA())</f>
        <v>#N/A</v>
      </c>
      <c r="Q39" t="str">
        <f>IF(B39=1,INDEX(Gantt!$A$7:$A$119,A39)&amp;"   "&amp;INDEX(Gantt!$B$7:$B$119,A39),"")</f>
        <v/>
      </c>
      <c r="R39" t="e">
        <f t="shared" ref="R39:R70" si="79">IF(AND(B39=1,G39=0,F39&gt;0,F39&lt;1),H39,NA())</f>
        <v>#N/A</v>
      </c>
      <c r="S39">
        <f t="shared" ref="S39:S70" si="80">IF(B39=1,I39*F39,0)</f>
        <v>0</v>
      </c>
      <c r="T39">
        <f t="shared" ref="T39:T70" si="81">IF(B39=1,MAX(0,I39-S39),0)</f>
        <v>0</v>
      </c>
      <c r="U39">
        <v>33</v>
      </c>
      <c r="V39">
        <f t="shared" si="13"/>
        <v>9</v>
      </c>
      <c r="W39">
        <f t="shared" si="14"/>
        <v>1</v>
      </c>
      <c r="X39">
        <f t="shared" si="15"/>
        <v>0</v>
      </c>
      <c r="Y39">
        <f>IF(X39&lt;&gt;1,9999,CHOOSE(W39,INDEX(Gantt!$BQ$7:$BQ$119,V39),INDEX(Gantt!$BR$7:$BR$119,V39),INDEX(Gantt!$BT$7:$BT$119,V39),INDEX(Gantt!$BU$7:$BU$119,V39)))</f>
        <v>9999</v>
      </c>
      <c r="Z39">
        <f t="shared" si="16"/>
        <v>0</v>
      </c>
      <c r="AA39" t="e">
        <f t="shared" si="17"/>
        <v>#N/A</v>
      </c>
      <c r="AB39" t="e">
        <f t="shared" si="18"/>
        <v>#N/A</v>
      </c>
      <c r="AC39" t="e">
        <f t="shared" si="19"/>
        <v>#N/A</v>
      </c>
      <c r="AD39" t="e">
        <f t="shared" si="20"/>
        <v>#N/A</v>
      </c>
      <c r="AE39" t="e">
        <f t="shared" si="21"/>
        <v>#N/A</v>
      </c>
      <c r="AF39" t="e">
        <f t="shared" si="22"/>
        <v>#N/A</v>
      </c>
      <c r="AG39" t="e">
        <f t="shared" si="23"/>
        <v>#N/A</v>
      </c>
      <c r="AH39" t="e">
        <f t="shared" si="24"/>
        <v>#N/A</v>
      </c>
      <c r="AI39" t="e">
        <f t="shared" si="25"/>
        <v>#N/A</v>
      </c>
      <c r="AJ39" t="e">
        <f t="shared" si="26"/>
        <v>#N/A</v>
      </c>
      <c r="AK39" t="e">
        <f t="shared" si="27"/>
        <v>#N/A</v>
      </c>
      <c r="AL39" t="e">
        <f t="shared" si="28"/>
        <v>#N/A</v>
      </c>
      <c r="AM39" t="e">
        <f t="shared" si="29"/>
        <v>#N/A</v>
      </c>
      <c r="AN39" t="e">
        <f t="shared" si="30"/>
        <v>#N/A</v>
      </c>
      <c r="AO39" t="e">
        <f t="shared" si="31"/>
        <v>#N/A</v>
      </c>
      <c r="AP39" t="e">
        <f t="shared" si="32"/>
        <v>#N/A</v>
      </c>
      <c r="AQ39" t="e">
        <f t="shared" si="33"/>
        <v>#N/A</v>
      </c>
      <c r="AR39" t="e">
        <f t="shared" si="34"/>
        <v>#N/A</v>
      </c>
      <c r="AS39" t="e">
        <f t="shared" si="35"/>
        <v>#N/A</v>
      </c>
      <c r="AT39" t="e">
        <f t="shared" si="36"/>
        <v>#N/A</v>
      </c>
      <c r="AU39" t="e">
        <f t="shared" si="37"/>
        <v>#N/A</v>
      </c>
      <c r="AV39" t="e">
        <f t="shared" si="38"/>
        <v>#N/A</v>
      </c>
      <c r="AW39" t="e">
        <f t="shared" si="39"/>
        <v>#N/A</v>
      </c>
      <c r="AX39" t="e">
        <f t="shared" si="40"/>
        <v>#N/A</v>
      </c>
      <c r="AY39" t="e">
        <f t="shared" si="41"/>
        <v>#N/A</v>
      </c>
      <c r="BE39" t="e">
        <f>IF(Z39=1,IF(INDEX($C$7:$C$126,V39)&gt;=Gantt!$BF$6,NA(),MATCH(INDEX($C$7:$C$126,V39),Gantt!$J$6:$BE$6,1)),NA())</f>
        <v>#N/A</v>
      </c>
      <c r="BF39" t="e">
        <f>IF(Z39=1,IF((INDEX($D$7:$D$126,AA39)-1)&gt;=Gantt!$BF$6,NA(),IF((INDEX($D$7:$D$126,AA39)-1)&lt;Gantt!$J$6,0,MATCH((INDEX($D$7:$D$126,AA39)-1),Gantt!$J$6:$BE$6,1))),NA())</f>
        <v>#N/A</v>
      </c>
      <c r="BG39" t="e">
        <f t="shared" si="42"/>
        <v>#N/A</v>
      </c>
      <c r="BH39" t="e">
        <f t="shared" si="43"/>
        <v>#N/A</v>
      </c>
      <c r="BI39" t="e">
        <f t="shared" si="44"/>
        <v>#N/A</v>
      </c>
      <c r="BJ39" t="e">
        <f t="shared" si="45"/>
        <v>#N/A</v>
      </c>
      <c r="BK39" t="e">
        <f t="shared" si="46"/>
        <v>#N/A</v>
      </c>
      <c r="BL39" t="e">
        <f t="shared" si="47"/>
        <v>#N/A</v>
      </c>
      <c r="BM39" t="e">
        <f t="shared" si="48"/>
        <v>#N/A</v>
      </c>
      <c r="BN39" t="e">
        <f t="shared" si="49"/>
        <v>#N/A</v>
      </c>
      <c r="BO39" t="e">
        <f t="shared" si="50"/>
        <v>#N/A</v>
      </c>
      <c r="BP39" t="e">
        <f t="shared" si="51"/>
        <v>#N/A</v>
      </c>
      <c r="BQ39" t="e">
        <f t="shared" si="52"/>
        <v>#N/A</v>
      </c>
      <c r="BR39" t="e">
        <f t="shared" si="53"/>
        <v>#N/A</v>
      </c>
      <c r="BS39" t="e">
        <f t="shared" si="54"/>
        <v>#N/A</v>
      </c>
      <c r="BT39" t="e">
        <f t="shared" si="55"/>
        <v>#N/A</v>
      </c>
      <c r="BU39" t="e">
        <f t="shared" si="56"/>
        <v>#N/A</v>
      </c>
      <c r="BV39" t="e">
        <f t="shared" si="57"/>
        <v>#N/A</v>
      </c>
      <c r="BW39" t="e">
        <f t="shared" si="58"/>
        <v>#N/A</v>
      </c>
      <c r="BX39" t="e">
        <f t="shared" si="59"/>
        <v>#N/A</v>
      </c>
      <c r="BY39" t="e">
        <f t="shared" si="60"/>
        <v>#N/A</v>
      </c>
      <c r="BZ39" t="e">
        <f t="shared" si="61"/>
        <v>#N/A</v>
      </c>
      <c r="CA39" t="e">
        <f t="shared" si="62"/>
        <v>#N/A</v>
      </c>
      <c r="CB39" t="e">
        <f t="shared" si="63"/>
        <v>#N/A</v>
      </c>
      <c r="CC39" t="e">
        <f t="shared" si="64"/>
        <v>#N/A</v>
      </c>
      <c r="CD39" t="e">
        <f t="shared" si="65"/>
        <v>#N/A</v>
      </c>
      <c r="CE39" t="e">
        <f t="shared" si="66"/>
        <v>#N/A</v>
      </c>
      <c r="CF39" t="e">
        <f t="shared" si="67"/>
        <v>#N/A</v>
      </c>
      <c r="CG39" t="e">
        <f t="shared" si="68"/>
        <v>#N/A</v>
      </c>
      <c r="CI39" t="e">
        <f>AT17</f>
        <v>#N/A</v>
      </c>
      <c r="CJ39" t="e">
        <f>AU17</f>
        <v>#N/A</v>
      </c>
      <c r="CK39">
        <f>IF(ISNUMBER(CI39),IFERROR(MAX(0,AV17-CI39),0),0)</f>
        <v>0</v>
      </c>
      <c r="CL39">
        <f>IF(ISNUMBER(CI39),IFERROR(MAX(0,CI39-AV17),0),0)</f>
        <v>0</v>
      </c>
      <c r="CM39">
        <f>IF(ISNUMBER(CJ39),IFERROR(MAX(0,AW17-CJ39),0),0)</f>
        <v>0</v>
      </c>
      <c r="CN39">
        <f>IF(ISNUMBER(CJ39),IFERROR(MAX(0,CJ39-AW17),0),0)</f>
        <v>0</v>
      </c>
      <c r="CP39" t="e">
        <f>CB17</f>
        <v>#N/A</v>
      </c>
      <c r="CQ39" t="e">
        <f>CC17</f>
        <v>#N/A</v>
      </c>
      <c r="CR39">
        <f>IF(ISNUMBER(CP39),IFERROR(MAX(0,CD17-CP39),0),0)</f>
        <v>0</v>
      </c>
      <c r="CS39">
        <f>IF(ISNUMBER(CP39),IFERROR(MAX(0,CP39-CD17),0),0)</f>
        <v>0</v>
      </c>
      <c r="CT39">
        <f>IF(ISNUMBER(CQ39),IFERROR(MAX(0,CE17-CQ39),0),0)</f>
        <v>0</v>
      </c>
      <c r="CU39">
        <f>IF(ISNUMBER(CQ39),IFERROR(MAX(0,CQ39-CE17),0),0)</f>
        <v>0</v>
      </c>
    </row>
    <row r="40" spans="1:99" x14ac:dyDescent="0.3">
      <c r="A40">
        <v>34</v>
      </c>
      <c r="B40">
        <f>IF(A40&lt;=$B$2,IF(INDEX(Gantt!$A$7:$A$119,A40)&lt;&gt;"",1,0),0)</f>
        <v>0</v>
      </c>
      <c r="C40" t="e">
        <f>IF(B40=1,INDEX(Gantt!$C$7:$C$119,A40),NA())</f>
        <v>#N/A</v>
      </c>
      <c r="D40" t="e">
        <f>IF(B40=1,INDEX(Gantt!$D$7:$D$119,A40)+1,NA())</f>
        <v>#N/A</v>
      </c>
      <c r="E40">
        <f>IF(B40=1,INDEX(Gantt!$BN$7:$BN$119,A40),0)</f>
        <v>0</v>
      </c>
      <c r="F40">
        <f>IF(B40=1,N(INDEX(Gantt!$F$7:$F$119,A40)),0)</f>
        <v>0</v>
      </c>
      <c r="G40">
        <f t="shared" si="69"/>
        <v>0</v>
      </c>
      <c r="H40" t="e">
        <f t="shared" si="70"/>
        <v>#N/A</v>
      </c>
      <c r="I40" t="e">
        <f t="shared" si="71"/>
        <v>#N/A</v>
      </c>
      <c r="J40" t="e">
        <f t="shared" si="72"/>
        <v>#N/A</v>
      </c>
      <c r="K40" t="e">
        <f t="shared" si="73"/>
        <v>#N/A</v>
      </c>
      <c r="L40" t="e">
        <f t="shared" si="74"/>
        <v>#N/A</v>
      </c>
      <c r="M40" t="e">
        <f t="shared" si="75"/>
        <v>#N/A</v>
      </c>
      <c r="N40" t="e">
        <f t="shared" si="76"/>
        <v>#N/A</v>
      </c>
      <c r="O40" t="e">
        <f t="shared" si="77"/>
        <v>#N/A</v>
      </c>
      <c r="P40" t="e">
        <f t="shared" si="78"/>
        <v>#N/A</v>
      </c>
      <c r="Q40" t="str">
        <f>IF(B40=1,INDEX(Gantt!$A$7:$A$119,A40)&amp;"   "&amp;INDEX(Gantt!$B$7:$B$119,A40),"")</f>
        <v/>
      </c>
      <c r="R40" t="e">
        <f t="shared" si="79"/>
        <v>#N/A</v>
      </c>
      <c r="S40">
        <f t="shared" si="80"/>
        <v>0</v>
      </c>
      <c r="T40">
        <f t="shared" si="81"/>
        <v>0</v>
      </c>
      <c r="U40">
        <v>34</v>
      </c>
      <c r="V40">
        <f t="shared" si="13"/>
        <v>9</v>
      </c>
      <c r="W40">
        <f t="shared" si="14"/>
        <v>2</v>
      </c>
      <c r="X40">
        <f t="shared" si="15"/>
        <v>0</v>
      </c>
      <c r="Y40">
        <f>IF(X40&lt;&gt;1,9999,CHOOSE(W40,INDEX(Gantt!$BQ$7:$BQ$119,V40),INDEX(Gantt!$BR$7:$BR$119,V40),INDEX(Gantt!$BT$7:$BT$119,V40),INDEX(Gantt!$BU$7:$BU$119,V40)))</f>
        <v>9999</v>
      </c>
      <c r="Z40">
        <f t="shared" si="16"/>
        <v>0</v>
      </c>
      <c r="AA40" t="e">
        <f t="shared" si="17"/>
        <v>#N/A</v>
      </c>
      <c r="AB40" t="e">
        <f t="shared" si="18"/>
        <v>#N/A</v>
      </c>
      <c r="AC40" t="e">
        <f t="shared" si="19"/>
        <v>#N/A</v>
      </c>
      <c r="AD40" t="e">
        <f t="shared" si="20"/>
        <v>#N/A</v>
      </c>
      <c r="AE40" t="e">
        <f t="shared" si="21"/>
        <v>#N/A</v>
      </c>
      <c r="AF40" t="e">
        <f t="shared" si="22"/>
        <v>#N/A</v>
      </c>
      <c r="AG40" t="e">
        <f t="shared" si="23"/>
        <v>#N/A</v>
      </c>
      <c r="AH40" t="e">
        <f t="shared" si="24"/>
        <v>#N/A</v>
      </c>
      <c r="AI40" t="e">
        <f t="shared" si="25"/>
        <v>#N/A</v>
      </c>
      <c r="AJ40" t="e">
        <f t="shared" si="26"/>
        <v>#N/A</v>
      </c>
      <c r="AK40" t="e">
        <f t="shared" si="27"/>
        <v>#N/A</v>
      </c>
      <c r="AL40" t="e">
        <f t="shared" si="28"/>
        <v>#N/A</v>
      </c>
      <c r="AM40" t="e">
        <f t="shared" si="29"/>
        <v>#N/A</v>
      </c>
      <c r="AN40" t="e">
        <f t="shared" si="30"/>
        <v>#N/A</v>
      </c>
      <c r="AO40" t="e">
        <f t="shared" si="31"/>
        <v>#N/A</v>
      </c>
      <c r="AP40" t="e">
        <f t="shared" si="32"/>
        <v>#N/A</v>
      </c>
      <c r="AQ40" t="e">
        <f t="shared" si="33"/>
        <v>#N/A</v>
      </c>
      <c r="AR40" t="e">
        <f t="shared" si="34"/>
        <v>#N/A</v>
      </c>
      <c r="AS40" t="e">
        <f t="shared" si="35"/>
        <v>#N/A</v>
      </c>
      <c r="AT40" t="e">
        <f t="shared" si="36"/>
        <v>#N/A</v>
      </c>
      <c r="AU40" t="e">
        <f t="shared" si="37"/>
        <v>#N/A</v>
      </c>
      <c r="AV40" t="e">
        <f t="shared" si="38"/>
        <v>#N/A</v>
      </c>
      <c r="AW40" t="e">
        <f t="shared" si="39"/>
        <v>#N/A</v>
      </c>
      <c r="AX40" t="e">
        <f t="shared" si="40"/>
        <v>#N/A</v>
      </c>
      <c r="AY40" t="e">
        <f t="shared" si="41"/>
        <v>#N/A</v>
      </c>
      <c r="BE40" t="e">
        <f>IF(Z40=1,IF(INDEX($C$7:$C$126,V40)&gt;=Gantt!$BF$6,NA(),MATCH(INDEX($C$7:$C$126,V40),Gantt!$J$6:$BE$6,1)),NA())</f>
        <v>#N/A</v>
      </c>
      <c r="BF40" t="e">
        <f>IF(Z40=1,IF((INDEX($D$7:$D$126,AA40)-1)&gt;=Gantt!$BF$6,NA(),IF((INDEX($D$7:$D$126,AA40)-1)&lt;Gantt!$J$6,0,MATCH((INDEX($D$7:$D$126,AA40)-1),Gantt!$J$6:$BE$6,1))),NA())</f>
        <v>#N/A</v>
      </c>
      <c r="BG40" t="e">
        <f t="shared" si="42"/>
        <v>#N/A</v>
      </c>
      <c r="BH40" t="e">
        <f t="shared" si="43"/>
        <v>#N/A</v>
      </c>
      <c r="BI40" t="e">
        <f t="shared" si="44"/>
        <v>#N/A</v>
      </c>
      <c r="BJ40" t="e">
        <f t="shared" si="45"/>
        <v>#N/A</v>
      </c>
      <c r="BK40" t="e">
        <f t="shared" si="46"/>
        <v>#N/A</v>
      </c>
      <c r="BL40" t="e">
        <f t="shared" si="47"/>
        <v>#N/A</v>
      </c>
      <c r="BM40" t="e">
        <f t="shared" si="48"/>
        <v>#N/A</v>
      </c>
      <c r="BN40" t="e">
        <f t="shared" si="49"/>
        <v>#N/A</v>
      </c>
      <c r="BO40" t="e">
        <f t="shared" si="50"/>
        <v>#N/A</v>
      </c>
      <c r="BP40" t="e">
        <f t="shared" si="51"/>
        <v>#N/A</v>
      </c>
      <c r="BQ40" t="e">
        <f t="shared" si="52"/>
        <v>#N/A</v>
      </c>
      <c r="BR40" t="e">
        <f t="shared" si="53"/>
        <v>#N/A</v>
      </c>
      <c r="BS40" t="e">
        <f t="shared" si="54"/>
        <v>#N/A</v>
      </c>
      <c r="BT40" t="e">
        <f t="shared" si="55"/>
        <v>#N/A</v>
      </c>
      <c r="BU40" t="e">
        <f t="shared" si="56"/>
        <v>#N/A</v>
      </c>
      <c r="BV40" t="e">
        <f t="shared" si="57"/>
        <v>#N/A</v>
      </c>
      <c r="BW40" t="e">
        <f t="shared" si="58"/>
        <v>#N/A</v>
      </c>
      <c r="BX40" t="e">
        <f t="shared" si="59"/>
        <v>#N/A</v>
      </c>
      <c r="BY40" t="e">
        <f t="shared" si="60"/>
        <v>#N/A</v>
      </c>
      <c r="BZ40" t="e">
        <f t="shared" si="61"/>
        <v>#N/A</v>
      </c>
      <c r="CA40" t="e">
        <f t="shared" si="62"/>
        <v>#N/A</v>
      </c>
      <c r="CB40" t="e">
        <f t="shared" si="63"/>
        <v>#N/A</v>
      </c>
      <c r="CC40" t="e">
        <f t="shared" si="64"/>
        <v>#N/A</v>
      </c>
      <c r="CD40" t="e">
        <f t="shared" si="65"/>
        <v>#N/A</v>
      </c>
      <c r="CE40" t="e">
        <f t="shared" si="66"/>
        <v>#N/A</v>
      </c>
      <c r="CF40" t="e">
        <f t="shared" si="67"/>
        <v>#N/A</v>
      </c>
      <c r="CG40" t="e">
        <f t="shared" si="68"/>
        <v>#N/A</v>
      </c>
      <c r="CI40" t="e">
        <f>AL18</f>
        <v>#N/A</v>
      </c>
      <c r="CJ40" t="e">
        <f>AM18</f>
        <v>#N/A</v>
      </c>
      <c r="CK40">
        <f>IF(ISNUMBER(CI40),IFERROR(MAX(0,AN18-CI40),0),0)</f>
        <v>0</v>
      </c>
      <c r="CL40">
        <f>IF(ISNUMBER(CI40),IFERROR(MAX(0,CI40-AN18),0),0)</f>
        <v>0</v>
      </c>
      <c r="CM40">
        <f>IF(ISNUMBER(CJ40),IFERROR(MAX(0,AO18-CJ40),0),0)</f>
        <v>0</v>
      </c>
      <c r="CN40">
        <f>IF(ISNUMBER(CJ40),IFERROR(MAX(0,CJ40-AO18),0),0)</f>
        <v>0</v>
      </c>
      <c r="CP40" t="e">
        <f>BT18</f>
        <v>#N/A</v>
      </c>
      <c r="CQ40" t="e">
        <f>BU18</f>
        <v>#N/A</v>
      </c>
      <c r="CR40">
        <f>IF(ISNUMBER(CP40),IFERROR(MAX(0,BV18-CP40),0),0)</f>
        <v>0</v>
      </c>
      <c r="CS40">
        <f>IF(ISNUMBER(CP40),IFERROR(MAX(0,CP40-BV18),0),0)</f>
        <v>0</v>
      </c>
      <c r="CT40">
        <f>IF(ISNUMBER(CQ40),IFERROR(MAX(0,BW18-CQ40),0),0)</f>
        <v>0</v>
      </c>
      <c r="CU40">
        <f>IF(ISNUMBER(CQ40),IFERROR(MAX(0,CQ40-BW18),0),0)</f>
        <v>0</v>
      </c>
    </row>
    <row r="41" spans="1:99" x14ac:dyDescent="0.3">
      <c r="A41">
        <v>35</v>
      </c>
      <c r="B41">
        <f>IF(A41&lt;=$B$2,IF(INDEX(Gantt!$A$7:$A$119,A41)&lt;&gt;"",1,0),0)</f>
        <v>0</v>
      </c>
      <c r="C41" t="e">
        <f>IF(B41=1,INDEX(Gantt!$C$7:$C$119,A41),NA())</f>
        <v>#N/A</v>
      </c>
      <c r="D41" t="e">
        <f>IF(B41=1,INDEX(Gantt!$D$7:$D$119,A41)+1,NA())</f>
        <v>#N/A</v>
      </c>
      <c r="E41">
        <f>IF(B41=1,INDEX(Gantt!$BN$7:$BN$119,A41),0)</f>
        <v>0</v>
      </c>
      <c r="F41">
        <f>IF(B41=1,N(INDEX(Gantt!$F$7:$F$119,A41)),0)</f>
        <v>0</v>
      </c>
      <c r="G41">
        <f t="shared" si="69"/>
        <v>0</v>
      </c>
      <c r="H41" t="e">
        <f t="shared" si="70"/>
        <v>#N/A</v>
      </c>
      <c r="I41" t="e">
        <f t="shared" si="71"/>
        <v>#N/A</v>
      </c>
      <c r="J41" t="e">
        <f t="shared" si="72"/>
        <v>#N/A</v>
      </c>
      <c r="K41" t="e">
        <f t="shared" si="73"/>
        <v>#N/A</v>
      </c>
      <c r="L41" t="e">
        <f t="shared" si="74"/>
        <v>#N/A</v>
      </c>
      <c r="M41" t="e">
        <f t="shared" si="75"/>
        <v>#N/A</v>
      </c>
      <c r="N41" t="e">
        <f t="shared" si="76"/>
        <v>#N/A</v>
      </c>
      <c r="O41" t="e">
        <f t="shared" si="77"/>
        <v>#N/A</v>
      </c>
      <c r="P41" t="e">
        <f t="shared" si="78"/>
        <v>#N/A</v>
      </c>
      <c r="Q41" t="str">
        <f>IF(B41=1,INDEX(Gantt!$A$7:$A$119,A41)&amp;"   "&amp;INDEX(Gantt!$B$7:$B$119,A41),"")</f>
        <v/>
      </c>
      <c r="R41" t="e">
        <f t="shared" si="79"/>
        <v>#N/A</v>
      </c>
      <c r="S41">
        <f t="shared" si="80"/>
        <v>0</v>
      </c>
      <c r="T41">
        <f t="shared" si="81"/>
        <v>0</v>
      </c>
      <c r="U41">
        <v>35</v>
      </c>
      <c r="V41">
        <f t="shared" si="13"/>
        <v>9</v>
      </c>
      <c r="W41">
        <f t="shared" si="14"/>
        <v>3</v>
      </c>
      <c r="X41">
        <f t="shared" si="15"/>
        <v>0</v>
      </c>
      <c r="Y41">
        <f>IF(X41&lt;&gt;1,9999,CHOOSE(W41,INDEX(Gantt!$BQ$7:$BQ$119,V41),INDEX(Gantt!$BR$7:$BR$119,V41),INDEX(Gantt!$BT$7:$BT$119,V41),INDEX(Gantt!$BU$7:$BU$119,V41)))</f>
        <v>9999</v>
      </c>
      <c r="Z41">
        <f t="shared" si="16"/>
        <v>0</v>
      </c>
      <c r="AA41" t="e">
        <f t="shared" si="17"/>
        <v>#N/A</v>
      </c>
      <c r="AB41" t="e">
        <f t="shared" si="18"/>
        <v>#N/A</v>
      </c>
      <c r="AC41" t="e">
        <f t="shared" si="19"/>
        <v>#N/A</v>
      </c>
      <c r="AD41" t="e">
        <f t="shared" si="20"/>
        <v>#N/A</v>
      </c>
      <c r="AE41" t="e">
        <f t="shared" si="21"/>
        <v>#N/A</v>
      </c>
      <c r="AF41" t="e">
        <f t="shared" si="22"/>
        <v>#N/A</v>
      </c>
      <c r="AG41" t="e">
        <f t="shared" si="23"/>
        <v>#N/A</v>
      </c>
      <c r="AH41" t="e">
        <f t="shared" si="24"/>
        <v>#N/A</v>
      </c>
      <c r="AI41" t="e">
        <f t="shared" si="25"/>
        <v>#N/A</v>
      </c>
      <c r="AJ41" t="e">
        <f t="shared" si="26"/>
        <v>#N/A</v>
      </c>
      <c r="AK41" t="e">
        <f t="shared" si="27"/>
        <v>#N/A</v>
      </c>
      <c r="AL41" t="e">
        <f t="shared" si="28"/>
        <v>#N/A</v>
      </c>
      <c r="AM41" t="e">
        <f t="shared" si="29"/>
        <v>#N/A</v>
      </c>
      <c r="AN41" t="e">
        <f t="shared" si="30"/>
        <v>#N/A</v>
      </c>
      <c r="AO41" t="e">
        <f t="shared" si="31"/>
        <v>#N/A</v>
      </c>
      <c r="AP41" t="e">
        <f t="shared" si="32"/>
        <v>#N/A</v>
      </c>
      <c r="AQ41" t="e">
        <f t="shared" si="33"/>
        <v>#N/A</v>
      </c>
      <c r="AR41" t="e">
        <f t="shared" si="34"/>
        <v>#N/A</v>
      </c>
      <c r="AS41" t="e">
        <f t="shared" si="35"/>
        <v>#N/A</v>
      </c>
      <c r="AT41" t="e">
        <f t="shared" si="36"/>
        <v>#N/A</v>
      </c>
      <c r="AU41" t="e">
        <f t="shared" si="37"/>
        <v>#N/A</v>
      </c>
      <c r="AV41" t="e">
        <f t="shared" si="38"/>
        <v>#N/A</v>
      </c>
      <c r="AW41" t="e">
        <f t="shared" si="39"/>
        <v>#N/A</v>
      </c>
      <c r="AX41" t="e">
        <f t="shared" si="40"/>
        <v>#N/A</v>
      </c>
      <c r="AY41" t="e">
        <f t="shared" si="41"/>
        <v>#N/A</v>
      </c>
      <c r="BE41" t="e">
        <f>IF(Z41=1,IF(INDEX($C$7:$C$126,V41)&gt;=Gantt!$BF$6,NA(),MATCH(INDEX($C$7:$C$126,V41),Gantt!$J$6:$BE$6,1)),NA())</f>
        <v>#N/A</v>
      </c>
      <c r="BF41" t="e">
        <f>IF(Z41=1,IF((INDEX($D$7:$D$126,AA41)-1)&gt;=Gantt!$BF$6,NA(),IF((INDEX($D$7:$D$126,AA41)-1)&lt;Gantt!$J$6,0,MATCH((INDEX($D$7:$D$126,AA41)-1),Gantt!$J$6:$BE$6,1))),NA())</f>
        <v>#N/A</v>
      </c>
      <c r="BG41" t="e">
        <f t="shared" si="42"/>
        <v>#N/A</v>
      </c>
      <c r="BH41" t="e">
        <f t="shared" si="43"/>
        <v>#N/A</v>
      </c>
      <c r="BI41" t="e">
        <f t="shared" si="44"/>
        <v>#N/A</v>
      </c>
      <c r="BJ41" t="e">
        <f t="shared" si="45"/>
        <v>#N/A</v>
      </c>
      <c r="BK41" t="e">
        <f t="shared" si="46"/>
        <v>#N/A</v>
      </c>
      <c r="BL41" t="e">
        <f t="shared" si="47"/>
        <v>#N/A</v>
      </c>
      <c r="BM41" t="e">
        <f t="shared" si="48"/>
        <v>#N/A</v>
      </c>
      <c r="BN41" t="e">
        <f t="shared" si="49"/>
        <v>#N/A</v>
      </c>
      <c r="BO41" t="e">
        <f t="shared" si="50"/>
        <v>#N/A</v>
      </c>
      <c r="BP41" t="e">
        <f t="shared" si="51"/>
        <v>#N/A</v>
      </c>
      <c r="BQ41" t="e">
        <f t="shared" si="52"/>
        <v>#N/A</v>
      </c>
      <c r="BR41" t="e">
        <f t="shared" si="53"/>
        <v>#N/A</v>
      </c>
      <c r="BS41" t="e">
        <f t="shared" si="54"/>
        <v>#N/A</v>
      </c>
      <c r="BT41" t="e">
        <f t="shared" si="55"/>
        <v>#N/A</v>
      </c>
      <c r="BU41" t="e">
        <f t="shared" si="56"/>
        <v>#N/A</v>
      </c>
      <c r="BV41" t="e">
        <f t="shared" si="57"/>
        <v>#N/A</v>
      </c>
      <c r="BW41" t="e">
        <f t="shared" si="58"/>
        <v>#N/A</v>
      </c>
      <c r="BX41" t="e">
        <f t="shared" si="59"/>
        <v>#N/A</v>
      </c>
      <c r="BY41" t="e">
        <f t="shared" si="60"/>
        <v>#N/A</v>
      </c>
      <c r="BZ41" t="e">
        <f t="shared" si="61"/>
        <v>#N/A</v>
      </c>
      <c r="CA41" t="e">
        <f t="shared" si="62"/>
        <v>#N/A</v>
      </c>
      <c r="CB41" t="e">
        <f t="shared" si="63"/>
        <v>#N/A</v>
      </c>
      <c r="CC41" t="e">
        <f t="shared" si="64"/>
        <v>#N/A</v>
      </c>
      <c r="CD41" t="e">
        <f t="shared" si="65"/>
        <v>#N/A</v>
      </c>
      <c r="CE41" t="e">
        <f t="shared" si="66"/>
        <v>#N/A</v>
      </c>
      <c r="CF41" t="e">
        <f t="shared" si="67"/>
        <v>#N/A</v>
      </c>
      <c r="CG41" t="e">
        <f t="shared" si="68"/>
        <v>#N/A</v>
      </c>
      <c r="CI41" t="e">
        <f>AP18</f>
        <v>#N/A</v>
      </c>
      <c r="CJ41" t="e">
        <f>AQ18</f>
        <v>#N/A</v>
      </c>
      <c r="CK41">
        <f>IF(ISNUMBER(CI41),IFERROR(MAX(0,AR18-CI41),0),0)</f>
        <v>0</v>
      </c>
      <c r="CL41">
        <f>IF(ISNUMBER(CI41),IFERROR(MAX(0,CI41-AR18),0),0)</f>
        <v>0</v>
      </c>
      <c r="CM41">
        <f>IF(ISNUMBER(CJ41),IFERROR(MAX(0,AS18-CJ41),0),0)</f>
        <v>0</v>
      </c>
      <c r="CN41">
        <f>IF(ISNUMBER(CJ41),IFERROR(MAX(0,CJ41-AS18),0),0)</f>
        <v>0</v>
      </c>
      <c r="CP41" t="e">
        <f>BX18</f>
        <v>#N/A</v>
      </c>
      <c r="CQ41" t="e">
        <f>BY18</f>
        <v>#N/A</v>
      </c>
      <c r="CR41">
        <f>IF(ISNUMBER(CP41),IFERROR(MAX(0,BZ18-CP41),0),0)</f>
        <v>0</v>
      </c>
      <c r="CS41">
        <f>IF(ISNUMBER(CP41),IFERROR(MAX(0,CP41-BZ18),0),0)</f>
        <v>0</v>
      </c>
      <c r="CT41">
        <f>IF(ISNUMBER(CQ41),IFERROR(MAX(0,CA18-CQ41),0),0)</f>
        <v>0</v>
      </c>
      <c r="CU41">
        <f>IF(ISNUMBER(CQ41),IFERROR(MAX(0,CQ41-CA18),0),0)</f>
        <v>0</v>
      </c>
    </row>
    <row r="42" spans="1:99" x14ac:dyDescent="0.3">
      <c r="A42">
        <v>36</v>
      </c>
      <c r="B42">
        <f>IF(A42&lt;=$B$2,IF(INDEX(Gantt!$A$7:$A$119,A42)&lt;&gt;"",1,0),0)</f>
        <v>0</v>
      </c>
      <c r="C42" t="e">
        <f>IF(B42=1,INDEX(Gantt!$C$7:$C$119,A42),NA())</f>
        <v>#N/A</v>
      </c>
      <c r="D42" t="e">
        <f>IF(B42=1,INDEX(Gantt!$D$7:$D$119,A42)+1,NA())</f>
        <v>#N/A</v>
      </c>
      <c r="E42">
        <f>IF(B42=1,INDEX(Gantt!$BN$7:$BN$119,A42),0)</f>
        <v>0</v>
      </c>
      <c r="F42">
        <f>IF(B42=1,N(INDEX(Gantt!$F$7:$F$119,A42)),0)</f>
        <v>0</v>
      </c>
      <c r="G42">
        <f t="shared" si="69"/>
        <v>0</v>
      </c>
      <c r="H42" t="e">
        <f t="shared" si="70"/>
        <v>#N/A</v>
      </c>
      <c r="I42" t="e">
        <f t="shared" si="71"/>
        <v>#N/A</v>
      </c>
      <c r="J42" t="e">
        <f t="shared" si="72"/>
        <v>#N/A</v>
      </c>
      <c r="K42" t="e">
        <f t="shared" si="73"/>
        <v>#N/A</v>
      </c>
      <c r="L42" t="e">
        <f t="shared" si="74"/>
        <v>#N/A</v>
      </c>
      <c r="M42" t="e">
        <f t="shared" si="75"/>
        <v>#N/A</v>
      </c>
      <c r="N42" t="e">
        <f t="shared" si="76"/>
        <v>#N/A</v>
      </c>
      <c r="O42" t="e">
        <f t="shared" si="77"/>
        <v>#N/A</v>
      </c>
      <c r="P42" t="e">
        <f t="shared" si="78"/>
        <v>#N/A</v>
      </c>
      <c r="Q42" t="str">
        <f>IF(B42=1,INDEX(Gantt!$A$7:$A$119,A42)&amp;"   "&amp;INDEX(Gantt!$B$7:$B$119,A42),"")</f>
        <v/>
      </c>
      <c r="R42" t="e">
        <f t="shared" si="79"/>
        <v>#N/A</v>
      </c>
      <c r="S42">
        <f t="shared" si="80"/>
        <v>0</v>
      </c>
      <c r="T42">
        <f t="shared" si="81"/>
        <v>0</v>
      </c>
      <c r="U42">
        <v>36</v>
      </c>
      <c r="V42">
        <f t="shared" si="13"/>
        <v>9</v>
      </c>
      <c r="W42">
        <f t="shared" si="14"/>
        <v>4</v>
      </c>
      <c r="X42">
        <f t="shared" si="15"/>
        <v>0</v>
      </c>
      <c r="Y42">
        <f>IF(X42&lt;&gt;1,9999,CHOOSE(W42,INDEX(Gantt!$BQ$7:$BQ$119,V42),INDEX(Gantt!$BR$7:$BR$119,V42),INDEX(Gantt!$BT$7:$BT$119,V42),INDEX(Gantt!$BU$7:$BU$119,V42)))</f>
        <v>9999</v>
      </c>
      <c r="Z42">
        <f t="shared" si="16"/>
        <v>0</v>
      </c>
      <c r="AA42" t="e">
        <f t="shared" si="17"/>
        <v>#N/A</v>
      </c>
      <c r="AB42" t="e">
        <f t="shared" si="18"/>
        <v>#N/A</v>
      </c>
      <c r="AC42" t="e">
        <f t="shared" si="19"/>
        <v>#N/A</v>
      </c>
      <c r="AD42" t="e">
        <f t="shared" si="20"/>
        <v>#N/A</v>
      </c>
      <c r="AE42" t="e">
        <f t="shared" si="21"/>
        <v>#N/A</v>
      </c>
      <c r="AF42" t="e">
        <f t="shared" si="22"/>
        <v>#N/A</v>
      </c>
      <c r="AG42" t="e">
        <f t="shared" si="23"/>
        <v>#N/A</v>
      </c>
      <c r="AH42" t="e">
        <f t="shared" si="24"/>
        <v>#N/A</v>
      </c>
      <c r="AI42" t="e">
        <f t="shared" si="25"/>
        <v>#N/A</v>
      </c>
      <c r="AJ42" t="e">
        <f t="shared" si="26"/>
        <v>#N/A</v>
      </c>
      <c r="AK42" t="e">
        <f t="shared" si="27"/>
        <v>#N/A</v>
      </c>
      <c r="AL42" t="e">
        <f t="shared" si="28"/>
        <v>#N/A</v>
      </c>
      <c r="AM42" t="e">
        <f t="shared" si="29"/>
        <v>#N/A</v>
      </c>
      <c r="AN42" t="e">
        <f t="shared" si="30"/>
        <v>#N/A</v>
      </c>
      <c r="AO42" t="e">
        <f t="shared" si="31"/>
        <v>#N/A</v>
      </c>
      <c r="AP42" t="e">
        <f t="shared" si="32"/>
        <v>#N/A</v>
      </c>
      <c r="AQ42" t="e">
        <f t="shared" si="33"/>
        <v>#N/A</v>
      </c>
      <c r="AR42" t="e">
        <f t="shared" si="34"/>
        <v>#N/A</v>
      </c>
      <c r="AS42" t="e">
        <f t="shared" si="35"/>
        <v>#N/A</v>
      </c>
      <c r="AT42" t="e">
        <f t="shared" si="36"/>
        <v>#N/A</v>
      </c>
      <c r="AU42" t="e">
        <f t="shared" si="37"/>
        <v>#N/A</v>
      </c>
      <c r="AV42" t="e">
        <f t="shared" si="38"/>
        <v>#N/A</v>
      </c>
      <c r="AW42" t="e">
        <f t="shared" si="39"/>
        <v>#N/A</v>
      </c>
      <c r="AX42" t="e">
        <f t="shared" si="40"/>
        <v>#N/A</v>
      </c>
      <c r="AY42" t="e">
        <f t="shared" si="41"/>
        <v>#N/A</v>
      </c>
      <c r="BE42" t="e">
        <f>IF(Z42=1,IF(INDEX($C$7:$C$126,V42)&gt;=Gantt!$BF$6,NA(),MATCH(INDEX($C$7:$C$126,V42),Gantt!$J$6:$BE$6,1)),NA())</f>
        <v>#N/A</v>
      </c>
      <c r="BF42" t="e">
        <f>IF(Z42=1,IF((INDEX($D$7:$D$126,AA42)-1)&gt;=Gantt!$BF$6,NA(),IF((INDEX($D$7:$D$126,AA42)-1)&lt;Gantt!$J$6,0,MATCH((INDEX($D$7:$D$126,AA42)-1),Gantt!$J$6:$BE$6,1))),NA())</f>
        <v>#N/A</v>
      </c>
      <c r="BG42" t="e">
        <f t="shared" si="42"/>
        <v>#N/A</v>
      </c>
      <c r="BH42" t="e">
        <f t="shared" si="43"/>
        <v>#N/A</v>
      </c>
      <c r="BI42" t="e">
        <f t="shared" si="44"/>
        <v>#N/A</v>
      </c>
      <c r="BJ42" t="e">
        <f t="shared" si="45"/>
        <v>#N/A</v>
      </c>
      <c r="BK42" t="e">
        <f t="shared" si="46"/>
        <v>#N/A</v>
      </c>
      <c r="BL42" t="e">
        <f t="shared" si="47"/>
        <v>#N/A</v>
      </c>
      <c r="BM42" t="e">
        <f t="shared" si="48"/>
        <v>#N/A</v>
      </c>
      <c r="BN42" t="e">
        <f t="shared" si="49"/>
        <v>#N/A</v>
      </c>
      <c r="BO42" t="e">
        <f t="shared" si="50"/>
        <v>#N/A</v>
      </c>
      <c r="BP42" t="e">
        <f t="shared" si="51"/>
        <v>#N/A</v>
      </c>
      <c r="BQ42" t="e">
        <f t="shared" si="52"/>
        <v>#N/A</v>
      </c>
      <c r="BR42" t="e">
        <f t="shared" si="53"/>
        <v>#N/A</v>
      </c>
      <c r="BS42" t="e">
        <f t="shared" si="54"/>
        <v>#N/A</v>
      </c>
      <c r="BT42" t="e">
        <f t="shared" si="55"/>
        <v>#N/A</v>
      </c>
      <c r="BU42" t="e">
        <f t="shared" si="56"/>
        <v>#N/A</v>
      </c>
      <c r="BV42" t="e">
        <f t="shared" si="57"/>
        <v>#N/A</v>
      </c>
      <c r="BW42" t="e">
        <f t="shared" si="58"/>
        <v>#N/A</v>
      </c>
      <c r="BX42" t="e">
        <f t="shared" si="59"/>
        <v>#N/A</v>
      </c>
      <c r="BY42" t="e">
        <f t="shared" si="60"/>
        <v>#N/A</v>
      </c>
      <c r="BZ42" t="e">
        <f t="shared" si="61"/>
        <v>#N/A</v>
      </c>
      <c r="CA42" t="e">
        <f t="shared" si="62"/>
        <v>#N/A</v>
      </c>
      <c r="CB42" t="e">
        <f t="shared" si="63"/>
        <v>#N/A</v>
      </c>
      <c r="CC42" t="e">
        <f t="shared" si="64"/>
        <v>#N/A</v>
      </c>
      <c r="CD42" t="e">
        <f t="shared" si="65"/>
        <v>#N/A</v>
      </c>
      <c r="CE42" t="e">
        <f t="shared" si="66"/>
        <v>#N/A</v>
      </c>
      <c r="CF42" t="e">
        <f t="shared" si="67"/>
        <v>#N/A</v>
      </c>
      <c r="CG42" t="e">
        <f t="shared" si="68"/>
        <v>#N/A</v>
      </c>
      <c r="CI42" t="e">
        <f>AT18</f>
        <v>#N/A</v>
      </c>
      <c r="CJ42" t="e">
        <f>AU18</f>
        <v>#N/A</v>
      </c>
      <c r="CK42">
        <f>IF(ISNUMBER(CI42),IFERROR(MAX(0,AV18-CI42),0),0)</f>
        <v>0</v>
      </c>
      <c r="CL42">
        <f>IF(ISNUMBER(CI42),IFERROR(MAX(0,CI42-AV18),0),0)</f>
        <v>0</v>
      </c>
      <c r="CM42">
        <f>IF(ISNUMBER(CJ42),IFERROR(MAX(0,AW18-CJ42),0),0)</f>
        <v>0</v>
      </c>
      <c r="CN42">
        <f>IF(ISNUMBER(CJ42),IFERROR(MAX(0,CJ42-AW18),0),0)</f>
        <v>0</v>
      </c>
      <c r="CP42" t="e">
        <f>CB18</f>
        <v>#N/A</v>
      </c>
      <c r="CQ42" t="e">
        <f>CC18</f>
        <v>#N/A</v>
      </c>
      <c r="CR42">
        <f>IF(ISNUMBER(CP42),IFERROR(MAX(0,CD18-CP42),0),0)</f>
        <v>0</v>
      </c>
      <c r="CS42">
        <f>IF(ISNUMBER(CP42),IFERROR(MAX(0,CP42-CD18),0),0)</f>
        <v>0</v>
      </c>
      <c r="CT42">
        <f>IF(ISNUMBER(CQ42),IFERROR(MAX(0,CE18-CQ42),0),0)</f>
        <v>0</v>
      </c>
      <c r="CU42">
        <f>IF(ISNUMBER(CQ42),IFERROR(MAX(0,CQ42-CE18),0),0)</f>
        <v>0</v>
      </c>
    </row>
    <row r="43" spans="1:99" x14ac:dyDescent="0.3">
      <c r="A43">
        <v>37</v>
      </c>
      <c r="B43">
        <f>IF(A43&lt;=$B$2,IF(INDEX(Gantt!$A$7:$A$119,A43)&lt;&gt;"",1,0),0)</f>
        <v>0</v>
      </c>
      <c r="C43" t="e">
        <f>IF(B43=1,INDEX(Gantt!$C$7:$C$119,A43),NA())</f>
        <v>#N/A</v>
      </c>
      <c r="D43" t="e">
        <f>IF(B43=1,INDEX(Gantt!$D$7:$D$119,A43)+1,NA())</f>
        <v>#N/A</v>
      </c>
      <c r="E43">
        <f>IF(B43=1,INDEX(Gantt!$BN$7:$BN$119,A43),0)</f>
        <v>0</v>
      </c>
      <c r="F43">
        <f>IF(B43=1,N(INDEX(Gantt!$F$7:$F$119,A43)),0)</f>
        <v>0</v>
      </c>
      <c r="G43">
        <f t="shared" si="69"/>
        <v>0</v>
      </c>
      <c r="H43" t="e">
        <f t="shared" si="70"/>
        <v>#N/A</v>
      </c>
      <c r="I43" t="e">
        <f t="shared" si="71"/>
        <v>#N/A</v>
      </c>
      <c r="J43" t="e">
        <f t="shared" si="72"/>
        <v>#N/A</v>
      </c>
      <c r="K43" t="e">
        <f t="shared" si="73"/>
        <v>#N/A</v>
      </c>
      <c r="L43" t="e">
        <f t="shared" si="74"/>
        <v>#N/A</v>
      </c>
      <c r="M43" t="e">
        <f t="shared" si="75"/>
        <v>#N/A</v>
      </c>
      <c r="N43" t="e">
        <f t="shared" si="76"/>
        <v>#N/A</v>
      </c>
      <c r="O43" t="e">
        <f t="shared" si="77"/>
        <v>#N/A</v>
      </c>
      <c r="P43" t="e">
        <f t="shared" si="78"/>
        <v>#N/A</v>
      </c>
      <c r="Q43" t="str">
        <f>IF(B43=1,INDEX(Gantt!$A$7:$A$119,A43)&amp;"   "&amp;INDEX(Gantt!$B$7:$B$119,A43),"")</f>
        <v/>
      </c>
      <c r="R43" t="e">
        <f t="shared" si="79"/>
        <v>#N/A</v>
      </c>
      <c r="S43">
        <f t="shared" si="80"/>
        <v>0</v>
      </c>
      <c r="T43">
        <f t="shared" si="81"/>
        <v>0</v>
      </c>
      <c r="U43">
        <v>37</v>
      </c>
      <c r="V43">
        <f t="shared" si="13"/>
        <v>10</v>
      </c>
      <c r="W43">
        <f t="shared" si="14"/>
        <v>1</v>
      </c>
      <c r="X43">
        <f t="shared" si="15"/>
        <v>0</v>
      </c>
      <c r="Y43">
        <f>IF(X43&lt;&gt;1,9999,CHOOSE(W43,INDEX(Gantt!$BQ$7:$BQ$119,V43),INDEX(Gantt!$BR$7:$BR$119,V43),INDEX(Gantt!$BT$7:$BT$119,V43),INDEX(Gantt!$BU$7:$BU$119,V43)))</f>
        <v>9999</v>
      </c>
      <c r="Z43">
        <f t="shared" si="16"/>
        <v>0</v>
      </c>
      <c r="AA43" t="e">
        <f t="shared" si="17"/>
        <v>#N/A</v>
      </c>
      <c r="AB43" t="e">
        <f t="shared" si="18"/>
        <v>#N/A</v>
      </c>
      <c r="AC43" t="e">
        <f t="shared" si="19"/>
        <v>#N/A</v>
      </c>
      <c r="AD43" t="e">
        <f t="shared" si="20"/>
        <v>#N/A</v>
      </c>
      <c r="AE43" t="e">
        <f t="shared" si="21"/>
        <v>#N/A</v>
      </c>
      <c r="AF43" t="e">
        <f t="shared" si="22"/>
        <v>#N/A</v>
      </c>
      <c r="AG43" t="e">
        <f t="shared" si="23"/>
        <v>#N/A</v>
      </c>
      <c r="AH43" t="e">
        <f t="shared" si="24"/>
        <v>#N/A</v>
      </c>
      <c r="AI43" t="e">
        <f t="shared" si="25"/>
        <v>#N/A</v>
      </c>
      <c r="AJ43" t="e">
        <f t="shared" si="26"/>
        <v>#N/A</v>
      </c>
      <c r="AK43" t="e">
        <f t="shared" si="27"/>
        <v>#N/A</v>
      </c>
      <c r="AL43" t="e">
        <f t="shared" si="28"/>
        <v>#N/A</v>
      </c>
      <c r="AM43" t="e">
        <f t="shared" si="29"/>
        <v>#N/A</v>
      </c>
      <c r="AN43" t="e">
        <f t="shared" si="30"/>
        <v>#N/A</v>
      </c>
      <c r="AO43" t="e">
        <f t="shared" si="31"/>
        <v>#N/A</v>
      </c>
      <c r="AP43" t="e">
        <f t="shared" si="32"/>
        <v>#N/A</v>
      </c>
      <c r="AQ43" t="e">
        <f t="shared" si="33"/>
        <v>#N/A</v>
      </c>
      <c r="AR43" t="e">
        <f t="shared" si="34"/>
        <v>#N/A</v>
      </c>
      <c r="AS43" t="e">
        <f t="shared" si="35"/>
        <v>#N/A</v>
      </c>
      <c r="AT43" t="e">
        <f t="shared" si="36"/>
        <v>#N/A</v>
      </c>
      <c r="AU43" t="e">
        <f t="shared" si="37"/>
        <v>#N/A</v>
      </c>
      <c r="AV43" t="e">
        <f t="shared" si="38"/>
        <v>#N/A</v>
      </c>
      <c r="AW43" t="e">
        <f t="shared" si="39"/>
        <v>#N/A</v>
      </c>
      <c r="AX43" t="e">
        <f t="shared" si="40"/>
        <v>#N/A</v>
      </c>
      <c r="AY43" t="e">
        <f t="shared" si="41"/>
        <v>#N/A</v>
      </c>
      <c r="BE43" t="e">
        <f>IF(Z43=1,IF(INDEX($C$7:$C$126,V43)&gt;=Gantt!$BF$6,NA(),MATCH(INDEX($C$7:$C$126,V43),Gantt!$J$6:$BE$6,1)),NA())</f>
        <v>#N/A</v>
      </c>
      <c r="BF43" t="e">
        <f>IF(Z43=1,IF((INDEX($D$7:$D$126,AA43)-1)&gt;=Gantt!$BF$6,NA(),IF((INDEX($D$7:$D$126,AA43)-1)&lt;Gantt!$J$6,0,MATCH((INDEX($D$7:$D$126,AA43)-1),Gantt!$J$6:$BE$6,1))),NA())</f>
        <v>#N/A</v>
      </c>
      <c r="BG43" t="e">
        <f t="shared" si="42"/>
        <v>#N/A</v>
      </c>
      <c r="BH43" t="e">
        <f t="shared" si="43"/>
        <v>#N/A</v>
      </c>
      <c r="BI43" t="e">
        <f t="shared" si="44"/>
        <v>#N/A</v>
      </c>
      <c r="BJ43" t="e">
        <f t="shared" si="45"/>
        <v>#N/A</v>
      </c>
      <c r="BK43" t="e">
        <f t="shared" si="46"/>
        <v>#N/A</v>
      </c>
      <c r="BL43" t="e">
        <f t="shared" si="47"/>
        <v>#N/A</v>
      </c>
      <c r="BM43" t="e">
        <f t="shared" si="48"/>
        <v>#N/A</v>
      </c>
      <c r="BN43" t="e">
        <f t="shared" si="49"/>
        <v>#N/A</v>
      </c>
      <c r="BO43" t="e">
        <f t="shared" si="50"/>
        <v>#N/A</v>
      </c>
      <c r="BP43" t="e">
        <f t="shared" si="51"/>
        <v>#N/A</v>
      </c>
      <c r="BQ43" t="e">
        <f t="shared" si="52"/>
        <v>#N/A</v>
      </c>
      <c r="BR43" t="e">
        <f t="shared" si="53"/>
        <v>#N/A</v>
      </c>
      <c r="BS43" t="e">
        <f t="shared" si="54"/>
        <v>#N/A</v>
      </c>
      <c r="BT43" t="e">
        <f t="shared" si="55"/>
        <v>#N/A</v>
      </c>
      <c r="BU43" t="e">
        <f t="shared" si="56"/>
        <v>#N/A</v>
      </c>
      <c r="BV43" t="e">
        <f t="shared" si="57"/>
        <v>#N/A</v>
      </c>
      <c r="BW43" t="e">
        <f t="shared" si="58"/>
        <v>#N/A</v>
      </c>
      <c r="BX43" t="e">
        <f t="shared" si="59"/>
        <v>#N/A</v>
      </c>
      <c r="BY43" t="e">
        <f t="shared" si="60"/>
        <v>#N/A</v>
      </c>
      <c r="BZ43" t="e">
        <f t="shared" si="61"/>
        <v>#N/A</v>
      </c>
      <c r="CA43" t="e">
        <f t="shared" si="62"/>
        <v>#N/A</v>
      </c>
      <c r="CB43" t="e">
        <f t="shared" si="63"/>
        <v>#N/A</v>
      </c>
      <c r="CC43" t="e">
        <f t="shared" si="64"/>
        <v>#N/A</v>
      </c>
      <c r="CD43" t="e">
        <f t="shared" si="65"/>
        <v>#N/A</v>
      </c>
      <c r="CE43" t="e">
        <f t="shared" si="66"/>
        <v>#N/A</v>
      </c>
      <c r="CF43" t="e">
        <f t="shared" si="67"/>
        <v>#N/A</v>
      </c>
      <c r="CG43" t="e">
        <f t="shared" si="68"/>
        <v>#N/A</v>
      </c>
      <c r="CI43" t="e">
        <f>AL19</f>
        <v>#N/A</v>
      </c>
      <c r="CJ43" t="e">
        <f>AM19</f>
        <v>#N/A</v>
      </c>
      <c r="CK43">
        <f>IF(ISNUMBER(CI43),IFERROR(MAX(0,AN19-CI43),0),0)</f>
        <v>0</v>
      </c>
      <c r="CL43">
        <f>IF(ISNUMBER(CI43),IFERROR(MAX(0,CI43-AN19),0),0)</f>
        <v>0</v>
      </c>
      <c r="CM43">
        <f>IF(ISNUMBER(CJ43),IFERROR(MAX(0,AO19-CJ43),0),0)</f>
        <v>0</v>
      </c>
      <c r="CN43">
        <f>IF(ISNUMBER(CJ43),IFERROR(MAX(0,CJ43-AO19),0),0)</f>
        <v>0</v>
      </c>
      <c r="CP43" t="e">
        <f>BT19</f>
        <v>#N/A</v>
      </c>
      <c r="CQ43" t="e">
        <f>BU19</f>
        <v>#N/A</v>
      </c>
      <c r="CR43">
        <f>IF(ISNUMBER(CP43),IFERROR(MAX(0,BV19-CP43),0),0)</f>
        <v>0</v>
      </c>
      <c r="CS43">
        <f>IF(ISNUMBER(CP43),IFERROR(MAX(0,CP43-BV19),0),0)</f>
        <v>0</v>
      </c>
      <c r="CT43">
        <f>IF(ISNUMBER(CQ43),IFERROR(MAX(0,BW19-CQ43),0),0)</f>
        <v>0</v>
      </c>
      <c r="CU43">
        <f>IF(ISNUMBER(CQ43),IFERROR(MAX(0,CQ43-BW19),0),0)</f>
        <v>0</v>
      </c>
    </row>
    <row r="44" spans="1:99" x14ac:dyDescent="0.3">
      <c r="A44">
        <v>38</v>
      </c>
      <c r="B44">
        <f>IF(A44&lt;=$B$2,IF(INDEX(Gantt!$A$7:$A$119,A44)&lt;&gt;"",1,0),0)</f>
        <v>0</v>
      </c>
      <c r="C44" t="e">
        <f>IF(B44=1,INDEX(Gantt!$C$7:$C$119,A44),NA())</f>
        <v>#N/A</v>
      </c>
      <c r="D44" t="e">
        <f>IF(B44=1,INDEX(Gantt!$D$7:$D$119,A44)+1,NA())</f>
        <v>#N/A</v>
      </c>
      <c r="E44">
        <f>IF(B44=1,INDEX(Gantt!$BN$7:$BN$119,A44),0)</f>
        <v>0</v>
      </c>
      <c r="F44">
        <f>IF(B44=1,N(INDEX(Gantt!$F$7:$F$119,A44)),0)</f>
        <v>0</v>
      </c>
      <c r="G44">
        <f t="shared" si="69"/>
        <v>0</v>
      </c>
      <c r="H44" t="e">
        <f t="shared" si="70"/>
        <v>#N/A</v>
      </c>
      <c r="I44" t="e">
        <f t="shared" si="71"/>
        <v>#N/A</v>
      </c>
      <c r="J44" t="e">
        <f t="shared" si="72"/>
        <v>#N/A</v>
      </c>
      <c r="K44" t="e">
        <f t="shared" si="73"/>
        <v>#N/A</v>
      </c>
      <c r="L44" t="e">
        <f t="shared" si="74"/>
        <v>#N/A</v>
      </c>
      <c r="M44" t="e">
        <f t="shared" si="75"/>
        <v>#N/A</v>
      </c>
      <c r="N44" t="e">
        <f t="shared" si="76"/>
        <v>#N/A</v>
      </c>
      <c r="O44" t="e">
        <f t="shared" si="77"/>
        <v>#N/A</v>
      </c>
      <c r="P44" t="e">
        <f t="shared" si="78"/>
        <v>#N/A</v>
      </c>
      <c r="Q44" t="str">
        <f>IF(B44=1,INDEX(Gantt!$A$7:$A$119,A44)&amp;"   "&amp;INDEX(Gantt!$B$7:$B$119,A44),"")</f>
        <v/>
      </c>
      <c r="R44" t="e">
        <f t="shared" si="79"/>
        <v>#N/A</v>
      </c>
      <c r="S44">
        <f t="shared" si="80"/>
        <v>0</v>
      </c>
      <c r="T44">
        <f t="shared" si="81"/>
        <v>0</v>
      </c>
      <c r="U44">
        <v>38</v>
      </c>
      <c r="V44">
        <f t="shared" si="13"/>
        <v>10</v>
      </c>
      <c r="W44">
        <f t="shared" si="14"/>
        <v>2</v>
      </c>
      <c r="X44">
        <f t="shared" si="15"/>
        <v>0</v>
      </c>
      <c r="Y44">
        <f>IF(X44&lt;&gt;1,9999,CHOOSE(W44,INDEX(Gantt!$BQ$7:$BQ$119,V44),INDEX(Gantt!$BR$7:$BR$119,V44),INDEX(Gantt!$BT$7:$BT$119,V44),INDEX(Gantt!$BU$7:$BU$119,V44)))</f>
        <v>9999</v>
      </c>
      <c r="Z44">
        <f t="shared" si="16"/>
        <v>0</v>
      </c>
      <c r="AA44" t="e">
        <f t="shared" si="17"/>
        <v>#N/A</v>
      </c>
      <c r="AB44" t="e">
        <f t="shared" si="18"/>
        <v>#N/A</v>
      </c>
      <c r="AC44" t="e">
        <f t="shared" si="19"/>
        <v>#N/A</v>
      </c>
      <c r="AD44" t="e">
        <f t="shared" si="20"/>
        <v>#N/A</v>
      </c>
      <c r="AE44" t="e">
        <f t="shared" si="21"/>
        <v>#N/A</v>
      </c>
      <c r="AF44" t="e">
        <f t="shared" si="22"/>
        <v>#N/A</v>
      </c>
      <c r="AG44" t="e">
        <f t="shared" si="23"/>
        <v>#N/A</v>
      </c>
      <c r="AH44" t="e">
        <f t="shared" si="24"/>
        <v>#N/A</v>
      </c>
      <c r="AI44" t="e">
        <f t="shared" si="25"/>
        <v>#N/A</v>
      </c>
      <c r="AJ44" t="e">
        <f t="shared" si="26"/>
        <v>#N/A</v>
      </c>
      <c r="AK44" t="e">
        <f t="shared" si="27"/>
        <v>#N/A</v>
      </c>
      <c r="AL44" t="e">
        <f t="shared" si="28"/>
        <v>#N/A</v>
      </c>
      <c r="AM44" t="e">
        <f t="shared" si="29"/>
        <v>#N/A</v>
      </c>
      <c r="AN44" t="e">
        <f t="shared" si="30"/>
        <v>#N/A</v>
      </c>
      <c r="AO44" t="e">
        <f t="shared" si="31"/>
        <v>#N/A</v>
      </c>
      <c r="AP44" t="e">
        <f t="shared" si="32"/>
        <v>#N/A</v>
      </c>
      <c r="AQ44" t="e">
        <f t="shared" si="33"/>
        <v>#N/A</v>
      </c>
      <c r="AR44" t="e">
        <f t="shared" si="34"/>
        <v>#N/A</v>
      </c>
      <c r="AS44" t="e">
        <f t="shared" si="35"/>
        <v>#N/A</v>
      </c>
      <c r="AT44" t="e">
        <f t="shared" si="36"/>
        <v>#N/A</v>
      </c>
      <c r="AU44" t="e">
        <f t="shared" si="37"/>
        <v>#N/A</v>
      </c>
      <c r="AV44" t="e">
        <f t="shared" si="38"/>
        <v>#N/A</v>
      </c>
      <c r="AW44" t="e">
        <f t="shared" si="39"/>
        <v>#N/A</v>
      </c>
      <c r="AX44" t="e">
        <f t="shared" si="40"/>
        <v>#N/A</v>
      </c>
      <c r="AY44" t="e">
        <f t="shared" si="41"/>
        <v>#N/A</v>
      </c>
      <c r="BE44" t="e">
        <f>IF(Z44=1,IF(INDEX($C$7:$C$126,V44)&gt;=Gantt!$BF$6,NA(),MATCH(INDEX($C$7:$C$126,V44),Gantt!$J$6:$BE$6,1)),NA())</f>
        <v>#N/A</v>
      </c>
      <c r="BF44" t="e">
        <f>IF(Z44=1,IF((INDEX($D$7:$D$126,AA44)-1)&gt;=Gantt!$BF$6,NA(),IF((INDEX($D$7:$D$126,AA44)-1)&lt;Gantt!$J$6,0,MATCH((INDEX($D$7:$D$126,AA44)-1),Gantt!$J$6:$BE$6,1))),NA())</f>
        <v>#N/A</v>
      </c>
      <c r="BG44" t="e">
        <f t="shared" si="42"/>
        <v>#N/A</v>
      </c>
      <c r="BH44" t="e">
        <f t="shared" si="43"/>
        <v>#N/A</v>
      </c>
      <c r="BI44" t="e">
        <f t="shared" si="44"/>
        <v>#N/A</v>
      </c>
      <c r="BJ44" t="e">
        <f t="shared" si="45"/>
        <v>#N/A</v>
      </c>
      <c r="BK44" t="e">
        <f t="shared" si="46"/>
        <v>#N/A</v>
      </c>
      <c r="BL44" t="e">
        <f t="shared" si="47"/>
        <v>#N/A</v>
      </c>
      <c r="BM44" t="e">
        <f t="shared" si="48"/>
        <v>#N/A</v>
      </c>
      <c r="BN44" t="e">
        <f t="shared" si="49"/>
        <v>#N/A</v>
      </c>
      <c r="BO44" t="e">
        <f t="shared" si="50"/>
        <v>#N/A</v>
      </c>
      <c r="BP44" t="e">
        <f t="shared" si="51"/>
        <v>#N/A</v>
      </c>
      <c r="BQ44" t="e">
        <f t="shared" si="52"/>
        <v>#N/A</v>
      </c>
      <c r="BR44" t="e">
        <f t="shared" si="53"/>
        <v>#N/A</v>
      </c>
      <c r="BS44" t="e">
        <f t="shared" si="54"/>
        <v>#N/A</v>
      </c>
      <c r="BT44" t="e">
        <f t="shared" si="55"/>
        <v>#N/A</v>
      </c>
      <c r="BU44" t="e">
        <f t="shared" si="56"/>
        <v>#N/A</v>
      </c>
      <c r="BV44" t="e">
        <f t="shared" si="57"/>
        <v>#N/A</v>
      </c>
      <c r="BW44" t="e">
        <f t="shared" si="58"/>
        <v>#N/A</v>
      </c>
      <c r="BX44" t="e">
        <f t="shared" si="59"/>
        <v>#N/A</v>
      </c>
      <c r="BY44" t="e">
        <f t="shared" si="60"/>
        <v>#N/A</v>
      </c>
      <c r="BZ44" t="e">
        <f t="shared" si="61"/>
        <v>#N/A</v>
      </c>
      <c r="CA44" t="e">
        <f t="shared" si="62"/>
        <v>#N/A</v>
      </c>
      <c r="CB44" t="e">
        <f t="shared" si="63"/>
        <v>#N/A</v>
      </c>
      <c r="CC44" t="e">
        <f t="shared" si="64"/>
        <v>#N/A</v>
      </c>
      <c r="CD44" t="e">
        <f t="shared" si="65"/>
        <v>#N/A</v>
      </c>
      <c r="CE44" t="e">
        <f t="shared" si="66"/>
        <v>#N/A</v>
      </c>
      <c r="CF44" t="e">
        <f t="shared" si="67"/>
        <v>#N/A</v>
      </c>
      <c r="CG44" t="e">
        <f t="shared" si="68"/>
        <v>#N/A</v>
      </c>
      <c r="CI44" t="e">
        <f>AP19</f>
        <v>#N/A</v>
      </c>
      <c r="CJ44" t="e">
        <f>AQ19</f>
        <v>#N/A</v>
      </c>
      <c r="CK44">
        <f>IF(ISNUMBER(CI44),IFERROR(MAX(0,AR19-CI44),0),0)</f>
        <v>0</v>
      </c>
      <c r="CL44">
        <f>IF(ISNUMBER(CI44),IFERROR(MAX(0,CI44-AR19),0),0)</f>
        <v>0</v>
      </c>
      <c r="CM44">
        <f>IF(ISNUMBER(CJ44),IFERROR(MAX(0,AS19-CJ44),0),0)</f>
        <v>0</v>
      </c>
      <c r="CN44">
        <f>IF(ISNUMBER(CJ44),IFERROR(MAX(0,CJ44-AS19),0),0)</f>
        <v>0</v>
      </c>
      <c r="CP44" t="e">
        <f>BX19</f>
        <v>#N/A</v>
      </c>
      <c r="CQ44" t="e">
        <f>BY19</f>
        <v>#N/A</v>
      </c>
      <c r="CR44">
        <f>IF(ISNUMBER(CP44),IFERROR(MAX(0,BZ19-CP44),0),0)</f>
        <v>0</v>
      </c>
      <c r="CS44">
        <f>IF(ISNUMBER(CP44),IFERROR(MAX(0,CP44-BZ19),0),0)</f>
        <v>0</v>
      </c>
      <c r="CT44">
        <f>IF(ISNUMBER(CQ44),IFERROR(MAX(0,CA19-CQ44),0),0)</f>
        <v>0</v>
      </c>
      <c r="CU44">
        <f>IF(ISNUMBER(CQ44),IFERROR(MAX(0,CQ44-CA19),0),0)</f>
        <v>0</v>
      </c>
    </row>
    <row r="45" spans="1:99" x14ac:dyDescent="0.3">
      <c r="A45">
        <v>39</v>
      </c>
      <c r="B45">
        <f>IF(A45&lt;=$B$2,IF(INDEX(Gantt!$A$7:$A$119,A45)&lt;&gt;"",1,0),0)</f>
        <v>0</v>
      </c>
      <c r="C45" t="e">
        <f>IF(B45=1,INDEX(Gantt!$C$7:$C$119,A45),NA())</f>
        <v>#N/A</v>
      </c>
      <c r="D45" t="e">
        <f>IF(B45=1,INDEX(Gantt!$D$7:$D$119,A45)+1,NA())</f>
        <v>#N/A</v>
      </c>
      <c r="E45">
        <f>IF(B45=1,INDEX(Gantt!$BN$7:$BN$119,A45),0)</f>
        <v>0</v>
      </c>
      <c r="F45">
        <f>IF(B45=1,N(INDEX(Gantt!$F$7:$F$119,A45)),0)</f>
        <v>0</v>
      </c>
      <c r="G45">
        <f t="shared" si="69"/>
        <v>0</v>
      </c>
      <c r="H45" t="e">
        <f t="shared" si="70"/>
        <v>#N/A</v>
      </c>
      <c r="I45" t="e">
        <f t="shared" si="71"/>
        <v>#N/A</v>
      </c>
      <c r="J45" t="e">
        <f t="shared" si="72"/>
        <v>#N/A</v>
      </c>
      <c r="K45" t="e">
        <f t="shared" si="73"/>
        <v>#N/A</v>
      </c>
      <c r="L45" t="e">
        <f t="shared" si="74"/>
        <v>#N/A</v>
      </c>
      <c r="M45" t="e">
        <f t="shared" si="75"/>
        <v>#N/A</v>
      </c>
      <c r="N45" t="e">
        <f t="shared" si="76"/>
        <v>#N/A</v>
      </c>
      <c r="O45" t="e">
        <f t="shared" si="77"/>
        <v>#N/A</v>
      </c>
      <c r="P45" t="e">
        <f t="shared" si="78"/>
        <v>#N/A</v>
      </c>
      <c r="Q45" t="str">
        <f>IF(B45=1,INDEX(Gantt!$A$7:$A$119,A45)&amp;"   "&amp;INDEX(Gantt!$B$7:$B$119,A45),"")</f>
        <v/>
      </c>
      <c r="R45" t="e">
        <f t="shared" si="79"/>
        <v>#N/A</v>
      </c>
      <c r="S45">
        <f t="shared" si="80"/>
        <v>0</v>
      </c>
      <c r="T45">
        <f t="shared" si="81"/>
        <v>0</v>
      </c>
      <c r="U45">
        <v>39</v>
      </c>
      <c r="V45">
        <f t="shared" si="13"/>
        <v>10</v>
      </c>
      <c r="W45">
        <f t="shared" si="14"/>
        <v>3</v>
      </c>
      <c r="X45">
        <f t="shared" si="15"/>
        <v>0</v>
      </c>
      <c r="Y45">
        <f>IF(X45&lt;&gt;1,9999,CHOOSE(W45,INDEX(Gantt!$BQ$7:$BQ$119,V45),INDEX(Gantt!$BR$7:$BR$119,V45),INDEX(Gantt!$BT$7:$BT$119,V45),INDEX(Gantt!$BU$7:$BU$119,V45)))</f>
        <v>9999</v>
      </c>
      <c r="Z45">
        <f t="shared" si="16"/>
        <v>0</v>
      </c>
      <c r="AA45" t="e">
        <f t="shared" si="17"/>
        <v>#N/A</v>
      </c>
      <c r="AB45" t="e">
        <f t="shared" si="18"/>
        <v>#N/A</v>
      </c>
      <c r="AC45" t="e">
        <f t="shared" si="19"/>
        <v>#N/A</v>
      </c>
      <c r="AD45" t="e">
        <f t="shared" si="20"/>
        <v>#N/A</v>
      </c>
      <c r="AE45" t="e">
        <f t="shared" si="21"/>
        <v>#N/A</v>
      </c>
      <c r="AF45" t="e">
        <f t="shared" si="22"/>
        <v>#N/A</v>
      </c>
      <c r="AG45" t="e">
        <f t="shared" si="23"/>
        <v>#N/A</v>
      </c>
      <c r="AH45" t="e">
        <f t="shared" si="24"/>
        <v>#N/A</v>
      </c>
      <c r="AI45" t="e">
        <f t="shared" si="25"/>
        <v>#N/A</v>
      </c>
      <c r="AJ45" t="e">
        <f t="shared" si="26"/>
        <v>#N/A</v>
      </c>
      <c r="AK45" t="e">
        <f t="shared" si="27"/>
        <v>#N/A</v>
      </c>
      <c r="AL45" t="e">
        <f t="shared" si="28"/>
        <v>#N/A</v>
      </c>
      <c r="AM45" t="e">
        <f t="shared" si="29"/>
        <v>#N/A</v>
      </c>
      <c r="AN45" t="e">
        <f t="shared" si="30"/>
        <v>#N/A</v>
      </c>
      <c r="AO45" t="e">
        <f t="shared" si="31"/>
        <v>#N/A</v>
      </c>
      <c r="AP45" t="e">
        <f t="shared" si="32"/>
        <v>#N/A</v>
      </c>
      <c r="AQ45" t="e">
        <f t="shared" si="33"/>
        <v>#N/A</v>
      </c>
      <c r="AR45" t="e">
        <f t="shared" si="34"/>
        <v>#N/A</v>
      </c>
      <c r="AS45" t="e">
        <f t="shared" si="35"/>
        <v>#N/A</v>
      </c>
      <c r="AT45" t="e">
        <f t="shared" si="36"/>
        <v>#N/A</v>
      </c>
      <c r="AU45" t="e">
        <f t="shared" si="37"/>
        <v>#N/A</v>
      </c>
      <c r="AV45" t="e">
        <f t="shared" si="38"/>
        <v>#N/A</v>
      </c>
      <c r="AW45" t="e">
        <f t="shared" si="39"/>
        <v>#N/A</v>
      </c>
      <c r="AX45" t="e">
        <f t="shared" si="40"/>
        <v>#N/A</v>
      </c>
      <c r="AY45" t="e">
        <f t="shared" si="41"/>
        <v>#N/A</v>
      </c>
      <c r="BE45" t="e">
        <f>IF(Z45=1,IF(INDEX($C$7:$C$126,V45)&gt;=Gantt!$BF$6,NA(),MATCH(INDEX($C$7:$C$126,V45),Gantt!$J$6:$BE$6,1)),NA())</f>
        <v>#N/A</v>
      </c>
      <c r="BF45" t="e">
        <f>IF(Z45=1,IF((INDEX($D$7:$D$126,AA45)-1)&gt;=Gantt!$BF$6,NA(),IF((INDEX($D$7:$D$126,AA45)-1)&lt;Gantt!$J$6,0,MATCH((INDEX($D$7:$D$126,AA45)-1),Gantt!$J$6:$BE$6,1))),NA())</f>
        <v>#N/A</v>
      </c>
      <c r="BG45" t="e">
        <f t="shared" si="42"/>
        <v>#N/A</v>
      </c>
      <c r="BH45" t="e">
        <f t="shared" si="43"/>
        <v>#N/A</v>
      </c>
      <c r="BI45" t="e">
        <f t="shared" si="44"/>
        <v>#N/A</v>
      </c>
      <c r="BJ45" t="e">
        <f t="shared" si="45"/>
        <v>#N/A</v>
      </c>
      <c r="BK45" t="e">
        <f t="shared" si="46"/>
        <v>#N/A</v>
      </c>
      <c r="BL45" t="e">
        <f t="shared" si="47"/>
        <v>#N/A</v>
      </c>
      <c r="BM45" t="e">
        <f t="shared" si="48"/>
        <v>#N/A</v>
      </c>
      <c r="BN45" t="e">
        <f t="shared" si="49"/>
        <v>#N/A</v>
      </c>
      <c r="BO45" t="e">
        <f t="shared" si="50"/>
        <v>#N/A</v>
      </c>
      <c r="BP45" t="e">
        <f t="shared" si="51"/>
        <v>#N/A</v>
      </c>
      <c r="BQ45" t="e">
        <f t="shared" si="52"/>
        <v>#N/A</v>
      </c>
      <c r="BR45" t="e">
        <f t="shared" si="53"/>
        <v>#N/A</v>
      </c>
      <c r="BS45" t="e">
        <f t="shared" si="54"/>
        <v>#N/A</v>
      </c>
      <c r="BT45" t="e">
        <f t="shared" si="55"/>
        <v>#N/A</v>
      </c>
      <c r="BU45" t="e">
        <f t="shared" si="56"/>
        <v>#N/A</v>
      </c>
      <c r="BV45" t="e">
        <f t="shared" si="57"/>
        <v>#N/A</v>
      </c>
      <c r="BW45" t="e">
        <f t="shared" si="58"/>
        <v>#N/A</v>
      </c>
      <c r="BX45" t="e">
        <f t="shared" si="59"/>
        <v>#N/A</v>
      </c>
      <c r="BY45" t="e">
        <f t="shared" si="60"/>
        <v>#N/A</v>
      </c>
      <c r="BZ45" t="e">
        <f t="shared" si="61"/>
        <v>#N/A</v>
      </c>
      <c r="CA45" t="e">
        <f t="shared" si="62"/>
        <v>#N/A</v>
      </c>
      <c r="CB45" t="e">
        <f t="shared" si="63"/>
        <v>#N/A</v>
      </c>
      <c r="CC45" t="e">
        <f t="shared" si="64"/>
        <v>#N/A</v>
      </c>
      <c r="CD45" t="e">
        <f t="shared" si="65"/>
        <v>#N/A</v>
      </c>
      <c r="CE45" t="e">
        <f t="shared" si="66"/>
        <v>#N/A</v>
      </c>
      <c r="CF45" t="e">
        <f t="shared" si="67"/>
        <v>#N/A</v>
      </c>
      <c r="CG45" t="e">
        <f t="shared" si="68"/>
        <v>#N/A</v>
      </c>
      <c r="CI45" t="e">
        <f>AT19</f>
        <v>#N/A</v>
      </c>
      <c r="CJ45" t="e">
        <f>AU19</f>
        <v>#N/A</v>
      </c>
      <c r="CK45">
        <f>IF(ISNUMBER(CI45),IFERROR(MAX(0,AV19-CI45),0),0)</f>
        <v>0</v>
      </c>
      <c r="CL45">
        <f>IF(ISNUMBER(CI45),IFERROR(MAX(0,CI45-AV19),0),0)</f>
        <v>0</v>
      </c>
      <c r="CM45">
        <f>IF(ISNUMBER(CJ45),IFERROR(MAX(0,AW19-CJ45),0),0)</f>
        <v>0</v>
      </c>
      <c r="CN45">
        <f>IF(ISNUMBER(CJ45),IFERROR(MAX(0,CJ45-AW19),0),0)</f>
        <v>0</v>
      </c>
      <c r="CP45" t="e">
        <f>CB19</f>
        <v>#N/A</v>
      </c>
      <c r="CQ45" t="e">
        <f>CC19</f>
        <v>#N/A</v>
      </c>
      <c r="CR45">
        <f>IF(ISNUMBER(CP45),IFERROR(MAX(0,CD19-CP45),0),0)</f>
        <v>0</v>
      </c>
      <c r="CS45">
        <f>IF(ISNUMBER(CP45),IFERROR(MAX(0,CP45-CD19),0),0)</f>
        <v>0</v>
      </c>
      <c r="CT45">
        <f>IF(ISNUMBER(CQ45),IFERROR(MAX(0,CE19-CQ45),0),0)</f>
        <v>0</v>
      </c>
      <c r="CU45">
        <f>IF(ISNUMBER(CQ45),IFERROR(MAX(0,CQ45-CE19),0),0)</f>
        <v>0</v>
      </c>
    </row>
    <row r="46" spans="1:99" x14ac:dyDescent="0.3">
      <c r="A46">
        <v>40</v>
      </c>
      <c r="B46">
        <f>IF(A46&lt;=$B$2,IF(INDEX(Gantt!$A$7:$A$119,A46)&lt;&gt;"",1,0),0)</f>
        <v>0</v>
      </c>
      <c r="C46" t="e">
        <f>IF(B46=1,INDEX(Gantt!$C$7:$C$119,A46),NA())</f>
        <v>#N/A</v>
      </c>
      <c r="D46" t="e">
        <f>IF(B46=1,INDEX(Gantt!$D$7:$D$119,A46)+1,NA())</f>
        <v>#N/A</v>
      </c>
      <c r="E46">
        <f>IF(B46=1,INDEX(Gantt!$BN$7:$BN$119,A46),0)</f>
        <v>0</v>
      </c>
      <c r="F46">
        <f>IF(B46=1,N(INDEX(Gantt!$F$7:$F$119,A46)),0)</f>
        <v>0</v>
      </c>
      <c r="G46">
        <f t="shared" si="69"/>
        <v>0</v>
      </c>
      <c r="H46" t="e">
        <f t="shared" si="70"/>
        <v>#N/A</v>
      </c>
      <c r="I46" t="e">
        <f t="shared" si="71"/>
        <v>#N/A</v>
      </c>
      <c r="J46" t="e">
        <f t="shared" si="72"/>
        <v>#N/A</v>
      </c>
      <c r="K46" t="e">
        <f t="shared" si="73"/>
        <v>#N/A</v>
      </c>
      <c r="L46" t="e">
        <f t="shared" si="74"/>
        <v>#N/A</v>
      </c>
      <c r="M46" t="e">
        <f t="shared" si="75"/>
        <v>#N/A</v>
      </c>
      <c r="N46" t="e">
        <f t="shared" si="76"/>
        <v>#N/A</v>
      </c>
      <c r="O46" t="e">
        <f t="shared" si="77"/>
        <v>#N/A</v>
      </c>
      <c r="P46" t="e">
        <f t="shared" si="78"/>
        <v>#N/A</v>
      </c>
      <c r="Q46" t="str">
        <f>IF(B46=1,INDEX(Gantt!$A$7:$A$119,A46)&amp;"   "&amp;INDEX(Gantt!$B$7:$B$119,A46),"")</f>
        <v/>
      </c>
      <c r="R46" t="e">
        <f t="shared" si="79"/>
        <v>#N/A</v>
      </c>
      <c r="S46">
        <f t="shared" si="80"/>
        <v>0</v>
      </c>
      <c r="T46">
        <f t="shared" si="81"/>
        <v>0</v>
      </c>
      <c r="U46">
        <v>40</v>
      </c>
      <c r="V46">
        <f t="shared" si="13"/>
        <v>10</v>
      </c>
      <c r="W46">
        <f t="shared" si="14"/>
        <v>4</v>
      </c>
      <c r="X46">
        <f t="shared" si="15"/>
        <v>0</v>
      </c>
      <c r="Y46">
        <f>IF(X46&lt;&gt;1,9999,CHOOSE(W46,INDEX(Gantt!$BQ$7:$BQ$119,V46),INDEX(Gantt!$BR$7:$BR$119,V46),INDEX(Gantt!$BT$7:$BT$119,V46),INDEX(Gantt!$BU$7:$BU$119,V46)))</f>
        <v>9999</v>
      </c>
      <c r="Z46">
        <f t="shared" si="16"/>
        <v>0</v>
      </c>
      <c r="AA46" t="e">
        <f t="shared" si="17"/>
        <v>#N/A</v>
      </c>
      <c r="AB46" t="e">
        <f t="shared" si="18"/>
        <v>#N/A</v>
      </c>
      <c r="AC46" t="e">
        <f t="shared" si="19"/>
        <v>#N/A</v>
      </c>
      <c r="AD46" t="e">
        <f t="shared" si="20"/>
        <v>#N/A</v>
      </c>
      <c r="AE46" t="e">
        <f t="shared" si="21"/>
        <v>#N/A</v>
      </c>
      <c r="AF46" t="e">
        <f t="shared" si="22"/>
        <v>#N/A</v>
      </c>
      <c r="AG46" t="e">
        <f t="shared" si="23"/>
        <v>#N/A</v>
      </c>
      <c r="AH46" t="e">
        <f t="shared" si="24"/>
        <v>#N/A</v>
      </c>
      <c r="AI46" t="e">
        <f t="shared" si="25"/>
        <v>#N/A</v>
      </c>
      <c r="AJ46" t="e">
        <f t="shared" si="26"/>
        <v>#N/A</v>
      </c>
      <c r="AK46" t="e">
        <f t="shared" si="27"/>
        <v>#N/A</v>
      </c>
      <c r="AL46" t="e">
        <f t="shared" si="28"/>
        <v>#N/A</v>
      </c>
      <c r="AM46" t="e">
        <f t="shared" si="29"/>
        <v>#N/A</v>
      </c>
      <c r="AN46" t="e">
        <f t="shared" si="30"/>
        <v>#N/A</v>
      </c>
      <c r="AO46" t="e">
        <f t="shared" si="31"/>
        <v>#N/A</v>
      </c>
      <c r="AP46" t="e">
        <f t="shared" si="32"/>
        <v>#N/A</v>
      </c>
      <c r="AQ46" t="e">
        <f t="shared" si="33"/>
        <v>#N/A</v>
      </c>
      <c r="AR46" t="e">
        <f t="shared" si="34"/>
        <v>#N/A</v>
      </c>
      <c r="AS46" t="e">
        <f t="shared" si="35"/>
        <v>#N/A</v>
      </c>
      <c r="AT46" t="e">
        <f t="shared" si="36"/>
        <v>#N/A</v>
      </c>
      <c r="AU46" t="e">
        <f t="shared" si="37"/>
        <v>#N/A</v>
      </c>
      <c r="AV46" t="e">
        <f t="shared" si="38"/>
        <v>#N/A</v>
      </c>
      <c r="AW46" t="e">
        <f t="shared" si="39"/>
        <v>#N/A</v>
      </c>
      <c r="AX46" t="e">
        <f t="shared" si="40"/>
        <v>#N/A</v>
      </c>
      <c r="AY46" t="e">
        <f t="shared" si="41"/>
        <v>#N/A</v>
      </c>
      <c r="BE46" t="e">
        <f>IF(Z46=1,IF(INDEX($C$7:$C$126,V46)&gt;=Gantt!$BF$6,NA(),MATCH(INDEX($C$7:$C$126,V46),Gantt!$J$6:$BE$6,1)),NA())</f>
        <v>#N/A</v>
      </c>
      <c r="BF46" t="e">
        <f>IF(Z46=1,IF((INDEX($D$7:$D$126,AA46)-1)&gt;=Gantt!$BF$6,NA(),IF((INDEX($D$7:$D$126,AA46)-1)&lt;Gantt!$J$6,0,MATCH((INDEX($D$7:$D$126,AA46)-1),Gantt!$J$6:$BE$6,1))),NA())</f>
        <v>#N/A</v>
      </c>
      <c r="BG46" t="e">
        <f t="shared" si="42"/>
        <v>#N/A</v>
      </c>
      <c r="BH46" t="e">
        <f t="shared" si="43"/>
        <v>#N/A</v>
      </c>
      <c r="BI46" t="e">
        <f t="shared" si="44"/>
        <v>#N/A</v>
      </c>
      <c r="BJ46" t="e">
        <f t="shared" si="45"/>
        <v>#N/A</v>
      </c>
      <c r="BK46" t="e">
        <f t="shared" si="46"/>
        <v>#N/A</v>
      </c>
      <c r="BL46" t="e">
        <f t="shared" si="47"/>
        <v>#N/A</v>
      </c>
      <c r="BM46" t="e">
        <f t="shared" si="48"/>
        <v>#N/A</v>
      </c>
      <c r="BN46" t="e">
        <f t="shared" si="49"/>
        <v>#N/A</v>
      </c>
      <c r="BO46" t="e">
        <f t="shared" si="50"/>
        <v>#N/A</v>
      </c>
      <c r="BP46" t="e">
        <f t="shared" si="51"/>
        <v>#N/A</v>
      </c>
      <c r="BQ46" t="e">
        <f t="shared" si="52"/>
        <v>#N/A</v>
      </c>
      <c r="BR46" t="e">
        <f t="shared" si="53"/>
        <v>#N/A</v>
      </c>
      <c r="BS46" t="e">
        <f t="shared" si="54"/>
        <v>#N/A</v>
      </c>
      <c r="BT46" t="e">
        <f t="shared" si="55"/>
        <v>#N/A</v>
      </c>
      <c r="BU46" t="e">
        <f t="shared" si="56"/>
        <v>#N/A</v>
      </c>
      <c r="BV46" t="e">
        <f t="shared" si="57"/>
        <v>#N/A</v>
      </c>
      <c r="BW46" t="e">
        <f t="shared" si="58"/>
        <v>#N/A</v>
      </c>
      <c r="BX46" t="e">
        <f t="shared" si="59"/>
        <v>#N/A</v>
      </c>
      <c r="BY46" t="e">
        <f t="shared" si="60"/>
        <v>#N/A</v>
      </c>
      <c r="BZ46" t="e">
        <f t="shared" si="61"/>
        <v>#N/A</v>
      </c>
      <c r="CA46" t="e">
        <f t="shared" si="62"/>
        <v>#N/A</v>
      </c>
      <c r="CB46" t="e">
        <f t="shared" si="63"/>
        <v>#N/A</v>
      </c>
      <c r="CC46" t="e">
        <f t="shared" si="64"/>
        <v>#N/A</v>
      </c>
      <c r="CD46" t="e">
        <f t="shared" si="65"/>
        <v>#N/A</v>
      </c>
      <c r="CE46" t="e">
        <f t="shared" si="66"/>
        <v>#N/A</v>
      </c>
      <c r="CF46" t="e">
        <f t="shared" si="67"/>
        <v>#N/A</v>
      </c>
      <c r="CG46" t="e">
        <f t="shared" si="68"/>
        <v>#N/A</v>
      </c>
      <c r="CI46" t="e">
        <f>AL20</f>
        <v>#N/A</v>
      </c>
      <c r="CJ46" t="e">
        <f>AM20</f>
        <v>#N/A</v>
      </c>
      <c r="CK46">
        <f>IF(ISNUMBER(CI46),IFERROR(MAX(0,AN20-CI46),0),0)</f>
        <v>0</v>
      </c>
      <c r="CL46">
        <f>IF(ISNUMBER(CI46),IFERROR(MAX(0,CI46-AN20),0),0)</f>
        <v>0</v>
      </c>
      <c r="CM46">
        <f>IF(ISNUMBER(CJ46),IFERROR(MAX(0,AO20-CJ46),0),0)</f>
        <v>0</v>
      </c>
      <c r="CN46">
        <f>IF(ISNUMBER(CJ46),IFERROR(MAX(0,CJ46-AO20),0),0)</f>
        <v>0</v>
      </c>
      <c r="CP46" t="e">
        <f>BT20</f>
        <v>#N/A</v>
      </c>
      <c r="CQ46" t="e">
        <f>BU20</f>
        <v>#N/A</v>
      </c>
      <c r="CR46">
        <f>IF(ISNUMBER(CP46),IFERROR(MAX(0,BV20-CP46),0),0)</f>
        <v>0</v>
      </c>
      <c r="CS46">
        <f>IF(ISNUMBER(CP46),IFERROR(MAX(0,CP46-BV20),0),0)</f>
        <v>0</v>
      </c>
      <c r="CT46">
        <f>IF(ISNUMBER(CQ46),IFERROR(MAX(0,BW20-CQ46),0),0)</f>
        <v>0</v>
      </c>
      <c r="CU46">
        <f>IF(ISNUMBER(CQ46),IFERROR(MAX(0,CQ46-BW20),0),0)</f>
        <v>0</v>
      </c>
    </row>
    <row r="47" spans="1:99" x14ac:dyDescent="0.3">
      <c r="A47">
        <v>41</v>
      </c>
      <c r="B47">
        <f>IF(A47&lt;=$B$2,IF(INDEX(Gantt!$A$7:$A$119,A47)&lt;&gt;"",1,0),0)</f>
        <v>0</v>
      </c>
      <c r="C47" t="e">
        <f>IF(B47=1,INDEX(Gantt!$C$7:$C$119,A47),NA())</f>
        <v>#N/A</v>
      </c>
      <c r="D47" t="e">
        <f>IF(B47=1,INDEX(Gantt!$D$7:$D$119,A47)+1,NA())</f>
        <v>#N/A</v>
      </c>
      <c r="E47">
        <f>IF(B47=1,INDEX(Gantt!$BN$7:$BN$119,A47),0)</f>
        <v>0</v>
      </c>
      <c r="F47">
        <f>IF(B47=1,N(INDEX(Gantt!$F$7:$F$119,A47)),0)</f>
        <v>0</v>
      </c>
      <c r="G47">
        <f t="shared" si="69"/>
        <v>0</v>
      </c>
      <c r="H47" t="e">
        <f t="shared" si="70"/>
        <v>#N/A</v>
      </c>
      <c r="I47" t="e">
        <f t="shared" si="71"/>
        <v>#N/A</v>
      </c>
      <c r="J47" t="e">
        <f t="shared" si="72"/>
        <v>#N/A</v>
      </c>
      <c r="K47" t="e">
        <f t="shared" si="73"/>
        <v>#N/A</v>
      </c>
      <c r="L47" t="e">
        <f t="shared" si="74"/>
        <v>#N/A</v>
      </c>
      <c r="M47" t="e">
        <f t="shared" si="75"/>
        <v>#N/A</v>
      </c>
      <c r="N47" t="e">
        <f t="shared" si="76"/>
        <v>#N/A</v>
      </c>
      <c r="O47" t="e">
        <f t="shared" si="77"/>
        <v>#N/A</v>
      </c>
      <c r="P47" t="e">
        <f t="shared" si="78"/>
        <v>#N/A</v>
      </c>
      <c r="Q47" t="str">
        <f>IF(B47=1,INDEX(Gantt!$A$7:$A$119,A47)&amp;"   "&amp;INDEX(Gantt!$B$7:$B$119,A47),"")</f>
        <v/>
      </c>
      <c r="R47" t="e">
        <f t="shared" si="79"/>
        <v>#N/A</v>
      </c>
      <c r="S47">
        <f t="shared" si="80"/>
        <v>0</v>
      </c>
      <c r="T47">
        <f t="shared" si="81"/>
        <v>0</v>
      </c>
      <c r="U47">
        <v>41</v>
      </c>
      <c r="V47">
        <f t="shared" si="13"/>
        <v>11</v>
      </c>
      <c r="W47">
        <f t="shared" si="14"/>
        <v>1</v>
      </c>
      <c r="X47">
        <f t="shared" si="15"/>
        <v>0</v>
      </c>
      <c r="Y47">
        <f>IF(X47&lt;&gt;1,9999,CHOOSE(W47,INDEX(Gantt!$BQ$7:$BQ$119,V47),INDEX(Gantt!$BR$7:$BR$119,V47),INDEX(Gantt!$BT$7:$BT$119,V47),INDEX(Gantt!$BU$7:$BU$119,V47)))</f>
        <v>9999</v>
      </c>
      <c r="Z47">
        <f t="shared" si="16"/>
        <v>0</v>
      </c>
      <c r="AA47" t="e">
        <f t="shared" si="17"/>
        <v>#N/A</v>
      </c>
      <c r="AB47" t="e">
        <f t="shared" si="18"/>
        <v>#N/A</v>
      </c>
      <c r="AC47" t="e">
        <f t="shared" si="19"/>
        <v>#N/A</v>
      </c>
      <c r="AD47" t="e">
        <f t="shared" si="20"/>
        <v>#N/A</v>
      </c>
      <c r="AE47" t="e">
        <f t="shared" si="21"/>
        <v>#N/A</v>
      </c>
      <c r="AF47" t="e">
        <f t="shared" si="22"/>
        <v>#N/A</v>
      </c>
      <c r="AG47" t="e">
        <f t="shared" si="23"/>
        <v>#N/A</v>
      </c>
      <c r="AH47" t="e">
        <f t="shared" si="24"/>
        <v>#N/A</v>
      </c>
      <c r="AI47" t="e">
        <f t="shared" si="25"/>
        <v>#N/A</v>
      </c>
      <c r="AJ47" t="e">
        <f t="shared" si="26"/>
        <v>#N/A</v>
      </c>
      <c r="AK47" t="e">
        <f t="shared" si="27"/>
        <v>#N/A</v>
      </c>
      <c r="AL47" t="e">
        <f t="shared" si="28"/>
        <v>#N/A</v>
      </c>
      <c r="AM47" t="e">
        <f t="shared" si="29"/>
        <v>#N/A</v>
      </c>
      <c r="AN47" t="e">
        <f t="shared" si="30"/>
        <v>#N/A</v>
      </c>
      <c r="AO47" t="e">
        <f t="shared" si="31"/>
        <v>#N/A</v>
      </c>
      <c r="AP47" t="e">
        <f t="shared" si="32"/>
        <v>#N/A</v>
      </c>
      <c r="AQ47" t="e">
        <f t="shared" si="33"/>
        <v>#N/A</v>
      </c>
      <c r="AR47" t="e">
        <f t="shared" si="34"/>
        <v>#N/A</v>
      </c>
      <c r="AS47" t="e">
        <f t="shared" si="35"/>
        <v>#N/A</v>
      </c>
      <c r="AT47" t="e">
        <f t="shared" si="36"/>
        <v>#N/A</v>
      </c>
      <c r="AU47" t="e">
        <f t="shared" si="37"/>
        <v>#N/A</v>
      </c>
      <c r="AV47" t="e">
        <f t="shared" si="38"/>
        <v>#N/A</v>
      </c>
      <c r="AW47" t="e">
        <f t="shared" si="39"/>
        <v>#N/A</v>
      </c>
      <c r="AX47" t="e">
        <f t="shared" si="40"/>
        <v>#N/A</v>
      </c>
      <c r="AY47" t="e">
        <f t="shared" si="41"/>
        <v>#N/A</v>
      </c>
      <c r="BE47" t="e">
        <f>IF(Z47=1,IF(INDEX($C$7:$C$126,V47)&gt;=Gantt!$BF$6,NA(),MATCH(INDEX($C$7:$C$126,V47),Gantt!$J$6:$BE$6,1)),NA())</f>
        <v>#N/A</v>
      </c>
      <c r="BF47" t="e">
        <f>IF(Z47=1,IF((INDEX($D$7:$D$126,AA47)-1)&gt;=Gantt!$BF$6,NA(),IF((INDEX($D$7:$D$126,AA47)-1)&lt;Gantt!$J$6,0,MATCH((INDEX($D$7:$D$126,AA47)-1),Gantt!$J$6:$BE$6,1))),NA())</f>
        <v>#N/A</v>
      </c>
      <c r="BG47" t="e">
        <f t="shared" si="42"/>
        <v>#N/A</v>
      </c>
      <c r="BH47" t="e">
        <f t="shared" si="43"/>
        <v>#N/A</v>
      </c>
      <c r="BI47" t="e">
        <f t="shared" si="44"/>
        <v>#N/A</v>
      </c>
      <c r="BJ47" t="e">
        <f t="shared" si="45"/>
        <v>#N/A</v>
      </c>
      <c r="BK47" t="e">
        <f t="shared" si="46"/>
        <v>#N/A</v>
      </c>
      <c r="BL47" t="e">
        <f t="shared" si="47"/>
        <v>#N/A</v>
      </c>
      <c r="BM47" t="e">
        <f t="shared" si="48"/>
        <v>#N/A</v>
      </c>
      <c r="BN47" t="e">
        <f t="shared" si="49"/>
        <v>#N/A</v>
      </c>
      <c r="BO47" t="e">
        <f t="shared" si="50"/>
        <v>#N/A</v>
      </c>
      <c r="BP47" t="e">
        <f t="shared" si="51"/>
        <v>#N/A</v>
      </c>
      <c r="BQ47" t="e">
        <f t="shared" si="52"/>
        <v>#N/A</v>
      </c>
      <c r="BR47" t="e">
        <f t="shared" si="53"/>
        <v>#N/A</v>
      </c>
      <c r="BS47" t="e">
        <f t="shared" si="54"/>
        <v>#N/A</v>
      </c>
      <c r="BT47" t="e">
        <f t="shared" si="55"/>
        <v>#N/A</v>
      </c>
      <c r="BU47" t="e">
        <f t="shared" si="56"/>
        <v>#N/A</v>
      </c>
      <c r="BV47" t="e">
        <f t="shared" si="57"/>
        <v>#N/A</v>
      </c>
      <c r="BW47" t="e">
        <f t="shared" si="58"/>
        <v>#N/A</v>
      </c>
      <c r="BX47" t="e">
        <f t="shared" si="59"/>
        <v>#N/A</v>
      </c>
      <c r="BY47" t="e">
        <f t="shared" si="60"/>
        <v>#N/A</v>
      </c>
      <c r="BZ47" t="e">
        <f t="shared" si="61"/>
        <v>#N/A</v>
      </c>
      <c r="CA47" t="e">
        <f t="shared" si="62"/>
        <v>#N/A</v>
      </c>
      <c r="CB47" t="e">
        <f t="shared" si="63"/>
        <v>#N/A</v>
      </c>
      <c r="CC47" t="e">
        <f t="shared" si="64"/>
        <v>#N/A</v>
      </c>
      <c r="CD47" t="e">
        <f t="shared" si="65"/>
        <v>#N/A</v>
      </c>
      <c r="CE47" t="e">
        <f t="shared" si="66"/>
        <v>#N/A</v>
      </c>
      <c r="CF47" t="e">
        <f t="shared" si="67"/>
        <v>#N/A</v>
      </c>
      <c r="CG47" t="e">
        <f t="shared" si="68"/>
        <v>#N/A</v>
      </c>
      <c r="CI47" t="e">
        <f>AP20</f>
        <v>#N/A</v>
      </c>
      <c r="CJ47" t="e">
        <f>AQ20</f>
        <v>#N/A</v>
      </c>
      <c r="CK47">
        <f>IF(ISNUMBER(CI47),IFERROR(MAX(0,AR20-CI47),0),0)</f>
        <v>0</v>
      </c>
      <c r="CL47">
        <f>IF(ISNUMBER(CI47),IFERROR(MAX(0,CI47-AR20),0),0)</f>
        <v>0</v>
      </c>
      <c r="CM47">
        <f>IF(ISNUMBER(CJ47),IFERROR(MAX(0,AS20-CJ47),0),0)</f>
        <v>0</v>
      </c>
      <c r="CN47">
        <f>IF(ISNUMBER(CJ47),IFERROR(MAX(0,CJ47-AS20),0),0)</f>
        <v>0</v>
      </c>
      <c r="CP47" t="e">
        <f>BX20</f>
        <v>#N/A</v>
      </c>
      <c r="CQ47" t="e">
        <f>BY20</f>
        <v>#N/A</v>
      </c>
      <c r="CR47">
        <f>IF(ISNUMBER(CP47),IFERROR(MAX(0,BZ20-CP47),0),0)</f>
        <v>0</v>
      </c>
      <c r="CS47">
        <f>IF(ISNUMBER(CP47),IFERROR(MAX(0,CP47-BZ20),0),0)</f>
        <v>0</v>
      </c>
      <c r="CT47">
        <f>IF(ISNUMBER(CQ47),IFERROR(MAX(0,CA20-CQ47),0),0)</f>
        <v>0</v>
      </c>
      <c r="CU47">
        <f>IF(ISNUMBER(CQ47),IFERROR(MAX(0,CQ47-CA20),0),0)</f>
        <v>0</v>
      </c>
    </row>
    <row r="48" spans="1:99" x14ac:dyDescent="0.3">
      <c r="A48">
        <v>42</v>
      </c>
      <c r="B48">
        <f>IF(A48&lt;=$B$2,IF(INDEX(Gantt!$A$7:$A$119,A48)&lt;&gt;"",1,0),0)</f>
        <v>0</v>
      </c>
      <c r="C48" t="e">
        <f>IF(B48=1,INDEX(Gantt!$C$7:$C$119,A48),NA())</f>
        <v>#N/A</v>
      </c>
      <c r="D48" t="e">
        <f>IF(B48=1,INDEX(Gantt!$D$7:$D$119,A48)+1,NA())</f>
        <v>#N/A</v>
      </c>
      <c r="E48">
        <f>IF(B48=1,INDEX(Gantt!$BN$7:$BN$119,A48),0)</f>
        <v>0</v>
      </c>
      <c r="F48">
        <f>IF(B48=1,N(INDEX(Gantt!$F$7:$F$119,A48)),0)</f>
        <v>0</v>
      </c>
      <c r="G48">
        <f t="shared" si="69"/>
        <v>0</v>
      </c>
      <c r="H48" t="e">
        <f t="shared" si="70"/>
        <v>#N/A</v>
      </c>
      <c r="I48" t="e">
        <f t="shared" si="71"/>
        <v>#N/A</v>
      </c>
      <c r="J48" t="e">
        <f t="shared" si="72"/>
        <v>#N/A</v>
      </c>
      <c r="K48" t="e">
        <f t="shared" si="73"/>
        <v>#N/A</v>
      </c>
      <c r="L48" t="e">
        <f t="shared" si="74"/>
        <v>#N/A</v>
      </c>
      <c r="M48" t="e">
        <f t="shared" si="75"/>
        <v>#N/A</v>
      </c>
      <c r="N48" t="e">
        <f t="shared" si="76"/>
        <v>#N/A</v>
      </c>
      <c r="O48" t="e">
        <f t="shared" si="77"/>
        <v>#N/A</v>
      </c>
      <c r="P48" t="e">
        <f t="shared" si="78"/>
        <v>#N/A</v>
      </c>
      <c r="Q48" t="str">
        <f>IF(B48=1,INDEX(Gantt!$A$7:$A$119,A48)&amp;"   "&amp;INDEX(Gantt!$B$7:$B$119,A48),"")</f>
        <v/>
      </c>
      <c r="R48" t="e">
        <f t="shared" si="79"/>
        <v>#N/A</v>
      </c>
      <c r="S48">
        <f t="shared" si="80"/>
        <v>0</v>
      </c>
      <c r="T48">
        <f t="shared" si="81"/>
        <v>0</v>
      </c>
      <c r="U48">
        <v>42</v>
      </c>
      <c r="V48">
        <f t="shared" si="13"/>
        <v>11</v>
      </c>
      <c r="W48">
        <f t="shared" si="14"/>
        <v>2</v>
      </c>
      <c r="X48">
        <f t="shared" si="15"/>
        <v>0</v>
      </c>
      <c r="Y48">
        <f>IF(X48&lt;&gt;1,9999,CHOOSE(W48,INDEX(Gantt!$BQ$7:$BQ$119,V48),INDEX(Gantt!$BR$7:$BR$119,V48),INDEX(Gantt!$BT$7:$BT$119,V48),INDEX(Gantt!$BU$7:$BU$119,V48)))</f>
        <v>9999</v>
      </c>
      <c r="Z48">
        <f t="shared" si="16"/>
        <v>0</v>
      </c>
      <c r="AA48" t="e">
        <f t="shared" si="17"/>
        <v>#N/A</v>
      </c>
      <c r="AB48" t="e">
        <f t="shared" si="18"/>
        <v>#N/A</v>
      </c>
      <c r="AC48" t="e">
        <f t="shared" si="19"/>
        <v>#N/A</v>
      </c>
      <c r="AD48" t="e">
        <f t="shared" si="20"/>
        <v>#N/A</v>
      </c>
      <c r="AE48" t="e">
        <f t="shared" si="21"/>
        <v>#N/A</v>
      </c>
      <c r="AF48" t="e">
        <f t="shared" si="22"/>
        <v>#N/A</v>
      </c>
      <c r="AG48" t="e">
        <f t="shared" si="23"/>
        <v>#N/A</v>
      </c>
      <c r="AH48" t="e">
        <f t="shared" si="24"/>
        <v>#N/A</v>
      </c>
      <c r="AI48" t="e">
        <f t="shared" si="25"/>
        <v>#N/A</v>
      </c>
      <c r="AJ48" t="e">
        <f t="shared" si="26"/>
        <v>#N/A</v>
      </c>
      <c r="AK48" t="e">
        <f t="shared" si="27"/>
        <v>#N/A</v>
      </c>
      <c r="AL48" t="e">
        <f t="shared" si="28"/>
        <v>#N/A</v>
      </c>
      <c r="AM48" t="e">
        <f t="shared" si="29"/>
        <v>#N/A</v>
      </c>
      <c r="AN48" t="e">
        <f t="shared" si="30"/>
        <v>#N/A</v>
      </c>
      <c r="AO48" t="e">
        <f t="shared" si="31"/>
        <v>#N/A</v>
      </c>
      <c r="AP48" t="e">
        <f t="shared" si="32"/>
        <v>#N/A</v>
      </c>
      <c r="AQ48" t="e">
        <f t="shared" si="33"/>
        <v>#N/A</v>
      </c>
      <c r="AR48" t="e">
        <f t="shared" si="34"/>
        <v>#N/A</v>
      </c>
      <c r="AS48" t="e">
        <f t="shared" si="35"/>
        <v>#N/A</v>
      </c>
      <c r="AT48" t="e">
        <f t="shared" si="36"/>
        <v>#N/A</v>
      </c>
      <c r="AU48" t="e">
        <f t="shared" si="37"/>
        <v>#N/A</v>
      </c>
      <c r="AV48" t="e">
        <f t="shared" si="38"/>
        <v>#N/A</v>
      </c>
      <c r="AW48" t="e">
        <f t="shared" si="39"/>
        <v>#N/A</v>
      </c>
      <c r="AX48" t="e">
        <f t="shared" si="40"/>
        <v>#N/A</v>
      </c>
      <c r="AY48" t="e">
        <f t="shared" si="41"/>
        <v>#N/A</v>
      </c>
      <c r="BE48" t="e">
        <f>IF(Z48=1,IF(INDEX($C$7:$C$126,V48)&gt;=Gantt!$BF$6,NA(),MATCH(INDEX($C$7:$C$126,V48),Gantt!$J$6:$BE$6,1)),NA())</f>
        <v>#N/A</v>
      </c>
      <c r="BF48" t="e">
        <f>IF(Z48=1,IF((INDEX($D$7:$D$126,AA48)-1)&gt;=Gantt!$BF$6,NA(),IF((INDEX($D$7:$D$126,AA48)-1)&lt;Gantt!$J$6,0,MATCH((INDEX($D$7:$D$126,AA48)-1),Gantt!$J$6:$BE$6,1))),NA())</f>
        <v>#N/A</v>
      </c>
      <c r="BG48" t="e">
        <f t="shared" si="42"/>
        <v>#N/A</v>
      </c>
      <c r="BH48" t="e">
        <f t="shared" si="43"/>
        <v>#N/A</v>
      </c>
      <c r="BI48" t="e">
        <f t="shared" si="44"/>
        <v>#N/A</v>
      </c>
      <c r="BJ48" t="e">
        <f t="shared" si="45"/>
        <v>#N/A</v>
      </c>
      <c r="BK48" t="e">
        <f t="shared" si="46"/>
        <v>#N/A</v>
      </c>
      <c r="BL48" t="e">
        <f t="shared" si="47"/>
        <v>#N/A</v>
      </c>
      <c r="BM48" t="e">
        <f t="shared" si="48"/>
        <v>#N/A</v>
      </c>
      <c r="BN48" t="e">
        <f t="shared" si="49"/>
        <v>#N/A</v>
      </c>
      <c r="BO48" t="e">
        <f t="shared" si="50"/>
        <v>#N/A</v>
      </c>
      <c r="BP48" t="e">
        <f t="shared" si="51"/>
        <v>#N/A</v>
      </c>
      <c r="BQ48" t="e">
        <f t="shared" si="52"/>
        <v>#N/A</v>
      </c>
      <c r="BR48" t="e">
        <f t="shared" si="53"/>
        <v>#N/A</v>
      </c>
      <c r="BS48" t="e">
        <f t="shared" si="54"/>
        <v>#N/A</v>
      </c>
      <c r="BT48" t="e">
        <f t="shared" si="55"/>
        <v>#N/A</v>
      </c>
      <c r="BU48" t="e">
        <f t="shared" si="56"/>
        <v>#N/A</v>
      </c>
      <c r="BV48" t="e">
        <f t="shared" si="57"/>
        <v>#N/A</v>
      </c>
      <c r="BW48" t="e">
        <f t="shared" si="58"/>
        <v>#N/A</v>
      </c>
      <c r="BX48" t="e">
        <f t="shared" si="59"/>
        <v>#N/A</v>
      </c>
      <c r="BY48" t="e">
        <f t="shared" si="60"/>
        <v>#N/A</v>
      </c>
      <c r="BZ48" t="e">
        <f t="shared" si="61"/>
        <v>#N/A</v>
      </c>
      <c r="CA48" t="e">
        <f t="shared" si="62"/>
        <v>#N/A</v>
      </c>
      <c r="CB48" t="e">
        <f t="shared" si="63"/>
        <v>#N/A</v>
      </c>
      <c r="CC48" t="e">
        <f t="shared" si="64"/>
        <v>#N/A</v>
      </c>
      <c r="CD48" t="e">
        <f t="shared" si="65"/>
        <v>#N/A</v>
      </c>
      <c r="CE48" t="e">
        <f t="shared" si="66"/>
        <v>#N/A</v>
      </c>
      <c r="CF48" t="e">
        <f t="shared" si="67"/>
        <v>#N/A</v>
      </c>
      <c r="CG48" t="e">
        <f t="shared" si="68"/>
        <v>#N/A</v>
      </c>
      <c r="CI48" t="e">
        <f>AT20</f>
        <v>#N/A</v>
      </c>
      <c r="CJ48" t="e">
        <f>AU20</f>
        <v>#N/A</v>
      </c>
      <c r="CK48">
        <f>IF(ISNUMBER(CI48),IFERROR(MAX(0,AV20-CI48),0),0)</f>
        <v>0</v>
      </c>
      <c r="CL48">
        <f>IF(ISNUMBER(CI48),IFERROR(MAX(0,CI48-AV20),0),0)</f>
        <v>0</v>
      </c>
      <c r="CM48">
        <f>IF(ISNUMBER(CJ48),IFERROR(MAX(0,AW20-CJ48),0),0)</f>
        <v>0</v>
      </c>
      <c r="CN48">
        <f>IF(ISNUMBER(CJ48),IFERROR(MAX(0,CJ48-AW20),0),0)</f>
        <v>0</v>
      </c>
      <c r="CP48" t="e">
        <f>CB20</f>
        <v>#N/A</v>
      </c>
      <c r="CQ48" t="e">
        <f>CC20</f>
        <v>#N/A</v>
      </c>
      <c r="CR48">
        <f>IF(ISNUMBER(CP48),IFERROR(MAX(0,CD20-CP48),0),0)</f>
        <v>0</v>
      </c>
      <c r="CS48">
        <f>IF(ISNUMBER(CP48),IFERROR(MAX(0,CP48-CD20),0),0)</f>
        <v>0</v>
      </c>
      <c r="CT48">
        <f>IF(ISNUMBER(CQ48),IFERROR(MAX(0,CE20-CQ48),0),0)</f>
        <v>0</v>
      </c>
      <c r="CU48">
        <f>IF(ISNUMBER(CQ48),IFERROR(MAX(0,CQ48-CE20),0),0)</f>
        <v>0</v>
      </c>
    </row>
    <row r="49" spans="1:99" x14ac:dyDescent="0.3">
      <c r="A49">
        <v>43</v>
      </c>
      <c r="B49">
        <f>IF(A49&lt;=$B$2,IF(INDEX(Gantt!$A$7:$A$119,A49)&lt;&gt;"",1,0),0)</f>
        <v>0</v>
      </c>
      <c r="C49" t="e">
        <f>IF(B49=1,INDEX(Gantt!$C$7:$C$119,A49),NA())</f>
        <v>#N/A</v>
      </c>
      <c r="D49" t="e">
        <f>IF(B49=1,INDEX(Gantt!$D$7:$D$119,A49)+1,NA())</f>
        <v>#N/A</v>
      </c>
      <c r="E49">
        <f>IF(B49=1,INDEX(Gantt!$BN$7:$BN$119,A49),0)</f>
        <v>0</v>
      </c>
      <c r="F49">
        <f>IF(B49=1,N(INDEX(Gantt!$F$7:$F$119,A49)),0)</f>
        <v>0</v>
      </c>
      <c r="G49">
        <f t="shared" si="69"/>
        <v>0</v>
      </c>
      <c r="H49" t="e">
        <f t="shared" si="70"/>
        <v>#N/A</v>
      </c>
      <c r="I49" t="e">
        <f t="shared" si="71"/>
        <v>#N/A</v>
      </c>
      <c r="J49" t="e">
        <f t="shared" si="72"/>
        <v>#N/A</v>
      </c>
      <c r="K49" t="e">
        <f t="shared" si="73"/>
        <v>#N/A</v>
      </c>
      <c r="L49" t="e">
        <f t="shared" si="74"/>
        <v>#N/A</v>
      </c>
      <c r="M49" t="e">
        <f t="shared" si="75"/>
        <v>#N/A</v>
      </c>
      <c r="N49" t="e">
        <f t="shared" si="76"/>
        <v>#N/A</v>
      </c>
      <c r="O49" t="e">
        <f t="shared" si="77"/>
        <v>#N/A</v>
      </c>
      <c r="P49" t="e">
        <f t="shared" si="78"/>
        <v>#N/A</v>
      </c>
      <c r="Q49" t="str">
        <f>IF(B49=1,INDEX(Gantt!$A$7:$A$119,A49)&amp;"   "&amp;INDEX(Gantt!$B$7:$B$119,A49),"")</f>
        <v/>
      </c>
      <c r="R49" t="e">
        <f t="shared" si="79"/>
        <v>#N/A</v>
      </c>
      <c r="S49">
        <f t="shared" si="80"/>
        <v>0</v>
      </c>
      <c r="T49">
        <f t="shared" si="81"/>
        <v>0</v>
      </c>
      <c r="U49">
        <v>43</v>
      </c>
      <c r="V49">
        <f t="shared" si="13"/>
        <v>11</v>
      </c>
      <c r="W49">
        <f t="shared" si="14"/>
        <v>3</v>
      </c>
      <c r="X49">
        <f t="shared" si="15"/>
        <v>0</v>
      </c>
      <c r="Y49">
        <f>IF(X49&lt;&gt;1,9999,CHOOSE(W49,INDEX(Gantt!$BQ$7:$BQ$119,V49),INDEX(Gantt!$BR$7:$BR$119,V49),INDEX(Gantt!$BT$7:$BT$119,V49),INDEX(Gantt!$BU$7:$BU$119,V49)))</f>
        <v>9999</v>
      </c>
      <c r="Z49">
        <f t="shared" si="16"/>
        <v>0</v>
      </c>
      <c r="AA49" t="e">
        <f t="shared" si="17"/>
        <v>#N/A</v>
      </c>
      <c r="AB49" t="e">
        <f t="shared" si="18"/>
        <v>#N/A</v>
      </c>
      <c r="AC49" t="e">
        <f t="shared" si="19"/>
        <v>#N/A</v>
      </c>
      <c r="AD49" t="e">
        <f t="shared" si="20"/>
        <v>#N/A</v>
      </c>
      <c r="AE49" t="e">
        <f t="shared" si="21"/>
        <v>#N/A</v>
      </c>
      <c r="AF49" t="e">
        <f t="shared" si="22"/>
        <v>#N/A</v>
      </c>
      <c r="AG49" t="e">
        <f t="shared" si="23"/>
        <v>#N/A</v>
      </c>
      <c r="AH49" t="e">
        <f t="shared" si="24"/>
        <v>#N/A</v>
      </c>
      <c r="AI49" t="e">
        <f t="shared" si="25"/>
        <v>#N/A</v>
      </c>
      <c r="AJ49" t="e">
        <f t="shared" si="26"/>
        <v>#N/A</v>
      </c>
      <c r="AK49" t="e">
        <f t="shared" si="27"/>
        <v>#N/A</v>
      </c>
      <c r="AL49" t="e">
        <f t="shared" si="28"/>
        <v>#N/A</v>
      </c>
      <c r="AM49" t="e">
        <f t="shared" si="29"/>
        <v>#N/A</v>
      </c>
      <c r="AN49" t="e">
        <f t="shared" si="30"/>
        <v>#N/A</v>
      </c>
      <c r="AO49" t="e">
        <f t="shared" si="31"/>
        <v>#N/A</v>
      </c>
      <c r="AP49" t="e">
        <f t="shared" si="32"/>
        <v>#N/A</v>
      </c>
      <c r="AQ49" t="e">
        <f t="shared" si="33"/>
        <v>#N/A</v>
      </c>
      <c r="AR49" t="e">
        <f t="shared" si="34"/>
        <v>#N/A</v>
      </c>
      <c r="AS49" t="e">
        <f t="shared" si="35"/>
        <v>#N/A</v>
      </c>
      <c r="AT49" t="e">
        <f t="shared" si="36"/>
        <v>#N/A</v>
      </c>
      <c r="AU49" t="e">
        <f t="shared" si="37"/>
        <v>#N/A</v>
      </c>
      <c r="AV49" t="e">
        <f t="shared" si="38"/>
        <v>#N/A</v>
      </c>
      <c r="AW49" t="e">
        <f t="shared" si="39"/>
        <v>#N/A</v>
      </c>
      <c r="AX49" t="e">
        <f t="shared" si="40"/>
        <v>#N/A</v>
      </c>
      <c r="AY49" t="e">
        <f t="shared" si="41"/>
        <v>#N/A</v>
      </c>
      <c r="BE49" t="e">
        <f>IF(Z49=1,IF(INDEX($C$7:$C$126,V49)&gt;=Gantt!$BF$6,NA(),MATCH(INDEX($C$7:$C$126,V49),Gantt!$J$6:$BE$6,1)),NA())</f>
        <v>#N/A</v>
      </c>
      <c r="BF49" t="e">
        <f>IF(Z49=1,IF((INDEX($D$7:$D$126,AA49)-1)&gt;=Gantt!$BF$6,NA(),IF((INDEX($D$7:$D$126,AA49)-1)&lt;Gantt!$J$6,0,MATCH((INDEX($D$7:$D$126,AA49)-1),Gantt!$J$6:$BE$6,1))),NA())</f>
        <v>#N/A</v>
      </c>
      <c r="BG49" t="e">
        <f t="shared" si="42"/>
        <v>#N/A</v>
      </c>
      <c r="BH49" t="e">
        <f t="shared" si="43"/>
        <v>#N/A</v>
      </c>
      <c r="BI49" t="e">
        <f t="shared" si="44"/>
        <v>#N/A</v>
      </c>
      <c r="BJ49" t="e">
        <f t="shared" si="45"/>
        <v>#N/A</v>
      </c>
      <c r="BK49" t="e">
        <f t="shared" si="46"/>
        <v>#N/A</v>
      </c>
      <c r="BL49" t="e">
        <f t="shared" si="47"/>
        <v>#N/A</v>
      </c>
      <c r="BM49" t="e">
        <f t="shared" si="48"/>
        <v>#N/A</v>
      </c>
      <c r="BN49" t="e">
        <f t="shared" si="49"/>
        <v>#N/A</v>
      </c>
      <c r="BO49" t="e">
        <f t="shared" si="50"/>
        <v>#N/A</v>
      </c>
      <c r="BP49" t="e">
        <f t="shared" si="51"/>
        <v>#N/A</v>
      </c>
      <c r="BQ49" t="e">
        <f t="shared" si="52"/>
        <v>#N/A</v>
      </c>
      <c r="BR49" t="e">
        <f t="shared" si="53"/>
        <v>#N/A</v>
      </c>
      <c r="BS49" t="e">
        <f t="shared" si="54"/>
        <v>#N/A</v>
      </c>
      <c r="BT49" t="e">
        <f t="shared" si="55"/>
        <v>#N/A</v>
      </c>
      <c r="BU49" t="e">
        <f t="shared" si="56"/>
        <v>#N/A</v>
      </c>
      <c r="BV49" t="e">
        <f t="shared" si="57"/>
        <v>#N/A</v>
      </c>
      <c r="BW49" t="e">
        <f t="shared" si="58"/>
        <v>#N/A</v>
      </c>
      <c r="BX49" t="e">
        <f t="shared" si="59"/>
        <v>#N/A</v>
      </c>
      <c r="BY49" t="e">
        <f t="shared" si="60"/>
        <v>#N/A</v>
      </c>
      <c r="BZ49" t="e">
        <f t="shared" si="61"/>
        <v>#N/A</v>
      </c>
      <c r="CA49" t="e">
        <f t="shared" si="62"/>
        <v>#N/A</v>
      </c>
      <c r="CB49" t="e">
        <f t="shared" si="63"/>
        <v>#N/A</v>
      </c>
      <c r="CC49" t="e">
        <f t="shared" si="64"/>
        <v>#N/A</v>
      </c>
      <c r="CD49" t="e">
        <f t="shared" si="65"/>
        <v>#N/A</v>
      </c>
      <c r="CE49" t="e">
        <f t="shared" si="66"/>
        <v>#N/A</v>
      </c>
      <c r="CF49" t="e">
        <f t="shared" si="67"/>
        <v>#N/A</v>
      </c>
      <c r="CG49" t="e">
        <f t="shared" si="68"/>
        <v>#N/A</v>
      </c>
      <c r="CI49" t="e">
        <f>AL21</f>
        <v>#N/A</v>
      </c>
      <c r="CJ49" t="e">
        <f>AM21</f>
        <v>#N/A</v>
      </c>
      <c r="CK49">
        <f>IF(ISNUMBER(CI49),IFERROR(MAX(0,AN21-CI49),0),0)</f>
        <v>0</v>
      </c>
      <c r="CL49">
        <f>IF(ISNUMBER(CI49),IFERROR(MAX(0,CI49-AN21),0),0)</f>
        <v>0</v>
      </c>
      <c r="CM49">
        <f>IF(ISNUMBER(CJ49),IFERROR(MAX(0,AO21-CJ49),0),0)</f>
        <v>0</v>
      </c>
      <c r="CN49">
        <f>IF(ISNUMBER(CJ49),IFERROR(MAX(0,CJ49-AO21),0),0)</f>
        <v>0</v>
      </c>
      <c r="CP49" t="e">
        <f>BT21</f>
        <v>#N/A</v>
      </c>
      <c r="CQ49" t="e">
        <f>BU21</f>
        <v>#N/A</v>
      </c>
      <c r="CR49">
        <f>IF(ISNUMBER(CP49),IFERROR(MAX(0,BV21-CP49),0),0)</f>
        <v>0</v>
      </c>
      <c r="CS49">
        <f>IF(ISNUMBER(CP49),IFERROR(MAX(0,CP49-BV21),0),0)</f>
        <v>0</v>
      </c>
      <c r="CT49">
        <f>IF(ISNUMBER(CQ49),IFERROR(MAX(0,BW21-CQ49),0),0)</f>
        <v>0</v>
      </c>
      <c r="CU49">
        <f>IF(ISNUMBER(CQ49),IFERROR(MAX(0,CQ49-BW21),0),0)</f>
        <v>0</v>
      </c>
    </row>
    <row r="50" spans="1:99" x14ac:dyDescent="0.3">
      <c r="A50">
        <v>44</v>
      </c>
      <c r="B50">
        <f>IF(A50&lt;=$B$2,IF(INDEX(Gantt!$A$7:$A$119,A50)&lt;&gt;"",1,0),0)</f>
        <v>0</v>
      </c>
      <c r="C50" t="e">
        <f>IF(B50=1,INDEX(Gantt!$C$7:$C$119,A50),NA())</f>
        <v>#N/A</v>
      </c>
      <c r="D50" t="e">
        <f>IF(B50=1,INDEX(Gantt!$D$7:$D$119,A50)+1,NA())</f>
        <v>#N/A</v>
      </c>
      <c r="E50">
        <f>IF(B50=1,INDEX(Gantt!$BN$7:$BN$119,A50),0)</f>
        <v>0</v>
      </c>
      <c r="F50">
        <f>IF(B50=1,N(INDEX(Gantt!$F$7:$F$119,A50)),0)</f>
        <v>0</v>
      </c>
      <c r="G50">
        <f t="shared" si="69"/>
        <v>0</v>
      </c>
      <c r="H50" t="e">
        <f t="shared" si="70"/>
        <v>#N/A</v>
      </c>
      <c r="I50" t="e">
        <f t="shared" si="71"/>
        <v>#N/A</v>
      </c>
      <c r="J50" t="e">
        <f t="shared" si="72"/>
        <v>#N/A</v>
      </c>
      <c r="K50" t="e">
        <f t="shared" si="73"/>
        <v>#N/A</v>
      </c>
      <c r="L50" t="e">
        <f t="shared" si="74"/>
        <v>#N/A</v>
      </c>
      <c r="M50" t="e">
        <f t="shared" si="75"/>
        <v>#N/A</v>
      </c>
      <c r="N50" t="e">
        <f t="shared" si="76"/>
        <v>#N/A</v>
      </c>
      <c r="O50" t="e">
        <f t="shared" si="77"/>
        <v>#N/A</v>
      </c>
      <c r="P50" t="e">
        <f t="shared" si="78"/>
        <v>#N/A</v>
      </c>
      <c r="Q50" t="str">
        <f>IF(B50=1,INDEX(Gantt!$A$7:$A$119,A50)&amp;"   "&amp;INDEX(Gantt!$B$7:$B$119,A50),"")</f>
        <v/>
      </c>
      <c r="R50" t="e">
        <f t="shared" si="79"/>
        <v>#N/A</v>
      </c>
      <c r="S50">
        <f t="shared" si="80"/>
        <v>0</v>
      </c>
      <c r="T50">
        <f t="shared" si="81"/>
        <v>0</v>
      </c>
      <c r="U50">
        <v>44</v>
      </c>
      <c r="V50">
        <f t="shared" si="13"/>
        <v>11</v>
      </c>
      <c r="W50">
        <f t="shared" si="14"/>
        <v>4</v>
      </c>
      <c r="X50">
        <f t="shared" si="15"/>
        <v>0</v>
      </c>
      <c r="Y50">
        <f>IF(X50&lt;&gt;1,9999,CHOOSE(W50,INDEX(Gantt!$BQ$7:$BQ$119,V50),INDEX(Gantt!$BR$7:$BR$119,V50),INDEX(Gantt!$BT$7:$BT$119,V50),INDEX(Gantt!$BU$7:$BU$119,V50)))</f>
        <v>9999</v>
      </c>
      <c r="Z50">
        <f t="shared" si="16"/>
        <v>0</v>
      </c>
      <c r="AA50" t="e">
        <f t="shared" si="17"/>
        <v>#N/A</v>
      </c>
      <c r="AB50" t="e">
        <f t="shared" si="18"/>
        <v>#N/A</v>
      </c>
      <c r="AC50" t="e">
        <f t="shared" si="19"/>
        <v>#N/A</v>
      </c>
      <c r="AD50" t="e">
        <f t="shared" si="20"/>
        <v>#N/A</v>
      </c>
      <c r="AE50" t="e">
        <f t="shared" si="21"/>
        <v>#N/A</v>
      </c>
      <c r="AF50" t="e">
        <f t="shared" si="22"/>
        <v>#N/A</v>
      </c>
      <c r="AG50" t="e">
        <f t="shared" si="23"/>
        <v>#N/A</v>
      </c>
      <c r="AH50" t="e">
        <f t="shared" si="24"/>
        <v>#N/A</v>
      </c>
      <c r="AI50" t="e">
        <f t="shared" si="25"/>
        <v>#N/A</v>
      </c>
      <c r="AJ50" t="e">
        <f t="shared" si="26"/>
        <v>#N/A</v>
      </c>
      <c r="AK50" t="e">
        <f t="shared" si="27"/>
        <v>#N/A</v>
      </c>
      <c r="AL50" t="e">
        <f t="shared" si="28"/>
        <v>#N/A</v>
      </c>
      <c r="AM50" t="e">
        <f t="shared" si="29"/>
        <v>#N/A</v>
      </c>
      <c r="AN50" t="e">
        <f t="shared" si="30"/>
        <v>#N/A</v>
      </c>
      <c r="AO50" t="e">
        <f t="shared" si="31"/>
        <v>#N/A</v>
      </c>
      <c r="AP50" t="e">
        <f t="shared" si="32"/>
        <v>#N/A</v>
      </c>
      <c r="AQ50" t="e">
        <f t="shared" si="33"/>
        <v>#N/A</v>
      </c>
      <c r="AR50" t="e">
        <f t="shared" si="34"/>
        <v>#N/A</v>
      </c>
      <c r="AS50" t="e">
        <f t="shared" si="35"/>
        <v>#N/A</v>
      </c>
      <c r="AT50" t="e">
        <f t="shared" si="36"/>
        <v>#N/A</v>
      </c>
      <c r="AU50" t="e">
        <f t="shared" si="37"/>
        <v>#N/A</v>
      </c>
      <c r="AV50" t="e">
        <f t="shared" si="38"/>
        <v>#N/A</v>
      </c>
      <c r="AW50" t="e">
        <f t="shared" si="39"/>
        <v>#N/A</v>
      </c>
      <c r="AX50" t="e">
        <f t="shared" si="40"/>
        <v>#N/A</v>
      </c>
      <c r="AY50" t="e">
        <f t="shared" si="41"/>
        <v>#N/A</v>
      </c>
      <c r="BE50" t="e">
        <f>IF(Z50=1,IF(INDEX($C$7:$C$126,V50)&gt;=Gantt!$BF$6,NA(),MATCH(INDEX($C$7:$C$126,V50),Gantt!$J$6:$BE$6,1)),NA())</f>
        <v>#N/A</v>
      </c>
      <c r="BF50" t="e">
        <f>IF(Z50=1,IF((INDEX($D$7:$D$126,AA50)-1)&gt;=Gantt!$BF$6,NA(),IF((INDEX($D$7:$D$126,AA50)-1)&lt;Gantt!$J$6,0,MATCH((INDEX($D$7:$D$126,AA50)-1),Gantt!$J$6:$BE$6,1))),NA())</f>
        <v>#N/A</v>
      </c>
      <c r="BG50" t="e">
        <f t="shared" si="42"/>
        <v>#N/A</v>
      </c>
      <c r="BH50" t="e">
        <f t="shared" si="43"/>
        <v>#N/A</v>
      </c>
      <c r="BI50" t="e">
        <f t="shared" si="44"/>
        <v>#N/A</v>
      </c>
      <c r="BJ50" t="e">
        <f t="shared" si="45"/>
        <v>#N/A</v>
      </c>
      <c r="BK50" t="e">
        <f t="shared" si="46"/>
        <v>#N/A</v>
      </c>
      <c r="BL50" t="e">
        <f t="shared" si="47"/>
        <v>#N/A</v>
      </c>
      <c r="BM50" t="e">
        <f t="shared" si="48"/>
        <v>#N/A</v>
      </c>
      <c r="BN50" t="e">
        <f t="shared" si="49"/>
        <v>#N/A</v>
      </c>
      <c r="BO50" t="e">
        <f t="shared" si="50"/>
        <v>#N/A</v>
      </c>
      <c r="BP50" t="e">
        <f t="shared" si="51"/>
        <v>#N/A</v>
      </c>
      <c r="BQ50" t="e">
        <f t="shared" si="52"/>
        <v>#N/A</v>
      </c>
      <c r="BR50" t="e">
        <f t="shared" si="53"/>
        <v>#N/A</v>
      </c>
      <c r="BS50" t="e">
        <f t="shared" si="54"/>
        <v>#N/A</v>
      </c>
      <c r="BT50" t="e">
        <f t="shared" si="55"/>
        <v>#N/A</v>
      </c>
      <c r="BU50" t="e">
        <f t="shared" si="56"/>
        <v>#N/A</v>
      </c>
      <c r="BV50" t="e">
        <f t="shared" si="57"/>
        <v>#N/A</v>
      </c>
      <c r="BW50" t="e">
        <f t="shared" si="58"/>
        <v>#N/A</v>
      </c>
      <c r="BX50" t="e">
        <f t="shared" si="59"/>
        <v>#N/A</v>
      </c>
      <c r="BY50" t="e">
        <f t="shared" si="60"/>
        <v>#N/A</v>
      </c>
      <c r="BZ50" t="e">
        <f t="shared" si="61"/>
        <v>#N/A</v>
      </c>
      <c r="CA50" t="e">
        <f t="shared" si="62"/>
        <v>#N/A</v>
      </c>
      <c r="CB50" t="e">
        <f t="shared" si="63"/>
        <v>#N/A</v>
      </c>
      <c r="CC50" t="e">
        <f t="shared" si="64"/>
        <v>#N/A</v>
      </c>
      <c r="CD50" t="e">
        <f t="shared" si="65"/>
        <v>#N/A</v>
      </c>
      <c r="CE50" t="e">
        <f t="shared" si="66"/>
        <v>#N/A</v>
      </c>
      <c r="CF50" t="e">
        <f t="shared" si="67"/>
        <v>#N/A</v>
      </c>
      <c r="CG50" t="e">
        <f t="shared" si="68"/>
        <v>#N/A</v>
      </c>
      <c r="CI50" t="e">
        <f>AP21</f>
        <v>#N/A</v>
      </c>
      <c r="CJ50" t="e">
        <f>AQ21</f>
        <v>#N/A</v>
      </c>
      <c r="CK50">
        <f>IF(ISNUMBER(CI50),IFERROR(MAX(0,AR21-CI50),0),0)</f>
        <v>0</v>
      </c>
      <c r="CL50">
        <f>IF(ISNUMBER(CI50),IFERROR(MAX(0,CI50-AR21),0),0)</f>
        <v>0</v>
      </c>
      <c r="CM50">
        <f>IF(ISNUMBER(CJ50),IFERROR(MAX(0,AS21-CJ50),0),0)</f>
        <v>0</v>
      </c>
      <c r="CN50">
        <f>IF(ISNUMBER(CJ50),IFERROR(MAX(0,CJ50-AS21),0),0)</f>
        <v>0</v>
      </c>
      <c r="CP50" t="e">
        <f>BX21</f>
        <v>#N/A</v>
      </c>
      <c r="CQ50" t="e">
        <f>BY21</f>
        <v>#N/A</v>
      </c>
      <c r="CR50">
        <f>IF(ISNUMBER(CP50),IFERROR(MAX(0,BZ21-CP50),0),0)</f>
        <v>0</v>
      </c>
      <c r="CS50">
        <f>IF(ISNUMBER(CP50),IFERROR(MAX(0,CP50-BZ21),0),0)</f>
        <v>0</v>
      </c>
      <c r="CT50">
        <f>IF(ISNUMBER(CQ50),IFERROR(MAX(0,CA21-CQ50),0),0)</f>
        <v>0</v>
      </c>
      <c r="CU50">
        <f>IF(ISNUMBER(CQ50),IFERROR(MAX(0,CQ50-CA21),0),0)</f>
        <v>0</v>
      </c>
    </row>
    <row r="51" spans="1:99" x14ac:dyDescent="0.3">
      <c r="A51">
        <v>45</v>
      </c>
      <c r="B51">
        <f>IF(A51&lt;=$B$2,IF(INDEX(Gantt!$A$7:$A$119,A51)&lt;&gt;"",1,0),0)</f>
        <v>0</v>
      </c>
      <c r="C51" t="e">
        <f>IF(B51=1,INDEX(Gantt!$C$7:$C$119,A51),NA())</f>
        <v>#N/A</v>
      </c>
      <c r="D51" t="e">
        <f>IF(B51=1,INDEX(Gantt!$D$7:$D$119,A51)+1,NA())</f>
        <v>#N/A</v>
      </c>
      <c r="E51">
        <f>IF(B51=1,INDEX(Gantt!$BN$7:$BN$119,A51),0)</f>
        <v>0</v>
      </c>
      <c r="F51">
        <f>IF(B51=1,N(INDEX(Gantt!$F$7:$F$119,A51)),0)</f>
        <v>0</v>
      </c>
      <c r="G51">
        <f t="shared" si="69"/>
        <v>0</v>
      </c>
      <c r="H51" t="e">
        <f t="shared" si="70"/>
        <v>#N/A</v>
      </c>
      <c r="I51" t="e">
        <f t="shared" si="71"/>
        <v>#N/A</v>
      </c>
      <c r="J51" t="e">
        <f t="shared" si="72"/>
        <v>#N/A</v>
      </c>
      <c r="K51" t="e">
        <f t="shared" si="73"/>
        <v>#N/A</v>
      </c>
      <c r="L51" t="e">
        <f t="shared" si="74"/>
        <v>#N/A</v>
      </c>
      <c r="M51" t="e">
        <f t="shared" si="75"/>
        <v>#N/A</v>
      </c>
      <c r="N51" t="e">
        <f t="shared" si="76"/>
        <v>#N/A</v>
      </c>
      <c r="O51" t="e">
        <f t="shared" si="77"/>
        <v>#N/A</v>
      </c>
      <c r="P51" t="e">
        <f t="shared" si="78"/>
        <v>#N/A</v>
      </c>
      <c r="Q51" t="str">
        <f>IF(B51=1,INDEX(Gantt!$A$7:$A$119,A51)&amp;"   "&amp;INDEX(Gantt!$B$7:$B$119,A51),"")</f>
        <v/>
      </c>
      <c r="R51" t="e">
        <f t="shared" si="79"/>
        <v>#N/A</v>
      </c>
      <c r="S51">
        <f t="shared" si="80"/>
        <v>0</v>
      </c>
      <c r="T51">
        <f t="shared" si="81"/>
        <v>0</v>
      </c>
      <c r="U51">
        <v>45</v>
      </c>
      <c r="V51">
        <f t="shared" si="13"/>
        <v>12</v>
      </c>
      <c r="W51">
        <f t="shared" si="14"/>
        <v>1</v>
      </c>
      <c r="X51">
        <f t="shared" si="15"/>
        <v>0</v>
      </c>
      <c r="Y51">
        <f>IF(X51&lt;&gt;1,9999,CHOOSE(W51,INDEX(Gantt!$BQ$7:$BQ$119,V51),INDEX(Gantt!$BR$7:$BR$119,V51),INDEX(Gantt!$BT$7:$BT$119,V51),INDEX(Gantt!$BU$7:$BU$119,V51)))</f>
        <v>9999</v>
      </c>
      <c r="Z51">
        <f t="shared" si="16"/>
        <v>0</v>
      </c>
      <c r="AA51" t="e">
        <f t="shared" si="17"/>
        <v>#N/A</v>
      </c>
      <c r="AB51" t="e">
        <f t="shared" si="18"/>
        <v>#N/A</v>
      </c>
      <c r="AC51" t="e">
        <f t="shared" si="19"/>
        <v>#N/A</v>
      </c>
      <c r="AD51" t="e">
        <f t="shared" si="20"/>
        <v>#N/A</v>
      </c>
      <c r="AE51" t="e">
        <f t="shared" si="21"/>
        <v>#N/A</v>
      </c>
      <c r="AF51" t="e">
        <f t="shared" si="22"/>
        <v>#N/A</v>
      </c>
      <c r="AG51" t="e">
        <f t="shared" si="23"/>
        <v>#N/A</v>
      </c>
      <c r="AH51" t="e">
        <f t="shared" si="24"/>
        <v>#N/A</v>
      </c>
      <c r="AI51" t="e">
        <f t="shared" si="25"/>
        <v>#N/A</v>
      </c>
      <c r="AJ51" t="e">
        <f t="shared" si="26"/>
        <v>#N/A</v>
      </c>
      <c r="AK51" t="e">
        <f t="shared" si="27"/>
        <v>#N/A</v>
      </c>
      <c r="AL51" t="e">
        <f t="shared" si="28"/>
        <v>#N/A</v>
      </c>
      <c r="AM51" t="e">
        <f t="shared" si="29"/>
        <v>#N/A</v>
      </c>
      <c r="AN51" t="e">
        <f t="shared" si="30"/>
        <v>#N/A</v>
      </c>
      <c r="AO51" t="e">
        <f t="shared" si="31"/>
        <v>#N/A</v>
      </c>
      <c r="AP51" t="e">
        <f t="shared" si="32"/>
        <v>#N/A</v>
      </c>
      <c r="AQ51" t="e">
        <f t="shared" si="33"/>
        <v>#N/A</v>
      </c>
      <c r="AR51" t="e">
        <f t="shared" si="34"/>
        <v>#N/A</v>
      </c>
      <c r="AS51" t="e">
        <f t="shared" si="35"/>
        <v>#N/A</v>
      </c>
      <c r="AT51" t="e">
        <f t="shared" si="36"/>
        <v>#N/A</v>
      </c>
      <c r="AU51" t="e">
        <f t="shared" si="37"/>
        <v>#N/A</v>
      </c>
      <c r="AV51" t="e">
        <f t="shared" si="38"/>
        <v>#N/A</v>
      </c>
      <c r="AW51" t="e">
        <f t="shared" si="39"/>
        <v>#N/A</v>
      </c>
      <c r="AX51" t="e">
        <f t="shared" si="40"/>
        <v>#N/A</v>
      </c>
      <c r="AY51" t="e">
        <f t="shared" si="41"/>
        <v>#N/A</v>
      </c>
      <c r="BE51" t="e">
        <f>IF(Z51=1,IF(INDEX($C$7:$C$126,V51)&gt;=Gantt!$BF$6,NA(),MATCH(INDEX($C$7:$C$126,V51),Gantt!$J$6:$BE$6,1)),NA())</f>
        <v>#N/A</v>
      </c>
      <c r="BF51" t="e">
        <f>IF(Z51=1,IF((INDEX($D$7:$D$126,AA51)-1)&gt;=Gantt!$BF$6,NA(),IF((INDEX($D$7:$D$126,AA51)-1)&lt;Gantt!$J$6,0,MATCH((INDEX($D$7:$D$126,AA51)-1),Gantt!$J$6:$BE$6,1))),NA())</f>
        <v>#N/A</v>
      </c>
      <c r="BG51" t="e">
        <f t="shared" si="42"/>
        <v>#N/A</v>
      </c>
      <c r="BH51" t="e">
        <f t="shared" si="43"/>
        <v>#N/A</v>
      </c>
      <c r="BI51" t="e">
        <f t="shared" si="44"/>
        <v>#N/A</v>
      </c>
      <c r="BJ51" t="e">
        <f t="shared" si="45"/>
        <v>#N/A</v>
      </c>
      <c r="BK51" t="e">
        <f t="shared" si="46"/>
        <v>#N/A</v>
      </c>
      <c r="BL51" t="e">
        <f t="shared" si="47"/>
        <v>#N/A</v>
      </c>
      <c r="BM51" t="e">
        <f t="shared" si="48"/>
        <v>#N/A</v>
      </c>
      <c r="BN51" t="e">
        <f t="shared" si="49"/>
        <v>#N/A</v>
      </c>
      <c r="BO51" t="e">
        <f t="shared" si="50"/>
        <v>#N/A</v>
      </c>
      <c r="BP51" t="e">
        <f t="shared" si="51"/>
        <v>#N/A</v>
      </c>
      <c r="BQ51" t="e">
        <f t="shared" si="52"/>
        <v>#N/A</v>
      </c>
      <c r="BR51" t="e">
        <f t="shared" si="53"/>
        <v>#N/A</v>
      </c>
      <c r="BS51" t="e">
        <f t="shared" si="54"/>
        <v>#N/A</v>
      </c>
      <c r="BT51" t="e">
        <f t="shared" si="55"/>
        <v>#N/A</v>
      </c>
      <c r="BU51" t="e">
        <f t="shared" si="56"/>
        <v>#N/A</v>
      </c>
      <c r="BV51" t="e">
        <f t="shared" si="57"/>
        <v>#N/A</v>
      </c>
      <c r="BW51" t="e">
        <f t="shared" si="58"/>
        <v>#N/A</v>
      </c>
      <c r="BX51" t="e">
        <f t="shared" si="59"/>
        <v>#N/A</v>
      </c>
      <c r="BY51" t="e">
        <f t="shared" si="60"/>
        <v>#N/A</v>
      </c>
      <c r="BZ51" t="e">
        <f t="shared" si="61"/>
        <v>#N/A</v>
      </c>
      <c r="CA51" t="e">
        <f t="shared" si="62"/>
        <v>#N/A</v>
      </c>
      <c r="CB51" t="e">
        <f t="shared" si="63"/>
        <v>#N/A</v>
      </c>
      <c r="CC51" t="e">
        <f t="shared" si="64"/>
        <v>#N/A</v>
      </c>
      <c r="CD51" t="e">
        <f t="shared" si="65"/>
        <v>#N/A</v>
      </c>
      <c r="CE51" t="e">
        <f t="shared" si="66"/>
        <v>#N/A</v>
      </c>
      <c r="CF51" t="e">
        <f t="shared" si="67"/>
        <v>#N/A</v>
      </c>
      <c r="CG51" t="e">
        <f t="shared" si="68"/>
        <v>#N/A</v>
      </c>
      <c r="CI51" t="e">
        <f>AT21</f>
        <v>#N/A</v>
      </c>
      <c r="CJ51" t="e">
        <f>AU21</f>
        <v>#N/A</v>
      </c>
      <c r="CK51">
        <f>IF(ISNUMBER(CI51),IFERROR(MAX(0,AV21-CI51),0),0)</f>
        <v>0</v>
      </c>
      <c r="CL51">
        <f>IF(ISNUMBER(CI51),IFERROR(MAX(0,CI51-AV21),0),0)</f>
        <v>0</v>
      </c>
      <c r="CM51">
        <f>IF(ISNUMBER(CJ51),IFERROR(MAX(0,AW21-CJ51),0),0)</f>
        <v>0</v>
      </c>
      <c r="CN51">
        <f>IF(ISNUMBER(CJ51),IFERROR(MAX(0,CJ51-AW21),0),0)</f>
        <v>0</v>
      </c>
      <c r="CP51" t="e">
        <f>CB21</f>
        <v>#N/A</v>
      </c>
      <c r="CQ51" t="e">
        <f>CC21</f>
        <v>#N/A</v>
      </c>
      <c r="CR51">
        <f>IF(ISNUMBER(CP51),IFERROR(MAX(0,CD21-CP51),0),0)</f>
        <v>0</v>
      </c>
      <c r="CS51">
        <f>IF(ISNUMBER(CP51),IFERROR(MAX(0,CP51-CD21),0),0)</f>
        <v>0</v>
      </c>
      <c r="CT51">
        <f>IF(ISNUMBER(CQ51),IFERROR(MAX(0,CE21-CQ51),0),0)</f>
        <v>0</v>
      </c>
      <c r="CU51">
        <f>IF(ISNUMBER(CQ51),IFERROR(MAX(0,CQ51-CE21),0),0)</f>
        <v>0</v>
      </c>
    </row>
    <row r="52" spans="1:99" x14ac:dyDescent="0.3">
      <c r="A52">
        <v>46</v>
      </c>
      <c r="B52">
        <f>IF(A52&lt;=$B$2,IF(INDEX(Gantt!$A$7:$A$119,A52)&lt;&gt;"",1,0),0)</f>
        <v>0</v>
      </c>
      <c r="C52" t="e">
        <f>IF(B52=1,INDEX(Gantt!$C$7:$C$119,A52),NA())</f>
        <v>#N/A</v>
      </c>
      <c r="D52" t="e">
        <f>IF(B52=1,INDEX(Gantt!$D$7:$D$119,A52)+1,NA())</f>
        <v>#N/A</v>
      </c>
      <c r="E52">
        <f>IF(B52=1,INDEX(Gantt!$BN$7:$BN$119,A52),0)</f>
        <v>0</v>
      </c>
      <c r="F52">
        <f>IF(B52=1,N(INDEX(Gantt!$F$7:$F$119,A52)),0)</f>
        <v>0</v>
      </c>
      <c r="G52">
        <f t="shared" si="69"/>
        <v>0</v>
      </c>
      <c r="H52" t="e">
        <f t="shared" si="70"/>
        <v>#N/A</v>
      </c>
      <c r="I52" t="e">
        <f t="shared" si="71"/>
        <v>#N/A</v>
      </c>
      <c r="J52" t="e">
        <f t="shared" si="72"/>
        <v>#N/A</v>
      </c>
      <c r="K52" t="e">
        <f t="shared" si="73"/>
        <v>#N/A</v>
      </c>
      <c r="L52" t="e">
        <f t="shared" si="74"/>
        <v>#N/A</v>
      </c>
      <c r="M52" t="e">
        <f t="shared" si="75"/>
        <v>#N/A</v>
      </c>
      <c r="N52" t="e">
        <f t="shared" si="76"/>
        <v>#N/A</v>
      </c>
      <c r="O52" t="e">
        <f t="shared" si="77"/>
        <v>#N/A</v>
      </c>
      <c r="P52" t="e">
        <f t="shared" si="78"/>
        <v>#N/A</v>
      </c>
      <c r="Q52" t="str">
        <f>IF(B52=1,INDEX(Gantt!$A$7:$A$119,A52)&amp;"   "&amp;INDEX(Gantt!$B$7:$B$119,A52),"")</f>
        <v/>
      </c>
      <c r="R52" t="e">
        <f t="shared" si="79"/>
        <v>#N/A</v>
      </c>
      <c r="S52">
        <f t="shared" si="80"/>
        <v>0</v>
      </c>
      <c r="T52">
        <f t="shared" si="81"/>
        <v>0</v>
      </c>
      <c r="U52">
        <v>46</v>
      </c>
      <c r="V52">
        <f t="shared" si="13"/>
        <v>12</v>
      </c>
      <c r="W52">
        <f t="shared" si="14"/>
        <v>2</v>
      </c>
      <c r="X52">
        <f t="shared" si="15"/>
        <v>0</v>
      </c>
      <c r="Y52">
        <f>IF(X52&lt;&gt;1,9999,CHOOSE(W52,INDEX(Gantt!$BQ$7:$BQ$119,V52),INDEX(Gantt!$BR$7:$BR$119,V52),INDEX(Gantt!$BT$7:$BT$119,V52),INDEX(Gantt!$BU$7:$BU$119,V52)))</f>
        <v>9999</v>
      </c>
      <c r="Z52">
        <f t="shared" si="16"/>
        <v>0</v>
      </c>
      <c r="AA52" t="e">
        <f t="shared" si="17"/>
        <v>#N/A</v>
      </c>
      <c r="AB52" t="e">
        <f t="shared" si="18"/>
        <v>#N/A</v>
      </c>
      <c r="AC52" t="e">
        <f t="shared" si="19"/>
        <v>#N/A</v>
      </c>
      <c r="AD52" t="e">
        <f t="shared" si="20"/>
        <v>#N/A</v>
      </c>
      <c r="AE52" t="e">
        <f t="shared" si="21"/>
        <v>#N/A</v>
      </c>
      <c r="AF52" t="e">
        <f t="shared" si="22"/>
        <v>#N/A</v>
      </c>
      <c r="AG52" t="e">
        <f t="shared" si="23"/>
        <v>#N/A</v>
      </c>
      <c r="AH52" t="e">
        <f t="shared" si="24"/>
        <v>#N/A</v>
      </c>
      <c r="AI52" t="e">
        <f t="shared" si="25"/>
        <v>#N/A</v>
      </c>
      <c r="AJ52" t="e">
        <f t="shared" si="26"/>
        <v>#N/A</v>
      </c>
      <c r="AK52" t="e">
        <f t="shared" si="27"/>
        <v>#N/A</v>
      </c>
      <c r="AL52" t="e">
        <f t="shared" si="28"/>
        <v>#N/A</v>
      </c>
      <c r="AM52" t="e">
        <f t="shared" si="29"/>
        <v>#N/A</v>
      </c>
      <c r="AN52" t="e">
        <f t="shared" si="30"/>
        <v>#N/A</v>
      </c>
      <c r="AO52" t="e">
        <f t="shared" si="31"/>
        <v>#N/A</v>
      </c>
      <c r="AP52" t="e">
        <f t="shared" si="32"/>
        <v>#N/A</v>
      </c>
      <c r="AQ52" t="e">
        <f t="shared" si="33"/>
        <v>#N/A</v>
      </c>
      <c r="AR52" t="e">
        <f t="shared" si="34"/>
        <v>#N/A</v>
      </c>
      <c r="AS52" t="e">
        <f t="shared" si="35"/>
        <v>#N/A</v>
      </c>
      <c r="AT52" t="e">
        <f t="shared" si="36"/>
        <v>#N/A</v>
      </c>
      <c r="AU52" t="e">
        <f t="shared" si="37"/>
        <v>#N/A</v>
      </c>
      <c r="AV52" t="e">
        <f t="shared" si="38"/>
        <v>#N/A</v>
      </c>
      <c r="AW52" t="e">
        <f t="shared" si="39"/>
        <v>#N/A</v>
      </c>
      <c r="AX52" t="e">
        <f t="shared" si="40"/>
        <v>#N/A</v>
      </c>
      <c r="AY52" t="e">
        <f t="shared" si="41"/>
        <v>#N/A</v>
      </c>
      <c r="BE52" t="e">
        <f>IF(Z52=1,IF(INDEX($C$7:$C$126,V52)&gt;=Gantt!$BF$6,NA(),MATCH(INDEX($C$7:$C$126,V52),Gantt!$J$6:$BE$6,1)),NA())</f>
        <v>#N/A</v>
      </c>
      <c r="BF52" t="e">
        <f>IF(Z52=1,IF((INDEX($D$7:$D$126,AA52)-1)&gt;=Gantt!$BF$6,NA(),IF((INDEX($D$7:$D$126,AA52)-1)&lt;Gantt!$J$6,0,MATCH((INDEX($D$7:$D$126,AA52)-1),Gantt!$J$6:$BE$6,1))),NA())</f>
        <v>#N/A</v>
      </c>
      <c r="BG52" t="e">
        <f t="shared" si="42"/>
        <v>#N/A</v>
      </c>
      <c r="BH52" t="e">
        <f t="shared" si="43"/>
        <v>#N/A</v>
      </c>
      <c r="BI52" t="e">
        <f t="shared" si="44"/>
        <v>#N/A</v>
      </c>
      <c r="BJ52" t="e">
        <f t="shared" si="45"/>
        <v>#N/A</v>
      </c>
      <c r="BK52" t="e">
        <f t="shared" si="46"/>
        <v>#N/A</v>
      </c>
      <c r="BL52" t="e">
        <f t="shared" si="47"/>
        <v>#N/A</v>
      </c>
      <c r="BM52" t="e">
        <f t="shared" si="48"/>
        <v>#N/A</v>
      </c>
      <c r="BN52" t="e">
        <f t="shared" si="49"/>
        <v>#N/A</v>
      </c>
      <c r="BO52" t="e">
        <f t="shared" si="50"/>
        <v>#N/A</v>
      </c>
      <c r="BP52" t="e">
        <f t="shared" si="51"/>
        <v>#N/A</v>
      </c>
      <c r="BQ52" t="e">
        <f t="shared" si="52"/>
        <v>#N/A</v>
      </c>
      <c r="BR52" t="e">
        <f t="shared" si="53"/>
        <v>#N/A</v>
      </c>
      <c r="BS52" t="e">
        <f t="shared" si="54"/>
        <v>#N/A</v>
      </c>
      <c r="BT52" t="e">
        <f t="shared" si="55"/>
        <v>#N/A</v>
      </c>
      <c r="BU52" t="e">
        <f t="shared" si="56"/>
        <v>#N/A</v>
      </c>
      <c r="BV52" t="e">
        <f t="shared" si="57"/>
        <v>#N/A</v>
      </c>
      <c r="BW52" t="e">
        <f t="shared" si="58"/>
        <v>#N/A</v>
      </c>
      <c r="BX52" t="e">
        <f t="shared" si="59"/>
        <v>#N/A</v>
      </c>
      <c r="BY52" t="e">
        <f t="shared" si="60"/>
        <v>#N/A</v>
      </c>
      <c r="BZ52" t="e">
        <f t="shared" si="61"/>
        <v>#N/A</v>
      </c>
      <c r="CA52" t="e">
        <f t="shared" si="62"/>
        <v>#N/A</v>
      </c>
      <c r="CB52" t="e">
        <f t="shared" si="63"/>
        <v>#N/A</v>
      </c>
      <c r="CC52" t="e">
        <f t="shared" si="64"/>
        <v>#N/A</v>
      </c>
      <c r="CD52" t="e">
        <f t="shared" si="65"/>
        <v>#N/A</v>
      </c>
      <c r="CE52" t="e">
        <f t="shared" si="66"/>
        <v>#N/A</v>
      </c>
      <c r="CF52" t="e">
        <f t="shared" si="67"/>
        <v>#N/A</v>
      </c>
      <c r="CG52" t="e">
        <f t="shared" si="68"/>
        <v>#N/A</v>
      </c>
      <c r="CI52" t="e">
        <f>AL22</f>
        <v>#N/A</v>
      </c>
      <c r="CJ52" t="e">
        <f>AM22</f>
        <v>#N/A</v>
      </c>
      <c r="CK52">
        <f>IF(ISNUMBER(CI52),IFERROR(MAX(0,AN22-CI52),0),0)</f>
        <v>0</v>
      </c>
      <c r="CL52">
        <f>IF(ISNUMBER(CI52),IFERROR(MAX(0,CI52-AN22),0),0)</f>
        <v>0</v>
      </c>
      <c r="CM52">
        <f>IF(ISNUMBER(CJ52),IFERROR(MAX(0,AO22-CJ52),0),0)</f>
        <v>0</v>
      </c>
      <c r="CN52">
        <f>IF(ISNUMBER(CJ52),IFERROR(MAX(0,CJ52-AO22),0),0)</f>
        <v>0</v>
      </c>
      <c r="CP52" t="e">
        <f>BT22</f>
        <v>#N/A</v>
      </c>
      <c r="CQ52" t="e">
        <f>BU22</f>
        <v>#N/A</v>
      </c>
      <c r="CR52">
        <f>IF(ISNUMBER(CP52),IFERROR(MAX(0,BV22-CP52),0),0)</f>
        <v>0</v>
      </c>
      <c r="CS52">
        <f>IF(ISNUMBER(CP52),IFERROR(MAX(0,CP52-BV22),0),0)</f>
        <v>0</v>
      </c>
      <c r="CT52">
        <f>IF(ISNUMBER(CQ52),IFERROR(MAX(0,BW22-CQ52),0),0)</f>
        <v>0</v>
      </c>
      <c r="CU52">
        <f>IF(ISNUMBER(CQ52),IFERROR(MAX(0,CQ52-BW22),0),0)</f>
        <v>0</v>
      </c>
    </row>
    <row r="53" spans="1:99" x14ac:dyDescent="0.3">
      <c r="A53">
        <v>47</v>
      </c>
      <c r="B53">
        <f>IF(A53&lt;=$B$2,IF(INDEX(Gantt!$A$7:$A$119,A53)&lt;&gt;"",1,0),0)</f>
        <v>0</v>
      </c>
      <c r="C53" t="e">
        <f>IF(B53=1,INDEX(Gantt!$C$7:$C$119,A53),NA())</f>
        <v>#N/A</v>
      </c>
      <c r="D53" t="e">
        <f>IF(B53=1,INDEX(Gantt!$D$7:$D$119,A53)+1,NA())</f>
        <v>#N/A</v>
      </c>
      <c r="E53">
        <f>IF(B53=1,INDEX(Gantt!$BN$7:$BN$119,A53),0)</f>
        <v>0</v>
      </c>
      <c r="F53">
        <f>IF(B53=1,N(INDEX(Gantt!$F$7:$F$119,A53)),0)</f>
        <v>0</v>
      </c>
      <c r="G53">
        <f t="shared" si="69"/>
        <v>0</v>
      </c>
      <c r="H53" t="e">
        <f t="shared" si="70"/>
        <v>#N/A</v>
      </c>
      <c r="I53" t="e">
        <f t="shared" si="71"/>
        <v>#N/A</v>
      </c>
      <c r="J53" t="e">
        <f t="shared" si="72"/>
        <v>#N/A</v>
      </c>
      <c r="K53" t="e">
        <f t="shared" si="73"/>
        <v>#N/A</v>
      </c>
      <c r="L53" t="e">
        <f t="shared" si="74"/>
        <v>#N/A</v>
      </c>
      <c r="M53" t="e">
        <f t="shared" si="75"/>
        <v>#N/A</v>
      </c>
      <c r="N53" t="e">
        <f t="shared" si="76"/>
        <v>#N/A</v>
      </c>
      <c r="O53" t="e">
        <f t="shared" si="77"/>
        <v>#N/A</v>
      </c>
      <c r="P53" t="e">
        <f t="shared" si="78"/>
        <v>#N/A</v>
      </c>
      <c r="Q53" t="str">
        <f>IF(B53=1,INDEX(Gantt!$A$7:$A$119,A53)&amp;"   "&amp;INDEX(Gantt!$B$7:$B$119,A53),"")</f>
        <v/>
      </c>
      <c r="R53" t="e">
        <f t="shared" si="79"/>
        <v>#N/A</v>
      </c>
      <c r="S53">
        <f t="shared" si="80"/>
        <v>0</v>
      </c>
      <c r="T53">
        <f t="shared" si="81"/>
        <v>0</v>
      </c>
      <c r="U53">
        <v>47</v>
      </c>
      <c r="V53">
        <f t="shared" si="13"/>
        <v>12</v>
      </c>
      <c r="W53">
        <f t="shared" si="14"/>
        <v>3</v>
      </c>
      <c r="X53">
        <f t="shared" si="15"/>
        <v>0</v>
      </c>
      <c r="Y53">
        <f>IF(X53&lt;&gt;1,9999,CHOOSE(W53,INDEX(Gantt!$BQ$7:$BQ$119,V53),INDEX(Gantt!$BR$7:$BR$119,V53),INDEX(Gantt!$BT$7:$BT$119,V53),INDEX(Gantt!$BU$7:$BU$119,V53)))</f>
        <v>9999</v>
      </c>
      <c r="Z53">
        <f t="shared" si="16"/>
        <v>0</v>
      </c>
      <c r="AA53" t="e">
        <f t="shared" si="17"/>
        <v>#N/A</v>
      </c>
      <c r="AB53" t="e">
        <f t="shared" si="18"/>
        <v>#N/A</v>
      </c>
      <c r="AC53" t="e">
        <f t="shared" si="19"/>
        <v>#N/A</v>
      </c>
      <c r="AD53" t="e">
        <f t="shared" si="20"/>
        <v>#N/A</v>
      </c>
      <c r="AE53" t="e">
        <f t="shared" si="21"/>
        <v>#N/A</v>
      </c>
      <c r="AF53" t="e">
        <f t="shared" si="22"/>
        <v>#N/A</v>
      </c>
      <c r="AG53" t="e">
        <f t="shared" si="23"/>
        <v>#N/A</v>
      </c>
      <c r="AH53" t="e">
        <f t="shared" si="24"/>
        <v>#N/A</v>
      </c>
      <c r="AI53" t="e">
        <f t="shared" si="25"/>
        <v>#N/A</v>
      </c>
      <c r="AJ53" t="e">
        <f t="shared" si="26"/>
        <v>#N/A</v>
      </c>
      <c r="AK53" t="e">
        <f t="shared" si="27"/>
        <v>#N/A</v>
      </c>
      <c r="AL53" t="e">
        <f t="shared" si="28"/>
        <v>#N/A</v>
      </c>
      <c r="AM53" t="e">
        <f t="shared" si="29"/>
        <v>#N/A</v>
      </c>
      <c r="AN53" t="e">
        <f t="shared" si="30"/>
        <v>#N/A</v>
      </c>
      <c r="AO53" t="e">
        <f t="shared" si="31"/>
        <v>#N/A</v>
      </c>
      <c r="AP53" t="e">
        <f t="shared" si="32"/>
        <v>#N/A</v>
      </c>
      <c r="AQ53" t="e">
        <f t="shared" si="33"/>
        <v>#N/A</v>
      </c>
      <c r="AR53" t="e">
        <f t="shared" si="34"/>
        <v>#N/A</v>
      </c>
      <c r="AS53" t="e">
        <f t="shared" si="35"/>
        <v>#N/A</v>
      </c>
      <c r="AT53" t="e">
        <f t="shared" si="36"/>
        <v>#N/A</v>
      </c>
      <c r="AU53" t="e">
        <f t="shared" si="37"/>
        <v>#N/A</v>
      </c>
      <c r="AV53" t="e">
        <f t="shared" si="38"/>
        <v>#N/A</v>
      </c>
      <c r="AW53" t="e">
        <f t="shared" si="39"/>
        <v>#N/A</v>
      </c>
      <c r="AX53" t="e">
        <f t="shared" si="40"/>
        <v>#N/A</v>
      </c>
      <c r="AY53" t="e">
        <f t="shared" si="41"/>
        <v>#N/A</v>
      </c>
      <c r="BE53" t="e">
        <f>IF(Z53=1,IF(INDEX($C$7:$C$126,V53)&gt;=Gantt!$BF$6,NA(),MATCH(INDEX($C$7:$C$126,V53),Gantt!$J$6:$BE$6,1)),NA())</f>
        <v>#N/A</v>
      </c>
      <c r="BF53" t="e">
        <f>IF(Z53=1,IF((INDEX($D$7:$D$126,AA53)-1)&gt;=Gantt!$BF$6,NA(),IF((INDEX($D$7:$D$126,AA53)-1)&lt;Gantt!$J$6,0,MATCH((INDEX($D$7:$D$126,AA53)-1),Gantt!$J$6:$BE$6,1))),NA())</f>
        <v>#N/A</v>
      </c>
      <c r="BG53" t="e">
        <f t="shared" si="42"/>
        <v>#N/A</v>
      </c>
      <c r="BH53" t="e">
        <f t="shared" si="43"/>
        <v>#N/A</v>
      </c>
      <c r="BI53" t="e">
        <f t="shared" si="44"/>
        <v>#N/A</v>
      </c>
      <c r="BJ53" t="e">
        <f t="shared" si="45"/>
        <v>#N/A</v>
      </c>
      <c r="BK53" t="e">
        <f t="shared" si="46"/>
        <v>#N/A</v>
      </c>
      <c r="BL53" t="e">
        <f t="shared" si="47"/>
        <v>#N/A</v>
      </c>
      <c r="BM53" t="e">
        <f t="shared" si="48"/>
        <v>#N/A</v>
      </c>
      <c r="BN53" t="e">
        <f t="shared" si="49"/>
        <v>#N/A</v>
      </c>
      <c r="BO53" t="e">
        <f t="shared" si="50"/>
        <v>#N/A</v>
      </c>
      <c r="BP53" t="e">
        <f t="shared" si="51"/>
        <v>#N/A</v>
      </c>
      <c r="BQ53" t="e">
        <f t="shared" si="52"/>
        <v>#N/A</v>
      </c>
      <c r="BR53" t="e">
        <f t="shared" si="53"/>
        <v>#N/A</v>
      </c>
      <c r="BS53" t="e">
        <f t="shared" si="54"/>
        <v>#N/A</v>
      </c>
      <c r="BT53" t="e">
        <f t="shared" si="55"/>
        <v>#N/A</v>
      </c>
      <c r="BU53" t="e">
        <f t="shared" si="56"/>
        <v>#N/A</v>
      </c>
      <c r="BV53" t="e">
        <f t="shared" si="57"/>
        <v>#N/A</v>
      </c>
      <c r="BW53" t="e">
        <f t="shared" si="58"/>
        <v>#N/A</v>
      </c>
      <c r="BX53" t="e">
        <f t="shared" si="59"/>
        <v>#N/A</v>
      </c>
      <c r="BY53" t="e">
        <f t="shared" si="60"/>
        <v>#N/A</v>
      </c>
      <c r="BZ53" t="e">
        <f t="shared" si="61"/>
        <v>#N/A</v>
      </c>
      <c r="CA53" t="e">
        <f t="shared" si="62"/>
        <v>#N/A</v>
      </c>
      <c r="CB53" t="e">
        <f t="shared" si="63"/>
        <v>#N/A</v>
      </c>
      <c r="CC53" t="e">
        <f t="shared" si="64"/>
        <v>#N/A</v>
      </c>
      <c r="CD53" t="e">
        <f t="shared" si="65"/>
        <v>#N/A</v>
      </c>
      <c r="CE53" t="e">
        <f t="shared" si="66"/>
        <v>#N/A</v>
      </c>
      <c r="CF53" t="e">
        <f t="shared" si="67"/>
        <v>#N/A</v>
      </c>
      <c r="CG53" t="e">
        <f t="shared" si="68"/>
        <v>#N/A</v>
      </c>
      <c r="CI53" t="e">
        <f>AP22</f>
        <v>#N/A</v>
      </c>
      <c r="CJ53" t="e">
        <f>AQ22</f>
        <v>#N/A</v>
      </c>
      <c r="CK53">
        <f>IF(ISNUMBER(CI53),IFERROR(MAX(0,AR22-CI53),0),0)</f>
        <v>0</v>
      </c>
      <c r="CL53">
        <f>IF(ISNUMBER(CI53),IFERROR(MAX(0,CI53-AR22),0),0)</f>
        <v>0</v>
      </c>
      <c r="CM53">
        <f>IF(ISNUMBER(CJ53),IFERROR(MAX(0,AS22-CJ53),0),0)</f>
        <v>0</v>
      </c>
      <c r="CN53">
        <f>IF(ISNUMBER(CJ53),IFERROR(MAX(0,CJ53-AS22),0),0)</f>
        <v>0</v>
      </c>
      <c r="CP53" t="e">
        <f>BX22</f>
        <v>#N/A</v>
      </c>
      <c r="CQ53" t="e">
        <f>BY22</f>
        <v>#N/A</v>
      </c>
      <c r="CR53">
        <f>IF(ISNUMBER(CP53),IFERROR(MAX(0,BZ22-CP53),0),0)</f>
        <v>0</v>
      </c>
      <c r="CS53">
        <f>IF(ISNUMBER(CP53),IFERROR(MAX(0,CP53-BZ22),0),0)</f>
        <v>0</v>
      </c>
      <c r="CT53">
        <f>IF(ISNUMBER(CQ53),IFERROR(MAX(0,CA22-CQ53),0),0)</f>
        <v>0</v>
      </c>
      <c r="CU53">
        <f>IF(ISNUMBER(CQ53),IFERROR(MAX(0,CQ53-CA22),0),0)</f>
        <v>0</v>
      </c>
    </row>
    <row r="54" spans="1:99" x14ac:dyDescent="0.3">
      <c r="A54">
        <v>48</v>
      </c>
      <c r="B54">
        <f>IF(A54&lt;=$B$2,IF(INDEX(Gantt!$A$7:$A$119,A54)&lt;&gt;"",1,0),0)</f>
        <v>0</v>
      </c>
      <c r="C54" t="e">
        <f>IF(B54=1,INDEX(Gantt!$C$7:$C$119,A54),NA())</f>
        <v>#N/A</v>
      </c>
      <c r="D54" t="e">
        <f>IF(B54=1,INDEX(Gantt!$D$7:$D$119,A54)+1,NA())</f>
        <v>#N/A</v>
      </c>
      <c r="E54">
        <f>IF(B54=1,INDEX(Gantt!$BN$7:$BN$119,A54),0)</f>
        <v>0</v>
      </c>
      <c r="F54">
        <f>IF(B54=1,N(INDEX(Gantt!$F$7:$F$119,A54)),0)</f>
        <v>0</v>
      </c>
      <c r="G54">
        <f t="shared" si="69"/>
        <v>0</v>
      </c>
      <c r="H54" t="e">
        <f t="shared" si="70"/>
        <v>#N/A</v>
      </c>
      <c r="I54" t="e">
        <f t="shared" si="71"/>
        <v>#N/A</v>
      </c>
      <c r="J54" t="e">
        <f t="shared" si="72"/>
        <v>#N/A</v>
      </c>
      <c r="K54" t="e">
        <f t="shared" si="73"/>
        <v>#N/A</v>
      </c>
      <c r="L54" t="e">
        <f t="shared" si="74"/>
        <v>#N/A</v>
      </c>
      <c r="M54" t="e">
        <f t="shared" si="75"/>
        <v>#N/A</v>
      </c>
      <c r="N54" t="e">
        <f t="shared" si="76"/>
        <v>#N/A</v>
      </c>
      <c r="O54" t="e">
        <f t="shared" si="77"/>
        <v>#N/A</v>
      </c>
      <c r="P54" t="e">
        <f t="shared" si="78"/>
        <v>#N/A</v>
      </c>
      <c r="Q54" t="str">
        <f>IF(B54=1,INDEX(Gantt!$A$7:$A$119,A54)&amp;"   "&amp;INDEX(Gantt!$B$7:$B$119,A54),"")</f>
        <v/>
      </c>
      <c r="R54" t="e">
        <f t="shared" si="79"/>
        <v>#N/A</v>
      </c>
      <c r="S54">
        <f t="shared" si="80"/>
        <v>0</v>
      </c>
      <c r="T54">
        <f t="shared" si="81"/>
        <v>0</v>
      </c>
      <c r="U54">
        <v>48</v>
      </c>
      <c r="V54">
        <f t="shared" si="13"/>
        <v>12</v>
      </c>
      <c r="W54">
        <f t="shared" si="14"/>
        <v>4</v>
      </c>
      <c r="X54">
        <f t="shared" si="15"/>
        <v>0</v>
      </c>
      <c r="Y54">
        <f>IF(X54&lt;&gt;1,9999,CHOOSE(W54,INDEX(Gantt!$BQ$7:$BQ$119,V54),INDEX(Gantt!$BR$7:$BR$119,V54),INDEX(Gantt!$BT$7:$BT$119,V54),INDEX(Gantt!$BU$7:$BU$119,V54)))</f>
        <v>9999</v>
      </c>
      <c r="Z54">
        <f t="shared" si="16"/>
        <v>0</v>
      </c>
      <c r="AA54" t="e">
        <f t="shared" si="17"/>
        <v>#N/A</v>
      </c>
      <c r="AB54" t="e">
        <f t="shared" si="18"/>
        <v>#N/A</v>
      </c>
      <c r="AC54" t="e">
        <f t="shared" si="19"/>
        <v>#N/A</v>
      </c>
      <c r="AD54" t="e">
        <f t="shared" si="20"/>
        <v>#N/A</v>
      </c>
      <c r="AE54" t="e">
        <f t="shared" si="21"/>
        <v>#N/A</v>
      </c>
      <c r="AF54" t="e">
        <f t="shared" si="22"/>
        <v>#N/A</v>
      </c>
      <c r="AG54" t="e">
        <f t="shared" si="23"/>
        <v>#N/A</v>
      </c>
      <c r="AH54" t="e">
        <f t="shared" si="24"/>
        <v>#N/A</v>
      </c>
      <c r="AI54" t="e">
        <f t="shared" si="25"/>
        <v>#N/A</v>
      </c>
      <c r="AJ54" t="e">
        <f t="shared" si="26"/>
        <v>#N/A</v>
      </c>
      <c r="AK54" t="e">
        <f t="shared" si="27"/>
        <v>#N/A</v>
      </c>
      <c r="AL54" t="e">
        <f t="shared" si="28"/>
        <v>#N/A</v>
      </c>
      <c r="AM54" t="e">
        <f t="shared" si="29"/>
        <v>#N/A</v>
      </c>
      <c r="AN54" t="e">
        <f t="shared" si="30"/>
        <v>#N/A</v>
      </c>
      <c r="AO54" t="e">
        <f t="shared" si="31"/>
        <v>#N/A</v>
      </c>
      <c r="AP54" t="e">
        <f t="shared" si="32"/>
        <v>#N/A</v>
      </c>
      <c r="AQ54" t="e">
        <f t="shared" si="33"/>
        <v>#N/A</v>
      </c>
      <c r="AR54" t="e">
        <f t="shared" si="34"/>
        <v>#N/A</v>
      </c>
      <c r="AS54" t="e">
        <f t="shared" si="35"/>
        <v>#N/A</v>
      </c>
      <c r="AT54" t="e">
        <f t="shared" si="36"/>
        <v>#N/A</v>
      </c>
      <c r="AU54" t="e">
        <f t="shared" si="37"/>
        <v>#N/A</v>
      </c>
      <c r="AV54" t="e">
        <f t="shared" si="38"/>
        <v>#N/A</v>
      </c>
      <c r="AW54" t="e">
        <f t="shared" si="39"/>
        <v>#N/A</v>
      </c>
      <c r="AX54" t="e">
        <f t="shared" si="40"/>
        <v>#N/A</v>
      </c>
      <c r="AY54" t="e">
        <f t="shared" si="41"/>
        <v>#N/A</v>
      </c>
      <c r="BE54" t="e">
        <f>IF(Z54=1,IF(INDEX($C$7:$C$126,V54)&gt;=Gantt!$BF$6,NA(),MATCH(INDEX($C$7:$C$126,V54),Gantt!$J$6:$BE$6,1)),NA())</f>
        <v>#N/A</v>
      </c>
      <c r="BF54" t="e">
        <f>IF(Z54=1,IF((INDEX($D$7:$D$126,AA54)-1)&gt;=Gantt!$BF$6,NA(),IF((INDEX($D$7:$D$126,AA54)-1)&lt;Gantt!$J$6,0,MATCH((INDEX($D$7:$D$126,AA54)-1),Gantt!$J$6:$BE$6,1))),NA())</f>
        <v>#N/A</v>
      </c>
      <c r="BG54" t="e">
        <f t="shared" si="42"/>
        <v>#N/A</v>
      </c>
      <c r="BH54" t="e">
        <f t="shared" si="43"/>
        <v>#N/A</v>
      </c>
      <c r="BI54" t="e">
        <f t="shared" si="44"/>
        <v>#N/A</v>
      </c>
      <c r="BJ54" t="e">
        <f t="shared" si="45"/>
        <v>#N/A</v>
      </c>
      <c r="BK54" t="e">
        <f t="shared" si="46"/>
        <v>#N/A</v>
      </c>
      <c r="BL54" t="e">
        <f t="shared" si="47"/>
        <v>#N/A</v>
      </c>
      <c r="BM54" t="e">
        <f t="shared" si="48"/>
        <v>#N/A</v>
      </c>
      <c r="BN54" t="e">
        <f t="shared" si="49"/>
        <v>#N/A</v>
      </c>
      <c r="BO54" t="e">
        <f t="shared" si="50"/>
        <v>#N/A</v>
      </c>
      <c r="BP54" t="e">
        <f t="shared" si="51"/>
        <v>#N/A</v>
      </c>
      <c r="BQ54" t="e">
        <f t="shared" si="52"/>
        <v>#N/A</v>
      </c>
      <c r="BR54" t="e">
        <f t="shared" si="53"/>
        <v>#N/A</v>
      </c>
      <c r="BS54" t="e">
        <f t="shared" si="54"/>
        <v>#N/A</v>
      </c>
      <c r="BT54" t="e">
        <f t="shared" si="55"/>
        <v>#N/A</v>
      </c>
      <c r="BU54" t="e">
        <f t="shared" si="56"/>
        <v>#N/A</v>
      </c>
      <c r="BV54" t="e">
        <f t="shared" si="57"/>
        <v>#N/A</v>
      </c>
      <c r="BW54" t="e">
        <f t="shared" si="58"/>
        <v>#N/A</v>
      </c>
      <c r="BX54" t="e">
        <f t="shared" si="59"/>
        <v>#N/A</v>
      </c>
      <c r="BY54" t="e">
        <f t="shared" si="60"/>
        <v>#N/A</v>
      </c>
      <c r="BZ54" t="e">
        <f t="shared" si="61"/>
        <v>#N/A</v>
      </c>
      <c r="CA54" t="e">
        <f t="shared" si="62"/>
        <v>#N/A</v>
      </c>
      <c r="CB54" t="e">
        <f t="shared" si="63"/>
        <v>#N/A</v>
      </c>
      <c r="CC54" t="e">
        <f t="shared" si="64"/>
        <v>#N/A</v>
      </c>
      <c r="CD54" t="e">
        <f t="shared" si="65"/>
        <v>#N/A</v>
      </c>
      <c r="CE54" t="e">
        <f t="shared" si="66"/>
        <v>#N/A</v>
      </c>
      <c r="CF54" t="e">
        <f t="shared" si="67"/>
        <v>#N/A</v>
      </c>
      <c r="CG54" t="e">
        <f t="shared" si="68"/>
        <v>#N/A</v>
      </c>
      <c r="CI54" t="e">
        <f>AT22</f>
        <v>#N/A</v>
      </c>
      <c r="CJ54" t="e">
        <f>AU22</f>
        <v>#N/A</v>
      </c>
      <c r="CK54">
        <f>IF(ISNUMBER(CI54),IFERROR(MAX(0,AV22-CI54),0),0)</f>
        <v>0</v>
      </c>
      <c r="CL54">
        <f>IF(ISNUMBER(CI54),IFERROR(MAX(0,CI54-AV22),0),0)</f>
        <v>0</v>
      </c>
      <c r="CM54">
        <f>IF(ISNUMBER(CJ54),IFERROR(MAX(0,AW22-CJ54),0),0)</f>
        <v>0</v>
      </c>
      <c r="CN54">
        <f>IF(ISNUMBER(CJ54),IFERROR(MAX(0,CJ54-AW22),0),0)</f>
        <v>0</v>
      </c>
      <c r="CP54" t="e">
        <f>CB22</f>
        <v>#N/A</v>
      </c>
      <c r="CQ54" t="e">
        <f>CC22</f>
        <v>#N/A</v>
      </c>
      <c r="CR54">
        <f>IF(ISNUMBER(CP54),IFERROR(MAX(0,CD22-CP54),0),0)</f>
        <v>0</v>
      </c>
      <c r="CS54">
        <f>IF(ISNUMBER(CP54),IFERROR(MAX(0,CP54-CD22),0),0)</f>
        <v>0</v>
      </c>
      <c r="CT54">
        <f>IF(ISNUMBER(CQ54),IFERROR(MAX(0,CE22-CQ54),0),0)</f>
        <v>0</v>
      </c>
      <c r="CU54">
        <f>IF(ISNUMBER(CQ54),IFERROR(MAX(0,CQ54-CE22),0),0)</f>
        <v>0</v>
      </c>
    </row>
    <row r="55" spans="1:99" x14ac:dyDescent="0.3">
      <c r="A55">
        <v>49</v>
      </c>
      <c r="B55">
        <f>IF(A55&lt;=$B$2,IF(INDEX(Gantt!$A$7:$A$119,A55)&lt;&gt;"",1,0),0)</f>
        <v>0</v>
      </c>
      <c r="C55" t="e">
        <f>IF(B55=1,INDEX(Gantt!$C$7:$C$119,A55),NA())</f>
        <v>#N/A</v>
      </c>
      <c r="D55" t="e">
        <f>IF(B55=1,INDEX(Gantt!$D$7:$D$119,A55)+1,NA())</f>
        <v>#N/A</v>
      </c>
      <c r="E55">
        <f>IF(B55=1,INDEX(Gantt!$BN$7:$BN$119,A55),0)</f>
        <v>0</v>
      </c>
      <c r="F55">
        <f>IF(B55=1,N(INDEX(Gantt!$F$7:$F$119,A55)),0)</f>
        <v>0</v>
      </c>
      <c r="G55">
        <f t="shared" si="69"/>
        <v>0</v>
      </c>
      <c r="H55" t="e">
        <f t="shared" si="70"/>
        <v>#N/A</v>
      </c>
      <c r="I55" t="e">
        <f t="shared" si="71"/>
        <v>#N/A</v>
      </c>
      <c r="J55" t="e">
        <f t="shared" si="72"/>
        <v>#N/A</v>
      </c>
      <c r="K55" t="e">
        <f t="shared" si="73"/>
        <v>#N/A</v>
      </c>
      <c r="L55" t="e">
        <f t="shared" si="74"/>
        <v>#N/A</v>
      </c>
      <c r="M55" t="e">
        <f t="shared" si="75"/>
        <v>#N/A</v>
      </c>
      <c r="N55" t="e">
        <f t="shared" si="76"/>
        <v>#N/A</v>
      </c>
      <c r="O55" t="e">
        <f t="shared" si="77"/>
        <v>#N/A</v>
      </c>
      <c r="P55" t="e">
        <f t="shared" si="78"/>
        <v>#N/A</v>
      </c>
      <c r="Q55" t="str">
        <f>IF(B55=1,INDEX(Gantt!$A$7:$A$119,A55)&amp;"   "&amp;INDEX(Gantt!$B$7:$B$119,A55),"")</f>
        <v/>
      </c>
      <c r="R55" t="e">
        <f t="shared" si="79"/>
        <v>#N/A</v>
      </c>
      <c r="S55">
        <f t="shared" si="80"/>
        <v>0</v>
      </c>
      <c r="T55">
        <f t="shared" si="81"/>
        <v>0</v>
      </c>
      <c r="U55">
        <v>49</v>
      </c>
      <c r="V55">
        <f t="shared" si="13"/>
        <v>13</v>
      </c>
      <c r="W55">
        <f t="shared" si="14"/>
        <v>1</v>
      </c>
      <c r="X55">
        <f t="shared" si="15"/>
        <v>0</v>
      </c>
      <c r="Y55">
        <f>IF(X55&lt;&gt;1,9999,CHOOSE(W55,INDEX(Gantt!$BQ$7:$BQ$119,V55),INDEX(Gantt!$BR$7:$BR$119,V55),INDEX(Gantt!$BT$7:$BT$119,V55),INDEX(Gantt!$BU$7:$BU$119,V55)))</f>
        <v>9999</v>
      </c>
      <c r="Z55">
        <f t="shared" si="16"/>
        <v>0</v>
      </c>
      <c r="AA55" t="e">
        <f t="shared" si="17"/>
        <v>#N/A</v>
      </c>
      <c r="AB55" t="e">
        <f t="shared" si="18"/>
        <v>#N/A</v>
      </c>
      <c r="AC55" t="e">
        <f t="shared" si="19"/>
        <v>#N/A</v>
      </c>
      <c r="AD55" t="e">
        <f t="shared" si="20"/>
        <v>#N/A</v>
      </c>
      <c r="AE55" t="e">
        <f t="shared" si="21"/>
        <v>#N/A</v>
      </c>
      <c r="AF55" t="e">
        <f t="shared" si="22"/>
        <v>#N/A</v>
      </c>
      <c r="AG55" t="e">
        <f t="shared" si="23"/>
        <v>#N/A</v>
      </c>
      <c r="AH55" t="e">
        <f t="shared" si="24"/>
        <v>#N/A</v>
      </c>
      <c r="AI55" t="e">
        <f t="shared" si="25"/>
        <v>#N/A</v>
      </c>
      <c r="AJ55" t="e">
        <f t="shared" si="26"/>
        <v>#N/A</v>
      </c>
      <c r="AK55" t="e">
        <f t="shared" si="27"/>
        <v>#N/A</v>
      </c>
      <c r="AL55" t="e">
        <f t="shared" si="28"/>
        <v>#N/A</v>
      </c>
      <c r="AM55" t="e">
        <f t="shared" si="29"/>
        <v>#N/A</v>
      </c>
      <c r="AN55" t="e">
        <f t="shared" si="30"/>
        <v>#N/A</v>
      </c>
      <c r="AO55" t="e">
        <f t="shared" si="31"/>
        <v>#N/A</v>
      </c>
      <c r="AP55" t="e">
        <f t="shared" si="32"/>
        <v>#N/A</v>
      </c>
      <c r="AQ55" t="e">
        <f t="shared" si="33"/>
        <v>#N/A</v>
      </c>
      <c r="AR55" t="e">
        <f t="shared" si="34"/>
        <v>#N/A</v>
      </c>
      <c r="AS55" t="e">
        <f t="shared" si="35"/>
        <v>#N/A</v>
      </c>
      <c r="AT55" t="e">
        <f t="shared" si="36"/>
        <v>#N/A</v>
      </c>
      <c r="AU55" t="e">
        <f t="shared" si="37"/>
        <v>#N/A</v>
      </c>
      <c r="AV55" t="e">
        <f t="shared" si="38"/>
        <v>#N/A</v>
      </c>
      <c r="AW55" t="e">
        <f t="shared" si="39"/>
        <v>#N/A</v>
      </c>
      <c r="AX55" t="e">
        <f t="shared" si="40"/>
        <v>#N/A</v>
      </c>
      <c r="AY55" t="e">
        <f t="shared" si="41"/>
        <v>#N/A</v>
      </c>
      <c r="BE55" t="e">
        <f>IF(Z55=1,IF(INDEX($C$7:$C$126,V55)&gt;=Gantt!$BF$6,NA(),MATCH(INDEX($C$7:$C$126,V55),Gantt!$J$6:$BE$6,1)),NA())</f>
        <v>#N/A</v>
      </c>
      <c r="BF55" t="e">
        <f>IF(Z55=1,IF((INDEX($D$7:$D$126,AA55)-1)&gt;=Gantt!$BF$6,NA(),IF((INDEX($D$7:$D$126,AA55)-1)&lt;Gantt!$J$6,0,MATCH((INDEX($D$7:$D$126,AA55)-1),Gantt!$J$6:$BE$6,1))),NA())</f>
        <v>#N/A</v>
      </c>
      <c r="BG55" t="e">
        <f t="shared" si="42"/>
        <v>#N/A</v>
      </c>
      <c r="BH55" t="e">
        <f t="shared" si="43"/>
        <v>#N/A</v>
      </c>
      <c r="BI55" t="e">
        <f t="shared" si="44"/>
        <v>#N/A</v>
      </c>
      <c r="BJ55" t="e">
        <f t="shared" si="45"/>
        <v>#N/A</v>
      </c>
      <c r="BK55" t="e">
        <f t="shared" si="46"/>
        <v>#N/A</v>
      </c>
      <c r="BL55" t="e">
        <f t="shared" si="47"/>
        <v>#N/A</v>
      </c>
      <c r="BM55" t="e">
        <f t="shared" si="48"/>
        <v>#N/A</v>
      </c>
      <c r="BN55" t="e">
        <f t="shared" si="49"/>
        <v>#N/A</v>
      </c>
      <c r="BO55" t="e">
        <f t="shared" si="50"/>
        <v>#N/A</v>
      </c>
      <c r="BP55" t="e">
        <f t="shared" si="51"/>
        <v>#N/A</v>
      </c>
      <c r="BQ55" t="e">
        <f t="shared" si="52"/>
        <v>#N/A</v>
      </c>
      <c r="BR55" t="e">
        <f t="shared" si="53"/>
        <v>#N/A</v>
      </c>
      <c r="BS55" t="e">
        <f t="shared" si="54"/>
        <v>#N/A</v>
      </c>
      <c r="BT55" t="e">
        <f t="shared" si="55"/>
        <v>#N/A</v>
      </c>
      <c r="BU55" t="e">
        <f t="shared" si="56"/>
        <v>#N/A</v>
      </c>
      <c r="BV55" t="e">
        <f t="shared" si="57"/>
        <v>#N/A</v>
      </c>
      <c r="BW55" t="e">
        <f t="shared" si="58"/>
        <v>#N/A</v>
      </c>
      <c r="BX55" t="e">
        <f t="shared" si="59"/>
        <v>#N/A</v>
      </c>
      <c r="BY55" t="e">
        <f t="shared" si="60"/>
        <v>#N/A</v>
      </c>
      <c r="BZ55" t="e">
        <f t="shared" si="61"/>
        <v>#N/A</v>
      </c>
      <c r="CA55" t="e">
        <f t="shared" si="62"/>
        <v>#N/A</v>
      </c>
      <c r="CB55" t="e">
        <f t="shared" si="63"/>
        <v>#N/A</v>
      </c>
      <c r="CC55" t="e">
        <f t="shared" si="64"/>
        <v>#N/A</v>
      </c>
      <c r="CD55" t="e">
        <f t="shared" si="65"/>
        <v>#N/A</v>
      </c>
      <c r="CE55" t="e">
        <f t="shared" si="66"/>
        <v>#N/A</v>
      </c>
      <c r="CF55" t="e">
        <f t="shared" si="67"/>
        <v>#N/A</v>
      </c>
      <c r="CG55" t="e">
        <f t="shared" si="68"/>
        <v>#N/A</v>
      </c>
      <c r="CI55" t="e">
        <f>AL23</f>
        <v>#N/A</v>
      </c>
      <c r="CJ55" t="e">
        <f>AM23</f>
        <v>#N/A</v>
      </c>
      <c r="CK55">
        <f>IF(ISNUMBER(CI55),IFERROR(MAX(0,AN23-CI55),0),0)</f>
        <v>0</v>
      </c>
      <c r="CL55">
        <f>IF(ISNUMBER(CI55),IFERROR(MAX(0,CI55-AN23),0),0)</f>
        <v>0</v>
      </c>
      <c r="CM55">
        <f>IF(ISNUMBER(CJ55),IFERROR(MAX(0,AO23-CJ55),0),0)</f>
        <v>0</v>
      </c>
      <c r="CN55">
        <f>IF(ISNUMBER(CJ55),IFERROR(MAX(0,CJ55-AO23),0),0)</f>
        <v>0</v>
      </c>
      <c r="CP55" t="e">
        <f>BT23</f>
        <v>#N/A</v>
      </c>
      <c r="CQ55" t="e">
        <f>BU23</f>
        <v>#N/A</v>
      </c>
      <c r="CR55">
        <f>IF(ISNUMBER(CP55),IFERROR(MAX(0,BV23-CP55),0),0)</f>
        <v>0</v>
      </c>
      <c r="CS55">
        <f>IF(ISNUMBER(CP55),IFERROR(MAX(0,CP55-BV23),0),0)</f>
        <v>0</v>
      </c>
      <c r="CT55">
        <f>IF(ISNUMBER(CQ55),IFERROR(MAX(0,BW23-CQ55),0),0)</f>
        <v>0</v>
      </c>
      <c r="CU55">
        <f>IF(ISNUMBER(CQ55),IFERROR(MAX(0,CQ55-BW23),0),0)</f>
        <v>0</v>
      </c>
    </row>
    <row r="56" spans="1:99" x14ac:dyDescent="0.3">
      <c r="A56">
        <v>50</v>
      </c>
      <c r="B56">
        <f>IF(A56&lt;=$B$2,IF(INDEX(Gantt!$A$7:$A$119,A56)&lt;&gt;"",1,0),0)</f>
        <v>0</v>
      </c>
      <c r="C56" t="e">
        <f>IF(B56=1,INDEX(Gantt!$C$7:$C$119,A56),NA())</f>
        <v>#N/A</v>
      </c>
      <c r="D56" t="e">
        <f>IF(B56=1,INDEX(Gantt!$D$7:$D$119,A56)+1,NA())</f>
        <v>#N/A</v>
      </c>
      <c r="E56">
        <f>IF(B56=1,INDEX(Gantt!$BN$7:$BN$119,A56),0)</f>
        <v>0</v>
      </c>
      <c r="F56">
        <f>IF(B56=1,N(INDEX(Gantt!$F$7:$F$119,A56)),0)</f>
        <v>0</v>
      </c>
      <c r="G56">
        <f t="shared" si="69"/>
        <v>0</v>
      </c>
      <c r="H56" t="e">
        <f t="shared" si="70"/>
        <v>#N/A</v>
      </c>
      <c r="I56" t="e">
        <f t="shared" si="71"/>
        <v>#N/A</v>
      </c>
      <c r="J56" t="e">
        <f t="shared" si="72"/>
        <v>#N/A</v>
      </c>
      <c r="K56" t="e">
        <f t="shared" si="73"/>
        <v>#N/A</v>
      </c>
      <c r="L56" t="e">
        <f t="shared" si="74"/>
        <v>#N/A</v>
      </c>
      <c r="M56" t="e">
        <f t="shared" si="75"/>
        <v>#N/A</v>
      </c>
      <c r="N56" t="e">
        <f t="shared" si="76"/>
        <v>#N/A</v>
      </c>
      <c r="O56" t="e">
        <f t="shared" si="77"/>
        <v>#N/A</v>
      </c>
      <c r="P56" t="e">
        <f t="shared" si="78"/>
        <v>#N/A</v>
      </c>
      <c r="Q56" t="str">
        <f>IF(B56=1,INDEX(Gantt!$A$7:$A$119,A56)&amp;"   "&amp;INDEX(Gantt!$B$7:$B$119,A56),"")</f>
        <v/>
      </c>
      <c r="R56" t="e">
        <f t="shared" si="79"/>
        <v>#N/A</v>
      </c>
      <c r="S56">
        <f t="shared" si="80"/>
        <v>0</v>
      </c>
      <c r="T56">
        <f t="shared" si="81"/>
        <v>0</v>
      </c>
      <c r="U56">
        <v>50</v>
      </c>
      <c r="V56">
        <f t="shared" si="13"/>
        <v>13</v>
      </c>
      <c r="W56">
        <f t="shared" si="14"/>
        <v>2</v>
      </c>
      <c r="X56">
        <f t="shared" si="15"/>
        <v>0</v>
      </c>
      <c r="Y56">
        <f>IF(X56&lt;&gt;1,9999,CHOOSE(W56,INDEX(Gantt!$BQ$7:$BQ$119,V56),INDEX(Gantt!$BR$7:$BR$119,V56),INDEX(Gantt!$BT$7:$BT$119,V56),INDEX(Gantt!$BU$7:$BU$119,V56)))</f>
        <v>9999</v>
      </c>
      <c r="Z56">
        <f t="shared" si="16"/>
        <v>0</v>
      </c>
      <c r="AA56" t="e">
        <f t="shared" si="17"/>
        <v>#N/A</v>
      </c>
      <c r="AB56" t="e">
        <f t="shared" si="18"/>
        <v>#N/A</v>
      </c>
      <c r="AC56" t="e">
        <f t="shared" si="19"/>
        <v>#N/A</v>
      </c>
      <c r="AD56" t="e">
        <f t="shared" si="20"/>
        <v>#N/A</v>
      </c>
      <c r="AE56" t="e">
        <f t="shared" si="21"/>
        <v>#N/A</v>
      </c>
      <c r="AF56" t="e">
        <f t="shared" si="22"/>
        <v>#N/A</v>
      </c>
      <c r="AG56" t="e">
        <f t="shared" si="23"/>
        <v>#N/A</v>
      </c>
      <c r="AH56" t="e">
        <f t="shared" si="24"/>
        <v>#N/A</v>
      </c>
      <c r="AI56" t="e">
        <f t="shared" si="25"/>
        <v>#N/A</v>
      </c>
      <c r="AJ56" t="e">
        <f t="shared" si="26"/>
        <v>#N/A</v>
      </c>
      <c r="AK56" t="e">
        <f t="shared" si="27"/>
        <v>#N/A</v>
      </c>
      <c r="AL56" t="e">
        <f t="shared" si="28"/>
        <v>#N/A</v>
      </c>
      <c r="AM56" t="e">
        <f t="shared" si="29"/>
        <v>#N/A</v>
      </c>
      <c r="AN56" t="e">
        <f t="shared" si="30"/>
        <v>#N/A</v>
      </c>
      <c r="AO56" t="e">
        <f t="shared" si="31"/>
        <v>#N/A</v>
      </c>
      <c r="AP56" t="e">
        <f t="shared" si="32"/>
        <v>#N/A</v>
      </c>
      <c r="AQ56" t="e">
        <f t="shared" si="33"/>
        <v>#N/A</v>
      </c>
      <c r="AR56" t="e">
        <f t="shared" si="34"/>
        <v>#N/A</v>
      </c>
      <c r="AS56" t="e">
        <f t="shared" si="35"/>
        <v>#N/A</v>
      </c>
      <c r="AT56" t="e">
        <f t="shared" si="36"/>
        <v>#N/A</v>
      </c>
      <c r="AU56" t="e">
        <f t="shared" si="37"/>
        <v>#N/A</v>
      </c>
      <c r="AV56" t="e">
        <f t="shared" si="38"/>
        <v>#N/A</v>
      </c>
      <c r="AW56" t="e">
        <f t="shared" si="39"/>
        <v>#N/A</v>
      </c>
      <c r="AX56" t="e">
        <f t="shared" si="40"/>
        <v>#N/A</v>
      </c>
      <c r="AY56" t="e">
        <f t="shared" si="41"/>
        <v>#N/A</v>
      </c>
      <c r="BE56" t="e">
        <f>IF(Z56=1,IF(INDEX($C$7:$C$126,V56)&gt;=Gantt!$BF$6,NA(),MATCH(INDEX($C$7:$C$126,V56),Gantt!$J$6:$BE$6,1)),NA())</f>
        <v>#N/A</v>
      </c>
      <c r="BF56" t="e">
        <f>IF(Z56=1,IF((INDEX($D$7:$D$126,AA56)-1)&gt;=Gantt!$BF$6,NA(),IF((INDEX($D$7:$D$126,AA56)-1)&lt;Gantt!$J$6,0,MATCH((INDEX($D$7:$D$126,AA56)-1),Gantt!$J$6:$BE$6,1))),NA())</f>
        <v>#N/A</v>
      </c>
      <c r="BG56" t="e">
        <f t="shared" si="42"/>
        <v>#N/A</v>
      </c>
      <c r="BH56" t="e">
        <f t="shared" si="43"/>
        <v>#N/A</v>
      </c>
      <c r="BI56" t="e">
        <f t="shared" si="44"/>
        <v>#N/A</v>
      </c>
      <c r="BJ56" t="e">
        <f t="shared" si="45"/>
        <v>#N/A</v>
      </c>
      <c r="BK56" t="e">
        <f t="shared" si="46"/>
        <v>#N/A</v>
      </c>
      <c r="BL56" t="e">
        <f t="shared" si="47"/>
        <v>#N/A</v>
      </c>
      <c r="BM56" t="e">
        <f t="shared" si="48"/>
        <v>#N/A</v>
      </c>
      <c r="BN56" t="e">
        <f t="shared" si="49"/>
        <v>#N/A</v>
      </c>
      <c r="BO56" t="e">
        <f t="shared" si="50"/>
        <v>#N/A</v>
      </c>
      <c r="BP56" t="e">
        <f t="shared" si="51"/>
        <v>#N/A</v>
      </c>
      <c r="BQ56" t="e">
        <f t="shared" si="52"/>
        <v>#N/A</v>
      </c>
      <c r="BR56" t="e">
        <f t="shared" si="53"/>
        <v>#N/A</v>
      </c>
      <c r="BS56" t="e">
        <f t="shared" si="54"/>
        <v>#N/A</v>
      </c>
      <c r="BT56" t="e">
        <f t="shared" si="55"/>
        <v>#N/A</v>
      </c>
      <c r="BU56" t="e">
        <f t="shared" si="56"/>
        <v>#N/A</v>
      </c>
      <c r="BV56" t="e">
        <f t="shared" si="57"/>
        <v>#N/A</v>
      </c>
      <c r="BW56" t="e">
        <f t="shared" si="58"/>
        <v>#N/A</v>
      </c>
      <c r="BX56" t="e">
        <f t="shared" si="59"/>
        <v>#N/A</v>
      </c>
      <c r="BY56" t="e">
        <f t="shared" si="60"/>
        <v>#N/A</v>
      </c>
      <c r="BZ56" t="e">
        <f t="shared" si="61"/>
        <v>#N/A</v>
      </c>
      <c r="CA56" t="e">
        <f t="shared" si="62"/>
        <v>#N/A</v>
      </c>
      <c r="CB56" t="e">
        <f t="shared" si="63"/>
        <v>#N/A</v>
      </c>
      <c r="CC56" t="e">
        <f t="shared" si="64"/>
        <v>#N/A</v>
      </c>
      <c r="CD56" t="e">
        <f t="shared" si="65"/>
        <v>#N/A</v>
      </c>
      <c r="CE56" t="e">
        <f t="shared" si="66"/>
        <v>#N/A</v>
      </c>
      <c r="CF56" t="e">
        <f t="shared" si="67"/>
        <v>#N/A</v>
      </c>
      <c r="CG56" t="e">
        <f t="shared" si="68"/>
        <v>#N/A</v>
      </c>
      <c r="CI56" t="e">
        <f>AP23</f>
        <v>#N/A</v>
      </c>
      <c r="CJ56" t="e">
        <f>AQ23</f>
        <v>#N/A</v>
      </c>
      <c r="CK56">
        <f>IF(ISNUMBER(CI56),IFERROR(MAX(0,AR23-CI56),0),0)</f>
        <v>0</v>
      </c>
      <c r="CL56">
        <f>IF(ISNUMBER(CI56),IFERROR(MAX(0,CI56-AR23),0),0)</f>
        <v>0</v>
      </c>
      <c r="CM56">
        <f>IF(ISNUMBER(CJ56),IFERROR(MAX(0,AS23-CJ56),0),0)</f>
        <v>0</v>
      </c>
      <c r="CN56">
        <f>IF(ISNUMBER(CJ56),IFERROR(MAX(0,CJ56-AS23),0),0)</f>
        <v>0</v>
      </c>
      <c r="CP56" t="e">
        <f>BX23</f>
        <v>#N/A</v>
      </c>
      <c r="CQ56" t="e">
        <f>BY23</f>
        <v>#N/A</v>
      </c>
      <c r="CR56">
        <f>IF(ISNUMBER(CP56),IFERROR(MAX(0,BZ23-CP56),0),0)</f>
        <v>0</v>
      </c>
      <c r="CS56">
        <f>IF(ISNUMBER(CP56),IFERROR(MAX(0,CP56-BZ23),0),0)</f>
        <v>0</v>
      </c>
      <c r="CT56">
        <f>IF(ISNUMBER(CQ56),IFERROR(MAX(0,CA23-CQ56),0),0)</f>
        <v>0</v>
      </c>
      <c r="CU56">
        <f>IF(ISNUMBER(CQ56),IFERROR(MAX(0,CQ56-CA23),0),0)</f>
        <v>0</v>
      </c>
    </row>
    <row r="57" spans="1:99" x14ac:dyDescent="0.3">
      <c r="A57">
        <v>51</v>
      </c>
      <c r="B57">
        <f>IF(A57&lt;=$B$2,IF(INDEX(Gantt!$A$7:$A$119,A57)&lt;&gt;"",1,0),0)</f>
        <v>0</v>
      </c>
      <c r="C57" t="e">
        <f>IF(B57=1,INDEX(Gantt!$C$7:$C$119,A57),NA())</f>
        <v>#N/A</v>
      </c>
      <c r="D57" t="e">
        <f>IF(B57=1,INDEX(Gantt!$D$7:$D$119,A57)+1,NA())</f>
        <v>#N/A</v>
      </c>
      <c r="E57">
        <f>IF(B57=1,INDEX(Gantt!$BN$7:$BN$119,A57),0)</f>
        <v>0</v>
      </c>
      <c r="F57">
        <f>IF(B57=1,N(INDEX(Gantt!$F$7:$F$119,A57)),0)</f>
        <v>0</v>
      </c>
      <c r="G57">
        <f t="shared" si="69"/>
        <v>0</v>
      </c>
      <c r="H57" t="e">
        <f t="shared" si="70"/>
        <v>#N/A</v>
      </c>
      <c r="I57" t="e">
        <f t="shared" si="71"/>
        <v>#N/A</v>
      </c>
      <c r="J57" t="e">
        <f t="shared" si="72"/>
        <v>#N/A</v>
      </c>
      <c r="K57" t="e">
        <f t="shared" si="73"/>
        <v>#N/A</v>
      </c>
      <c r="L57" t="e">
        <f t="shared" si="74"/>
        <v>#N/A</v>
      </c>
      <c r="M57" t="e">
        <f t="shared" si="75"/>
        <v>#N/A</v>
      </c>
      <c r="N57" t="e">
        <f t="shared" si="76"/>
        <v>#N/A</v>
      </c>
      <c r="O57" t="e">
        <f t="shared" si="77"/>
        <v>#N/A</v>
      </c>
      <c r="P57" t="e">
        <f t="shared" si="78"/>
        <v>#N/A</v>
      </c>
      <c r="Q57" t="str">
        <f>IF(B57=1,INDEX(Gantt!$A$7:$A$119,A57)&amp;"   "&amp;INDEX(Gantt!$B$7:$B$119,A57),"")</f>
        <v/>
      </c>
      <c r="R57" t="e">
        <f t="shared" si="79"/>
        <v>#N/A</v>
      </c>
      <c r="S57">
        <f t="shared" si="80"/>
        <v>0</v>
      </c>
      <c r="T57">
        <f t="shared" si="81"/>
        <v>0</v>
      </c>
      <c r="U57">
        <v>51</v>
      </c>
      <c r="V57">
        <f t="shared" si="13"/>
        <v>13</v>
      </c>
      <c r="W57">
        <f t="shared" si="14"/>
        <v>3</v>
      </c>
      <c r="X57">
        <f t="shared" si="15"/>
        <v>0</v>
      </c>
      <c r="Y57">
        <f>IF(X57&lt;&gt;1,9999,CHOOSE(W57,INDEX(Gantt!$BQ$7:$BQ$119,V57),INDEX(Gantt!$BR$7:$BR$119,V57),INDEX(Gantt!$BT$7:$BT$119,V57),INDEX(Gantt!$BU$7:$BU$119,V57)))</f>
        <v>9999</v>
      </c>
      <c r="Z57">
        <f t="shared" si="16"/>
        <v>0</v>
      </c>
      <c r="AA57" t="e">
        <f t="shared" si="17"/>
        <v>#N/A</v>
      </c>
      <c r="AB57" t="e">
        <f t="shared" si="18"/>
        <v>#N/A</v>
      </c>
      <c r="AC57" t="e">
        <f t="shared" si="19"/>
        <v>#N/A</v>
      </c>
      <c r="AD57" t="e">
        <f t="shared" si="20"/>
        <v>#N/A</v>
      </c>
      <c r="AE57" t="e">
        <f t="shared" si="21"/>
        <v>#N/A</v>
      </c>
      <c r="AF57" t="e">
        <f t="shared" si="22"/>
        <v>#N/A</v>
      </c>
      <c r="AG57" t="e">
        <f t="shared" si="23"/>
        <v>#N/A</v>
      </c>
      <c r="AH57" t="e">
        <f t="shared" si="24"/>
        <v>#N/A</v>
      </c>
      <c r="AI57" t="e">
        <f t="shared" si="25"/>
        <v>#N/A</v>
      </c>
      <c r="AJ57" t="e">
        <f t="shared" si="26"/>
        <v>#N/A</v>
      </c>
      <c r="AK57" t="e">
        <f t="shared" si="27"/>
        <v>#N/A</v>
      </c>
      <c r="AL57" t="e">
        <f t="shared" si="28"/>
        <v>#N/A</v>
      </c>
      <c r="AM57" t="e">
        <f t="shared" si="29"/>
        <v>#N/A</v>
      </c>
      <c r="AN57" t="e">
        <f t="shared" si="30"/>
        <v>#N/A</v>
      </c>
      <c r="AO57" t="e">
        <f t="shared" si="31"/>
        <v>#N/A</v>
      </c>
      <c r="AP57" t="e">
        <f t="shared" si="32"/>
        <v>#N/A</v>
      </c>
      <c r="AQ57" t="e">
        <f t="shared" si="33"/>
        <v>#N/A</v>
      </c>
      <c r="AR57" t="e">
        <f t="shared" si="34"/>
        <v>#N/A</v>
      </c>
      <c r="AS57" t="e">
        <f t="shared" si="35"/>
        <v>#N/A</v>
      </c>
      <c r="AT57" t="e">
        <f t="shared" si="36"/>
        <v>#N/A</v>
      </c>
      <c r="AU57" t="e">
        <f t="shared" si="37"/>
        <v>#N/A</v>
      </c>
      <c r="AV57" t="e">
        <f t="shared" si="38"/>
        <v>#N/A</v>
      </c>
      <c r="AW57" t="e">
        <f t="shared" si="39"/>
        <v>#N/A</v>
      </c>
      <c r="AX57" t="e">
        <f t="shared" si="40"/>
        <v>#N/A</v>
      </c>
      <c r="AY57" t="e">
        <f t="shared" si="41"/>
        <v>#N/A</v>
      </c>
      <c r="BE57" t="e">
        <f>IF(Z57=1,IF(INDEX($C$7:$C$126,V57)&gt;=Gantt!$BF$6,NA(),MATCH(INDEX($C$7:$C$126,V57),Gantt!$J$6:$BE$6,1)),NA())</f>
        <v>#N/A</v>
      </c>
      <c r="BF57" t="e">
        <f>IF(Z57=1,IF((INDEX($D$7:$D$126,AA57)-1)&gt;=Gantt!$BF$6,NA(),IF((INDEX($D$7:$D$126,AA57)-1)&lt;Gantt!$J$6,0,MATCH((INDEX($D$7:$D$126,AA57)-1),Gantt!$J$6:$BE$6,1))),NA())</f>
        <v>#N/A</v>
      </c>
      <c r="BG57" t="e">
        <f t="shared" si="42"/>
        <v>#N/A</v>
      </c>
      <c r="BH57" t="e">
        <f t="shared" si="43"/>
        <v>#N/A</v>
      </c>
      <c r="BI57" t="e">
        <f t="shared" si="44"/>
        <v>#N/A</v>
      </c>
      <c r="BJ57" t="e">
        <f t="shared" si="45"/>
        <v>#N/A</v>
      </c>
      <c r="BK57" t="e">
        <f t="shared" si="46"/>
        <v>#N/A</v>
      </c>
      <c r="BL57" t="e">
        <f t="shared" si="47"/>
        <v>#N/A</v>
      </c>
      <c r="BM57" t="e">
        <f t="shared" si="48"/>
        <v>#N/A</v>
      </c>
      <c r="BN57" t="e">
        <f t="shared" si="49"/>
        <v>#N/A</v>
      </c>
      <c r="BO57" t="e">
        <f t="shared" si="50"/>
        <v>#N/A</v>
      </c>
      <c r="BP57" t="e">
        <f t="shared" si="51"/>
        <v>#N/A</v>
      </c>
      <c r="BQ57" t="e">
        <f t="shared" si="52"/>
        <v>#N/A</v>
      </c>
      <c r="BR57" t="e">
        <f t="shared" si="53"/>
        <v>#N/A</v>
      </c>
      <c r="BS57" t="e">
        <f t="shared" si="54"/>
        <v>#N/A</v>
      </c>
      <c r="BT57" t="e">
        <f t="shared" si="55"/>
        <v>#N/A</v>
      </c>
      <c r="BU57" t="e">
        <f t="shared" si="56"/>
        <v>#N/A</v>
      </c>
      <c r="BV57" t="e">
        <f t="shared" si="57"/>
        <v>#N/A</v>
      </c>
      <c r="BW57" t="e">
        <f t="shared" si="58"/>
        <v>#N/A</v>
      </c>
      <c r="BX57" t="e">
        <f t="shared" si="59"/>
        <v>#N/A</v>
      </c>
      <c r="BY57" t="e">
        <f t="shared" si="60"/>
        <v>#N/A</v>
      </c>
      <c r="BZ57" t="e">
        <f t="shared" si="61"/>
        <v>#N/A</v>
      </c>
      <c r="CA57" t="e">
        <f t="shared" si="62"/>
        <v>#N/A</v>
      </c>
      <c r="CB57" t="e">
        <f t="shared" si="63"/>
        <v>#N/A</v>
      </c>
      <c r="CC57" t="e">
        <f t="shared" si="64"/>
        <v>#N/A</v>
      </c>
      <c r="CD57" t="e">
        <f t="shared" si="65"/>
        <v>#N/A</v>
      </c>
      <c r="CE57" t="e">
        <f t="shared" si="66"/>
        <v>#N/A</v>
      </c>
      <c r="CF57" t="e">
        <f t="shared" si="67"/>
        <v>#N/A</v>
      </c>
      <c r="CG57" t="e">
        <f t="shared" si="68"/>
        <v>#N/A</v>
      </c>
      <c r="CI57" t="e">
        <f>AT23</f>
        <v>#N/A</v>
      </c>
      <c r="CJ57" t="e">
        <f>AU23</f>
        <v>#N/A</v>
      </c>
      <c r="CK57">
        <f>IF(ISNUMBER(CI57),IFERROR(MAX(0,AV23-CI57),0),0)</f>
        <v>0</v>
      </c>
      <c r="CL57">
        <f>IF(ISNUMBER(CI57),IFERROR(MAX(0,CI57-AV23),0),0)</f>
        <v>0</v>
      </c>
      <c r="CM57">
        <f>IF(ISNUMBER(CJ57),IFERROR(MAX(0,AW23-CJ57),0),0)</f>
        <v>0</v>
      </c>
      <c r="CN57">
        <f>IF(ISNUMBER(CJ57),IFERROR(MAX(0,CJ57-AW23),0),0)</f>
        <v>0</v>
      </c>
      <c r="CP57" t="e">
        <f>CB23</f>
        <v>#N/A</v>
      </c>
      <c r="CQ57" t="e">
        <f>CC23</f>
        <v>#N/A</v>
      </c>
      <c r="CR57">
        <f>IF(ISNUMBER(CP57),IFERROR(MAX(0,CD23-CP57),0),0)</f>
        <v>0</v>
      </c>
      <c r="CS57">
        <f>IF(ISNUMBER(CP57),IFERROR(MAX(0,CP57-CD23),0),0)</f>
        <v>0</v>
      </c>
      <c r="CT57">
        <f>IF(ISNUMBER(CQ57),IFERROR(MAX(0,CE23-CQ57),0),0)</f>
        <v>0</v>
      </c>
      <c r="CU57">
        <f>IF(ISNUMBER(CQ57),IFERROR(MAX(0,CQ57-CE23),0),0)</f>
        <v>0</v>
      </c>
    </row>
    <row r="58" spans="1:99" x14ac:dyDescent="0.3">
      <c r="A58">
        <v>52</v>
      </c>
      <c r="B58">
        <f>IF(A58&lt;=$B$2,IF(INDEX(Gantt!$A$7:$A$119,A58)&lt;&gt;"",1,0),0)</f>
        <v>0</v>
      </c>
      <c r="C58" t="e">
        <f>IF(B58=1,INDEX(Gantt!$C$7:$C$119,A58),NA())</f>
        <v>#N/A</v>
      </c>
      <c r="D58" t="e">
        <f>IF(B58=1,INDEX(Gantt!$D$7:$D$119,A58)+1,NA())</f>
        <v>#N/A</v>
      </c>
      <c r="E58">
        <f>IF(B58=1,INDEX(Gantt!$BN$7:$BN$119,A58),0)</f>
        <v>0</v>
      </c>
      <c r="F58">
        <f>IF(B58=1,N(INDEX(Gantt!$F$7:$F$119,A58)),0)</f>
        <v>0</v>
      </c>
      <c r="G58">
        <f t="shared" si="69"/>
        <v>0</v>
      </c>
      <c r="H58" t="e">
        <f t="shared" si="70"/>
        <v>#N/A</v>
      </c>
      <c r="I58" t="e">
        <f t="shared" si="71"/>
        <v>#N/A</v>
      </c>
      <c r="J58" t="e">
        <f t="shared" si="72"/>
        <v>#N/A</v>
      </c>
      <c r="K58" t="e">
        <f t="shared" si="73"/>
        <v>#N/A</v>
      </c>
      <c r="L58" t="e">
        <f t="shared" si="74"/>
        <v>#N/A</v>
      </c>
      <c r="M58" t="e">
        <f t="shared" si="75"/>
        <v>#N/A</v>
      </c>
      <c r="N58" t="e">
        <f t="shared" si="76"/>
        <v>#N/A</v>
      </c>
      <c r="O58" t="e">
        <f t="shared" si="77"/>
        <v>#N/A</v>
      </c>
      <c r="P58" t="e">
        <f t="shared" si="78"/>
        <v>#N/A</v>
      </c>
      <c r="Q58" t="str">
        <f>IF(B58=1,INDEX(Gantt!$A$7:$A$119,A58)&amp;"   "&amp;INDEX(Gantt!$B$7:$B$119,A58),"")</f>
        <v/>
      </c>
      <c r="R58" t="e">
        <f t="shared" si="79"/>
        <v>#N/A</v>
      </c>
      <c r="S58">
        <f t="shared" si="80"/>
        <v>0</v>
      </c>
      <c r="T58">
        <f t="shared" si="81"/>
        <v>0</v>
      </c>
      <c r="U58">
        <v>52</v>
      </c>
      <c r="V58">
        <f t="shared" si="13"/>
        <v>13</v>
      </c>
      <c r="W58">
        <f t="shared" si="14"/>
        <v>4</v>
      </c>
      <c r="X58">
        <f t="shared" si="15"/>
        <v>0</v>
      </c>
      <c r="Y58">
        <f>IF(X58&lt;&gt;1,9999,CHOOSE(W58,INDEX(Gantt!$BQ$7:$BQ$119,V58),INDEX(Gantt!$BR$7:$BR$119,V58),INDEX(Gantt!$BT$7:$BT$119,V58),INDEX(Gantt!$BU$7:$BU$119,V58)))</f>
        <v>9999</v>
      </c>
      <c r="Z58">
        <f t="shared" si="16"/>
        <v>0</v>
      </c>
      <c r="AA58" t="e">
        <f t="shared" si="17"/>
        <v>#N/A</v>
      </c>
      <c r="AB58" t="e">
        <f t="shared" si="18"/>
        <v>#N/A</v>
      </c>
      <c r="AC58" t="e">
        <f t="shared" si="19"/>
        <v>#N/A</v>
      </c>
      <c r="AD58" t="e">
        <f t="shared" si="20"/>
        <v>#N/A</v>
      </c>
      <c r="AE58" t="e">
        <f t="shared" si="21"/>
        <v>#N/A</v>
      </c>
      <c r="AF58" t="e">
        <f t="shared" si="22"/>
        <v>#N/A</v>
      </c>
      <c r="AG58" t="e">
        <f t="shared" si="23"/>
        <v>#N/A</v>
      </c>
      <c r="AH58" t="e">
        <f t="shared" si="24"/>
        <v>#N/A</v>
      </c>
      <c r="AI58" t="e">
        <f t="shared" si="25"/>
        <v>#N/A</v>
      </c>
      <c r="AJ58" t="e">
        <f t="shared" si="26"/>
        <v>#N/A</v>
      </c>
      <c r="AK58" t="e">
        <f t="shared" si="27"/>
        <v>#N/A</v>
      </c>
      <c r="AL58" t="e">
        <f t="shared" si="28"/>
        <v>#N/A</v>
      </c>
      <c r="AM58" t="e">
        <f t="shared" si="29"/>
        <v>#N/A</v>
      </c>
      <c r="AN58" t="e">
        <f t="shared" si="30"/>
        <v>#N/A</v>
      </c>
      <c r="AO58" t="e">
        <f t="shared" si="31"/>
        <v>#N/A</v>
      </c>
      <c r="AP58" t="e">
        <f t="shared" si="32"/>
        <v>#N/A</v>
      </c>
      <c r="AQ58" t="e">
        <f t="shared" si="33"/>
        <v>#N/A</v>
      </c>
      <c r="AR58" t="e">
        <f t="shared" si="34"/>
        <v>#N/A</v>
      </c>
      <c r="AS58" t="e">
        <f t="shared" si="35"/>
        <v>#N/A</v>
      </c>
      <c r="AT58" t="e">
        <f t="shared" si="36"/>
        <v>#N/A</v>
      </c>
      <c r="AU58" t="e">
        <f t="shared" si="37"/>
        <v>#N/A</v>
      </c>
      <c r="AV58" t="e">
        <f t="shared" si="38"/>
        <v>#N/A</v>
      </c>
      <c r="AW58" t="e">
        <f t="shared" si="39"/>
        <v>#N/A</v>
      </c>
      <c r="AX58" t="e">
        <f t="shared" si="40"/>
        <v>#N/A</v>
      </c>
      <c r="AY58" t="e">
        <f t="shared" si="41"/>
        <v>#N/A</v>
      </c>
      <c r="BE58" t="e">
        <f>IF(Z58=1,IF(INDEX($C$7:$C$126,V58)&gt;=Gantt!$BF$6,NA(),MATCH(INDEX($C$7:$C$126,V58),Gantt!$J$6:$BE$6,1)),NA())</f>
        <v>#N/A</v>
      </c>
      <c r="BF58" t="e">
        <f>IF(Z58=1,IF((INDEX($D$7:$D$126,AA58)-1)&gt;=Gantt!$BF$6,NA(),IF((INDEX($D$7:$D$126,AA58)-1)&lt;Gantt!$J$6,0,MATCH((INDEX($D$7:$D$126,AA58)-1),Gantt!$J$6:$BE$6,1))),NA())</f>
        <v>#N/A</v>
      </c>
      <c r="BG58" t="e">
        <f t="shared" si="42"/>
        <v>#N/A</v>
      </c>
      <c r="BH58" t="e">
        <f t="shared" si="43"/>
        <v>#N/A</v>
      </c>
      <c r="BI58" t="e">
        <f t="shared" si="44"/>
        <v>#N/A</v>
      </c>
      <c r="BJ58" t="e">
        <f t="shared" si="45"/>
        <v>#N/A</v>
      </c>
      <c r="BK58" t="e">
        <f t="shared" si="46"/>
        <v>#N/A</v>
      </c>
      <c r="BL58" t="e">
        <f t="shared" si="47"/>
        <v>#N/A</v>
      </c>
      <c r="BM58" t="e">
        <f t="shared" si="48"/>
        <v>#N/A</v>
      </c>
      <c r="BN58" t="e">
        <f t="shared" si="49"/>
        <v>#N/A</v>
      </c>
      <c r="BO58" t="e">
        <f t="shared" si="50"/>
        <v>#N/A</v>
      </c>
      <c r="BP58" t="e">
        <f t="shared" si="51"/>
        <v>#N/A</v>
      </c>
      <c r="BQ58" t="e">
        <f t="shared" si="52"/>
        <v>#N/A</v>
      </c>
      <c r="BR58" t="e">
        <f t="shared" si="53"/>
        <v>#N/A</v>
      </c>
      <c r="BS58" t="e">
        <f t="shared" si="54"/>
        <v>#N/A</v>
      </c>
      <c r="BT58" t="e">
        <f t="shared" si="55"/>
        <v>#N/A</v>
      </c>
      <c r="BU58" t="e">
        <f t="shared" si="56"/>
        <v>#N/A</v>
      </c>
      <c r="BV58" t="e">
        <f t="shared" si="57"/>
        <v>#N/A</v>
      </c>
      <c r="BW58" t="e">
        <f t="shared" si="58"/>
        <v>#N/A</v>
      </c>
      <c r="BX58" t="e">
        <f t="shared" si="59"/>
        <v>#N/A</v>
      </c>
      <c r="BY58" t="e">
        <f t="shared" si="60"/>
        <v>#N/A</v>
      </c>
      <c r="BZ58" t="e">
        <f t="shared" si="61"/>
        <v>#N/A</v>
      </c>
      <c r="CA58" t="e">
        <f t="shared" si="62"/>
        <v>#N/A</v>
      </c>
      <c r="CB58" t="e">
        <f t="shared" si="63"/>
        <v>#N/A</v>
      </c>
      <c r="CC58" t="e">
        <f t="shared" si="64"/>
        <v>#N/A</v>
      </c>
      <c r="CD58" t="e">
        <f t="shared" si="65"/>
        <v>#N/A</v>
      </c>
      <c r="CE58" t="e">
        <f t="shared" si="66"/>
        <v>#N/A</v>
      </c>
      <c r="CF58" t="e">
        <f t="shared" si="67"/>
        <v>#N/A</v>
      </c>
      <c r="CG58" t="e">
        <f t="shared" si="68"/>
        <v>#N/A</v>
      </c>
      <c r="CI58" t="e">
        <f>AL24</f>
        <v>#N/A</v>
      </c>
      <c r="CJ58" t="e">
        <f>AM24</f>
        <v>#N/A</v>
      </c>
      <c r="CK58">
        <f>IF(ISNUMBER(CI58),IFERROR(MAX(0,AN24-CI58),0),0)</f>
        <v>0</v>
      </c>
      <c r="CL58">
        <f>IF(ISNUMBER(CI58),IFERROR(MAX(0,CI58-AN24),0),0)</f>
        <v>0</v>
      </c>
      <c r="CM58">
        <f>IF(ISNUMBER(CJ58),IFERROR(MAX(0,AO24-CJ58),0),0)</f>
        <v>0</v>
      </c>
      <c r="CN58">
        <f>IF(ISNUMBER(CJ58),IFERROR(MAX(0,CJ58-AO24),0),0)</f>
        <v>0</v>
      </c>
      <c r="CP58" t="e">
        <f>BT24</f>
        <v>#N/A</v>
      </c>
      <c r="CQ58" t="e">
        <f>BU24</f>
        <v>#N/A</v>
      </c>
      <c r="CR58">
        <f>IF(ISNUMBER(CP58),IFERROR(MAX(0,BV24-CP58),0),0)</f>
        <v>0</v>
      </c>
      <c r="CS58">
        <f>IF(ISNUMBER(CP58),IFERROR(MAX(0,CP58-BV24),0),0)</f>
        <v>0</v>
      </c>
      <c r="CT58">
        <f>IF(ISNUMBER(CQ58),IFERROR(MAX(0,BW24-CQ58),0),0)</f>
        <v>0</v>
      </c>
      <c r="CU58">
        <f>IF(ISNUMBER(CQ58),IFERROR(MAX(0,CQ58-BW24),0),0)</f>
        <v>0</v>
      </c>
    </row>
    <row r="59" spans="1:99" x14ac:dyDescent="0.3">
      <c r="A59">
        <v>53</v>
      </c>
      <c r="B59">
        <f>IF(A59&lt;=$B$2,IF(INDEX(Gantt!$A$7:$A$119,A59)&lt;&gt;"",1,0),0)</f>
        <v>0</v>
      </c>
      <c r="C59" t="e">
        <f>IF(B59=1,INDEX(Gantt!$C$7:$C$119,A59),NA())</f>
        <v>#N/A</v>
      </c>
      <c r="D59" t="e">
        <f>IF(B59=1,INDEX(Gantt!$D$7:$D$119,A59)+1,NA())</f>
        <v>#N/A</v>
      </c>
      <c r="E59">
        <f>IF(B59=1,INDEX(Gantt!$BN$7:$BN$119,A59),0)</f>
        <v>0</v>
      </c>
      <c r="F59">
        <f>IF(B59=1,N(INDEX(Gantt!$F$7:$F$119,A59)),0)</f>
        <v>0</v>
      </c>
      <c r="G59">
        <f t="shared" si="69"/>
        <v>0</v>
      </c>
      <c r="H59" t="e">
        <f t="shared" si="70"/>
        <v>#N/A</v>
      </c>
      <c r="I59" t="e">
        <f t="shared" si="71"/>
        <v>#N/A</v>
      </c>
      <c r="J59" t="e">
        <f t="shared" si="72"/>
        <v>#N/A</v>
      </c>
      <c r="K59" t="e">
        <f t="shared" si="73"/>
        <v>#N/A</v>
      </c>
      <c r="L59" t="e">
        <f t="shared" si="74"/>
        <v>#N/A</v>
      </c>
      <c r="M59" t="e">
        <f t="shared" si="75"/>
        <v>#N/A</v>
      </c>
      <c r="N59" t="e">
        <f t="shared" si="76"/>
        <v>#N/A</v>
      </c>
      <c r="O59" t="e">
        <f t="shared" si="77"/>
        <v>#N/A</v>
      </c>
      <c r="P59" t="e">
        <f t="shared" si="78"/>
        <v>#N/A</v>
      </c>
      <c r="Q59" t="str">
        <f>IF(B59=1,INDEX(Gantt!$A$7:$A$119,A59)&amp;"   "&amp;INDEX(Gantt!$B$7:$B$119,A59),"")</f>
        <v/>
      </c>
      <c r="R59" t="e">
        <f t="shared" si="79"/>
        <v>#N/A</v>
      </c>
      <c r="S59">
        <f t="shared" si="80"/>
        <v>0</v>
      </c>
      <c r="T59">
        <f t="shared" si="81"/>
        <v>0</v>
      </c>
      <c r="U59">
        <v>53</v>
      </c>
      <c r="V59">
        <f t="shared" si="13"/>
        <v>14</v>
      </c>
      <c r="W59">
        <f t="shared" si="14"/>
        <v>1</v>
      </c>
      <c r="X59">
        <f t="shared" si="15"/>
        <v>0</v>
      </c>
      <c r="Y59">
        <f>IF(X59&lt;&gt;1,9999,CHOOSE(W59,INDEX(Gantt!$BQ$7:$BQ$119,V59),INDEX(Gantt!$BR$7:$BR$119,V59),INDEX(Gantt!$BT$7:$BT$119,V59),INDEX(Gantt!$BU$7:$BU$119,V59)))</f>
        <v>9999</v>
      </c>
      <c r="Z59">
        <f t="shared" si="16"/>
        <v>0</v>
      </c>
      <c r="AA59" t="e">
        <f t="shared" si="17"/>
        <v>#N/A</v>
      </c>
      <c r="AB59" t="e">
        <f t="shared" si="18"/>
        <v>#N/A</v>
      </c>
      <c r="AC59" t="e">
        <f t="shared" si="19"/>
        <v>#N/A</v>
      </c>
      <c r="AD59" t="e">
        <f t="shared" si="20"/>
        <v>#N/A</v>
      </c>
      <c r="AE59" t="e">
        <f t="shared" si="21"/>
        <v>#N/A</v>
      </c>
      <c r="AF59" t="e">
        <f t="shared" si="22"/>
        <v>#N/A</v>
      </c>
      <c r="AG59" t="e">
        <f t="shared" si="23"/>
        <v>#N/A</v>
      </c>
      <c r="AH59" t="e">
        <f t="shared" si="24"/>
        <v>#N/A</v>
      </c>
      <c r="AI59" t="e">
        <f t="shared" si="25"/>
        <v>#N/A</v>
      </c>
      <c r="AJ59" t="e">
        <f t="shared" si="26"/>
        <v>#N/A</v>
      </c>
      <c r="AK59" t="e">
        <f t="shared" si="27"/>
        <v>#N/A</v>
      </c>
      <c r="AL59" t="e">
        <f t="shared" si="28"/>
        <v>#N/A</v>
      </c>
      <c r="AM59" t="e">
        <f t="shared" si="29"/>
        <v>#N/A</v>
      </c>
      <c r="AN59" t="e">
        <f t="shared" si="30"/>
        <v>#N/A</v>
      </c>
      <c r="AO59" t="e">
        <f t="shared" si="31"/>
        <v>#N/A</v>
      </c>
      <c r="AP59" t="e">
        <f t="shared" si="32"/>
        <v>#N/A</v>
      </c>
      <c r="AQ59" t="e">
        <f t="shared" si="33"/>
        <v>#N/A</v>
      </c>
      <c r="AR59" t="e">
        <f t="shared" si="34"/>
        <v>#N/A</v>
      </c>
      <c r="AS59" t="e">
        <f t="shared" si="35"/>
        <v>#N/A</v>
      </c>
      <c r="AT59" t="e">
        <f t="shared" si="36"/>
        <v>#N/A</v>
      </c>
      <c r="AU59" t="e">
        <f t="shared" si="37"/>
        <v>#N/A</v>
      </c>
      <c r="AV59" t="e">
        <f t="shared" si="38"/>
        <v>#N/A</v>
      </c>
      <c r="AW59" t="e">
        <f t="shared" si="39"/>
        <v>#N/A</v>
      </c>
      <c r="AX59" t="e">
        <f t="shared" si="40"/>
        <v>#N/A</v>
      </c>
      <c r="AY59" t="e">
        <f t="shared" si="41"/>
        <v>#N/A</v>
      </c>
      <c r="BE59" t="e">
        <f>IF(Z59=1,IF(INDEX($C$7:$C$126,V59)&gt;=Gantt!$BF$6,NA(),MATCH(INDEX($C$7:$C$126,V59),Gantt!$J$6:$BE$6,1)),NA())</f>
        <v>#N/A</v>
      </c>
      <c r="BF59" t="e">
        <f>IF(Z59=1,IF((INDEX($D$7:$D$126,AA59)-1)&gt;=Gantt!$BF$6,NA(),IF((INDEX($D$7:$D$126,AA59)-1)&lt;Gantt!$J$6,0,MATCH((INDEX($D$7:$D$126,AA59)-1),Gantt!$J$6:$BE$6,1))),NA())</f>
        <v>#N/A</v>
      </c>
      <c r="BG59" t="e">
        <f t="shared" si="42"/>
        <v>#N/A</v>
      </c>
      <c r="BH59" t="e">
        <f t="shared" si="43"/>
        <v>#N/A</v>
      </c>
      <c r="BI59" t="e">
        <f t="shared" si="44"/>
        <v>#N/A</v>
      </c>
      <c r="BJ59" t="e">
        <f t="shared" si="45"/>
        <v>#N/A</v>
      </c>
      <c r="BK59" t="e">
        <f t="shared" si="46"/>
        <v>#N/A</v>
      </c>
      <c r="BL59" t="e">
        <f t="shared" si="47"/>
        <v>#N/A</v>
      </c>
      <c r="BM59" t="e">
        <f t="shared" si="48"/>
        <v>#N/A</v>
      </c>
      <c r="BN59" t="e">
        <f t="shared" si="49"/>
        <v>#N/A</v>
      </c>
      <c r="BO59" t="e">
        <f t="shared" si="50"/>
        <v>#N/A</v>
      </c>
      <c r="BP59" t="e">
        <f t="shared" si="51"/>
        <v>#N/A</v>
      </c>
      <c r="BQ59" t="e">
        <f t="shared" si="52"/>
        <v>#N/A</v>
      </c>
      <c r="BR59" t="e">
        <f t="shared" si="53"/>
        <v>#N/A</v>
      </c>
      <c r="BS59" t="e">
        <f t="shared" si="54"/>
        <v>#N/A</v>
      </c>
      <c r="BT59" t="e">
        <f t="shared" si="55"/>
        <v>#N/A</v>
      </c>
      <c r="BU59" t="e">
        <f t="shared" si="56"/>
        <v>#N/A</v>
      </c>
      <c r="BV59" t="e">
        <f t="shared" si="57"/>
        <v>#N/A</v>
      </c>
      <c r="BW59" t="e">
        <f t="shared" si="58"/>
        <v>#N/A</v>
      </c>
      <c r="BX59" t="e">
        <f t="shared" si="59"/>
        <v>#N/A</v>
      </c>
      <c r="BY59" t="e">
        <f t="shared" si="60"/>
        <v>#N/A</v>
      </c>
      <c r="BZ59" t="e">
        <f t="shared" si="61"/>
        <v>#N/A</v>
      </c>
      <c r="CA59" t="e">
        <f t="shared" si="62"/>
        <v>#N/A</v>
      </c>
      <c r="CB59" t="e">
        <f t="shared" si="63"/>
        <v>#N/A</v>
      </c>
      <c r="CC59" t="e">
        <f t="shared" si="64"/>
        <v>#N/A</v>
      </c>
      <c r="CD59" t="e">
        <f t="shared" si="65"/>
        <v>#N/A</v>
      </c>
      <c r="CE59" t="e">
        <f t="shared" si="66"/>
        <v>#N/A</v>
      </c>
      <c r="CF59" t="e">
        <f t="shared" si="67"/>
        <v>#N/A</v>
      </c>
      <c r="CG59" t="e">
        <f t="shared" si="68"/>
        <v>#N/A</v>
      </c>
      <c r="CI59" t="e">
        <f>AP24</f>
        <v>#N/A</v>
      </c>
      <c r="CJ59" t="e">
        <f>AQ24</f>
        <v>#N/A</v>
      </c>
      <c r="CK59">
        <f>IF(ISNUMBER(CI59),IFERROR(MAX(0,AR24-CI59),0),0)</f>
        <v>0</v>
      </c>
      <c r="CL59">
        <f>IF(ISNUMBER(CI59),IFERROR(MAX(0,CI59-AR24),0),0)</f>
        <v>0</v>
      </c>
      <c r="CM59">
        <f>IF(ISNUMBER(CJ59),IFERROR(MAX(0,AS24-CJ59),0),0)</f>
        <v>0</v>
      </c>
      <c r="CN59">
        <f>IF(ISNUMBER(CJ59),IFERROR(MAX(0,CJ59-AS24),0),0)</f>
        <v>0</v>
      </c>
      <c r="CP59" t="e">
        <f>BX24</f>
        <v>#N/A</v>
      </c>
      <c r="CQ59" t="e">
        <f>BY24</f>
        <v>#N/A</v>
      </c>
      <c r="CR59">
        <f>IF(ISNUMBER(CP59),IFERROR(MAX(0,BZ24-CP59),0),0)</f>
        <v>0</v>
      </c>
      <c r="CS59">
        <f>IF(ISNUMBER(CP59),IFERROR(MAX(0,CP59-BZ24),0),0)</f>
        <v>0</v>
      </c>
      <c r="CT59">
        <f>IF(ISNUMBER(CQ59),IFERROR(MAX(0,CA24-CQ59),0),0)</f>
        <v>0</v>
      </c>
      <c r="CU59">
        <f>IF(ISNUMBER(CQ59),IFERROR(MAX(0,CQ59-CA24),0),0)</f>
        <v>0</v>
      </c>
    </row>
    <row r="60" spans="1:99" x14ac:dyDescent="0.3">
      <c r="A60">
        <v>54</v>
      </c>
      <c r="B60">
        <f>IF(A60&lt;=$B$2,IF(INDEX(Gantt!$A$7:$A$119,A60)&lt;&gt;"",1,0),0)</f>
        <v>0</v>
      </c>
      <c r="C60" t="e">
        <f>IF(B60=1,INDEX(Gantt!$C$7:$C$119,A60),NA())</f>
        <v>#N/A</v>
      </c>
      <c r="D60" t="e">
        <f>IF(B60=1,INDEX(Gantt!$D$7:$D$119,A60)+1,NA())</f>
        <v>#N/A</v>
      </c>
      <c r="E60">
        <f>IF(B60=1,INDEX(Gantt!$BN$7:$BN$119,A60),0)</f>
        <v>0</v>
      </c>
      <c r="F60">
        <f>IF(B60=1,N(INDEX(Gantt!$F$7:$F$119,A60)),0)</f>
        <v>0</v>
      </c>
      <c r="G60">
        <f t="shared" si="69"/>
        <v>0</v>
      </c>
      <c r="H60" t="e">
        <f t="shared" si="70"/>
        <v>#N/A</v>
      </c>
      <c r="I60" t="e">
        <f t="shared" si="71"/>
        <v>#N/A</v>
      </c>
      <c r="J60" t="e">
        <f t="shared" si="72"/>
        <v>#N/A</v>
      </c>
      <c r="K60" t="e">
        <f t="shared" si="73"/>
        <v>#N/A</v>
      </c>
      <c r="L60" t="e">
        <f t="shared" si="74"/>
        <v>#N/A</v>
      </c>
      <c r="M60" t="e">
        <f t="shared" si="75"/>
        <v>#N/A</v>
      </c>
      <c r="N60" t="e">
        <f t="shared" si="76"/>
        <v>#N/A</v>
      </c>
      <c r="O60" t="e">
        <f t="shared" si="77"/>
        <v>#N/A</v>
      </c>
      <c r="P60" t="e">
        <f t="shared" si="78"/>
        <v>#N/A</v>
      </c>
      <c r="Q60" t="str">
        <f>IF(B60=1,INDEX(Gantt!$A$7:$A$119,A60)&amp;"   "&amp;INDEX(Gantt!$B$7:$B$119,A60),"")</f>
        <v/>
      </c>
      <c r="R60" t="e">
        <f t="shared" si="79"/>
        <v>#N/A</v>
      </c>
      <c r="S60">
        <f t="shared" si="80"/>
        <v>0</v>
      </c>
      <c r="T60">
        <f t="shared" si="81"/>
        <v>0</v>
      </c>
      <c r="U60">
        <v>54</v>
      </c>
      <c r="V60">
        <f t="shared" si="13"/>
        <v>14</v>
      </c>
      <c r="W60">
        <f t="shared" si="14"/>
        <v>2</v>
      </c>
      <c r="X60">
        <f t="shared" si="15"/>
        <v>0</v>
      </c>
      <c r="Y60">
        <f>IF(X60&lt;&gt;1,9999,CHOOSE(W60,INDEX(Gantt!$BQ$7:$BQ$119,V60),INDEX(Gantt!$BR$7:$BR$119,V60),INDEX(Gantt!$BT$7:$BT$119,V60),INDEX(Gantt!$BU$7:$BU$119,V60)))</f>
        <v>9999</v>
      </c>
      <c r="Z60">
        <f t="shared" si="16"/>
        <v>0</v>
      </c>
      <c r="AA60" t="e">
        <f t="shared" si="17"/>
        <v>#N/A</v>
      </c>
      <c r="AB60" t="e">
        <f t="shared" si="18"/>
        <v>#N/A</v>
      </c>
      <c r="AC60" t="e">
        <f t="shared" si="19"/>
        <v>#N/A</v>
      </c>
      <c r="AD60" t="e">
        <f t="shared" si="20"/>
        <v>#N/A</v>
      </c>
      <c r="AE60" t="e">
        <f t="shared" si="21"/>
        <v>#N/A</v>
      </c>
      <c r="AF60" t="e">
        <f t="shared" si="22"/>
        <v>#N/A</v>
      </c>
      <c r="AG60" t="e">
        <f t="shared" si="23"/>
        <v>#N/A</v>
      </c>
      <c r="AH60" t="e">
        <f t="shared" si="24"/>
        <v>#N/A</v>
      </c>
      <c r="AI60" t="e">
        <f t="shared" si="25"/>
        <v>#N/A</v>
      </c>
      <c r="AJ60" t="e">
        <f t="shared" si="26"/>
        <v>#N/A</v>
      </c>
      <c r="AK60" t="e">
        <f t="shared" si="27"/>
        <v>#N/A</v>
      </c>
      <c r="AL60" t="e">
        <f t="shared" si="28"/>
        <v>#N/A</v>
      </c>
      <c r="AM60" t="e">
        <f t="shared" si="29"/>
        <v>#N/A</v>
      </c>
      <c r="AN60" t="e">
        <f t="shared" si="30"/>
        <v>#N/A</v>
      </c>
      <c r="AO60" t="e">
        <f t="shared" si="31"/>
        <v>#N/A</v>
      </c>
      <c r="AP60" t="e">
        <f t="shared" si="32"/>
        <v>#N/A</v>
      </c>
      <c r="AQ60" t="e">
        <f t="shared" si="33"/>
        <v>#N/A</v>
      </c>
      <c r="AR60" t="e">
        <f t="shared" si="34"/>
        <v>#N/A</v>
      </c>
      <c r="AS60" t="e">
        <f t="shared" si="35"/>
        <v>#N/A</v>
      </c>
      <c r="AT60" t="e">
        <f t="shared" si="36"/>
        <v>#N/A</v>
      </c>
      <c r="AU60" t="e">
        <f t="shared" si="37"/>
        <v>#N/A</v>
      </c>
      <c r="AV60" t="e">
        <f t="shared" si="38"/>
        <v>#N/A</v>
      </c>
      <c r="AW60" t="e">
        <f t="shared" si="39"/>
        <v>#N/A</v>
      </c>
      <c r="AX60" t="e">
        <f t="shared" si="40"/>
        <v>#N/A</v>
      </c>
      <c r="AY60" t="e">
        <f t="shared" si="41"/>
        <v>#N/A</v>
      </c>
      <c r="BE60" t="e">
        <f>IF(Z60=1,IF(INDEX($C$7:$C$126,V60)&gt;=Gantt!$BF$6,NA(),MATCH(INDEX($C$7:$C$126,V60),Gantt!$J$6:$BE$6,1)),NA())</f>
        <v>#N/A</v>
      </c>
      <c r="BF60" t="e">
        <f>IF(Z60=1,IF((INDEX($D$7:$D$126,AA60)-1)&gt;=Gantt!$BF$6,NA(),IF((INDEX($D$7:$D$126,AA60)-1)&lt;Gantt!$J$6,0,MATCH((INDEX($D$7:$D$126,AA60)-1),Gantt!$J$6:$BE$6,1))),NA())</f>
        <v>#N/A</v>
      </c>
      <c r="BG60" t="e">
        <f t="shared" si="42"/>
        <v>#N/A</v>
      </c>
      <c r="BH60" t="e">
        <f t="shared" si="43"/>
        <v>#N/A</v>
      </c>
      <c r="BI60" t="e">
        <f t="shared" si="44"/>
        <v>#N/A</v>
      </c>
      <c r="BJ60" t="e">
        <f t="shared" si="45"/>
        <v>#N/A</v>
      </c>
      <c r="BK60" t="e">
        <f t="shared" si="46"/>
        <v>#N/A</v>
      </c>
      <c r="BL60" t="e">
        <f t="shared" si="47"/>
        <v>#N/A</v>
      </c>
      <c r="BM60" t="e">
        <f t="shared" si="48"/>
        <v>#N/A</v>
      </c>
      <c r="BN60" t="e">
        <f t="shared" si="49"/>
        <v>#N/A</v>
      </c>
      <c r="BO60" t="e">
        <f t="shared" si="50"/>
        <v>#N/A</v>
      </c>
      <c r="BP60" t="e">
        <f t="shared" si="51"/>
        <v>#N/A</v>
      </c>
      <c r="BQ60" t="e">
        <f t="shared" si="52"/>
        <v>#N/A</v>
      </c>
      <c r="BR60" t="e">
        <f t="shared" si="53"/>
        <v>#N/A</v>
      </c>
      <c r="BS60" t="e">
        <f t="shared" si="54"/>
        <v>#N/A</v>
      </c>
      <c r="BT60" t="e">
        <f t="shared" si="55"/>
        <v>#N/A</v>
      </c>
      <c r="BU60" t="e">
        <f t="shared" si="56"/>
        <v>#N/A</v>
      </c>
      <c r="BV60" t="e">
        <f t="shared" si="57"/>
        <v>#N/A</v>
      </c>
      <c r="BW60" t="e">
        <f t="shared" si="58"/>
        <v>#N/A</v>
      </c>
      <c r="BX60" t="e">
        <f t="shared" si="59"/>
        <v>#N/A</v>
      </c>
      <c r="BY60" t="e">
        <f t="shared" si="60"/>
        <v>#N/A</v>
      </c>
      <c r="BZ60" t="e">
        <f t="shared" si="61"/>
        <v>#N/A</v>
      </c>
      <c r="CA60" t="e">
        <f t="shared" si="62"/>
        <v>#N/A</v>
      </c>
      <c r="CB60" t="e">
        <f t="shared" si="63"/>
        <v>#N/A</v>
      </c>
      <c r="CC60" t="e">
        <f t="shared" si="64"/>
        <v>#N/A</v>
      </c>
      <c r="CD60" t="e">
        <f t="shared" si="65"/>
        <v>#N/A</v>
      </c>
      <c r="CE60" t="e">
        <f t="shared" si="66"/>
        <v>#N/A</v>
      </c>
      <c r="CF60" t="e">
        <f t="shared" si="67"/>
        <v>#N/A</v>
      </c>
      <c r="CG60" t="e">
        <f t="shared" si="68"/>
        <v>#N/A</v>
      </c>
      <c r="CI60" t="e">
        <f>AT24</f>
        <v>#N/A</v>
      </c>
      <c r="CJ60" t="e">
        <f>AU24</f>
        <v>#N/A</v>
      </c>
      <c r="CK60">
        <f>IF(ISNUMBER(CI60),IFERROR(MAX(0,AV24-CI60),0),0)</f>
        <v>0</v>
      </c>
      <c r="CL60">
        <f>IF(ISNUMBER(CI60),IFERROR(MAX(0,CI60-AV24),0),0)</f>
        <v>0</v>
      </c>
      <c r="CM60">
        <f>IF(ISNUMBER(CJ60),IFERROR(MAX(0,AW24-CJ60),0),0)</f>
        <v>0</v>
      </c>
      <c r="CN60">
        <f>IF(ISNUMBER(CJ60),IFERROR(MAX(0,CJ60-AW24),0),0)</f>
        <v>0</v>
      </c>
      <c r="CP60" t="e">
        <f>CB24</f>
        <v>#N/A</v>
      </c>
      <c r="CQ60" t="e">
        <f>CC24</f>
        <v>#N/A</v>
      </c>
      <c r="CR60">
        <f>IF(ISNUMBER(CP60),IFERROR(MAX(0,CD24-CP60),0),0)</f>
        <v>0</v>
      </c>
      <c r="CS60">
        <f>IF(ISNUMBER(CP60),IFERROR(MAX(0,CP60-CD24),0),0)</f>
        <v>0</v>
      </c>
      <c r="CT60">
        <f>IF(ISNUMBER(CQ60),IFERROR(MAX(0,CE24-CQ60),0),0)</f>
        <v>0</v>
      </c>
      <c r="CU60">
        <f>IF(ISNUMBER(CQ60),IFERROR(MAX(0,CQ60-CE24),0),0)</f>
        <v>0</v>
      </c>
    </row>
    <row r="61" spans="1:99" x14ac:dyDescent="0.3">
      <c r="A61">
        <v>55</v>
      </c>
      <c r="B61">
        <f>IF(A61&lt;=$B$2,IF(INDEX(Gantt!$A$7:$A$119,A61)&lt;&gt;"",1,0),0)</f>
        <v>0</v>
      </c>
      <c r="C61" t="e">
        <f>IF(B61=1,INDEX(Gantt!$C$7:$C$119,A61),NA())</f>
        <v>#N/A</v>
      </c>
      <c r="D61" t="e">
        <f>IF(B61=1,INDEX(Gantt!$D$7:$D$119,A61)+1,NA())</f>
        <v>#N/A</v>
      </c>
      <c r="E61">
        <f>IF(B61=1,INDEX(Gantt!$BN$7:$BN$119,A61),0)</f>
        <v>0</v>
      </c>
      <c r="F61">
        <f>IF(B61=1,N(INDEX(Gantt!$F$7:$F$119,A61)),0)</f>
        <v>0</v>
      </c>
      <c r="G61">
        <f t="shared" si="69"/>
        <v>0</v>
      </c>
      <c r="H61" t="e">
        <f t="shared" si="70"/>
        <v>#N/A</v>
      </c>
      <c r="I61" t="e">
        <f t="shared" si="71"/>
        <v>#N/A</v>
      </c>
      <c r="J61" t="e">
        <f t="shared" si="72"/>
        <v>#N/A</v>
      </c>
      <c r="K61" t="e">
        <f t="shared" si="73"/>
        <v>#N/A</v>
      </c>
      <c r="L61" t="e">
        <f t="shared" si="74"/>
        <v>#N/A</v>
      </c>
      <c r="M61" t="e">
        <f t="shared" si="75"/>
        <v>#N/A</v>
      </c>
      <c r="N61" t="e">
        <f t="shared" si="76"/>
        <v>#N/A</v>
      </c>
      <c r="O61" t="e">
        <f t="shared" si="77"/>
        <v>#N/A</v>
      </c>
      <c r="P61" t="e">
        <f t="shared" si="78"/>
        <v>#N/A</v>
      </c>
      <c r="Q61" t="str">
        <f>IF(B61=1,INDEX(Gantt!$A$7:$A$119,A61)&amp;"   "&amp;INDEX(Gantt!$B$7:$B$119,A61),"")</f>
        <v/>
      </c>
      <c r="R61" t="e">
        <f t="shared" si="79"/>
        <v>#N/A</v>
      </c>
      <c r="S61">
        <f t="shared" si="80"/>
        <v>0</v>
      </c>
      <c r="T61">
        <f t="shared" si="81"/>
        <v>0</v>
      </c>
      <c r="U61">
        <v>55</v>
      </c>
      <c r="V61">
        <f t="shared" si="13"/>
        <v>14</v>
      </c>
      <c r="W61">
        <f t="shared" si="14"/>
        <v>3</v>
      </c>
      <c r="X61">
        <f t="shared" si="15"/>
        <v>0</v>
      </c>
      <c r="Y61">
        <f>IF(X61&lt;&gt;1,9999,CHOOSE(W61,INDEX(Gantt!$BQ$7:$BQ$119,V61),INDEX(Gantt!$BR$7:$BR$119,V61),INDEX(Gantt!$BT$7:$BT$119,V61),INDEX(Gantt!$BU$7:$BU$119,V61)))</f>
        <v>9999</v>
      </c>
      <c r="Z61">
        <f t="shared" si="16"/>
        <v>0</v>
      </c>
      <c r="AA61" t="e">
        <f t="shared" si="17"/>
        <v>#N/A</v>
      </c>
      <c r="AB61" t="e">
        <f t="shared" si="18"/>
        <v>#N/A</v>
      </c>
      <c r="AC61" t="e">
        <f t="shared" si="19"/>
        <v>#N/A</v>
      </c>
      <c r="AD61" t="e">
        <f t="shared" si="20"/>
        <v>#N/A</v>
      </c>
      <c r="AE61" t="e">
        <f t="shared" si="21"/>
        <v>#N/A</v>
      </c>
      <c r="AF61" t="e">
        <f t="shared" si="22"/>
        <v>#N/A</v>
      </c>
      <c r="AG61" t="e">
        <f t="shared" si="23"/>
        <v>#N/A</v>
      </c>
      <c r="AH61" t="e">
        <f t="shared" si="24"/>
        <v>#N/A</v>
      </c>
      <c r="AI61" t="e">
        <f t="shared" si="25"/>
        <v>#N/A</v>
      </c>
      <c r="AJ61" t="e">
        <f t="shared" si="26"/>
        <v>#N/A</v>
      </c>
      <c r="AK61" t="e">
        <f t="shared" si="27"/>
        <v>#N/A</v>
      </c>
      <c r="AL61" t="e">
        <f t="shared" si="28"/>
        <v>#N/A</v>
      </c>
      <c r="AM61" t="e">
        <f t="shared" si="29"/>
        <v>#N/A</v>
      </c>
      <c r="AN61" t="e">
        <f t="shared" si="30"/>
        <v>#N/A</v>
      </c>
      <c r="AO61" t="e">
        <f t="shared" si="31"/>
        <v>#N/A</v>
      </c>
      <c r="AP61" t="e">
        <f t="shared" si="32"/>
        <v>#N/A</v>
      </c>
      <c r="AQ61" t="e">
        <f t="shared" si="33"/>
        <v>#N/A</v>
      </c>
      <c r="AR61" t="e">
        <f t="shared" si="34"/>
        <v>#N/A</v>
      </c>
      <c r="AS61" t="e">
        <f t="shared" si="35"/>
        <v>#N/A</v>
      </c>
      <c r="AT61" t="e">
        <f t="shared" si="36"/>
        <v>#N/A</v>
      </c>
      <c r="AU61" t="e">
        <f t="shared" si="37"/>
        <v>#N/A</v>
      </c>
      <c r="AV61" t="e">
        <f t="shared" si="38"/>
        <v>#N/A</v>
      </c>
      <c r="AW61" t="e">
        <f t="shared" si="39"/>
        <v>#N/A</v>
      </c>
      <c r="AX61" t="e">
        <f t="shared" si="40"/>
        <v>#N/A</v>
      </c>
      <c r="AY61" t="e">
        <f t="shared" si="41"/>
        <v>#N/A</v>
      </c>
      <c r="BE61" t="e">
        <f>IF(Z61=1,IF(INDEX($C$7:$C$126,V61)&gt;=Gantt!$BF$6,NA(),MATCH(INDEX($C$7:$C$126,V61),Gantt!$J$6:$BE$6,1)),NA())</f>
        <v>#N/A</v>
      </c>
      <c r="BF61" t="e">
        <f>IF(Z61=1,IF((INDEX($D$7:$D$126,AA61)-1)&gt;=Gantt!$BF$6,NA(),IF((INDEX($D$7:$D$126,AA61)-1)&lt;Gantt!$J$6,0,MATCH((INDEX($D$7:$D$126,AA61)-1),Gantt!$J$6:$BE$6,1))),NA())</f>
        <v>#N/A</v>
      </c>
      <c r="BG61" t="e">
        <f t="shared" si="42"/>
        <v>#N/A</v>
      </c>
      <c r="BH61" t="e">
        <f t="shared" si="43"/>
        <v>#N/A</v>
      </c>
      <c r="BI61" t="e">
        <f t="shared" si="44"/>
        <v>#N/A</v>
      </c>
      <c r="BJ61" t="e">
        <f t="shared" si="45"/>
        <v>#N/A</v>
      </c>
      <c r="BK61" t="e">
        <f t="shared" si="46"/>
        <v>#N/A</v>
      </c>
      <c r="BL61" t="e">
        <f t="shared" si="47"/>
        <v>#N/A</v>
      </c>
      <c r="BM61" t="e">
        <f t="shared" si="48"/>
        <v>#N/A</v>
      </c>
      <c r="BN61" t="e">
        <f t="shared" si="49"/>
        <v>#N/A</v>
      </c>
      <c r="BO61" t="e">
        <f t="shared" si="50"/>
        <v>#N/A</v>
      </c>
      <c r="BP61" t="e">
        <f t="shared" si="51"/>
        <v>#N/A</v>
      </c>
      <c r="BQ61" t="e">
        <f t="shared" si="52"/>
        <v>#N/A</v>
      </c>
      <c r="BR61" t="e">
        <f t="shared" si="53"/>
        <v>#N/A</v>
      </c>
      <c r="BS61" t="e">
        <f t="shared" si="54"/>
        <v>#N/A</v>
      </c>
      <c r="BT61" t="e">
        <f t="shared" si="55"/>
        <v>#N/A</v>
      </c>
      <c r="BU61" t="e">
        <f t="shared" si="56"/>
        <v>#N/A</v>
      </c>
      <c r="BV61" t="e">
        <f t="shared" si="57"/>
        <v>#N/A</v>
      </c>
      <c r="BW61" t="e">
        <f t="shared" si="58"/>
        <v>#N/A</v>
      </c>
      <c r="BX61" t="e">
        <f t="shared" si="59"/>
        <v>#N/A</v>
      </c>
      <c r="BY61" t="e">
        <f t="shared" si="60"/>
        <v>#N/A</v>
      </c>
      <c r="BZ61" t="e">
        <f t="shared" si="61"/>
        <v>#N/A</v>
      </c>
      <c r="CA61" t="e">
        <f t="shared" si="62"/>
        <v>#N/A</v>
      </c>
      <c r="CB61" t="e">
        <f t="shared" si="63"/>
        <v>#N/A</v>
      </c>
      <c r="CC61" t="e">
        <f t="shared" si="64"/>
        <v>#N/A</v>
      </c>
      <c r="CD61" t="e">
        <f t="shared" si="65"/>
        <v>#N/A</v>
      </c>
      <c r="CE61" t="e">
        <f t="shared" si="66"/>
        <v>#N/A</v>
      </c>
      <c r="CF61" t="e">
        <f t="shared" si="67"/>
        <v>#N/A</v>
      </c>
      <c r="CG61" t="e">
        <f t="shared" si="68"/>
        <v>#N/A</v>
      </c>
      <c r="CI61" t="e">
        <f>AL25</f>
        <v>#N/A</v>
      </c>
      <c r="CJ61" t="e">
        <f>AM25</f>
        <v>#N/A</v>
      </c>
      <c r="CK61">
        <f>IF(ISNUMBER(CI61),IFERROR(MAX(0,AN25-CI61),0),0)</f>
        <v>0</v>
      </c>
      <c r="CL61">
        <f>IF(ISNUMBER(CI61),IFERROR(MAX(0,CI61-AN25),0),0)</f>
        <v>0</v>
      </c>
      <c r="CM61">
        <f>IF(ISNUMBER(CJ61),IFERROR(MAX(0,AO25-CJ61),0),0)</f>
        <v>0</v>
      </c>
      <c r="CN61">
        <f>IF(ISNUMBER(CJ61),IFERROR(MAX(0,CJ61-AO25),0),0)</f>
        <v>0</v>
      </c>
      <c r="CP61" t="e">
        <f>BT25</f>
        <v>#N/A</v>
      </c>
      <c r="CQ61" t="e">
        <f>BU25</f>
        <v>#N/A</v>
      </c>
      <c r="CR61">
        <f>IF(ISNUMBER(CP61),IFERROR(MAX(0,BV25-CP61),0),0)</f>
        <v>0</v>
      </c>
      <c r="CS61">
        <f>IF(ISNUMBER(CP61),IFERROR(MAX(0,CP61-BV25),0),0)</f>
        <v>0</v>
      </c>
      <c r="CT61">
        <f>IF(ISNUMBER(CQ61),IFERROR(MAX(0,BW25-CQ61),0),0)</f>
        <v>0</v>
      </c>
      <c r="CU61">
        <f>IF(ISNUMBER(CQ61),IFERROR(MAX(0,CQ61-BW25),0),0)</f>
        <v>0</v>
      </c>
    </row>
    <row r="62" spans="1:99" x14ac:dyDescent="0.3">
      <c r="A62">
        <v>56</v>
      </c>
      <c r="B62">
        <f>IF(A62&lt;=$B$2,IF(INDEX(Gantt!$A$7:$A$119,A62)&lt;&gt;"",1,0),0)</f>
        <v>0</v>
      </c>
      <c r="C62" t="e">
        <f>IF(B62=1,INDEX(Gantt!$C$7:$C$119,A62),NA())</f>
        <v>#N/A</v>
      </c>
      <c r="D62" t="e">
        <f>IF(B62=1,INDEX(Gantt!$D$7:$D$119,A62)+1,NA())</f>
        <v>#N/A</v>
      </c>
      <c r="E62">
        <f>IF(B62=1,INDEX(Gantt!$BN$7:$BN$119,A62),0)</f>
        <v>0</v>
      </c>
      <c r="F62">
        <f>IF(B62=1,N(INDEX(Gantt!$F$7:$F$119,A62)),0)</f>
        <v>0</v>
      </c>
      <c r="G62">
        <f t="shared" si="69"/>
        <v>0</v>
      </c>
      <c r="H62" t="e">
        <f t="shared" si="70"/>
        <v>#N/A</v>
      </c>
      <c r="I62" t="e">
        <f t="shared" si="71"/>
        <v>#N/A</v>
      </c>
      <c r="J62" t="e">
        <f t="shared" si="72"/>
        <v>#N/A</v>
      </c>
      <c r="K62" t="e">
        <f t="shared" si="73"/>
        <v>#N/A</v>
      </c>
      <c r="L62" t="e">
        <f t="shared" si="74"/>
        <v>#N/A</v>
      </c>
      <c r="M62" t="e">
        <f t="shared" si="75"/>
        <v>#N/A</v>
      </c>
      <c r="N62" t="e">
        <f t="shared" si="76"/>
        <v>#N/A</v>
      </c>
      <c r="O62" t="e">
        <f t="shared" si="77"/>
        <v>#N/A</v>
      </c>
      <c r="P62" t="e">
        <f t="shared" si="78"/>
        <v>#N/A</v>
      </c>
      <c r="Q62" t="str">
        <f>IF(B62=1,INDEX(Gantt!$A$7:$A$119,A62)&amp;"   "&amp;INDEX(Gantt!$B$7:$B$119,A62),"")</f>
        <v/>
      </c>
      <c r="R62" t="e">
        <f t="shared" si="79"/>
        <v>#N/A</v>
      </c>
      <c r="S62">
        <f t="shared" si="80"/>
        <v>0</v>
      </c>
      <c r="T62">
        <f t="shared" si="81"/>
        <v>0</v>
      </c>
      <c r="U62">
        <v>56</v>
      </c>
      <c r="V62">
        <f t="shared" si="13"/>
        <v>14</v>
      </c>
      <c r="W62">
        <f t="shared" si="14"/>
        <v>4</v>
      </c>
      <c r="X62">
        <f t="shared" si="15"/>
        <v>0</v>
      </c>
      <c r="Y62">
        <f>IF(X62&lt;&gt;1,9999,CHOOSE(W62,INDEX(Gantt!$BQ$7:$BQ$119,V62),INDEX(Gantt!$BR$7:$BR$119,V62),INDEX(Gantt!$BT$7:$BT$119,V62),INDEX(Gantt!$BU$7:$BU$119,V62)))</f>
        <v>9999</v>
      </c>
      <c r="Z62">
        <f t="shared" si="16"/>
        <v>0</v>
      </c>
      <c r="AA62" t="e">
        <f t="shared" si="17"/>
        <v>#N/A</v>
      </c>
      <c r="AB62" t="e">
        <f t="shared" si="18"/>
        <v>#N/A</v>
      </c>
      <c r="AC62" t="e">
        <f t="shared" si="19"/>
        <v>#N/A</v>
      </c>
      <c r="AD62" t="e">
        <f t="shared" si="20"/>
        <v>#N/A</v>
      </c>
      <c r="AE62" t="e">
        <f t="shared" si="21"/>
        <v>#N/A</v>
      </c>
      <c r="AF62" t="e">
        <f t="shared" si="22"/>
        <v>#N/A</v>
      </c>
      <c r="AG62" t="e">
        <f t="shared" si="23"/>
        <v>#N/A</v>
      </c>
      <c r="AH62" t="e">
        <f t="shared" si="24"/>
        <v>#N/A</v>
      </c>
      <c r="AI62" t="e">
        <f t="shared" si="25"/>
        <v>#N/A</v>
      </c>
      <c r="AJ62" t="e">
        <f t="shared" si="26"/>
        <v>#N/A</v>
      </c>
      <c r="AK62" t="e">
        <f t="shared" si="27"/>
        <v>#N/A</v>
      </c>
      <c r="AL62" t="e">
        <f t="shared" si="28"/>
        <v>#N/A</v>
      </c>
      <c r="AM62" t="e">
        <f t="shared" si="29"/>
        <v>#N/A</v>
      </c>
      <c r="AN62" t="e">
        <f t="shared" si="30"/>
        <v>#N/A</v>
      </c>
      <c r="AO62" t="e">
        <f t="shared" si="31"/>
        <v>#N/A</v>
      </c>
      <c r="AP62" t="e">
        <f t="shared" si="32"/>
        <v>#N/A</v>
      </c>
      <c r="AQ62" t="e">
        <f t="shared" si="33"/>
        <v>#N/A</v>
      </c>
      <c r="AR62" t="e">
        <f t="shared" si="34"/>
        <v>#N/A</v>
      </c>
      <c r="AS62" t="e">
        <f t="shared" si="35"/>
        <v>#N/A</v>
      </c>
      <c r="AT62" t="e">
        <f t="shared" si="36"/>
        <v>#N/A</v>
      </c>
      <c r="AU62" t="e">
        <f t="shared" si="37"/>
        <v>#N/A</v>
      </c>
      <c r="AV62" t="e">
        <f t="shared" si="38"/>
        <v>#N/A</v>
      </c>
      <c r="AW62" t="e">
        <f t="shared" si="39"/>
        <v>#N/A</v>
      </c>
      <c r="AX62" t="e">
        <f t="shared" si="40"/>
        <v>#N/A</v>
      </c>
      <c r="AY62" t="e">
        <f t="shared" si="41"/>
        <v>#N/A</v>
      </c>
      <c r="BE62" t="e">
        <f>IF(Z62=1,IF(INDEX($C$7:$C$126,V62)&gt;=Gantt!$BF$6,NA(),MATCH(INDEX($C$7:$C$126,V62),Gantt!$J$6:$BE$6,1)),NA())</f>
        <v>#N/A</v>
      </c>
      <c r="BF62" t="e">
        <f>IF(Z62=1,IF((INDEX($D$7:$D$126,AA62)-1)&gt;=Gantt!$BF$6,NA(),IF((INDEX($D$7:$D$126,AA62)-1)&lt;Gantt!$J$6,0,MATCH((INDEX($D$7:$D$126,AA62)-1),Gantt!$J$6:$BE$6,1))),NA())</f>
        <v>#N/A</v>
      </c>
      <c r="BG62" t="e">
        <f t="shared" si="42"/>
        <v>#N/A</v>
      </c>
      <c r="BH62" t="e">
        <f t="shared" si="43"/>
        <v>#N/A</v>
      </c>
      <c r="BI62" t="e">
        <f t="shared" si="44"/>
        <v>#N/A</v>
      </c>
      <c r="BJ62" t="e">
        <f t="shared" si="45"/>
        <v>#N/A</v>
      </c>
      <c r="BK62" t="e">
        <f t="shared" si="46"/>
        <v>#N/A</v>
      </c>
      <c r="BL62" t="e">
        <f t="shared" si="47"/>
        <v>#N/A</v>
      </c>
      <c r="BM62" t="e">
        <f t="shared" si="48"/>
        <v>#N/A</v>
      </c>
      <c r="BN62" t="e">
        <f t="shared" si="49"/>
        <v>#N/A</v>
      </c>
      <c r="BO62" t="e">
        <f t="shared" si="50"/>
        <v>#N/A</v>
      </c>
      <c r="BP62" t="e">
        <f t="shared" si="51"/>
        <v>#N/A</v>
      </c>
      <c r="BQ62" t="e">
        <f t="shared" si="52"/>
        <v>#N/A</v>
      </c>
      <c r="BR62" t="e">
        <f t="shared" si="53"/>
        <v>#N/A</v>
      </c>
      <c r="BS62" t="e">
        <f t="shared" si="54"/>
        <v>#N/A</v>
      </c>
      <c r="BT62" t="e">
        <f t="shared" si="55"/>
        <v>#N/A</v>
      </c>
      <c r="BU62" t="e">
        <f t="shared" si="56"/>
        <v>#N/A</v>
      </c>
      <c r="BV62" t="e">
        <f t="shared" si="57"/>
        <v>#N/A</v>
      </c>
      <c r="BW62" t="e">
        <f t="shared" si="58"/>
        <v>#N/A</v>
      </c>
      <c r="BX62" t="e">
        <f t="shared" si="59"/>
        <v>#N/A</v>
      </c>
      <c r="BY62" t="e">
        <f t="shared" si="60"/>
        <v>#N/A</v>
      </c>
      <c r="BZ62" t="e">
        <f t="shared" si="61"/>
        <v>#N/A</v>
      </c>
      <c r="CA62" t="e">
        <f t="shared" si="62"/>
        <v>#N/A</v>
      </c>
      <c r="CB62" t="e">
        <f t="shared" si="63"/>
        <v>#N/A</v>
      </c>
      <c r="CC62" t="e">
        <f t="shared" si="64"/>
        <v>#N/A</v>
      </c>
      <c r="CD62" t="e">
        <f t="shared" si="65"/>
        <v>#N/A</v>
      </c>
      <c r="CE62" t="e">
        <f t="shared" si="66"/>
        <v>#N/A</v>
      </c>
      <c r="CF62" t="e">
        <f t="shared" si="67"/>
        <v>#N/A</v>
      </c>
      <c r="CG62" t="e">
        <f t="shared" si="68"/>
        <v>#N/A</v>
      </c>
      <c r="CI62" t="e">
        <f>AP25</f>
        <v>#N/A</v>
      </c>
      <c r="CJ62" t="e">
        <f>AQ25</f>
        <v>#N/A</v>
      </c>
      <c r="CK62">
        <f>IF(ISNUMBER(CI62),IFERROR(MAX(0,AR25-CI62),0),0)</f>
        <v>0</v>
      </c>
      <c r="CL62">
        <f>IF(ISNUMBER(CI62),IFERROR(MAX(0,CI62-AR25),0),0)</f>
        <v>0</v>
      </c>
      <c r="CM62">
        <f>IF(ISNUMBER(CJ62),IFERROR(MAX(0,AS25-CJ62),0),0)</f>
        <v>0</v>
      </c>
      <c r="CN62">
        <f>IF(ISNUMBER(CJ62),IFERROR(MAX(0,CJ62-AS25),0),0)</f>
        <v>0</v>
      </c>
      <c r="CP62" t="e">
        <f>BX25</f>
        <v>#N/A</v>
      </c>
      <c r="CQ62" t="e">
        <f>BY25</f>
        <v>#N/A</v>
      </c>
      <c r="CR62">
        <f>IF(ISNUMBER(CP62),IFERROR(MAX(0,BZ25-CP62),0),0)</f>
        <v>0</v>
      </c>
      <c r="CS62">
        <f>IF(ISNUMBER(CP62),IFERROR(MAX(0,CP62-BZ25),0),0)</f>
        <v>0</v>
      </c>
      <c r="CT62">
        <f>IF(ISNUMBER(CQ62),IFERROR(MAX(0,CA25-CQ62),0),0)</f>
        <v>0</v>
      </c>
      <c r="CU62">
        <f>IF(ISNUMBER(CQ62),IFERROR(MAX(0,CQ62-CA25),0),0)</f>
        <v>0</v>
      </c>
    </row>
    <row r="63" spans="1:99" x14ac:dyDescent="0.3">
      <c r="A63">
        <v>57</v>
      </c>
      <c r="B63">
        <f>IF(A63&lt;=$B$2,IF(INDEX(Gantt!$A$7:$A$119,A63)&lt;&gt;"",1,0),0)</f>
        <v>0</v>
      </c>
      <c r="C63" t="e">
        <f>IF(B63=1,INDEX(Gantt!$C$7:$C$119,A63),NA())</f>
        <v>#N/A</v>
      </c>
      <c r="D63" t="e">
        <f>IF(B63=1,INDEX(Gantt!$D$7:$D$119,A63)+1,NA())</f>
        <v>#N/A</v>
      </c>
      <c r="E63">
        <f>IF(B63=1,INDEX(Gantt!$BN$7:$BN$119,A63),0)</f>
        <v>0</v>
      </c>
      <c r="F63">
        <f>IF(B63=1,N(INDEX(Gantt!$F$7:$F$119,A63)),0)</f>
        <v>0</v>
      </c>
      <c r="G63">
        <f t="shared" si="69"/>
        <v>0</v>
      </c>
      <c r="H63" t="e">
        <f t="shared" si="70"/>
        <v>#N/A</v>
      </c>
      <c r="I63" t="e">
        <f t="shared" si="71"/>
        <v>#N/A</v>
      </c>
      <c r="J63" t="e">
        <f t="shared" si="72"/>
        <v>#N/A</v>
      </c>
      <c r="K63" t="e">
        <f t="shared" si="73"/>
        <v>#N/A</v>
      </c>
      <c r="L63" t="e">
        <f t="shared" si="74"/>
        <v>#N/A</v>
      </c>
      <c r="M63" t="e">
        <f t="shared" si="75"/>
        <v>#N/A</v>
      </c>
      <c r="N63" t="e">
        <f t="shared" si="76"/>
        <v>#N/A</v>
      </c>
      <c r="O63" t="e">
        <f t="shared" si="77"/>
        <v>#N/A</v>
      </c>
      <c r="P63" t="e">
        <f t="shared" si="78"/>
        <v>#N/A</v>
      </c>
      <c r="Q63" t="str">
        <f>IF(B63=1,INDEX(Gantt!$A$7:$A$119,A63)&amp;"   "&amp;INDEX(Gantt!$B$7:$B$119,A63),"")</f>
        <v/>
      </c>
      <c r="R63" t="e">
        <f t="shared" si="79"/>
        <v>#N/A</v>
      </c>
      <c r="S63">
        <f t="shared" si="80"/>
        <v>0</v>
      </c>
      <c r="T63">
        <f t="shared" si="81"/>
        <v>0</v>
      </c>
      <c r="U63">
        <v>57</v>
      </c>
      <c r="V63">
        <f t="shared" si="13"/>
        <v>15</v>
      </c>
      <c r="W63">
        <f t="shared" si="14"/>
        <v>1</v>
      </c>
      <c r="X63">
        <f t="shared" si="15"/>
        <v>0</v>
      </c>
      <c r="Y63">
        <f>IF(X63&lt;&gt;1,9999,CHOOSE(W63,INDEX(Gantt!$BQ$7:$BQ$119,V63),INDEX(Gantt!$BR$7:$BR$119,V63),INDEX(Gantt!$BT$7:$BT$119,V63),INDEX(Gantt!$BU$7:$BU$119,V63)))</f>
        <v>9999</v>
      </c>
      <c r="Z63">
        <f t="shared" si="16"/>
        <v>0</v>
      </c>
      <c r="AA63" t="e">
        <f t="shared" si="17"/>
        <v>#N/A</v>
      </c>
      <c r="AB63" t="e">
        <f t="shared" si="18"/>
        <v>#N/A</v>
      </c>
      <c r="AC63" t="e">
        <f t="shared" si="19"/>
        <v>#N/A</v>
      </c>
      <c r="AD63" t="e">
        <f t="shared" si="20"/>
        <v>#N/A</v>
      </c>
      <c r="AE63" t="e">
        <f t="shared" si="21"/>
        <v>#N/A</v>
      </c>
      <c r="AF63" t="e">
        <f t="shared" si="22"/>
        <v>#N/A</v>
      </c>
      <c r="AG63" t="e">
        <f t="shared" si="23"/>
        <v>#N/A</v>
      </c>
      <c r="AH63" t="e">
        <f t="shared" si="24"/>
        <v>#N/A</v>
      </c>
      <c r="AI63" t="e">
        <f t="shared" si="25"/>
        <v>#N/A</v>
      </c>
      <c r="AJ63" t="e">
        <f t="shared" si="26"/>
        <v>#N/A</v>
      </c>
      <c r="AK63" t="e">
        <f t="shared" si="27"/>
        <v>#N/A</v>
      </c>
      <c r="AL63" t="e">
        <f t="shared" si="28"/>
        <v>#N/A</v>
      </c>
      <c r="AM63" t="e">
        <f t="shared" si="29"/>
        <v>#N/A</v>
      </c>
      <c r="AN63" t="e">
        <f t="shared" si="30"/>
        <v>#N/A</v>
      </c>
      <c r="AO63" t="e">
        <f t="shared" si="31"/>
        <v>#N/A</v>
      </c>
      <c r="AP63" t="e">
        <f t="shared" si="32"/>
        <v>#N/A</v>
      </c>
      <c r="AQ63" t="e">
        <f t="shared" si="33"/>
        <v>#N/A</v>
      </c>
      <c r="AR63" t="e">
        <f t="shared" si="34"/>
        <v>#N/A</v>
      </c>
      <c r="AS63" t="e">
        <f t="shared" si="35"/>
        <v>#N/A</v>
      </c>
      <c r="AT63" t="e">
        <f t="shared" si="36"/>
        <v>#N/A</v>
      </c>
      <c r="AU63" t="e">
        <f t="shared" si="37"/>
        <v>#N/A</v>
      </c>
      <c r="AV63" t="e">
        <f t="shared" si="38"/>
        <v>#N/A</v>
      </c>
      <c r="AW63" t="e">
        <f t="shared" si="39"/>
        <v>#N/A</v>
      </c>
      <c r="AX63" t="e">
        <f t="shared" si="40"/>
        <v>#N/A</v>
      </c>
      <c r="AY63" t="e">
        <f t="shared" si="41"/>
        <v>#N/A</v>
      </c>
      <c r="BE63" t="e">
        <f>IF(Z63=1,IF(INDEX($C$7:$C$126,V63)&gt;=Gantt!$BF$6,NA(),MATCH(INDEX($C$7:$C$126,V63),Gantt!$J$6:$BE$6,1)),NA())</f>
        <v>#N/A</v>
      </c>
      <c r="BF63" t="e">
        <f>IF(Z63=1,IF((INDEX($D$7:$D$126,AA63)-1)&gt;=Gantt!$BF$6,NA(),IF((INDEX($D$7:$D$126,AA63)-1)&lt;Gantt!$J$6,0,MATCH((INDEX($D$7:$D$126,AA63)-1),Gantt!$J$6:$BE$6,1))),NA())</f>
        <v>#N/A</v>
      </c>
      <c r="BG63" t="e">
        <f t="shared" si="42"/>
        <v>#N/A</v>
      </c>
      <c r="BH63" t="e">
        <f t="shared" si="43"/>
        <v>#N/A</v>
      </c>
      <c r="BI63" t="e">
        <f t="shared" si="44"/>
        <v>#N/A</v>
      </c>
      <c r="BJ63" t="e">
        <f t="shared" si="45"/>
        <v>#N/A</v>
      </c>
      <c r="BK63" t="e">
        <f t="shared" si="46"/>
        <v>#N/A</v>
      </c>
      <c r="BL63" t="e">
        <f t="shared" si="47"/>
        <v>#N/A</v>
      </c>
      <c r="BM63" t="e">
        <f t="shared" si="48"/>
        <v>#N/A</v>
      </c>
      <c r="BN63" t="e">
        <f t="shared" si="49"/>
        <v>#N/A</v>
      </c>
      <c r="BO63" t="e">
        <f t="shared" si="50"/>
        <v>#N/A</v>
      </c>
      <c r="BP63" t="e">
        <f t="shared" si="51"/>
        <v>#N/A</v>
      </c>
      <c r="BQ63" t="e">
        <f t="shared" si="52"/>
        <v>#N/A</v>
      </c>
      <c r="BR63" t="e">
        <f t="shared" si="53"/>
        <v>#N/A</v>
      </c>
      <c r="BS63" t="e">
        <f t="shared" si="54"/>
        <v>#N/A</v>
      </c>
      <c r="BT63" t="e">
        <f t="shared" si="55"/>
        <v>#N/A</v>
      </c>
      <c r="BU63" t="e">
        <f t="shared" si="56"/>
        <v>#N/A</v>
      </c>
      <c r="BV63" t="e">
        <f t="shared" si="57"/>
        <v>#N/A</v>
      </c>
      <c r="BW63" t="e">
        <f t="shared" si="58"/>
        <v>#N/A</v>
      </c>
      <c r="BX63" t="e">
        <f t="shared" si="59"/>
        <v>#N/A</v>
      </c>
      <c r="BY63" t="e">
        <f t="shared" si="60"/>
        <v>#N/A</v>
      </c>
      <c r="BZ63" t="e">
        <f t="shared" si="61"/>
        <v>#N/A</v>
      </c>
      <c r="CA63" t="e">
        <f t="shared" si="62"/>
        <v>#N/A</v>
      </c>
      <c r="CB63" t="e">
        <f t="shared" si="63"/>
        <v>#N/A</v>
      </c>
      <c r="CC63" t="e">
        <f t="shared" si="64"/>
        <v>#N/A</v>
      </c>
      <c r="CD63" t="e">
        <f t="shared" si="65"/>
        <v>#N/A</v>
      </c>
      <c r="CE63" t="e">
        <f t="shared" si="66"/>
        <v>#N/A</v>
      </c>
      <c r="CF63" t="e">
        <f t="shared" si="67"/>
        <v>#N/A</v>
      </c>
      <c r="CG63" t="e">
        <f t="shared" si="68"/>
        <v>#N/A</v>
      </c>
      <c r="CI63" t="e">
        <f>AT25</f>
        <v>#N/A</v>
      </c>
      <c r="CJ63" t="e">
        <f>AU25</f>
        <v>#N/A</v>
      </c>
      <c r="CK63">
        <f>IF(ISNUMBER(CI63),IFERROR(MAX(0,AV25-CI63),0),0)</f>
        <v>0</v>
      </c>
      <c r="CL63">
        <f>IF(ISNUMBER(CI63),IFERROR(MAX(0,CI63-AV25),0),0)</f>
        <v>0</v>
      </c>
      <c r="CM63">
        <f>IF(ISNUMBER(CJ63),IFERROR(MAX(0,AW25-CJ63),0),0)</f>
        <v>0</v>
      </c>
      <c r="CN63">
        <f>IF(ISNUMBER(CJ63),IFERROR(MAX(0,CJ63-AW25),0),0)</f>
        <v>0</v>
      </c>
      <c r="CP63" t="e">
        <f>CB25</f>
        <v>#N/A</v>
      </c>
      <c r="CQ63" t="e">
        <f>CC25</f>
        <v>#N/A</v>
      </c>
      <c r="CR63">
        <f>IF(ISNUMBER(CP63),IFERROR(MAX(0,CD25-CP63),0),0)</f>
        <v>0</v>
      </c>
      <c r="CS63">
        <f>IF(ISNUMBER(CP63),IFERROR(MAX(0,CP63-CD25),0),0)</f>
        <v>0</v>
      </c>
      <c r="CT63">
        <f>IF(ISNUMBER(CQ63),IFERROR(MAX(0,CE25-CQ63),0),0)</f>
        <v>0</v>
      </c>
      <c r="CU63">
        <f>IF(ISNUMBER(CQ63),IFERROR(MAX(0,CQ63-CE25),0),0)</f>
        <v>0</v>
      </c>
    </row>
    <row r="64" spans="1:99" x14ac:dyDescent="0.3">
      <c r="A64">
        <v>58</v>
      </c>
      <c r="B64">
        <f>IF(A64&lt;=$B$2,IF(INDEX(Gantt!$A$7:$A$119,A64)&lt;&gt;"",1,0),0)</f>
        <v>0</v>
      </c>
      <c r="C64" t="e">
        <f>IF(B64=1,INDEX(Gantt!$C$7:$C$119,A64),NA())</f>
        <v>#N/A</v>
      </c>
      <c r="D64" t="e">
        <f>IF(B64=1,INDEX(Gantt!$D$7:$D$119,A64)+1,NA())</f>
        <v>#N/A</v>
      </c>
      <c r="E64">
        <f>IF(B64=1,INDEX(Gantt!$BN$7:$BN$119,A64),0)</f>
        <v>0</v>
      </c>
      <c r="F64">
        <f>IF(B64=1,N(INDEX(Gantt!$F$7:$F$119,A64)),0)</f>
        <v>0</v>
      </c>
      <c r="G64">
        <f t="shared" si="69"/>
        <v>0</v>
      </c>
      <c r="H64" t="e">
        <f t="shared" si="70"/>
        <v>#N/A</v>
      </c>
      <c r="I64" t="e">
        <f t="shared" si="71"/>
        <v>#N/A</v>
      </c>
      <c r="J64" t="e">
        <f t="shared" si="72"/>
        <v>#N/A</v>
      </c>
      <c r="K64" t="e">
        <f t="shared" si="73"/>
        <v>#N/A</v>
      </c>
      <c r="L64" t="e">
        <f t="shared" si="74"/>
        <v>#N/A</v>
      </c>
      <c r="M64" t="e">
        <f t="shared" si="75"/>
        <v>#N/A</v>
      </c>
      <c r="N64" t="e">
        <f t="shared" si="76"/>
        <v>#N/A</v>
      </c>
      <c r="O64" t="e">
        <f t="shared" si="77"/>
        <v>#N/A</v>
      </c>
      <c r="P64" t="e">
        <f t="shared" si="78"/>
        <v>#N/A</v>
      </c>
      <c r="Q64" t="str">
        <f>IF(B64=1,INDEX(Gantt!$A$7:$A$119,A64)&amp;"   "&amp;INDEX(Gantt!$B$7:$B$119,A64),"")</f>
        <v/>
      </c>
      <c r="R64" t="e">
        <f t="shared" si="79"/>
        <v>#N/A</v>
      </c>
      <c r="S64">
        <f t="shared" si="80"/>
        <v>0</v>
      </c>
      <c r="T64">
        <f t="shared" si="81"/>
        <v>0</v>
      </c>
      <c r="U64">
        <v>58</v>
      </c>
      <c r="V64">
        <f t="shared" si="13"/>
        <v>15</v>
      </c>
      <c r="W64">
        <f t="shared" si="14"/>
        <v>2</v>
      </c>
      <c r="X64">
        <f t="shared" si="15"/>
        <v>0</v>
      </c>
      <c r="Y64">
        <f>IF(X64&lt;&gt;1,9999,CHOOSE(W64,INDEX(Gantt!$BQ$7:$BQ$119,V64),INDEX(Gantt!$BR$7:$BR$119,V64),INDEX(Gantt!$BT$7:$BT$119,V64),INDEX(Gantt!$BU$7:$BU$119,V64)))</f>
        <v>9999</v>
      </c>
      <c r="Z64">
        <f t="shared" si="16"/>
        <v>0</v>
      </c>
      <c r="AA64" t="e">
        <f t="shared" si="17"/>
        <v>#N/A</v>
      </c>
      <c r="AB64" t="e">
        <f t="shared" si="18"/>
        <v>#N/A</v>
      </c>
      <c r="AC64" t="e">
        <f t="shared" si="19"/>
        <v>#N/A</v>
      </c>
      <c r="AD64" t="e">
        <f t="shared" si="20"/>
        <v>#N/A</v>
      </c>
      <c r="AE64" t="e">
        <f t="shared" si="21"/>
        <v>#N/A</v>
      </c>
      <c r="AF64" t="e">
        <f t="shared" si="22"/>
        <v>#N/A</v>
      </c>
      <c r="AG64" t="e">
        <f t="shared" si="23"/>
        <v>#N/A</v>
      </c>
      <c r="AH64" t="e">
        <f t="shared" si="24"/>
        <v>#N/A</v>
      </c>
      <c r="AI64" t="e">
        <f t="shared" si="25"/>
        <v>#N/A</v>
      </c>
      <c r="AJ64" t="e">
        <f t="shared" si="26"/>
        <v>#N/A</v>
      </c>
      <c r="AK64" t="e">
        <f t="shared" si="27"/>
        <v>#N/A</v>
      </c>
      <c r="AL64" t="e">
        <f t="shared" si="28"/>
        <v>#N/A</v>
      </c>
      <c r="AM64" t="e">
        <f t="shared" si="29"/>
        <v>#N/A</v>
      </c>
      <c r="AN64" t="e">
        <f t="shared" si="30"/>
        <v>#N/A</v>
      </c>
      <c r="AO64" t="e">
        <f t="shared" si="31"/>
        <v>#N/A</v>
      </c>
      <c r="AP64" t="e">
        <f t="shared" si="32"/>
        <v>#N/A</v>
      </c>
      <c r="AQ64" t="e">
        <f t="shared" si="33"/>
        <v>#N/A</v>
      </c>
      <c r="AR64" t="e">
        <f t="shared" si="34"/>
        <v>#N/A</v>
      </c>
      <c r="AS64" t="e">
        <f t="shared" si="35"/>
        <v>#N/A</v>
      </c>
      <c r="AT64" t="e">
        <f t="shared" si="36"/>
        <v>#N/A</v>
      </c>
      <c r="AU64" t="e">
        <f t="shared" si="37"/>
        <v>#N/A</v>
      </c>
      <c r="AV64" t="e">
        <f t="shared" si="38"/>
        <v>#N/A</v>
      </c>
      <c r="AW64" t="e">
        <f t="shared" si="39"/>
        <v>#N/A</v>
      </c>
      <c r="AX64" t="e">
        <f t="shared" si="40"/>
        <v>#N/A</v>
      </c>
      <c r="AY64" t="e">
        <f t="shared" si="41"/>
        <v>#N/A</v>
      </c>
      <c r="BE64" t="e">
        <f>IF(Z64=1,IF(INDEX($C$7:$C$126,V64)&gt;=Gantt!$BF$6,NA(),MATCH(INDEX($C$7:$C$126,V64),Gantt!$J$6:$BE$6,1)),NA())</f>
        <v>#N/A</v>
      </c>
      <c r="BF64" t="e">
        <f>IF(Z64=1,IF((INDEX($D$7:$D$126,AA64)-1)&gt;=Gantt!$BF$6,NA(),IF((INDEX($D$7:$D$126,AA64)-1)&lt;Gantt!$J$6,0,MATCH((INDEX($D$7:$D$126,AA64)-1),Gantt!$J$6:$BE$6,1))),NA())</f>
        <v>#N/A</v>
      </c>
      <c r="BG64" t="e">
        <f t="shared" si="42"/>
        <v>#N/A</v>
      </c>
      <c r="BH64" t="e">
        <f t="shared" si="43"/>
        <v>#N/A</v>
      </c>
      <c r="BI64" t="e">
        <f t="shared" si="44"/>
        <v>#N/A</v>
      </c>
      <c r="BJ64" t="e">
        <f t="shared" si="45"/>
        <v>#N/A</v>
      </c>
      <c r="BK64" t="e">
        <f t="shared" si="46"/>
        <v>#N/A</v>
      </c>
      <c r="BL64" t="e">
        <f t="shared" si="47"/>
        <v>#N/A</v>
      </c>
      <c r="BM64" t="e">
        <f t="shared" si="48"/>
        <v>#N/A</v>
      </c>
      <c r="BN64" t="e">
        <f t="shared" si="49"/>
        <v>#N/A</v>
      </c>
      <c r="BO64" t="e">
        <f t="shared" si="50"/>
        <v>#N/A</v>
      </c>
      <c r="BP64" t="e">
        <f t="shared" si="51"/>
        <v>#N/A</v>
      </c>
      <c r="BQ64" t="e">
        <f t="shared" si="52"/>
        <v>#N/A</v>
      </c>
      <c r="BR64" t="e">
        <f t="shared" si="53"/>
        <v>#N/A</v>
      </c>
      <c r="BS64" t="e">
        <f t="shared" si="54"/>
        <v>#N/A</v>
      </c>
      <c r="BT64" t="e">
        <f t="shared" si="55"/>
        <v>#N/A</v>
      </c>
      <c r="BU64" t="e">
        <f t="shared" si="56"/>
        <v>#N/A</v>
      </c>
      <c r="BV64" t="e">
        <f t="shared" si="57"/>
        <v>#N/A</v>
      </c>
      <c r="BW64" t="e">
        <f t="shared" si="58"/>
        <v>#N/A</v>
      </c>
      <c r="BX64" t="e">
        <f t="shared" si="59"/>
        <v>#N/A</v>
      </c>
      <c r="BY64" t="e">
        <f t="shared" si="60"/>
        <v>#N/A</v>
      </c>
      <c r="BZ64" t="e">
        <f t="shared" si="61"/>
        <v>#N/A</v>
      </c>
      <c r="CA64" t="e">
        <f t="shared" si="62"/>
        <v>#N/A</v>
      </c>
      <c r="CB64" t="e">
        <f t="shared" si="63"/>
        <v>#N/A</v>
      </c>
      <c r="CC64" t="e">
        <f t="shared" si="64"/>
        <v>#N/A</v>
      </c>
      <c r="CD64" t="e">
        <f t="shared" si="65"/>
        <v>#N/A</v>
      </c>
      <c r="CE64" t="e">
        <f t="shared" si="66"/>
        <v>#N/A</v>
      </c>
      <c r="CF64" t="e">
        <f t="shared" si="67"/>
        <v>#N/A</v>
      </c>
      <c r="CG64" t="e">
        <f t="shared" si="68"/>
        <v>#N/A</v>
      </c>
      <c r="CI64" t="e">
        <f>AL26</f>
        <v>#N/A</v>
      </c>
      <c r="CJ64" t="e">
        <f>AM26</f>
        <v>#N/A</v>
      </c>
      <c r="CK64">
        <f>IF(ISNUMBER(CI64),IFERROR(MAX(0,AN26-CI64),0),0)</f>
        <v>0</v>
      </c>
      <c r="CL64">
        <f>IF(ISNUMBER(CI64),IFERROR(MAX(0,CI64-AN26),0),0)</f>
        <v>0</v>
      </c>
      <c r="CM64">
        <f>IF(ISNUMBER(CJ64),IFERROR(MAX(0,AO26-CJ64),0),0)</f>
        <v>0</v>
      </c>
      <c r="CN64">
        <f>IF(ISNUMBER(CJ64),IFERROR(MAX(0,CJ64-AO26),0),0)</f>
        <v>0</v>
      </c>
      <c r="CP64" t="e">
        <f>BT26</f>
        <v>#N/A</v>
      </c>
      <c r="CQ64" t="e">
        <f>BU26</f>
        <v>#N/A</v>
      </c>
      <c r="CR64">
        <f>IF(ISNUMBER(CP64),IFERROR(MAX(0,BV26-CP64),0),0)</f>
        <v>0</v>
      </c>
      <c r="CS64">
        <f>IF(ISNUMBER(CP64),IFERROR(MAX(0,CP64-BV26),0),0)</f>
        <v>0</v>
      </c>
      <c r="CT64">
        <f>IF(ISNUMBER(CQ64),IFERROR(MAX(0,BW26-CQ64),0),0)</f>
        <v>0</v>
      </c>
      <c r="CU64">
        <f>IF(ISNUMBER(CQ64),IFERROR(MAX(0,CQ64-BW26),0),0)</f>
        <v>0</v>
      </c>
    </row>
    <row r="65" spans="1:99" x14ac:dyDescent="0.3">
      <c r="A65">
        <v>59</v>
      </c>
      <c r="B65">
        <f>IF(A65&lt;=$B$2,IF(INDEX(Gantt!$A$7:$A$119,A65)&lt;&gt;"",1,0),0)</f>
        <v>0</v>
      </c>
      <c r="C65" t="e">
        <f>IF(B65=1,INDEX(Gantt!$C$7:$C$119,A65),NA())</f>
        <v>#N/A</v>
      </c>
      <c r="D65" t="e">
        <f>IF(B65=1,INDEX(Gantt!$D$7:$D$119,A65)+1,NA())</f>
        <v>#N/A</v>
      </c>
      <c r="E65">
        <f>IF(B65=1,INDEX(Gantt!$BN$7:$BN$119,A65),0)</f>
        <v>0</v>
      </c>
      <c r="F65">
        <f>IF(B65=1,N(INDEX(Gantt!$F$7:$F$119,A65)),0)</f>
        <v>0</v>
      </c>
      <c r="G65">
        <f t="shared" si="69"/>
        <v>0</v>
      </c>
      <c r="H65" t="e">
        <f t="shared" si="70"/>
        <v>#N/A</v>
      </c>
      <c r="I65" t="e">
        <f t="shared" si="71"/>
        <v>#N/A</v>
      </c>
      <c r="J65" t="e">
        <f t="shared" si="72"/>
        <v>#N/A</v>
      </c>
      <c r="K65" t="e">
        <f t="shared" si="73"/>
        <v>#N/A</v>
      </c>
      <c r="L65" t="e">
        <f t="shared" si="74"/>
        <v>#N/A</v>
      </c>
      <c r="M65" t="e">
        <f t="shared" si="75"/>
        <v>#N/A</v>
      </c>
      <c r="N65" t="e">
        <f t="shared" si="76"/>
        <v>#N/A</v>
      </c>
      <c r="O65" t="e">
        <f t="shared" si="77"/>
        <v>#N/A</v>
      </c>
      <c r="P65" t="e">
        <f t="shared" si="78"/>
        <v>#N/A</v>
      </c>
      <c r="Q65" t="str">
        <f>IF(B65=1,INDEX(Gantt!$A$7:$A$119,A65)&amp;"   "&amp;INDEX(Gantt!$B$7:$B$119,A65),"")</f>
        <v/>
      </c>
      <c r="R65" t="e">
        <f t="shared" si="79"/>
        <v>#N/A</v>
      </c>
      <c r="S65">
        <f t="shared" si="80"/>
        <v>0</v>
      </c>
      <c r="T65">
        <f t="shared" si="81"/>
        <v>0</v>
      </c>
      <c r="U65">
        <v>59</v>
      </c>
      <c r="V65">
        <f t="shared" si="13"/>
        <v>15</v>
      </c>
      <c r="W65">
        <f t="shared" si="14"/>
        <v>3</v>
      </c>
      <c r="X65">
        <f t="shared" si="15"/>
        <v>0</v>
      </c>
      <c r="Y65">
        <f>IF(X65&lt;&gt;1,9999,CHOOSE(W65,INDEX(Gantt!$BQ$7:$BQ$119,V65),INDEX(Gantt!$BR$7:$BR$119,V65),INDEX(Gantt!$BT$7:$BT$119,V65),INDEX(Gantt!$BU$7:$BU$119,V65)))</f>
        <v>9999</v>
      </c>
      <c r="Z65">
        <f t="shared" si="16"/>
        <v>0</v>
      </c>
      <c r="AA65" t="e">
        <f t="shared" si="17"/>
        <v>#N/A</v>
      </c>
      <c r="AB65" t="e">
        <f t="shared" si="18"/>
        <v>#N/A</v>
      </c>
      <c r="AC65" t="e">
        <f t="shared" si="19"/>
        <v>#N/A</v>
      </c>
      <c r="AD65" t="e">
        <f t="shared" si="20"/>
        <v>#N/A</v>
      </c>
      <c r="AE65" t="e">
        <f t="shared" si="21"/>
        <v>#N/A</v>
      </c>
      <c r="AF65" t="e">
        <f t="shared" si="22"/>
        <v>#N/A</v>
      </c>
      <c r="AG65" t="e">
        <f t="shared" si="23"/>
        <v>#N/A</v>
      </c>
      <c r="AH65" t="e">
        <f t="shared" si="24"/>
        <v>#N/A</v>
      </c>
      <c r="AI65" t="e">
        <f t="shared" si="25"/>
        <v>#N/A</v>
      </c>
      <c r="AJ65" t="e">
        <f t="shared" si="26"/>
        <v>#N/A</v>
      </c>
      <c r="AK65" t="e">
        <f t="shared" si="27"/>
        <v>#N/A</v>
      </c>
      <c r="AL65" t="e">
        <f t="shared" si="28"/>
        <v>#N/A</v>
      </c>
      <c r="AM65" t="e">
        <f t="shared" si="29"/>
        <v>#N/A</v>
      </c>
      <c r="AN65" t="e">
        <f t="shared" si="30"/>
        <v>#N/A</v>
      </c>
      <c r="AO65" t="e">
        <f t="shared" si="31"/>
        <v>#N/A</v>
      </c>
      <c r="AP65" t="e">
        <f t="shared" si="32"/>
        <v>#N/A</v>
      </c>
      <c r="AQ65" t="e">
        <f t="shared" si="33"/>
        <v>#N/A</v>
      </c>
      <c r="AR65" t="e">
        <f t="shared" si="34"/>
        <v>#N/A</v>
      </c>
      <c r="AS65" t="e">
        <f t="shared" si="35"/>
        <v>#N/A</v>
      </c>
      <c r="AT65" t="e">
        <f t="shared" si="36"/>
        <v>#N/A</v>
      </c>
      <c r="AU65" t="e">
        <f t="shared" si="37"/>
        <v>#N/A</v>
      </c>
      <c r="AV65" t="e">
        <f t="shared" si="38"/>
        <v>#N/A</v>
      </c>
      <c r="AW65" t="e">
        <f t="shared" si="39"/>
        <v>#N/A</v>
      </c>
      <c r="AX65" t="e">
        <f t="shared" si="40"/>
        <v>#N/A</v>
      </c>
      <c r="AY65" t="e">
        <f t="shared" si="41"/>
        <v>#N/A</v>
      </c>
      <c r="BE65" t="e">
        <f>IF(Z65=1,IF(INDEX($C$7:$C$126,V65)&gt;=Gantt!$BF$6,NA(),MATCH(INDEX($C$7:$C$126,V65),Gantt!$J$6:$BE$6,1)),NA())</f>
        <v>#N/A</v>
      </c>
      <c r="BF65" t="e">
        <f>IF(Z65=1,IF((INDEX($D$7:$D$126,AA65)-1)&gt;=Gantt!$BF$6,NA(),IF((INDEX($D$7:$D$126,AA65)-1)&lt;Gantt!$J$6,0,MATCH((INDEX($D$7:$D$126,AA65)-1),Gantt!$J$6:$BE$6,1))),NA())</f>
        <v>#N/A</v>
      </c>
      <c r="BG65" t="e">
        <f t="shared" si="42"/>
        <v>#N/A</v>
      </c>
      <c r="BH65" t="e">
        <f t="shared" si="43"/>
        <v>#N/A</v>
      </c>
      <c r="BI65" t="e">
        <f t="shared" si="44"/>
        <v>#N/A</v>
      </c>
      <c r="BJ65" t="e">
        <f t="shared" si="45"/>
        <v>#N/A</v>
      </c>
      <c r="BK65" t="e">
        <f t="shared" si="46"/>
        <v>#N/A</v>
      </c>
      <c r="BL65" t="e">
        <f t="shared" si="47"/>
        <v>#N/A</v>
      </c>
      <c r="BM65" t="e">
        <f t="shared" si="48"/>
        <v>#N/A</v>
      </c>
      <c r="BN65" t="e">
        <f t="shared" si="49"/>
        <v>#N/A</v>
      </c>
      <c r="BO65" t="e">
        <f t="shared" si="50"/>
        <v>#N/A</v>
      </c>
      <c r="BP65" t="e">
        <f t="shared" si="51"/>
        <v>#N/A</v>
      </c>
      <c r="BQ65" t="e">
        <f t="shared" si="52"/>
        <v>#N/A</v>
      </c>
      <c r="BR65" t="e">
        <f t="shared" si="53"/>
        <v>#N/A</v>
      </c>
      <c r="BS65" t="e">
        <f t="shared" si="54"/>
        <v>#N/A</v>
      </c>
      <c r="BT65" t="e">
        <f t="shared" si="55"/>
        <v>#N/A</v>
      </c>
      <c r="BU65" t="e">
        <f t="shared" si="56"/>
        <v>#N/A</v>
      </c>
      <c r="BV65" t="e">
        <f t="shared" si="57"/>
        <v>#N/A</v>
      </c>
      <c r="BW65" t="e">
        <f t="shared" si="58"/>
        <v>#N/A</v>
      </c>
      <c r="BX65" t="e">
        <f t="shared" si="59"/>
        <v>#N/A</v>
      </c>
      <c r="BY65" t="e">
        <f t="shared" si="60"/>
        <v>#N/A</v>
      </c>
      <c r="BZ65" t="e">
        <f t="shared" si="61"/>
        <v>#N/A</v>
      </c>
      <c r="CA65" t="e">
        <f t="shared" si="62"/>
        <v>#N/A</v>
      </c>
      <c r="CB65" t="e">
        <f t="shared" si="63"/>
        <v>#N/A</v>
      </c>
      <c r="CC65" t="e">
        <f t="shared" si="64"/>
        <v>#N/A</v>
      </c>
      <c r="CD65" t="e">
        <f t="shared" si="65"/>
        <v>#N/A</v>
      </c>
      <c r="CE65" t="e">
        <f t="shared" si="66"/>
        <v>#N/A</v>
      </c>
      <c r="CF65" t="e">
        <f t="shared" si="67"/>
        <v>#N/A</v>
      </c>
      <c r="CG65" t="e">
        <f t="shared" si="68"/>
        <v>#N/A</v>
      </c>
      <c r="CI65" t="e">
        <f>AP26</f>
        <v>#N/A</v>
      </c>
      <c r="CJ65" t="e">
        <f>AQ26</f>
        <v>#N/A</v>
      </c>
      <c r="CK65">
        <f>IF(ISNUMBER(CI65),IFERROR(MAX(0,AR26-CI65),0),0)</f>
        <v>0</v>
      </c>
      <c r="CL65">
        <f>IF(ISNUMBER(CI65),IFERROR(MAX(0,CI65-AR26),0),0)</f>
        <v>0</v>
      </c>
      <c r="CM65">
        <f>IF(ISNUMBER(CJ65),IFERROR(MAX(0,AS26-CJ65),0),0)</f>
        <v>0</v>
      </c>
      <c r="CN65">
        <f>IF(ISNUMBER(CJ65),IFERROR(MAX(0,CJ65-AS26),0),0)</f>
        <v>0</v>
      </c>
      <c r="CP65" t="e">
        <f>BX26</f>
        <v>#N/A</v>
      </c>
      <c r="CQ65" t="e">
        <f>BY26</f>
        <v>#N/A</v>
      </c>
      <c r="CR65">
        <f>IF(ISNUMBER(CP65),IFERROR(MAX(0,BZ26-CP65),0),0)</f>
        <v>0</v>
      </c>
      <c r="CS65">
        <f>IF(ISNUMBER(CP65),IFERROR(MAX(0,CP65-BZ26),0),0)</f>
        <v>0</v>
      </c>
      <c r="CT65">
        <f>IF(ISNUMBER(CQ65),IFERROR(MAX(0,CA26-CQ65),0),0)</f>
        <v>0</v>
      </c>
      <c r="CU65">
        <f>IF(ISNUMBER(CQ65),IFERROR(MAX(0,CQ65-CA26),0),0)</f>
        <v>0</v>
      </c>
    </row>
    <row r="66" spans="1:99" x14ac:dyDescent="0.3">
      <c r="A66">
        <v>60</v>
      </c>
      <c r="B66">
        <f>IF(A66&lt;=$B$2,IF(INDEX(Gantt!$A$7:$A$119,A66)&lt;&gt;"",1,0),0)</f>
        <v>0</v>
      </c>
      <c r="C66" t="e">
        <f>IF(B66=1,INDEX(Gantt!$C$7:$C$119,A66),NA())</f>
        <v>#N/A</v>
      </c>
      <c r="D66" t="e">
        <f>IF(B66=1,INDEX(Gantt!$D$7:$D$119,A66)+1,NA())</f>
        <v>#N/A</v>
      </c>
      <c r="E66">
        <f>IF(B66=1,INDEX(Gantt!$BN$7:$BN$119,A66),0)</f>
        <v>0</v>
      </c>
      <c r="F66">
        <f>IF(B66=1,N(INDEX(Gantt!$F$7:$F$119,A66)),0)</f>
        <v>0</v>
      </c>
      <c r="G66">
        <f t="shared" si="69"/>
        <v>0</v>
      </c>
      <c r="H66" t="e">
        <f t="shared" si="70"/>
        <v>#N/A</v>
      </c>
      <c r="I66" t="e">
        <f t="shared" si="71"/>
        <v>#N/A</v>
      </c>
      <c r="J66" t="e">
        <f t="shared" si="72"/>
        <v>#N/A</v>
      </c>
      <c r="K66" t="e">
        <f t="shared" si="73"/>
        <v>#N/A</v>
      </c>
      <c r="L66" t="e">
        <f t="shared" si="74"/>
        <v>#N/A</v>
      </c>
      <c r="M66" t="e">
        <f t="shared" si="75"/>
        <v>#N/A</v>
      </c>
      <c r="N66" t="e">
        <f t="shared" si="76"/>
        <v>#N/A</v>
      </c>
      <c r="O66" t="e">
        <f t="shared" si="77"/>
        <v>#N/A</v>
      </c>
      <c r="P66" t="e">
        <f t="shared" si="78"/>
        <v>#N/A</v>
      </c>
      <c r="Q66" t="str">
        <f>IF(B66=1,INDEX(Gantt!$A$7:$A$119,A66)&amp;"   "&amp;INDEX(Gantt!$B$7:$B$119,A66),"")</f>
        <v/>
      </c>
      <c r="R66" t="e">
        <f t="shared" si="79"/>
        <v>#N/A</v>
      </c>
      <c r="S66">
        <f t="shared" si="80"/>
        <v>0</v>
      </c>
      <c r="T66">
        <f t="shared" si="81"/>
        <v>0</v>
      </c>
      <c r="U66">
        <v>60</v>
      </c>
      <c r="V66">
        <f t="shared" si="13"/>
        <v>15</v>
      </c>
      <c r="W66">
        <f t="shared" si="14"/>
        <v>4</v>
      </c>
      <c r="X66">
        <f t="shared" si="15"/>
        <v>0</v>
      </c>
      <c r="Y66">
        <f>IF(X66&lt;&gt;1,9999,CHOOSE(W66,INDEX(Gantt!$BQ$7:$BQ$119,V66),INDEX(Gantt!$BR$7:$BR$119,V66),INDEX(Gantt!$BT$7:$BT$119,V66),INDEX(Gantt!$BU$7:$BU$119,V66)))</f>
        <v>9999</v>
      </c>
      <c r="Z66">
        <f t="shared" si="16"/>
        <v>0</v>
      </c>
      <c r="AA66" t="e">
        <f t="shared" si="17"/>
        <v>#N/A</v>
      </c>
      <c r="AB66" t="e">
        <f t="shared" si="18"/>
        <v>#N/A</v>
      </c>
      <c r="AC66" t="e">
        <f t="shared" si="19"/>
        <v>#N/A</v>
      </c>
      <c r="AD66" t="e">
        <f t="shared" si="20"/>
        <v>#N/A</v>
      </c>
      <c r="AE66" t="e">
        <f t="shared" si="21"/>
        <v>#N/A</v>
      </c>
      <c r="AF66" t="e">
        <f t="shared" si="22"/>
        <v>#N/A</v>
      </c>
      <c r="AG66" t="e">
        <f t="shared" si="23"/>
        <v>#N/A</v>
      </c>
      <c r="AH66" t="e">
        <f t="shared" si="24"/>
        <v>#N/A</v>
      </c>
      <c r="AI66" t="e">
        <f t="shared" si="25"/>
        <v>#N/A</v>
      </c>
      <c r="AJ66" t="e">
        <f t="shared" si="26"/>
        <v>#N/A</v>
      </c>
      <c r="AK66" t="e">
        <f t="shared" si="27"/>
        <v>#N/A</v>
      </c>
      <c r="AL66" t="e">
        <f t="shared" si="28"/>
        <v>#N/A</v>
      </c>
      <c r="AM66" t="e">
        <f t="shared" si="29"/>
        <v>#N/A</v>
      </c>
      <c r="AN66" t="e">
        <f t="shared" si="30"/>
        <v>#N/A</v>
      </c>
      <c r="AO66" t="e">
        <f t="shared" si="31"/>
        <v>#N/A</v>
      </c>
      <c r="AP66" t="e">
        <f t="shared" si="32"/>
        <v>#N/A</v>
      </c>
      <c r="AQ66" t="e">
        <f t="shared" si="33"/>
        <v>#N/A</v>
      </c>
      <c r="AR66" t="e">
        <f t="shared" si="34"/>
        <v>#N/A</v>
      </c>
      <c r="AS66" t="e">
        <f t="shared" si="35"/>
        <v>#N/A</v>
      </c>
      <c r="AT66" t="e">
        <f t="shared" si="36"/>
        <v>#N/A</v>
      </c>
      <c r="AU66" t="e">
        <f t="shared" si="37"/>
        <v>#N/A</v>
      </c>
      <c r="AV66" t="e">
        <f t="shared" si="38"/>
        <v>#N/A</v>
      </c>
      <c r="AW66" t="e">
        <f t="shared" si="39"/>
        <v>#N/A</v>
      </c>
      <c r="AX66" t="e">
        <f t="shared" si="40"/>
        <v>#N/A</v>
      </c>
      <c r="AY66" t="e">
        <f t="shared" si="41"/>
        <v>#N/A</v>
      </c>
      <c r="BE66" t="e">
        <f>IF(Z66=1,IF(INDEX($C$7:$C$126,V66)&gt;=Gantt!$BF$6,NA(),MATCH(INDEX($C$7:$C$126,V66),Gantt!$J$6:$BE$6,1)),NA())</f>
        <v>#N/A</v>
      </c>
      <c r="BF66" t="e">
        <f>IF(Z66=1,IF((INDEX($D$7:$D$126,AA66)-1)&gt;=Gantt!$BF$6,NA(),IF((INDEX($D$7:$D$126,AA66)-1)&lt;Gantt!$J$6,0,MATCH((INDEX($D$7:$D$126,AA66)-1),Gantt!$J$6:$BE$6,1))),NA())</f>
        <v>#N/A</v>
      </c>
      <c r="BG66" t="e">
        <f t="shared" si="42"/>
        <v>#N/A</v>
      </c>
      <c r="BH66" t="e">
        <f t="shared" si="43"/>
        <v>#N/A</v>
      </c>
      <c r="BI66" t="e">
        <f t="shared" si="44"/>
        <v>#N/A</v>
      </c>
      <c r="BJ66" t="e">
        <f t="shared" si="45"/>
        <v>#N/A</v>
      </c>
      <c r="BK66" t="e">
        <f t="shared" si="46"/>
        <v>#N/A</v>
      </c>
      <c r="BL66" t="e">
        <f t="shared" si="47"/>
        <v>#N/A</v>
      </c>
      <c r="BM66" t="e">
        <f t="shared" si="48"/>
        <v>#N/A</v>
      </c>
      <c r="BN66" t="e">
        <f t="shared" si="49"/>
        <v>#N/A</v>
      </c>
      <c r="BO66" t="e">
        <f t="shared" si="50"/>
        <v>#N/A</v>
      </c>
      <c r="BP66" t="e">
        <f t="shared" si="51"/>
        <v>#N/A</v>
      </c>
      <c r="BQ66" t="e">
        <f t="shared" si="52"/>
        <v>#N/A</v>
      </c>
      <c r="BR66" t="e">
        <f t="shared" si="53"/>
        <v>#N/A</v>
      </c>
      <c r="BS66" t="e">
        <f t="shared" si="54"/>
        <v>#N/A</v>
      </c>
      <c r="BT66" t="e">
        <f t="shared" si="55"/>
        <v>#N/A</v>
      </c>
      <c r="BU66" t="e">
        <f t="shared" si="56"/>
        <v>#N/A</v>
      </c>
      <c r="BV66" t="e">
        <f t="shared" si="57"/>
        <v>#N/A</v>
      </c>
      <c r="BW66" t="e">
        <f t="shared" si="58"/>
        <v>#N/A</v>
      </c>
      <c r="BX66" t="e">
        <f t="shared" si="59"/>
        <v>#N/A</v>
      </c>
      <c r="BY66" t="e">
        <f t="shared" si="60"/>
        <v>#N/A</v>
      </c>
      <c r="BZ66" t="e">
        <f t="shared" si="61"/>
        <v>#N/A</v>
      </c>
      <c r="CA66" t="e">
        <f t="shared" si="62"/>
        <v>#N/A</v>
      </c>
      <c r="CB66" t="e">
        <f t="shared" si="63"/>
        <v>#N/A</v>
      </c>
      <c r="CC66" t="e">
        <f t="shared" si="64"/>
        <v>#N/A</v>
      </c>
      <c r="CD66" t="e">
        <f t="shared" si="65"/>
        <v>#N/A</v>
      </c>
      <c r="CE66" t="e">
        <f t="shared" si="66"/>
        <v>#N/A</v>
      </c>
      <c r="CF66" t="e">
        <f t="shared" si="67"/>
        <v>#N/A</v>
      </c>
      <c r="CG66" t="e">
        <f t="shared" si="68"/>
        <v>#N/A</v>
      </c>
      <c r="CI66" t="e">
        <f>AT26</f>
        <v>#N/A</v>
      </c>
      <c r="CJ66" t="e">
        <f>AU26</f>
        <v>#N/A</v>
      </c>
      <c r="CK66">
        <f>IF(ISNUMBER(CI66),IFERROR(MAX(0,AV26-CI66),0),0)</f>
        <v>0</v>
      </c>
      <c r="CL66">
        <f>IF(ISNUMBER(CI66),IFERROR(MAX(0,CI66-AV26),0),0)</f>
        <v>0</v>
      </c>
      <c r="CM66">
        <f>IF(ISNUMBER(CJ66),IFERROR(MAX(0,AW26-CJ66),0),0)</f>
        <v>0</v>
      </c>
      <c r="CN66">
        <f>IF(ISNUMBER(CJ66),IFERROR(MAX(0,CJ66-AW26),0),0)</f>
        <v>0</v>
      </c>
      <c r="CP66" t="e">
        <f>CB26</f>
        <v>#N/A</v>
      </c>
      <c r="CQ66" t="e">
        <f>CC26</f>
        <v>#N/A</v>
      </c>
      <c r="CR66">
        <f>IF(ISNUMBER(CP66),IFERROR(MAX(0,CD26-CP66),0),0)</f>
        <v>0</v>
      </c>
      <c r="CS66">
        <f>IF(ISNUMBER(CP66),IFERROR(MAX(0,CP66-CD26),0),0)</f>
        <v>0</v>
      </c>
      <c r="CT66">
        <f>IF(ISNUMBER(CQ66),IFERROR(MAX(0,CE26-CQ66),0),0)</f>
        <v>0</v>
      </c>
      <c r="CU66">
        <f>IF(ISNUMBER(CQ66),IFERROR(MAX(0,CQ66-CE26),0),0)</f>
        <v>0</v>
      </c>
    </row>
    <row r="67" spans="1:99" x14ac:dyDescent="0.3">
      <c r="A67">
        <v>61</v>
      </c>
      <c r="B67">
        <f>IF(A67&lt;=$B$2,IF(INDEX(Gantt!$A$7:$A$119,A67)&lt;&gt;"",1,0),0)</f>
        <v>0</v>
      </c>
      <c r="C67" t="e">
        <f>IF(B67=1,INDEX(Gantt!$C$7:$C$119,A67),NA())</f>
        <v>#N/A</v>
      </c>
      <c r="D67" t="e">
        <f>IF(B67=1,INDEX(Gantt!$D$7:$D$119,A67)+1,NA())</f>
        <v>#N/A</v>
      </c>
      <c r="E67">
        <f>IF(B67=1,INDEX(Gantt!$BN$7:$BN$119,A67),0)</f>
        <v>0</v>
      </c>
      <c r="F67">
        <f>IF(B67=1,N(INDEX(Gantt!$F$7:$F$119,A67)),0)</f>
        <v>0</v>
      </c>
      <c r="G67">
        <f t="shared" si="69"/>
        <v>0</v>
      </c>
      <c r="H67" t="e">
        <f t="shared" si="70"/>
        <v>#N/A</v>
      </c>
      <c r="I67" t="e">
        <f t="shared" si="71"/>
        <v>#N/A</v>
      </c>
      <c r="J67" t="e">
        <f t="shared" si="72"/>
        <v>#N/A</v>
      </c>
      <c r="K67" t="e">
        <f t="shared" si="73"/>
        <v>#N/A</v>
      </c>
      <c r="L67" t="e">
        <f t="shared" si="74"/>
        <v>#N/A</v>
      </c>
      <c r="M67" t="e">
        <f t="shared" si="75"/>
        <v>#N/A</v>
      </c>
      <c r="N67" t="e">
        <f t="shared" si="76"/>
        <v>#N/A</v>
      </c>
      <c r="O67" t="e">
        <f t="shared" si="77"/>
        <v>#N/A</v>
      </c>
      <c r="P67" t="e">
        <f t="shared" si="78"/>
        <v>#N/A</v>
      </c>
      <c r="Q67" t="str">
        <f>IF(B67=1,INDEX(Gantt!$A$7:$A$119,A67)&amp;"   "&amp;INDEX(Gantt!$B$7:$B$119,A67),"")</f>
        <v/>
      </c>
      <c r="R67" t="e">
        <f t="shared" si="79"/>
        <v>#N/A</v>
      </c>
      <c r="S67">
        <f t="shared" si="80"/>
        <v>0</v>
      </c>
      <c r="T67">
        <f t="shared" si="81"/>
        <v>0</v>
      </c>
      <c r="U67">
        <v>61</v>
      </c>
      <c r="V67">
        <f t="shared" si="13"/>
        <v>16</v>
      </c>
      <c r="W67">
        <f t="shared" si="14"/>
        <v>1</v>
      </c>
      <c r="X67">
        <f t="shared" si="15"/>
        <v>0</v>
      </c>
      <c r="Y67">
        <f>IF(X67&lt;&gt;1,9999,CHOOSE(W67,INDEX(Gantt!$BQ$7:$BQ$119,V67),INDEX(Gantt!$BR$7:$BR$119,V67),INDEX(Gantt!$BT$7:$BT$119,V67),INDEX(Gantt!$BU$7:$BU$119,V67)))</f>
        <v>9999</v>
      </c>
      <c r="Z67">
        <f t="shared" si="16"/>
        <v>0</v>
      </c>
      <c r="AA67" t="e">
        <f t="shared" si="17"/>
        <v>#N/A</v>
      </c>
      <c r="AB67" t="e">
        <f t="shared" si="18"/>
        <v>#N/A</v>
      </c>
      <c r="AC67" t="e">
        <f t="shared" si="19"/>
        <v>#N/A</v>
      </c>
      <c r="AD67" t="e">
        <f t="shared" si="20"/>
        <v>#N/A</v>
      </c>
      <c r="AE67" t="e">
        <f t="shared" si="21"/>
        <v>#N/A</v>
      </c>
      <c r="AF67" t="e">
        <f t="shared" si="22"/>
        <v>#N/A</v>
      </c>
      <c r="AG67" t="e">
        <f t="shared" si="23"/>
        <v>#N/A</v>
      </c>
      <c r="AH67" t="e">
        <f t="shared" si="24"/>
        <v>#N/A</v>
      </c>
      <c r="AI67" t="e">
        <f t="shared" si="25"/>
        <v>#N/A</v>
      </c>
      <c r="AJ67" t="e">
        <f t="shared" si="26"/>
        <v>#N/A</v>
      </c>
      <c r="AK67" t="e">
        <f t="shared" si="27"/>
        <v>#N/A</v>
      </c>
      <c r="AL67" t="e">
        <f t="shared" si="28"/>
        <v>#N/A</v>
      </c>
      <c r="AM67" t="e">
        <f t="shared" si="29"/>
        <v>#N/A</v>
      </c>
      <c r="AN67" t="e">
        <f t="shared" si="30"/>
        <v>#N/A</v>
      </c>
      <c r="AO67" t="e">
        <f t="shared" si="31"/>
        <v>#N/A</v>
      </c>
      <c r="AP67" t="e">
        <f t="shared" si="32"/>
        <v>#N/A</v>
      </c>
      <c r="AQ67" t="e">
        <f t="shared" si="33"/>
        <v>#N/A</v>
      </c>
      <c r="AR67" t="e">
        <f t="shared" si="34"/>
        <v>#N/A</v>
      </c>
      <c r="AS67" t="e">
        <f t="shared" si="35"/>
        <v>#N/A</v>
      </c>
      <c r="AT67" t="e">
        <f t="shared" si="36"/>
        <v>#N/A</v>
      </c>
      <c r="AU67" t="e">
        <f t="shared" si="37"/>
        <v>#N/A</v>
      </c>
      <c r="AV67" t="e">
        <f t="shared" si="38"/>
        <v>#N/A</v>
      </c>
      <c r="AW67" t="e">
        <f t="shared" si="39"/>
        <v>#N/A</v>
      </c>
      <c r="AX67" t="e">
        <f t="shared" si="40"/>
        <v>#N/A</v>
      </c>
      <c r="AY67" t="e">
        <f t="shared" si="41"/>
        <v>#N/A</v>
      </c>
      <c r="BE67" t="e">
        <f>IF(Z67=1,IF(INDEX($C$7:$C$126,V67)&gt;=Gantt!$BF$6,NA(),MATCH(INDEX($C$7:$C$126,V67),Gantt!$J$6:$BE$6,1)),NA())</f>
        <v>#N/A</v>
      </c>
      <c r="BF67" t="e">
        <f>IF(Z67=1,IF((INDEX($D$7:$D$126,AA67)-1)&gt;=Gantt!$BF$6,NA(),IF((INDEX($D$7:$D$126,AA67)-1)&lt;Gantt!$J$6,0,MATCH((INDEX($D$7:$D$126,AA67)-1),Gantt!$J$6:$BE$6,1))),NA())</f>
        <v>#N/A</v>
      </c>
      <c r="BG67" t="e">
        <f t="shared" si="42"/>
        <v>#N/A</v>
      </c>
      <c r="BH67" t="e">
        <f t="shared" si="43"/>
        <v>#N/A</v>
      </c>
      <c r="BI67" t="e">
        <f t="shared" si="44"/>
        <v>#N/A</v>
      </c>
      <c r="BJ67" t="e">
        <f t="shared" si="45"/>
        <v>#N/A</v>
      </c>
      <c r="BK67" t="e">
        <f t="shared" si="46"/>
        <v>#N/A</v>
      </c>
      <c r="BL67" t="e">
        <f t="shared" si="47"/>
        <v>#N/A</v>
      </c>
      <c r="BM67" t="e">
        <f t="shared" si="48"/>
        <v>#N/A</v>
      </c>
      <c r="BN67" t="e">
        <f t="shared" si="49"/>
        <v>#N/A</v>
      </c>
      <c r="BO67" t="e">
        <f t="shared" si="50"/>
        <v>#N/A</v>
      </c>
      <c r="BP67" t="e">
        <f t="shared" si="51"/>
        <v>#N/A</v>
      </c>
      <c r="BQ67" t="e">
        <f t="shared" si="52"/>
        <v>#N/A</v>
      </c>
      <c r="BR67" t="e">
        <f t="shared" si="53"/>
        <v>#N/A</v>
      </c>
      <c r="BS67" t="e">
        <f t="shared" si="54"/>
        <v>#N/A</v>
      </c>
      <c r="BT67" t="e">
        <f t="shared" si="55"/>
        <v>#N/A</v>
      </c>
      <c r="BU67" t="e">
        <f t="shared" si="56"/>
        <v>#N/A</v>
      </c>
      <c r="BV67" t="e">
        <f t="shared" si="57"/>
        <v>#N/A</v>
      </c>
      <c r="BW67" t="e">
        <f t="shared" si="58"/>
        <v>#N/A</v>
      </c>
      <c r="BX67" t="e">
        <f t="shared" si="59"/>
        <v>#N/A</v>
      </c>
      <c r="BY67" t="e">
        <f t="shared" si="60"/>
        <v>#N/A</v>
      </c>
      <c r="BZ67" t="e">
        <f t="shared" si="61"/>
        <v>#N/A</v>
      </c>
      <c r="CA67" t="e">
        <f t="shared" si="62"/>
        <v>#N/A</v>
      </c>
      <c r="CB67" t="e">
        <f t="shared" si="63"/>
        <v>#N/A</v>
      </c>
      <c r="CC67" t="e">
        <f t="shared" si="64"/>
        <v>#N/A</v>
      </c>
      <c r="CD67" t="e">
        <f t="shared" si="65"/>
        <v>#N/A</v>
      </c>
      <c r="CE67" t="e">
        <f t="shared" si="66"/>
        <v>#N/A</v>
      </c>
      <c r="CF67" t="e">
        <f t="shared" si="67"/>
        <v>#N/A</v>
      </c>
      <c r="CG67" t="e">
        <f t="shared" si="68"/>
        <v>#N/A</v>
      </c>
      <c r="CI67" t="e">
        <f>AL27</f>
        <v>#N/A</v>
      </c>
      <c r="CJ67" t="e">
        <f>AM27</f>
        <v>#N/A</v>
      </c>
      <c r="CK67">
        <f>IF(ISNUMBER(CI67),IFERROR(MAX(0,AN27-CI67),0),0)</f>
        <v>0</v>
      </c>
      <c r="CL67">
        <f>IF(ISNUMBER(CI67),IFERROR(MAX(0,CI67-AN27),0),0)</f>
        <v>0</v>
      </c>
      <c r="CM67">
        <f>IF(ISNUMBER(CJ67),IFERROR(MAX(0,AO27-CJ67),0),0)</f>
        <v>0</v>
      </c>
      <c r="CN67">
        <f>IF(ISNUMBER(CJ67),IFERROR(MAX(0,CJ67-AO27),0),0)</f>
        <v>0</v>
      </c>
      <c r="CP67" t="e">
        <f>BT27</f>
        <v>#N/A</v>
      </c>
      <c r="CQ67" t="e">
        <f>BU27</f>
        <v>#N/A</v>
      </c>
      <c r="CR67">
        <f>IF(ISNUMBER(CP67),IFERROR(MAX(0,BV27-CP67),0),0)</f>
        <v>0</v>
      </c>
      <c r="CS67">
        <f>IF(ISNUMBER(CP67),IFERROR(MAX(0,CP67-BV27),0),0)</f>
        <v>0</v>
      </c>
      <c r="CT67">
        <f>IF(ISNUMBER(CQ67),IFERROR(MAX(0,BW27-CQ67),0),0)</f>
        <v>0</v>
      </c>
      <c r="CU67">
        <f>IF(ISNUMBER(CQ67),IFERROR(MAX(0,CQ67-BW27),0),0)</f>
        <v>0</v>
      </c>
    </row>
    <row r="68" spans="1:99" x14ac:dyDescent="0.3">
      <c r="A68">
        <v>62</v>
      </c>
      <c r="B68">
        <f>IF(A68&lt;=$B$2,IF(INDEX(Gantt!$A$7:$A$119,A68)&lt;&gt;"",1,0),0)</f>
        <v>0</v>
      </c>
      <c r="C68" t="e">
        <f>IF(B68=1,INDEX(Gantt!$C$7:$C$119,A68),NA())</f>
        <v>#N/A</v>
      </c>
      <c r="D68" t="e">
        <f>IF(B68=1,INDEX(Gantt!$D$7:$D$119,A68)+1,NA())</f>
        <v>#N/A</v>
      </c>
      <c r="E68">
        <f>IF(B68=1,INDEX(Gantt!$BN$7:$BN$119,A68),0)</f>
        <v>0</v>
      </c>
      <c r="F68">
        <f>IF(B68=1,N(INDEX(Gantt!$F$7:$F$119,A68)),0)</f>
        <v>0</v>
      </c>
      <c r="G68">
        <f t="shared" si="69"/>
        <v>0</v>
      </c>
      <c r="H68" t="e">
        <f t="shared" si="70"/>
        <v>#N/A</v>
      </c>
      <c r="I68" t="e">
        <f t="shared" si="71"/>
        <v>#N/A</v>
      </c>
      <c r="J68" t="e">
        <f t="shared" si="72"/>
        <v>#N/A</v>
      </c>
      <c r="K68" t="e">
        <f t="shared" si="73"/>
        <v>#N/A</v>
      </c>
      <c r="L68" t="e">
        <f t="shared" si="74"/>
        <v>#N/A</v>
      </c>
      <c r="M68" t="e">
        <f t="shared" si="75"/>
        <v>#N/A</v>
      </c>
      <c r="N68" t="e">
        <f t="shared" si="76"/>
        <v>#N/A</v>
      </c>
      <c r="O68" t="e">
        <f t="shared" si="77"/>
        <v>#N/A</v>
      </c>
      <c r="P68" t="e">
        <f t="shared" si="78"/>
        <v>#N/A</v>
      </c>
      <c r="Q68" t="str">
        <f>IF(B68=1,INDEX(Gantt!$A$7:$A$119,A68)&amp;"   "&amp;INDEX(Gantt!$B$7:$B$119,A68),"")</f>
        <v/>
      </c>
      <c r="R68" t="e">
        <f t="shared" si="79"/>
        <v>#N/A</v>
      </c>
      <c r="S68">
        <f t="shared" si="80"/>
        <v>0</v>
      </c>
      <c r="T68">
        <f t="shared" si="81"/>
        <v>0</v>
      </c>
      <c r="U68">
        <v>62</v>
      </c>
      <c r="V68">
        <f t="shared" si="13"/>
        <v>16</v>
      </c>
      <c r="W68">
        <f t="shared" si="14"/>
        <v>2</v>
      </c>
      <c r="X68">
        <f t="shared" si="15"/>
        <v>0</v>
      </c>
      <c r="Y68">
        <f>IF(X68&lt;&gt;1,9999,CHOOSE(W68,INDEX(Gantt!$BQ$7:$BQ$119,V68),INDEX(Gantt!$BR$7:$BR$119,V68),INDEX(Gantt!$BT$7:$BT$119,V68),INDEX(Gantt!$BU$7:$BU$119,V68)))</f>
        <v>9999</v>
      </c>
      <c r="Z68">
        <f t="shared" si="16"/>
        <v>0</v>
      </c>
      <c r="AA68" t="e">
        <f t="shared" si="17"/>
        <v>#N/A</v>
      </c>
      <c r="AB68" t="e">
        <f t="shared" si="18"/>
        <v>#N/A</v>
      </c>
      <c r="AC68" t="e">
        <f t="shared" si="19"/>
        <v>#N/A</v>
      </c>
      <c r="AD68" t="e">
        <f t="shared" si="20"/>
        <v>#N/A</v>
      </c>
      <c r="AE68" t="e">
        <f t="shared" si="21"/>
        <v>#N/A</v>
      </c>
      <c r="AF68" t="e">
        <f t="shared" si="22"/>
        <v>#N/A</v>
      </c>
      <c r="AG68" t="e">
        <f t="shared" si="23"/>
        <v>#N/A</v>
      </c>
      <c r="AH68" t="e">
        <f t="shared" si="24"/>
        <v>#N/A</v>
      </c>
      <c r="AI68" t="e">
        <f t="shared" si="25"/>
        <v>#N/A</v>
      </c>
      <c r="AJ68" t="e">
        <f t="shared" si="26"/>
        <v>#N/A</v>
      </c>
      <c r="AK68" t="e">
        <f t="shared" si="27"/>
        <v>#N/A</v>
      </c>
      <c r="AL68" t="e">
        <f t="shared" si="28"/>
        <v>#N/A</v>
      </c>
      <c r="AM68" t="e">
        <f t="shared" si="29"/>
        <v>#N/A</v>
      </c>
      <c r="AN68" t="e">
        <f t="shared" si="30"/>
        <v>#N/A</v>
      </c>
      <c r="AO68" t="e">
        <f t="shared" si="31"/>
        <v>#N/A</v>
      </c>
      <c r="AP68" t="e">
        <f t="shared" si="32"/>
        <v>#N/A</v>
      </c>
      <c r="AQ68" t="e">
        <f t="shared" si="33"/>
        <v>#N/A</v>
      </c>
      <c r="AR68" t="e">
        <f t="shared" si="34"/>
        <v>#N/A</v>
      </c>
      <c r="AS68" t="e">
        <f t="shared" si="35"/>
        <v>#N/A</v>
      </c>
      <c r="AT68" t="e">
        <f t="shared" si="36"/>
        <v>#N/A</v>
      </c>
      <c r="AU68" t="e">
        <f t="shared" si="37"/>
        <v>#N/A</v>
      </c>
      <c r="AV68" t="e">
        <f t="shared" si="38"/>
        <v>#N/A</v>
      </c>
      <c r="AW68" t="e">
        <f t="shared" si="39"/>
        <v>#N/A</v>
      </c>
      <c r="AX68" t="e">
        <f t="shared" si="40"/>
        <v>#N/A</v>
      </c>
      <c r="AY68" t="e">
        <f t="shared" si="41"/>
        <v>#N/A</v>
      </c>
      <c r="BE68" t="e">
        <f>IF(Z68=1,IF(INDEX($C$7:$C$126,V68)&gt;=Gantt!$BF$6,NA(),MATCH(INDEX($C$7:$C$126,V68),Gantt!$J$6:$BE$6,1)),NA())</f>
        <v>#N/A</v>
      </c>
      <c r="BF68" t="e">
        <f>IF(Z68=1,IF((INDEX($D$7:$D$126,AA68)-1)&gt;=Gantt!$BF$6,NA(),IF((INDEX($D$7:$D$126,AA68)-1)&lt;Gantt!$J$6,0,MATCH((INDEX($D$7:$D$126,AA68)-1),Gantt!$J$6:$BE$6,1))),NA())</f>
        <v>#N/A</v>
      </c>
      <c r="BG68" t="e">
        <f t="shared" si="42"/>
        <v>#N/A</v>
      </c>
      <c r="BH68" t="e">
        <f t="shared" si="43"/>
        <v>#N/A</v>
      </c>
      <c r="BI68" t="e">
        <f t="shared" si="44"/>
        <v>#N/A</v>
      </c>
      <c r="BJ68" t="e">
        <f t="shared" si="45"/>
        <v>#N/A</v>
      </c>
      <c r="BK68" t="e">
        <f t="shared" si="46"/>
        <v>#N/A</v>
      </c>
      <c r="BL68" t="e">
        <f t="shared" si="47"/>
        <v>#N/A</v>
      </c>
      <c r="BM68" t="e">
        <f t="shared" si="48"/>
        <v>#N/A</v>
      </c>
      <c r="BN68" t="e">
        <f t="shared" si="49"/>
        <v>#N/A</v>
      </c>
      <c r="BO68" t="e">
        <f t="shared" si="50"/>
        <v>#N/A</v>
      </c>
      <c r="BP68" t="e">
        <f t="shared" si="51"/>
        <v>#N/A</v>
      </c>
      <c r="BQ68" t="e">
        <f t="shared" si="52"/>
        <v>#N/A</v>
      </c>
      <c r="BR68" t="e">
        <f t="shared" si="53"/>
        <v>#N/A</v>
      </c>
      <c r="BS68" t="e">
        <f t="shared" si="54"/>
        <v>#N/A</v>
      </c>
      <c r="BT68" t="e">
        <f t="shared" si="55"/>
        <v>#N/A</v>
      </c>
      <c r="BU68" t="e">
        <f t="shared" si="56"/>
        <v>#N/A</v>
      </c>
      <c r="BV68" t="e">
        <f t="shared" si="57"/>
        <v>#N/A</v>
      </c>
      <c r="BW68" t="e">
        <f t="shared" si="58"/>
        <v>#N/A</v>
      </c>
      <c r="BX68" t="e">
        <f t="shared" si="59"/>
        <v>#N/A</v>
      </c>
      <c r="BY68" t="e">
        <f t="shared" si="60"/>
        <v>#N/A</v>
      </c>
      <c r="BZ68" t="e">
        <f t="shared" si="61"/>
        <v>#N/A</v>
      </c>
      <c r="CA68" t="e">
        <f t="shared" si="62"/>
        <v>#N/A</v>
      </c>
      <c r="CB68" t="e">
        <f t="shared" si="63"/>
        <v>#N/A</v>
      </c>
      <c r="CC68" t="e">
        <f t="shared" si="64"/>
        <v>#N/A</v>
      </c>
      <c r="CD68" t="e">
        <f t="shared" si="65"/>
        <v>#N/A</v>
      </c>
      <c r="CE68" t="e">
        <f t="shared" si="66"/>
        <v>#N/A</v>
      </c>
      <c r="CF68" t="e">
        <f t="shared" si="67"/>
        <v>#N/A</v>
      </c>
      <c r="CG68" t="e">
        <f t="shared" si="68"/>
        <v>#N/A</v>
      </c>
      <c r="CI68" t="e">
        <f>AP27</f>
        <v>#N/A</v>
      </c>
      <c r="CJ68" t="e">
        <f>AQ27</f>
        <v>#N/A</v>
      </c>
      <c r="CK68">
        <f>IF(ISNUMBER(CI68),IFERROR(MAX(0,AR27-CI68),0),0)</f>
        <v>0</v>
      </c>
      <c r="CL68">
        <f>IF(ISNUMBER(CI68),IFERROR(MAX(0,CI68-AR27),0),0)</f>
        <v>0</v>
      </c>
      <c r="CM68">
        <f>IF(ISNUMBER(CJ68),IFERROR(MAX(0,AS27-CJ68),0),0)</f>
        <v>0</v>
      </c>
      <c r="CN68">
        <f>IF(ISNUMBER(CJ68),IFERROR(MAX(0,CJ68-AS27),0),0)</f>
        <v>0</v>
      </c>
      <c r="CP68" t="e">
        <f>BX27</f>
        <v>#N/A</v>
      </c>
      <c r="CQ68" t="e">
        <f>BY27</f>
        <v>#N/A</v>
      </c>
      <c r="CR68">
        <f>IF(ISNUMBER(CP68),IFERROR(MAX(0,BZ27-CP68),0),0)</f>
        <v>0</v>
      </c>
      <c r="CS68">
        <f>IF(ISNUMBER(CP68),IFERROR(MAX(0,CP68-BZ27),0),0)</f>
        <v>0</v>
      </c>
      <c r="CT68">
        <f>IF(ISNUMBER(CQ68),IFERROR(MAX(0,CA27-CQ68),0),0)</f>
        <v>0</v>
      </c>
      <c r="CU68">
        <f>IF(ISNUMBER(CQ68),IFERROR(MAX(0,CQ68-CA27),0),0)</f>
        <v>0</v>
      </c>
    </row>
    <row r="69" spans="1:99" x14ac:dyDescent="0.3">
      <c r="A69">
        <v>63</v>
      </c>
      <c r="B69">
        <f>IF(A69&lt;=$B$2,IF(INDEX(Gantt!$A$7:$A$119,A69)&lt;&gt;"",1,0),0)</f>
        <v>0</v>
      </c>
      <c r="C69" t="e">
        <f>IF(B69=1,INDEX(Gantt!$C$7:$C$119,A69),NA())</f>
        <v>#N/A</v>
      </c>
      <c r="D69" t="e">
        <f>IF(B69=1,INDEX(Gantt!$D$7:$D$119,A69)+1,NA())</f>
        <v>#N/A</v>
      </c>
      <c r="E69">
        <f>IF(B69=1,INDEX(Gantt!$BN$7:$BN$119,A69),0)</f>
        <v>0</v>
      </c>
      <c r="F69">
        <f>IF(B69=1,N(INDEX(Gantt!$F$7:$F$119,A69)),0)</f>
        <v>0</v>
      </c>
      <c r="G69">
        <f t="shared" si="69"/>
        <v>0</v>
      </c>
      <c r="H69" t="e">
        <f t="shared" si="70"/>
        <v>#N/A</v>
      </c>
      <c r="I69" t="e">
        <f t="shared" si="71"/>
        <v>#N/A</v>
      </c>
      <c r="J69" t="e">
        <f t="shared" si="72"/>
        <v>#N/A</v>
      </c>
      <c r="K69" t="e">
        <f t="shared" si="73"/>
        <v>#N/A</v>
      </c>
      <c r="L69" t="e">
        <f t="shared" si="74"/>
        <v>#N/A</v>
      </c>
      <c r="M69" t="e">
        <f t="shared" si="75"/>
        <v>#N/A</v>
      </c>
      <c r="N69" t="e">
        <f t="shared" si="76"/>
        <v>#N/A</v>
      </c>
      <c r="O69" t="e">
        <f t="shared" si="77"/>
        <v>#N/A</v>
      </c>
      <c r="P69" t="e">
        <f t="shared" si="78"/>
        <v>#N/A</v>
      </c>
      <c r="Q69" t="str">
        <f>IF(B69=1,INDEX(Gantt!$A$7:$A$119,A69)&amp;"   "&amp;INDEX(Gantt!$B$7:$B$119,A69),"")</f>
        <v/>
      </c>
      <c r="R69" t="e">
        <f t="shared" si="79"/>
        <v>#N/A</v>
      </c>
      <c r="S69">
        <f t="shared" si="80"/>
        <v>0</v>
      </c>
      <c r="T69">
        <f t="shared" si="81"/>
        <v>0</v>
      </c>
      <c r="U69">
        <v>63</v>
      </c>
      <c r="V69">
        <f t="shared" si="13"/>
        <v>16</v>
      </c>
      <c r="W69">
        <f t="shared" si="14"/>
        <v>3</v>
      </c>
      <c r="X69">
        <f t="shared" si="15"/>
        <v>0</v>
      </c>
      <c r="Y69">
        <f>IF(X69&lt;&gt;1,9999,CHOOSE(W69,INDEX(Gantt!$BQ$7:$BQ$119,V69),INDEX(Gantt!$BR$7:$BR$119,V69),INDEX(Gantt!$BT$7:$BT$119,V69),INDEX(Gantt!$BU$7:$BU$119,V69)))</f>
        <v>9999</v>
      </c>
      <c r="Z69">
        <f t="shared" si="16"/>
        <v>0</v>
      </c>
      <c r="AA69" t="e">
        <f t="shared" si="17"/>
        <v>#N/A</v>
      </c>
      <c r="AB69" t="e">
        <f t="shared" si="18"/>
        <v>#N/A</v>
      </c>
      <c r="AC69" t="e">
        <f t="shared" si="19"/>
        <v>#N/A</v>
      </c>
      <c r="AD69" t="e">
        <f t="shared" si="20"/>
        <v>#N/A</v>
      </c>
      <c r="AE69" t="e">
        <f t="shared" si="21"/>
        <v>#N/A</v>
      </c>
      <c r="AF69" t="e">
        <f t="shared" si="22"/>
        <v>#N/A</v>
      </c>
      <c r="AG69" t="e">
        <f t="shared" si="23"/>
        <v>#N/A</v>
      </c>
      <c r="AH69" t="e">
        <f t="shared" si="24"/>
        <v>#N/A</v>
      </c>
      <c r="AI69" t="e">
        <f t="shared" si="25"/>
        <v>#N/A</v>
      </c>
      <c r="AJ69" t="e">
        <f t="shared" si="26"/>
        <v>#N/A</v>
      </c>
      <c r="AK69" t="e">
        <f t="shared" si="27"/>
        <v>#N/A</v>
      </c>
      <c r="AL69" t="e">
        <f t="shared" si="28"/>
        <v>#N/A</v>
      </c>
      <c r="AM69" t="e">
        <f t="shared" si="29"/>
        <v>#N/A</v>
      </c>
      <c r="AN69" t="e">
        <f t="shared" si="30"/>
        <v>#N/A</v>
      </c>
      <c r="AO69" t="e">
        <f t="shared" si="31"/>
        <v>#N/A</v>
      </c>
      <c r="AP69" t="e">
        <f t="shared" si="32"/>
        <v>#N/A</v>
      </c>
      <c r="AQ69" t="e">
        <f t="shared" si="33"/>
        <v>#N/A</v>
      </c>
      <c r="AR69" t="e">
        <f t="shared" si="34"/>
        <v>#N/A</v>
      </c>
      <c r="AS69" t="e">
        <f t="shared" si="35"/>
        <v>#N/A</v>
      </c>
      <c r="AT69" t="e">
        <f t="shared" si="36"/>
        <v>#N/A</v>
      </c>
      <c r="AU69" t="e">
        <f t="shared" si="37"/>
        <v>#N/A</v>
      </c>
      <c r="AV69" t="e">
        <f t="shared" si="38"/>
        <v>#N/A</v>
      </c>
      <c r="AW69" t="e">
        <f t="shared" si="39"/>
        <v>#N/A</v>
      </c>
      <c r="AX69" t="e">
        <f t="shared" si="40"/>
        <v>#N/A</v>
      </c>
      <c r="AY69" t="e">
        <f t="shared" si="41"/>
        <v>#N/A</v>
      </c>
      <c r="BE69" t="e">
        <f>IF(Z69=1,IF(INDEX($C$7:$C$126,V69)&gt;=Gantt!$BF$6,NA(),MATCH(INDEX($C$7:$C$126,V69),Gantt!$J$6:$BE$6,1)),NA())</f>
        <v>#N/A</v>
      </c>
      <c r="BF69" t="e">
        <f>IF(Z69=1,IF((INDEX($D$7:$D$126,AA69)-1)&gt;=Gantt!$BF$6,NA(),IF((INDEX($D$7:$D$126,AA69)-1)&lt;Gantt!$J$6,0,MATCH((INDEX($D$7:$D$126,AA69)-1),Gantt!$J$6:$BE$6,1))),NA())</f>
        <v>#N/A</v>
      </c>
      <c r="BG69" t="e">
        <f t="shared" si="42"/>
        <v>#N/A</v>
      </c>
      <c r="BH69" t="e">
        <f t="shared" si="43"/>
        <v>#N/A</v>
      </c>
      <c r="BI69" t="e">
        <f t="shared" si="44"/>
        <v>#N/A</v>
      </c>
      <c r="BJ69" t="e">
        <f t="shared" si="45"/>
        <v>#N/A</v>
      </c>
      <c r="BK69" t="e">
        <f t="shared" si="46"/>
        <v>#N/A</v>
      </c>
      <c r="BL69" t="e">
        <f t="shared" si="47"/>
        <v>#N/A</v>
      </c>
      <c r="BM69" t="e">
        <f t="shared" si="48"/>
        <v>#N/A</v>
      </c>
      <c r="BN69" t="e">
        <f t="shared" si="49"/>
        <v>#N/A</v>
      </c>
      <c r="BO69" t="e">
        <f t="shared" si="50"/>
        <v>#N/A</v>
      </c>
      <c r="BP69" t="e">
        <f t="shared" si="51"/>
        <v>#N/A</v>
      </c>
      <c r="BQ69" t="e">
        <f t="shared" si="52"/>
        <v>#N/A</v>
      </c>
      <c r="BR69" t="e">
        <f t="shared" si="53"/>
        <v>#N/A</v>
      </c>
      <c r="BS69" t="e">
        <f t="shared" si="54"/>
        <v>#N/A</v>
      </c>
      <c r="BT69" t="e">
        <f t="shared" si="55"/>
        <v>#N/A</v>
      </c>
      <c r="BU69" t="e">
        <f t="shared" si="56"/>
        <v>#N/A</v>
      </c>
      <c r="BV69" t="e">
        <f t="shared" si="57"/>
        <v>#N/A</v>
      </c>
      <c r="BW69" t="e">
        <f t="shared" si="58"/>
        <v>#N/A</v>
      </c>
      <c r="BX69" t="e">
        <f t="shared" si="59"/>
        <v>#N/A</v>
      </c>
      <c r="BY69" t="e">
        <f t="shared" si="60"/>
        <v>#N/A</v>
      </c>
      <c r="BZ69" t="e">
        <f t="shared" si="61"/>
        <v>#N/A</v>
      </c>
      <c r="CA69" t="e">
        <f t="shared" si="62"/>
        <v>#N/A</v>
      </c>
      <c r="CB69" t="e">
        <f t="shared" si="63"/>
        <v>#N/A</v>
      </c>
      <c r="CC69" t="e">
        <f t="shared" si="64"/>
        <v>#N/A</v>
      </c>
      <c r="CD69" t="e">
        <f t="shared" si="65"/>
        <v>#N/A</v>
      </c>
      <c r="CE69" t="e">
        <f t="shared" si="66"/>
        <v>#N/A</v>
      </c>
      <c r="CF69" t="e">
        <f t="shared" si="67"/>
        <v>#N/A</v>
      </c>
      <c r="CG69" t="e">
        <f t="shared" si="68"/>
        <v>#N/A</v>
      </c>
      <c r="CI69" t="e">
        <f>AT27</f>
        <v>#N/A</v>
      </c>
      <c r="CJ69" t="e">
        <f>AU27</f>
        <v>#N/A</v>
      </c>
      <c r="CK69">
        <f>IF(ISNUMBER(CI69),IFERROR(MAX(0,AV27-CI69),0),0)</f>
        <v>0</v>
      </c>
      <c r="CL69">
        <f>IF(ISNUMBER(CI69),IFERROR(MAX(0,CI69-AV27),0),0)</f>
        <v>0</v>
      </c>
      <c r="CM69">
        <f>IF(ISNUMBER(CJ69),IFERROR(MAX(0,AW27-CJ69),0),0)</f>
        <v>0</v>
      </c>
      <c r="CN69">
        <f>IF(ISNUMBER(CJ69),IFERROR(MAX(0,CJ69-AW27),0),0)</f>
        <v>0</v>
      </c>
      <c r="CP69" t="e">
        <f>CB27</f>
        <v>#N/A</v>
      </c>
      <c r="CQ69" t="e">
        <f>CC27</f>
        <v>#N/A</v>
      </c>
      <c r="CR69">
        <f>IF(ISNUMBER(CP69),IFERROR(MAX(0,CD27-CP69),0),0)</f>
        <v>0</v>
      </c>
      <c r="CS69">
        <f>IF(ISNUMBER(CP69),IFERROR(MAX(0,CP69-CD27),0),0)</f>
        <v>0</v>
      </c>
      <c r="CT69">
        <f>IF(ISNUMBER(CQ69),IFERROR(MAX(0,CE27-CQ69),0),0)</f>
        <v>0</v>
      </c>
      <c r="CU69">
        <f>IF(ISNUMBER(CQ69),IFERROR(MAX(0,CQ69-CE27),0),0)</f>
        <v>0</v>
      </c>
    </row>
    <row r="70" spans="1:99" x14ac:dyDescent="0.3">
      <c r="A70">
        <v>64</v>
      </c>
      <c r="B70">
        <f>IF(A70&lt;=$B$2,IF(INDEX(Gantt!$A$7:$A$119,A70)&lt;&gt;"",1,0),0)</f>
        <v>0</v>
      </c>
      <c r="C70" t="e">
        <f>IF(B70=1,INDEX(Gantt!$C$7:$C$119,A70),NA())</f>
        <v>#N/A</v>
      </c>
      <c r="D70" t="e">
        <f>IF(B70=1,INDEX(Gantt!$D$7:$D$119,A70)+1,NA())</f>
        <v>#N/A</v>
      </c>
      <c r="E70">
        <f>IF(B70=1,INDEX(Gantt!$BN$7:$BN$119,A70),0)</f>
        <v>0</v>
      </c>
      <c r="F70">
        <f>IF(B70=1,N(INDEX(Gantt!$F$7:$F$119,A70)),0)</f>
        <v>0</v>
      </c>
      <c r="G70">
        <f t="shared" si="69"/>
        <v>0</v>
      </c>
      <c r="H70" t="e">
        <f t="shared" si="70"/>
        <v>#N/A</v>
      </c>
      <c r="I70" t="e">
        <f t="shared" si="71"/>
        <v>#N/A</v>
      </c>
      <c r="J70" t="e">
        <f t="shared" si="72"/>
        <v>#N/A</v>
      </c>
      <c r="K70" t="e">
        <f t="shared" si="73"/>
        <v>#N/A</v>
      </c>
      <c r="L70" t="e">
        <f t="shared" si="74"/>
        <v>#N/A</v>
      </c>
      <c r="M70" t="e">
        <f t="shared" si="75"/>
        <v>#N/A</v>
      </c>
      <c r="N70" t="e">
        <f t="shared" si="76"/>
        <v>#N/A</v>
      </c>
      <c r="O70" t="e">
        <f t="shared" si="77"/>
        <v>#N/A</v>
      </c>
      <c r="P70" t="e">
        <f t="shared" si="78"/>
        <v>#N/A</v>
      </c>
      <c r="Q70" t="str">
        <f>IF(B70=1,INDEX(Gantt!$A$7:$A$119,A70)&amp;"   "&amp;INDEX(Gantt!$B$7:$B$119,A70),"")</f>
        <v/>
      </c>
      <c r="R70" t="e">
        <f t="shared" si="79"/>
        <v>#N/A</v>
      </c>
      <c r="S70">
        <f t="shared" si="80"/>
        <v>0</v>
      </c>
      <c r="T70">
        <f t="shared" si="81"/>
        <v>0</v>
      </c>
      <c r="U70">
        <v>64</v>
      </c>
      <c r="V70">
        <f t="shared" si="13"/>
        <v>16</v>
      </c>
      <c r="W70">
        <f t="shared" si="14"/>
        <v>4</v>
      </c>
      <c r="X70">
        <f t="shared" si="15"/>
        <v>0</v>
      </c>
      <c r="Y70">
        <f>IF(X70&lt;&gt;1,9999,CHOOSE(W70,INDEX(Gantt!$BQ$7:$BQ$119,V70),INDEX(Gantt!$BR$7:$BR$119,V70),INDEX(Gantt!$BT$7:$BT$119,V70),INDEX(Gantt!$BU$7:$BU$119,V70)))</f>
        <v>9999</v>
      </c>
      <c r="Z70">
        <f t="shared" si="16"/>
        <v>0</v>
      </c>
      <c r="AA70" t="e">
        <f t="shared" si="17"/>
        <v>#N/A</v>
      </c>
      <c r="AB70" t="e">
        <f t="shared" si="18"/>
        <v>#N/A</v>
      </c>
      <c r="AC70" t="e">
        <f t="shared" si="19"/>
        <v>#N/A</v>
      </c>
      <c r="AD70" t="e">
        <f t="shared" si="20"/>
        <v>#N/A</v>
      </c>
      <c r="AE70" t="e">
        <f t="shared" si="21"/>
        <v>#N/A</v>
      </c>
      <c r="AF70" t="e">
        <f t="shared" si="22"/>
        <v>#N/A</v>
      </c>
      <c r="AG70" t="e">
        <f t="shared" si="23"/>
        <v>#N/A</v>
      </c>
      <c r="AH70" t="e">
        <f t="shared" si="24"/>
        <v>#N/A</v>
      </c>
      <c r="AI70" t="e">
        <f t="shared" si="25"/>
        <v>#N/A</v>
      </c>
      <c r="AJ70" t="e">
        <f t="shared" si="26"/>
        <v>#N/A</v>
      </c>
      <c r="AK70" t="e">
        <f t="shared" si="27"/>
        <v>#N/A</v>
      </c>
      <c r="AL70" t="e">
        <f t="shared" si="28"/>
        <v>#N/A</v>
      </c>
      <c r="AM70" t="e">
        <f t="shared" si="29"/>
        <v>#N/A</v>
      </c>
      <c r="AN70" t="e">
        <f t="shared" si="30"/>
        <v>#N/A</v>
      </c>
      <c r="AO70" t="e">
        <f t="shared" si="31"/>
        <v>#N/A</v>
      </c>
      <c r="AP70" t="e">
        <f t="shared" si="32"/>
        <v>#N/A</v>
      </c>
      <c r="AQ70" t="e">
        <f t="shared" si="33"/>
        <v>#N/A</v>
      </c>
      <c r="AR70" t="e">
        <f t="shared" si="34"/>
        <v>#N/A</v>
      </c>
      <c r="AS70" t="e">
        <f t="shared" si="35"/>
        <v>#N/A</v>
      </c>
      <c r="AT70" t="e">
        <f t="shared" si="36"/>
        <v>#N/A</v>
      </c>
      <c r="AU70" t="e">
        <f t="shared" si="37"/>
        <v>#N/A</v>
      </c>
      <c r="AV70" t="e">
        <f t="shared" si="38"/>
        <v>#N/A</v>
      </c>
      <c r="AW70" t="e">
        <f t="shared" si="39"/>
        <v>#N/A</v>
      </c>
      <c r="AX70" t="e">
        <f t="shared" si="40"/>
        <v>#N/A</v>
      </c>
      <c r="AY70" t="e">
        <f t="shared" si="41"/>
        <v>#N/A</v>
      </c>
      <c r="BE70" t="e">
        <f>IF(Z70=1,IF(INDEX($C$7:$C$126,V70)&gt;=Gantt!$BF$6,NA(),MATCH(INDEX($C$7:$C$126,V70),Gantt!$J$6:$BE$6,1)),NA())</f>
        <v>#N/A</v>
      </c>
      <c r="BF70" t="e">
        <f>IF(Z70=1,IF((INDEX($D$7:$D$126,AA70)-1)&gt;=Gantt!$BF$6,NA(),IF((INDEX($D$7:$D$126,AA70)-1)&lt;Gantt!$J$6,0,MATCH((INDEX($D$7:$D$126,AA70)-1),Gantt!$J$6:$BE$6,1))),NA())</f>
        <v>#N/A</v>
      </c>
      <c r="BG70" t="e">
        <f t="shared" si="42"/>
        <v>#N/A</v>
      </c>
      <c r="BH70" t="e">
        <f t="shared" si="43"/>
        <v>#N/A</v>
      </c>
      <c r="BI70" t="e">
        <f t="shared" si="44"/>
        <v>#N/A</v>
      </c>
      <c r="BJ70" t="e">
        <f t="shared" si="45"/>
        <v>#N/A</v>
      </c>
      <c r="BK70" t="e">
        <f t="shared" si="46"/>
        <v>#N/A</v>
      </c>
      <c r="BL70" t="e">
        <f t="shared" si="47"/>
        <v>#N/A</v>
      </c>
      <c r="BM70" t="e">
        <f t="shared" si="48"/>
        <v>#N/A</v>
      </c>
      <c r="BN70" t="e">
        <f t="shared" si="49"/>
        <v>#N/A</v>
      </c>
      <c r="BO70" t="e">
        <f t="shared" si="50"/>
        <v>#N/A</v>
      </c>
      <c r="BP70" t="e">
        <f t="shared" si="51"/>
        <v>#N/A</v>
      </c>
      <c r="BQ70" t="e">
        <f t="shared" si="52"/>
        <v>#N/A</v>
      </c>
      <c r="BR70" t="e">
        <f t="shared" si="53"/>
        <v>#N/A</v>
      </c>
      <c r="BS70" t="e">
        <f t="shared" si="54"/>
        <v>#N/A</v>
      </c>
      <c r="BT70" t="e">
        <f t="shared" si="55"/>
        <v>#N/A</v>
      </c>
      <c r="BU70" t="e">
        <f t="shared" si="56"/>
        <v>#N/A</v>
      </c>
      <c r="BV70" t="e">
        <f t="shared" si="57"/>
        <v>#N/A</v>
      </c>
      <c r="BW70" t="e">
        <f t="shared" si="58"/>
        <v>#N/A</v>
      </c>
      <c r="BX70" t="e">
        <f t="shared" si="59"/>
        <v>#N/A</v>
      </c>
      <c r="BY70" t="e">
        <f t="shared" si="60"/>
        <v>#N/A</v>
      </c>
      <c r="BZ70" t="e">
        <f t="shared" si="61"/>
        <v>#N/A</v>
      </c>
      <c r="CA70" t="e">
        <f t="shared" si="62"/>
        <v>#N/A</v>
      </c>
      <c r="CB70" t="e">
        <f t="shared" si="63"/>
        <v>#N/A</v>
      </c>
      <c r="CC70" t="e">
        <f t="shared" si="64"/>
        <v>#N/A</v>
      </c>
      <c r="CD70" t="e">
        <f t="shared" si="65"/>
        <v>#N/A</v>
      </c>
      <c r="CE70" t="e">
        <f t="shared" si="66"/>
        <v>#N/A</v>
      </c>
      <c r="CF70" t="e">
        <f t="shared" si="67"/>
        <v>#N/A</v>
      </c>
      <c r="CG70" t="e">
        <f t="shared" si="68"/>
        <v>#N/A</v>
      </c>
      <c r="CI70" t="e">
        <f>AL28</f>
        <v>#N/A</v>
      </c>
      <c r="CJ70" t="e">
        <f>AM28</f>
        <v>#N/A</v>
      </c>
      <c r="CK70">
        <f>IF(ISNUMBER(CI70),IFERROR(MAX(0,AN28-CI70),0),0)</f>
        <v>0</v>
      </c>
      <c r="CL70">
        <f>IF(ISNUMBER(CI70),IFERROR(MAX(0,CI70-AN28),0),0)</f>
        <v>0</v>
      </c>
      <c r="CM70">
        <f>IF(ISNUMBER(CJ70),IFERROR(MAX(0,AO28-CJ70),0),0)</f>
        <v>0</v>
      </c>
      <c r="CN70">
        <f>IF(ISNUMBER(CJ70),IFERROR(MAX(0,CJ70-AO28),0),0)</f>
        <v>0</v>
      </c>
      <c r="CP70" t="e">
        <f>BT28</f>
        <v>#N/A</v>
      </c>
      <c r="CQ70" t="e">
        <f>BU28</f>
        <v>#N/A</v>
      </c>
      <c r="CR70">
        <f>IF(ISNUMBER(CP70),IFERROR(MAX(0,BV28-CP70),0),0)</f>
        <v>0</v>
      </c>
      <c r="CS70">
        <f>IF(ISNUMBER(CP70),IFERROR(MAX(0,CP70-BV28),0),0)</f>
        <v>0</v>
      </c>
      <c r="CT70">
        <f>IF(ISNUMBER(CQ70),IFERROR(MAX(0,BW28-CQ70),0),0)</f>
        <v>0</v>
      </c>
      <c r="CU70">
        <f>IF(ISNUMBER(CQ70),IFERROR(MAX(0,CQ70-BW28),0),0)</f>
        <v>0</v>
      </c>
    </row>
    <row r="71" spans="1:99" x14ac:dyDescent="0.3">
      <c r="A71">
        <v>65</v>
      </c>
      <c r="B71">
        <f>IF(A71&lt;=$B$2,IF(INDEX(Gantt!$A$7:$A$119,A71)&lt;&gt;"",1,0),0)</f>
        <v>0</v>
      </c>
      <c r="C71" t="e">
        <f>IF(B71=1,INDEX(Gantt!$C$7:$C$119,A71),NA())</f>
        <v>#N/A</v>
      </c>
      <c r="D71" t="e">
        <f>IF(B71=1,INDEX(Gantt!$D$7:$D$119,A71)+1,NA())</f>
        <v>#N/A</v>
      </c>
      <c r="E71">
        <f>IF(B71=1,INDEX(Gantt!$BN$7:$BN$119,A71),0)</f>
        <v>0</v>
      </c>
      <c r="F71">
        <f>IF(B71=1,N(INDEX(Gantt!$F$7:$F$119,A71)),0)</f>
        <v>0</v>
      </c>
      <c r="G71">
        <f t="shared" ref="G71:G102" si="82">IF(B71=1,IF(AND(E71=3,D71-C71=1),1,0),0)</f>
        <v>0</v>
      </c>
      <c r="H71" t="e">
        <f t="shared" ref="H71:H102" si="83">IF(B71=1,C71-$B$1,NA())</f>
        <v>#N/A</v>
      </c>
      <c r="I71" t="e">
        <f t="shared" ref="I71:I102" si="84">IF(B71=1,D71-C71,NA())</f>
        <v>#N/A</v>
      </c>
      <c r="J71" t="e">
        <f t="shared" ref="J71:J102" si="85">IF($B71=1,$A71,NA())</f>
        <v>#N/A</v>
      </c>
      <c r="K71" t="e">
        <f t="shared" ref="K71:K102" si="86">IF(AND(B71=1,G71=0,F71&gt;=1),H71,NA())</f>
        <v>#N/A</v>
      </c>
      <c r="L71" t="e">
        <f t="shared" ref="L71:L102" si="87">IF(AND(B71=1,G71=0,F71&lt;1,E71=1),H71+S71,NA())</f>
        <v>#N/A</v>
      </c>
      <c r="M71" t="e">
        <f t="shared" ref="M71:M102" si="88">IF(AND(B71=1,G71=0,F71&lt;1,E71=2),H71+S71,NA())</f>
        <v>#N/A</v>
      </c>
      <c r="N71" t="e">
        <f t="shared" ref="N71:N102" si="89">IF(AND(B71=1,G71=0,F71&lt;1,E71=3),H71+S71,NA())</f>
        <v>#N/A</v>
      </c>
      <c r="O71" t="e">
        <f t="shared" ref="O71:O102" si="90">IF(AND(B71=1,G71=1),H71+0.5,NA())</f>
        <v>#N/A</v>
      </c>
      <c r="P71" t="e">
        <f t="shared" ref="P71:P102" si="91">IF(B71=1,H71+IF(G71=1,1.5,I71),NA())</f>
        <v>#N/A</v>
      </c>
      <c r="Q71" t="str">
        <f>IF(B71=1,INDEX(Gantt!$A$7:$A$119,A71)&amp;"   "&amp;INDEX(Gantt!$B$7:$B$119,A71),"")</f>
        <v/>
      </c>
      <c r="R71" t="e">
        <f t="shared" ref="R71:R102" si="92">IF(AND(B71=1,G71=0,F71&gt;0,F71&lt;1),H71,NA())</f>
        <v>#N/A</v>
      </c>
      <c r="S71">
        <f t="shared" ref="S71:S102" si="93">IF(B71=1,I71*F71,0)</f>
        <v>0</v>
      </c>
      <c r="T71">
        <f t="shared" ref="T71:T102" si="94">IF(B71=1,MAX(0,I71-S71),0)</f>
        <v>0</v>
      </c>
      <c r="U71">
        <v>65</v>
      </c>
      <c r="V71">
        <f t="shared" ref="V71:V134" si="95">INT((U71-1)/4)+1</f>
        <v>17</v>
      </c>
      <c r="W71">
        <f t="shared" ref="W71:W134" si="96">MOD(U71-1,4)+1</f>
        <v>1</v>
      </c>
      <c r="X71">
        <f t="shared" ref="X71:X134" si="97">INDEX($B$7:$B$126,V71)</f>
        <v>0</v>
      </c>
      <c r="Y71">
        <f>IF(X71&lt;&gt;1,9999,CHOOSE(W71,INDEX(Gantt!$BQ$7:$BQ$119,V71),INDEX(Gantt!$BR$7:$BR$119,V71),INDEX(Gantt!$BT$7:$BT$119,V71),INDEX(Gantt!$BU$7:$BU$119,V71)))</f>
        <v>9999</v>
      </c>
      <c r="Z71">
        <f t="shared" ref="Z71:Z134" si="98">IF(AND(Y71&gt;$B$3,Y71&lt;=$B$3+MIN($B$2,120),Y71&lt;&gt;$B$3+V71),1,0)</f>
        <v>0</v>
      </c>
      <c r="AA71" t="e">
        <f t="shared" ref="AA71:AA134" si="99">IF(Z71=1,Y71-$B$3,NA())</f>
        <v>#N/A</v>
      </c>
      <c r="AB71" t="e">
        <f t="shared" ref="AB71:AB134" si="100">IF(Z71=1,INDEX($H$7:$H$126,V71)-IF(INDEX($G$7:$G$126,V71)=1,1,0),NA())</f>
        <v>#N/A</v>
      </c>
      <c r="AC71" t="e">
        <f t="shared" ref="AC71:AC134" si="101">IF(Z71=1,IF(AD71=1,INDEX($H$7:$H$126,AA71)+2,INDEX($D$7:$D$126,AA71)-$B$1),NA())</f>
        <v>#N/A</v>
      </c>
      <c r="AD71" t="e">
        <f t="shared" ref="AD71:AD134" si="102">IF(Z71=1,INDEX($G$7:$G$126,AA71),NA())</f>
        <v>#N/A</v>
      </c>
      <c r="AE71" t="e">
        <f t="shared" ref="AE71:AE134" si="103">IF(Z71=1,IF(AA71&lt;V71,1,-1),NA())</f>
        <v>#N/A</v>
      </c>
      <c r="AF71" t="e">
        <f t="shared" ref="AF71:AF134" si="104">IF(Z71=1,IF(AB71&gt;=AC71,1,2),NA())</f>
        <v>#N/A</v>
      </c>
      <c r="AG71" t="e">
        <f t="shared" ref="AG71:AG134" si="105">IF(Z71=1,IF(AD71=1,INDEX($H$7:$H$126,AA71)+0.5,AC71-MIN(1.5,INDEX($I$7:$I$126,AA71)/2)),NA())</f>
        <v>#N/A</v>
      </c>
      <c r="AH71" t="e">
        <f t="shared" ref="AH71:AH134" si="106">IF(Z71=1,AA71+AE71*IF(AD71=1,0.3,0.22),NA())</f>
        <v>#N/A</v>
      </c>
      <c r="AI71" t="e">
        <f t="shared" ref="AI71:AI134" si="107">IF(Z71=1,AC71+2,NA())</f>
        <v>#N/A</v>
      </c>
      <c r="AJ71" t="e">
        <f t="shared" ref="AJ71:AJ134" si="108">IF(Z71=1,V71-0.5*AE71,NA())</f>
        <v>#N/A</v>
      </c>
      <c r="AK71" t="e">
        <f t="shared" ref="AK71:AK134" si="109">IF(Z71=1,AB71-3,NA())</f>
        <v>#N/A</v>
      </c>
      <c r="AL71" t="e">
        <f t="shared" ref="AL71:AL134" si="110">IF(Z71=1,CHOOSE(AF71+1,0,AG71,AC71),NA())</f>
        <v>#N/A</v>
      </c>
      <c r="AM71" t="e">
        <f t="shared" ref="AM71:AM134" si="111">IF(Z71=1,CHOOSE(AF71+1,V71,V71,AA71),NA())</f>
        <v>#N/A</v>
      </c>
      <c r="AN71" t="e">
        <f t="shared" ref="AN71:AN134" si="112">IF(Z71=1,CHOOSE(AF71+1,AB71-2.5,AB71-2.5,AI71),NA())</f>
        <v>#N/A</v>
      </c>
      <c r="AO71" t="e">
        <f t="shared" ref="AO71:AO134" si="113">IF(Z71=1,CHOOSE(AF71+1,V71,AH71,AA71),NA())</f>
        <v>#N/A</v>
      </c>
      <c r="AP71" t="e">
        <f t="shared" ref="AP71:AP134" si="114">IF(Z71=1,IF(AF71=2,AI71,NA()),NA())</f>
        <v>#N/A</v>
      </c>
      <c r="AQ71" t="e">
        <f t="shared" ref="AQ71:AQ134" si="115">IF(Z71=1,IF(AF71=2,AJ71,NA()),NA())</f>
        <v>#N/A</v>
      </c>
      <c r="AR71" t="e">
        <f t="shared" ref="AR71:AR134" si="116">IF(Z71=1,AK71,NA())</f>
        <v>#N/A</v>
      </c>
      <c r="AS71" t="e">
        <f t="shared" ref="AS71:AS134" si="117">IF(Z71=1,AA71,NA())</f>
        <v>#N/A</v>
      </c>
      <c r="AT71" t="e">
        <f t="shared" ref="AT71:AT134" si="118">IF(Z71=1,IF(AF71=2,AK71,NA()),NA())</f>
        <v>#N/A</v>
      </c>
      <c r="AU71" t="e">
        <f t="shared" ref="AU71:AU134" si="119">IF(Z71=1,IF(AF71=2,V71,NA()),NA())</f>
        <v>#N/A</v>
      </c>
      <c r="AV71" t="e">
        <f t="shared" ref="AV71:AV134" si="120">IF(Z71=1,AB71-2.5,NA())</f>
        <v>#N/A</v>
      </c>
      <c r="AW71" t="e">
        <f t="shared" ref="AW71:AW134" si="121">IF(Z71=1,AJ71,NA())</f>
        <v>#N/A</v>
      </c>
      <c r="AX71" t="e">
        <f t="shared" ref="AX71:AX134" si="122">IF(Z71=1,IF(ISNUMBER(AF71),AB71-3,NA()),NA())</f>
        <v>#N/A</v>
      </c>
      <c r="AY71" t="e">
        <f t="shared" ref="AY71:AY134" si="123">IF(Z71=1,IF(ISNUMBER(AF71),V71,NA()),NA())</f>
        <v>#N/A</v>
      </c>
      <c r="BE71" t="e">
        <f>IF(Z71=1,IF(INDEX($C$7:$C$126,V71)&gt;=Gantt!$BF$6,NA(),MATCH(INDEX($C$7:$C$126,V71),Gantt!$J$6:$BE$6,1)),NA())</f>
        <v>#N/A</v>
      </c>
      <c r="BF71" t="e">
        <f>IF(Z71=1,IF((INDEX($D$7:$D$126,AA71)-1)&gt;=Gantt!$BF$6,NA(),IF((INDEX($D$7:$D$126,AA71)-1)&lt;Gantt!$J$6,0,MATCH((INDEX($D$7:$D$126,AA71)-1),Gantt!$J$6:$BE$6,1))),NA())</f>
        <v>#N/A</v>
      </c>
      <c r="BG71" t="e">
        <f t="shared" ref="BG71:BG134" si="124">IF(Z71=1,INDEX($G$7:$G$126,AA71),NA())</f>
        <v>#N/A</v>
      </c>
      <c r="BH71" t="e">
        <f t="shared" ref="BH71:BH134" si="125">IF(Z71=1,INDEX($G$7:$G$126,V71),NA())</f>
        <v>#N/A</v>
      </c>
      <c r="BI71" t="e">
        <f t="shared" ref="BI71:BI134" si="126">IF(Z71=1,(V71-0.5)/$B$2,NA())</f>
        <v>#N/A</v>
      </c>
      <c r="BJ71" t="e">
        <f t="shared" ref="BJ71:BJ134" si="127">IF(Z71=1,(AA71-0.5)/$B$2,NA())</f>
        <v>#N/A</v>
      </c>
      <c r="BK71" t="e">
        <f t="shared" ref="BK71:BK134" si="128">IF(Z71=1,IF(AA71&lt;V71,1,-1),NA())</f>
        <v>#N/A</v>
      </c>
      <c r="BL71" t="e">
        <f t="shared" ref="BL71:BL134" si="129">IF(Z71=1,IF(BH71=1,(BE71-1)*7+1.5,(BE71-1)*7),NA())</f>
        <v>#N/A</v>
      </c>
      <c r="BM71" t="e">
        <f t="shared" ref="BM71:BM134" si="130">IF(Z71=1,IF(BF71=0,0,IF(BG71=1,(BF71-1)*7+5.5,BF71*7)),NA())</f>
        <v>#N/A</v>
      </c>
      <c r="BN71" t="e">
        <f t="shared" ref="BN71:BN134" si="131">IF(Z71=1,BL71*0+IF(BF71=0,0,IF(BL71&gt;=BM71,1,2)),NA())</f>
        <v>#N/A</v>
      </c>
      <c r="BO71" t="e">
        <f t="shared" ref="BO71:BO134" si="132">IF(Z71=1,IF(BG71=1,(BF71-1)*7+3.5,BM71-3.5),NA())</f>
        <v>#N/A</v>
      </c>
      <c r="BP71" t="e">
        <f t="shared" ref="BP71:BP134" si="133">IF(Z71=1,IF(BG71=1,BJ71+BK71*0.25/$B$2,IF(BK71=1,AA71/$B$2,(AA71-1)/$B$2)),NA())</f>
        <v>#N/A</v>
      </c>
      <c r="BQ71" t="e">
        <f t="shared" ref="BQ71:BQ134" si="134">IF(Z71=1,BM71+2,NA())</f>
        <v>#N/A</v>
      </c>
      <c r="BR71" t="e">
        <f t="shared" ref="BR71:BR134" si="135">IF(Z71=1,IF(BK71=1,(V71-1)/$B$2,V71/$B$2),NA())</f>
        <v>#N/A</v>
      </c>
      <c r="BS71" t="e">
        <f t="shared" ref="BS71:BS134" si="136">IF(Z71=1,BL71-3,NA())</f>
        <v>#N/A</v>
      </c>
      <c r="BT71" t="e">
        <f t="shared" ref="BT71:BT134" si="137">IF(Z71=1,CHOOSE(BN71+1,0,BO71,BM71),NA())</f>
        <v>#N/A</v>
      </c>
      <c r="BU71" t="e">
        <f t="shared" ref="BU71:BU134" si="138">IF(Z71=1,CHOOSE(BN71+1,BI71,BI71,BJ71),NA())</f>
        <v>#N/A</v>
      </c>
      <c r="BV71" t="e">
        <f t="shared" ref="BV71:BV134" si="139">IF(Z71=1,CHOOSE(BN71+1,BL71-2,BL71-2,BQ71),NA())</f>
        <v>#N/A</v>
      </c>
      <c r="BW71" t="e">
        <f t="shared" ref="BW71:BW134" si="140">IF(Z71=1,CHOOSE(BN71+1,BI71,BP71,BJ71),NA())</f>
        <v>#N/A</v>
      </c>
      <c r="BX71" t="e">
        <f t="shared" ref="BX71:BX134" si="141">IF(Z71=1,IF(BN71=2,BQ71,NA()),NA())</f>
        <v>#N/A</v>
      </c>
      <c r="BY71" t="e">
        <f t="shared" ref="BY71:BY134" si="142">IF(Z71=1,IF(BN71=2,BR71,NA()),NA())</f>
        <v>#N/A</v>
      </c>
      <c r="BZ71" t="e">
        <f t="shared" ref="BZ71:BZ134" si="143">IF(Z71=1,BS71,NA())</f>
        <v>#N/A</v>
      </c>
      <c r="CA71" t="e">
        <f t="shared" ref="CA71:CA134" si="144">IF(Z71=1,BJ71,NA())</f>
        <v>#N/A</v>
      </c>
      <c r="CB71" t="e">
        <f t="shared" ref="CB71:CB134" si="145">IF(Z71=1,IF(BN71=2,BS71,NA()),NA())</f>
        <v>#N/A</v>
      </c>
      <c r="CC71" t="e">
        <f t="shared" ref="CC71:CC134" si="146">IF(Z71=1,IF(BN71=2,BI71,NA()),NA())</f>
        <v>#N/A</v>
      </c>
      <c r="CD71" t="e">
        <f t="shared" ref="CD71:CD134" si="147">IF(Z71=1,BL71-2,NA())</f>
        <v>#N/A</v>
      </c>
      <c r="CE71" t="e">
        <f t="shared" ref="CE71:CE134" si="148">IF(Z71=1,BR71,NA())</f>
        <v>#N/A</v>
      </c>
      <c r="CF71" t="e">
        <f t="shared" ref="CF71:CF134" si="149">IF(Z71=1,IF(ISNUMBER(BN71),BL71-2.5,NA()),NA())</f>
        <v>#N/A</v>
      </c>
      <c r="CG71" t="e">
        <f t="shared" ref="CG71:CG134" si="150">IF(Z71=1,IF(ISNUMBER(BN71),BI71,NA()),NA())</f>
        <v>#N/A</v>
      </c>
      <c r="CI71" t="e">
        <f>AP28</f>
        <v>#N/A</v>
      </c>
      <c r="CJ71" t="e">
        <f>AQ28</f>
        <v>#N/A</v>
      </c>
      <c r="CK71">
        <f>IF(ISNUMBER(CI71),IFERROR(MAX(0,AR28-CI71),0),0)</f>
        <v>0</v>
      </c>
      <c r="CL71">
        <f>IF(ISNUMBER(CI71),IFERROR(MAX(0,CI71-AR28),0),0)</f>
        <v>0</v>
      </c>
      <c r="CM71">
        <f>IF(ISNUMBER(CJ71),IFERROR(MAX(0,AS28-CJ71),0),0)</f>
        <v>0</v>
      </c>
      <c r="CN71">
        <f>IF(ISNUMBER(CJ71),IFERROR(MAX(0,CJ71-AS28),0),0)</f>
        <v>0</v>
      </c>
      <c r="CP71" t="e">
        <f>BX28</f>
        <v>#N/A</v>
      </c>
      <c r="CQ71" t="e">
        <f>BY28</f>
        <v>#N/A</v>
      </c>
      <c r="CR71">
        <f>IF(ISNUMBER(CP71),IFERROR(MAX(0,BZ28-CP71),0),0)</f>
        <v>0</v>
      </c>
      <c r="CS71">
        <f>IF(ISNUMBER(CP71),IFERROR(MAX(0,CP71-BZ28),0),0)</f>
        <v>0</v>
      </c>
      <c r="CT71">
        <f>IF(ISNUMBER(CQ71),IFERROR(MAX(0,CA28-CQ71),0),0)</f>
        <v>0</v>
      </c>
      <c r="CU71">
        <f>IF(ISNUMBER(CQ71),IFERROR(MAX(0,CQ71-CA28),0),0)</f>
        <v>0</v>
      </c>
    </row>
    <row r="72" spans="1:99" x14ac:dyDescent="0.3">
      <c r="A72">
        <v>66</v>
      </c>
      <c r="B72">
        <f>IF(A72&lt;=$B$2,IF(INDEX(Gantt!$A$7:$A$119,A72)&lt;&gt;"",1,0),0)</f>
        <v>0</v>
      </c>
      <c r="C72" t="e">
        <f>IF(B72=1,INDEX(Gantt!$C$7:$C$119,A72),NA())</f>
        <v>#N/A</v>
      </c>
      <c r="D72" t="e">
        <f>IF(B72=1,INDEX(Gantt!$D$7:$D$119,A72)+1,NA())</f>
        <v>#N/A</v>
      </c>
      <c r="E72">
        <f>IF(B72=1,INDEX(Gantt!$BN$7:$BN$119,A72),0)</f>
        <v>0</v>
      </c>
      <c r="F72">
        <f>IF(B72=1,N(INDEX(Gantt!$F$7:$F$119,A72)),0)</f>
        <v>0</v>
      </c>
      <c r="G72">
        <f t="shared" si="82"/>
        <v>0</v>
      </c>
      <c r="H72" t="e">
        <f t="shared" si="83"/>
        <v>#N/A</v>
      </c>
      <c r="I72" t="e">
        <f t="shared" si="84"/>
        <v>#N/A</v>
      </c>
      <c r="J72" t="e">
        <f t="shared" si="85"/>
        <v>#N/A</v>
      </c>
      <c r="K72" t="e">
        <f t="shared" si="86"/>
        <v>#N/A</v>
      </c>
      <c r="L72" t="e">
        <f t="shared" si="87"/>
        <v>#N/A</v>
      </c>
      <c r="M72" t="e">
        <f t="shared" si="88"/>
        <v>#N/A</v>
      </c>
      <c r="N72" t="e">
        <f t="shared" si="89"/>
        <v>#N/A</v>
      </c>
      <c r="O72" t="e">
        <f t="shared" si="90"/>
        <v>#N/A</v>
      </c>
      <c r="P72" t="e">
        <f t="shared" si="91"/>
        <v>#N/A</v>
      </c>
      <c r="Q72" t="str">
        <f>IF(B72=1,INDEX(Gantt!$A$7:$A$119,A72)&amp;"   "&amp;INDEX(Gantt!$B$7:$B$119,A72),"")</f>
        <v/>
      </c>
      <c r="R72" t="e">
        <f t="shared" si="92"/>
        <v>#N/A</v>
      </c>
      <c r="S72">
        <f t="shared" si="93"/>
        <v>0</v>
      </c>
      <c r="T72">
        <f t="shared" si="94"/>
        <v>0</v>
      </c>
      <c r="U72">
        <v>66</v>
      </c>
      <c r="V72">
        <f t="shared" si="95"/>
        <v>17</v>
      </c>
      <c r="W72">
        <f t="shared" si="96"/>
        <v>2</v>
      </c>
      <c r="X72">
        <f t="shared" si="97"/>
        <v>0</v>
      </c>
      <c r="Y72">
        <f>IF(X72&lt;&gt;1,9999,CHOOSE(W72,INDEX(Gantt!$BQ$7:$BQ$119,V72),INDEX(Gantt!$BR$7:$BR$119,V72),INDEX(Gantt!$BT$7:$BT$119,V72),INDEX(Gantt!$BU$7:$BU$119,V72)))</f>
        <v>9999</v>
      </c>
      <c r="Z72">
        <f t="shared" si="98"/>
        <v>0</v>
      </c>
      <c r="AA72" t="e">
        <f t="shared" si="99"/>
        <v>#N/A</v>
      </c>
      <c r="AB72" t="e">
        <f t="shared" si="100"/>
        <v>#N/A</v>
      </c>
      <c r="AC72" t="e">
        <f t="shared" si="101"/>
        <v>#N/A</v>
      </c>
      <c r="AD72" t="e">
        <f t="shared" si="102"/>
        <v>#N/A</v>
      </c>
      <c r="AE72" t="e">
        <f t="shared" si="103"/>
        <v>#N/A</v>
      </c>
      <c r="AF72" t="e">
        <f t="shared" si="104"/>
        <v>#N/A</v>
      </c>
      <c r="AG72" t="e">
        <f t="shared" si="105"/>
        <v>#N/A</v>
      </c>
      <c r="AH72" t="e">
        <f t="shared" si="106"/>
        <v>#N/A</v>
      </c>
      <c r="AI72" t="e">
        <f t="shared" si="107"/>
        <v>#N/A</v>
      </c>
      <c r="AJ72" t="e">
        <f t="shared" si="108"/>
        <v>#N/A</v>
      </c>
      <c r="AK72" t="e">
        <f t="shared" si="109"/>
        <v>#N/A</v>
      </c>
      <c r="AL72" t="e">
        <f t="shared" si="110"/>
        <v>#N/A</v>
      </c>
      <c r="AM72" t="e">
        <f t="shared" si="111"/>
        <v>#N/A</v>
      </c>
      <c r="AN72" t="e">
        <f t="shared" si="112"/>
        <v>#N/A</v>
      </c>
      <c r="AO72" t="e">
        <f t="shared" si="113"/>
        <v>#N/A</v>
      </c>
      <c r="AP72" t="e">
        <f t="shared" si="114"/>
        <v>#N/A</v>
      </c>
      <c r="AQ72" t="e">
        <f t="shared" si="115"/>
        <v>#N/A</v>
      </c>
      <c r="AR72" t="e">
        <f t="shared" si="116"/>
        <v>#N/A</v>
      </c>
      <c r="AS72" t="e">
        <f t="shared" si="117"/>
        <v>#N/A</v>
      </c>
      <c r="AT72" t="e">
        <f t="shared" si="118"/>
        <v>#N/A</v>
      </c>
      <c r="AU72" t="e">
        <f t="shared" si="119"/>
        <v>#N/A</v>
      </c>
      <c r="AV72" t="e">
        <f t="shared" si="120"/>
        <v>#N/A</v>
      </c>
      <c r="AW72" t="e">
        <f t="shared" si="121"/>
        <v>#N/A</v>
      </c>
      <c r="AX72" t="e">
        <f t="shared" si="122"/>
        <v>#N/A</v>
      </c>
      <c r="AY72" t="e">
        <f t="shared" si="123"/>
        <v>#N/A</v>
      </c>
      <c r="BE72" t="e">
        <f>IF(Z72=1,IF(INDEX($C$7:$C$126,V72)&gt;=Gantt!$BF$6,NA(),MATCH(INDEX($C$7:$C$126,V72),Gantt!$J$6:$BE$6,1)),NA())</f>
        <v>#N/A</v>
      </c>
      <c r="BF72" t="e">
        <f>IF(Z72=1,IF((INDEX($D$7:$D$126,AA72)-1)&gt;=Gantt!$BF$6,NA(),IF((INDEX($D$7:$D$126,AA72)-1)&lt;Gantt!$J$6,0,MATCH((INDEX($D$7:$D$126,AA72)-1),Gantt!$J$6:$BE$6,1))),NA())</f>
        <v>#N/A</v>
      </c>
      <c r="BG72" t="e">
        <f t="shared" si="124"/>
        <v>#N/A</v>
      </c>
      <c r="BH72" t="e">
        <f t="shared" si="125"/>
        <v>#N/A</v>
      </c>
      <c r="BI72" t="e">
        <f t="shared" si="126"/>
        <v>#N/A</v>
      </c>
      <c r="BJ72" t="e">
        <f t="shared" si="127"/>
        <v>#N/A</v>
      </c>
      <c r="BK72" t="e">
        <f t="shared" si="128"/>
        <v>#N/A</v>
      </c>
      <c r="BL72" t="e">
        <f t="shared" si="129"/>
        <v>#N/A</v>
      </c>
      <c r="BM72" t="e">
        <f t="shared" si="130"/>
        <v>#N/A</v>
      </c>
      <c r="BN72" t="e">
        <f t="shared" si="131"/>
        <v>#N/A</v>
      </c>
      <c r="BO72" t="e">
        <f t="shared" si="132"/>
        <v>#N/A</v>
      </c>
      <c r="BP72" t="e">
        <f t="shared" si="133"/>
        <v>#N/A</v>
      </c>
      <c r="BQ72" t="e">
        <f t="shared" si="134"/>
        <v>#N/A</v>
      </c>
      <c r="BR72" t="e">
        <f t="shared" si="135"/>
        <v>#N/A</v>
      </c>
      <c r="BS72" t="e">
        <f t="shared" si="136"/>
        <v>#N/A</v>
      </c>
      <c r="BT72" t="e">
        <f t="shared" si="137"/>
        <v>#N/A</v>
      </c>
      <c r="BU72" t="e">
        <f t="shared" si="138"/>
        <v>#N/A</v>
      </c>
      <c r="BV72" t="e">
        <f t="shared" si="139"/>
        <v>#N/A</v>
      </c>
      <c r="BW72" t="e">
        <f t="shared" si="140"/>
        <v>#N/A</v>
      </c>
      <c r="BX72" t="e">
        <f t="shared" si="141"/>
        <v>#N/A</v>
      </c>
      <c r="BY72" t="e">
        <f t="shared" si="142"/>
        <v>#N/A</v>
      </c>
      <c r="BZ72" t="e">
        <f t="shared" si="143"/>
        <v>#N/A</v>
      </c>
      <c r="CA72" t="e">
        <f t="shared" si="144"/>
        <v>#N/A</v>
      </c>
      <c r="CB72" t="e">
        <f t="shared" si="145"/>
        <v>#N/A</v>
      </c>
      <c r="CC72" t="e">
        <f t="shared" si="146"/>
        <v>#N/A</v>
      </c>
      <c r="CD72" t="e">
        <f t="shared" si="147"/>
        <v>#N/A</v>
      </c>
      <c r="CE72" t="e">
        <f t="shared" si="148"/>
        <v>#N/A</v>
      </c>
      <c r="CF72" t="e">
        <f t="shared" si="149"/>
        <v>#N/A</v>
      </c>
      <c r="CG72" t="e">
        <f t="shared" si="150"/>
        <v>#N/A</v>
      </c>
      <c r="CI72" t="e">
        <f>AT28</f>
        <v>#N/A</v>
      </c>
      <c r="CJ72" t="e">
        <f>AU28</f>
        <v>#N/A</v>
      </c>
      <c r="CK72">
        <f>IF(ISNUMBER(CI72),IFERROR(MAX(0,AV28-CI72),0),0)</f>
        <v>0</v>
      </c>
      <c r="CL72">
        <f>IF(ISNUMBER(CI72),IFERROR(MAX(0,CI72-AV28),0),0)</f>
        <v>0</v>
      </c>
      <c r="CM72">
        <f>IF(ISNUMBER(CJ72),IFERROR(MAX(0,AW28-CJ72),0),0)</f>
        <v>0</v>
      </c>
      <c r="CN72">
        <f>IF(ISNUMBER(CJ72),IFERROR(MAX(0,CJ72-AW28),0),0)</f>
        <v>0</v>
      </c>
      <c r="CP72" t="e">
        <f>CB28</f>
        <v>#N/A</v>
      </c>
      <c r="CQ72" t="e">
        <f>CC28</f>
        <v>#N/A</v>
      </c>
      <c r="CR72">
        <f>IF(ISNUMBER(CP72),IFERROR(MAX(0,CD28-CP72),0),0)</f>
        <v>0</v>
      </c>
      <c r="CS72">
        <f>IF(ISNUMBER(CP72),IFERROR(MAX(0,CP72-CD28),0),0)</f>
        <v>0</v>
      </c>
      <c r="CT72">
        <f>IF(ISNUMBER(CQ72),IFERROR(MAX(0,CE28-CQ72),0),0)</f>
        <v>0</v>
      </c>
      <c r="CU72">
        <f>IF(ISNUMBER(CQ72),IFERROR(MAX(0,CQ72-CE28),0),0)</f>
        <v>0</v>
      </c>
    </row>
    <row r="73" spans="1:99" x14ac:dyDescent="0.3">
      <c r="A73">
        <v>67</v>
      </c>
      <c r="B73">
        <f>IF(A73&lt;=$B$2,IF(INDEX(Gantt!$A$7:$A$119,A73)&lt;&gt;"",1,0),0)</f>
        <v>0</v>
      </c>
      <c r="C73" t="e">
        <f>IF(B73=1,INDEX(Gantt!$C$7:$C$119,A73),NA())</f>
        <v>#N/A</v>
      </c>
      <c r="D73" t="e">
        <f>IF(B73=1,INDEX(Gantt!$D$7:$D$119,A73)+1,NA())</f>
        <v>#N/A</v>
      </c>
      <c r="E73">
        <f>IF(B73=1,INDEX(Gantt!$BN$7:$BN$119,A73),0)</f>
        <v>0</v>
      </c>
      <c r="F73">
        <f>IF(B73=1,N(INDEX(Gantt!$F$7:$F$119,A73)),0)</f>
        <v>0</v>
      </c>
      <c r="G73">
        <f t="shared" si="82"/>
        <v>0</v>
      </c>
      <c r="H73" t="e">
        <f t="shared" si="83"/>
        <v>#N/A</v>
      </c>
      <c r="I73" t="e">
        <f t="shared" si="84"/>
        <v>#N/A</v>
      </c>
      <c r="J73" t="e">
        <f t="shared" si="85"/>
        <v>#N/A</v>
      </c>
      <c r="K73" t="e">
        <f t="shared" si="86"/>
        <v>#N/A</v>
      </c>
      <c r="L73" t="e">
        <f t="shared" si="87"/>
        <v>#N/A</v>
      </c>
      <c r="M73" t="e">
        <f t="shared" si="88"/>
        <v>#N/A</v>
      </c>
      <c r="N73" t="e">
        <f t="shared" si="89"/>
        <v>#N/A</v>
      </c>
      <c r="O73" t="e">
        <f t="shared" si="90"/>
        <v>#N/A</v>
      </c>
      <c r="P73" t="e">
        <f t="shared" si="91"/>
        <v>#N/A</v>
      </c>
      <c r="Q73" t="str">
        <f>IF(B73=1,INDEX(Gantt!$A$7:$A$119,A73)&amp;"   "&amp;INDEX(Gantt!$B$7:$B$119,A73),"")</f>
        <v/>
      </c>
      <c r="R73" t="e">
        <f t="shared" si="92"/>
        <v>#N/A</v>
      </c>
      <c r="S73">
        <f t="shared" si="93"/>
        <v>0</v>
      </c>
      <c r="T73">
        <f t="shared" si="94"/>
        <v>0</v>
      </c>
      <c r="U73">
        <v>67</v>
      </c>
      <c r="V73">
        <f t="shared" si="95"/>
        <v>17</v>
      </c>
      <c r="W73">
        <f t="shared" si="96"/>
        <v>3</v>
      </c>
      <c r="X73">
        <f t="shared" si="97"/>
        <v>0</v>
      </c>
      <c r="Y73">
        <f>IF(X73&lt;&gt;1,9999,CHOOSE(W73,INDEX(Gantt!$BQ$7:$BQ$119,V73),INDEX(Gantt!$BR$7:$BR$119,V73),INDEX(Gantt!$BT$7:$BT$119,V73),INDEX(Gantt!$BU$7:$BU$119,V73)))</f>
        <v>9999</v>
      </c>
      <c r="Z73">
        <f t="shared" si="98"/>
        <v>0</v>
      </c>
      <c r="AA73" t="e">
        <f t="shared" si="99"/>
        <v>#N/A</v>
      </c>
      <c r="AB73" t="e">
        <f t="shared" si="100"/>
        <v>#N/A</v>
      </c>
      <c r="AC73" t="e">
        <f t="shared" si="101"/>
        <v>#N/A</v>
      </c>
      <c r="AD73" t="e">
        <f t="shared" si="102"/>
        <v>#N/A</v>
      </c>
      <c r="AE73" t="e">
        <f t="shared" si="103"/>
        <v>#N/A</v>
      </c>
      <c r="AF73" t="e">
        <f t="shared" si="104"/>
        <v>#N/A</v>
      </c>
      <c r="AG73" t="e">
        <f t="shared" si="105"/>
        <v>#N/A</v>
      </c>
      <c r="AH73" t="e">
        <f t="shared" si="106"/>
        <v>#N/A</v>
      </c>
      <c r="AI73" t="e">
        <f t="shared" si="107"/>
        <v>#N/A</v>
      </c>
      <c r="AJ73" t="e">
        <f t="shared" si="108"/>
        <v>#N/A</v>
      </c>
      <c r="AK73" t="e">
        <f t="shared" si="109"/>
        <v>#N/A</v>
      </c>
      <c r="AL73" t="e">
        <f t="shared" si="110"/>
        <v>#N/A</v>
      </c>
      <c r="AM73" t="e">
        <f t="shared" si="111"/>
        <v>#N/A</v>
      </c>
      <c r="AN73" t="e">
        <f t="shared" si="112"/>
        <v>#N/A</v>
      </c>
      <c r="AO73" t="e">
        <f t="shared" si="113"/>
        <v>#N/A</v>
      </c>
      <c r="AP73" t="e">
        <f t="shared" si="114"/>
        <v>#N/A</v>
      </c>
      <c r="AQ73" t="e">
        <f t="shared" si="115"/>
        <v>#N/A</v>
      </c>
      <c r="AR73" t="e">
        <f t="shared" si="116"/>
        <v>#N/A</v>
      </c>
      <c r="AS73" t="e">
        <f t="shared" si="117"/>
        <v>#N/A</v>
      </c>
      <c r="AT73" t="e">
        <f t="shared" si="118"/>
        <v>#N/A</v>
      </c>
      <c r="AU73" t="e">
        <f t="shared" si="119"/>
        <v>#N/A</v>
      </c>
      <c r="AV73" t="e">
        <f t="shared" si="120"/>
        <v>#N/A</v>
      </c>
      <c r="AW73" t="e">
        <f t="shared" si="121"/>
        <v>#N/A</v>
      </c>
      <c r="AX73" t="e">
        <f t="shared" si="122"/>
        <v>#N/A</v>
      </c>
      <c r="AY73" t="e">
        <f t="shared" si="123"/>
        <v>#N/A</v>
      </c>
      <c r="BE73" t="e">
        <f>IF(Z73=1,IF(INDEX($C$7:$C$126,V73)&gt;=Gantt!$BF$6,NA(),MATCH(INDEX($C$7:$C$126,V73),Gantt!$J$6:$BE$6,1)),NA())</f>
        <v>#N/A</v>
      </c>
      <c r="BF73" t="e">
        <f>IF(Z73=1,IF((INDEX($D$7:$D$126,AA73)-1)&gt;=Gantt!$BF$6,NA(),IF((INDEX($D$7:$D$126,AA73)-1)&lt;Gantt!$J$6,0,MATCH((INDEX($D$7:$D$126,AA73)-1),Gantt!$J$6:$BE$6,1))),NA())</f>
        <v>#N/A</v>
      </c>
      <c r="BG73" t="e">
        <f t="shared" si="124"/>
        <v>#N/A</v>
      </c>
      <c r="BH73" t="e">
        <f t="shared" si="125"/>
        <v>#N/A</v>
      </c>
      <c r="BI73" t="e">
        <f t="shared" si="126"/>
        <v>#N/A</v>
      </c>
      <c r="BJ73" t="e">
        <f t="shared" si="127"/>
        <v>#N/A</v>
      </c>
      <c r="BK73" t="e">
        <f t="shared" si="128"/>
        <v>#N/A</v>
      </c>
      <c r="BL73" t="e">
        <f t="shared" si="129"/>
        <v>#N/A</v>
      </c>
      <c r="BM73" t="e">
        <f t="shared" si="130"/>
        <v>#N/A</v>
      </c>
      <c r="BN73" t="e">
        <f t="shared" si="131"/>
        <v>#N/A</v>
      </c>
      <c r="BO73" t="e">
        <f t="shared" si="132"/>
        <v>#N/A</v>
      </c>
      <c r="BP73" t="e">
        <f t="shared" si="133"/>
        <v>#N/A</v>
      </c>
      <c r="BQ73" t="e">
        <f t="shared" si="134"/>
        <v>#N/A</v>
      </c>
      <c r="BR73" t="e">
        <f t="shared" si="135"/>
        <v>#N/A</v>
      </c>
      <c r="BS73" t="e">
        <f t="shared" si="136"/>
        <v>#N/A</v>
      </c>
      <c r="BT73" t="e">
        <f t="shared" si="137"/>
        <v>#N/A</v>
      </c>
      <c r="BU73" t="e">
        <f t="shared" si="138"/>
        <v>#N/A</v>
      </c>
      <c r="BV73" t="e">
        <f t="shared" si="139"/>
        <v>#N/A</v>
      </c>
      <c r="BW73" t="e">
        <f t="shared" si="140"/>
        <v>#N/A</v>
      </c>
      <c r="BX73" t="e">
        <f t="shared" si="141"/>
        <v>#N/A</v>
      </c>
      <c r="BY73" t="e">
        <f t="shared" si="142"/>
        <v>#N/A</v>
      </c>
      <c r="BZ73" t="e">
        <f t="shared" si="143"/>
        <v>#N/A</v>
      </c>
      <c r="CA73" t="e">
        <f t="shared" si="144"/>
        <v>#N/A</v>
      </c>
      <c r="CB73" t="e">
        <f t="shared" si="145"/>
        <v>#N/A</v>
      </c>
      <c r="CC73" t="e">
        <f t="shared" si="146"/>
        <v>#N/A</v>
      </c>
      <c r="CD73" t="e">
        <f t="shared" si="147"/>
        <v>#N/A</v>
      </c>
      <c r="CE73" t="e">
        <f t="shared" si="148"/>
        <v>#N/A</v>
      </c>
      <c r="CF73" t="e">
        <f t="shared" si="149"/>
        <v>#N/A</v>
      </c>
      <c r="CG73" t="e">
        <f t="shared" si="150"/>
        <v>#N/A</v>
      </c>
      <c r="CI73" t="e">
        <f>AL29</f>
        <v>#N/A</v>
      </c>
      <c r="CJ73" t="e">
        <f>AM29</f>
        <v>#N/A</v>
      </c>
      <c r="CK73">
        <f>IF(ISNUMBER(CI73),IFERROR(MAX(0,AN29-CI73),0),0)</f>
        <v>0</v>
      </c>
      <c r="CL73">
        <f>IF(ISNUMBER(CI73),IFERROR(MAX(0,CI73-AN29),0),0)</f>
        <v>0</v>
      </c>
      <c r="CM73">
        <f>IF(ISNUMBER(CJ73),IFERROR(MAX(0,AO29-CJ73),0),0)</f>
        <v>0</v>
      </c>
      <c r="CN73">
        <f>IF(ISNUMBER(CJ73),IFERROR(MAX(0,CJ73-AO29),0),0)</f>
        <v>0</v>
      </c>
      <c r="CP73" t="e">
        <f>BT29</f>
        <v>#N/A</v>
      </c>
      <c r="CQ73" t="e">
        <f>BU29</f>
        <v>#N/A</v>
      </c>
      <c r="CR73">
        <f>IF(ISNUMBER(CP73),IFERROR(MAX(0,BV29-CP73),0),0)</f>
        <v>0</v>
      </c>
      <c r="CS73">
        <f>IF(ISNUMBER(CP73),IFERROR(MAX(0,CP73-BV29),0),0)</f>
        <v>0</v>
      </c>
      <c r="CT73">
        <f>IF(ISNUMBER(CQ73),IFERROR(MAX(0,BW29-CQ73),0),0)</f>
        <v>0</v>
      </c>
      <c r="CU73">
        <f>IF(ISNUMBER(CQ73),IFERROR(MAX(0,CQ73-BW29),0),0)</f>
        <v>0</v>
      </c>
    </row>
    <row r="74" spans="1:99" x14ac:dyDescent="0.3">
      <c r="A74">
        <v>68</v>
      </c>
      <c r="B74">
        <f>IF(A74&lt;=$B$2,IF(INDEX(Gantt!$A$7:$A$119,A74)&lt;&gt;"",1,0),0)</f>
        <v>0</v>
      </c>
      <c r="C74" t="e">
        <f>IF(B74=1,INDEX(Gantt!$C$7:$C$119,A74),NA())</f>
        <v>#N/A</v>
      </c>
      <c r="D74" t="e">
        <f>IF(B74=1,INDEX(Gantt!$D$7:$D$119,A74)+1,NA())</f>
        <v>#N/A</v>
      </c>
      <c r="E74">
        <f>IF(B74=1,INDEX(Gantt!$BN$7:$BN$119,A74),0)</f>
        <v>0</v>
      </c>
      <c r="F74">
        <f>IF(B74=1,N(INDEX(Gantt!$F$7:$F$119,A74)),0)</f>
        <v>0</v>
      </c>
      <c r="G74">
        <f t="shared" si="82"/>
        <v>0</v>
      </c>
      <c r="H74" t="e">
        <f t="shared" si="83"/>
        <v>#N/A</v>
      </c>
      <c r="I74" t="e">
        <f t="shared" si="84"/>
        <v>#N/A</v>
      </c>
      <c r="J74" t="e">
        <f t="shared" si="85"/>
        <v>#N/A</v>
      </c>
      <c r="K74" t="e">
        <f t="shared" si="86"/>
        <v>#N/A</v>
      </c>
      <c r="L74" t="e">
        <f t="shared" si="87"/>
        <v>#N/A</v>
      </c>
      <c r="M74" t="e">
        <f t="shared" si="88"/>
        <v>#N/A</v>
      </c>
      <c r="N74" t="e">
        <f t="shared" si="89"/>
        <v>#N/A</v>
      </c>
      <c r="O74" t="e">
        <f t="shared" si="90"/>
        <v>#N/A</v>
      </c>
      <c r="P74" t="e">
        <f t="shared" si="91"/>
        <v>#N/A</v>
      </c>
      <c r="Q74" t="str">
        <f>IF(B74=1,INDEX(Gantt!$A$7:$A$119,A74)&amp;"   "&amp;INDEX(Gantt!$B$7:$B$119,A74),"")</f>
        <v/>
      </c>
      <c r="R74" t="e">
        <f t="shared" si="92"/>
        <v>#N/A</v>
      </c>
      <c r="S74">
        <f t="shared" si="93"/>
        <v>0</v>
      </c>
      <c r="T74">
        <f t="shared" si="94"/>
        <v>0</v>
      </c>
      <c r="U74">
        <v>68</v>
      </c>
      <c r="V74">
        <f t="shared" si="95"/>
        <v>17</v>
      </c>
      <c r="W74">
        <f t="shared" si="96"/>
        <v>4</v>
      </c>
      <c r="X74">
        <f t="shared" si="97"/>
        <v>0</v>
      </c>
      <c r="Y74">
        <f>IF(X74&lt;&gt;1,9999,CHOOSE(W74,INDEX(Gantt!$BQ$7:$BQ$119,V74),INDEX(Gantt!$BR$7:$BR$119,V74),INDEX(Gantt!$BT$7:$BT$119,V74),INDEX(Gantt!$BU$7:$BU$119,V74)))</f>
        <v>9999</v>
      </c>
      <c r="Z74">
        <f t="shared" si="98"/>
        <v>0</v>
      </c>
      <c r="AA74" t="e">
        <f t="shared" si="99"/>
        <v>#N/A</v>
      </c>
      <c r="AB74" t="e">
        <f t="shared" si="100"/>
        <v>#N/A</v>
      </c>
      <c r="AC74" t="e">
        <f t="shared" si="101"/>
        <v>#N/A</v>
      </c>
      <c r="AD74" t="e">
        <f t="shared" si="102"/>
        <v>#N/A</v>
      </c>
      <c r="AE74" t="e">
        <f t="shared" si="103"/>
        <v>#N/A</v>
      </c>
      <c r="AF74" t="e">
        <f t="shared" si="104"/>
        <v>#N/A</v>
      </c>
      <c r="AG74" t="e">
        <f t="shared" si="105"/>
        <v>#N/A</v>
      </c>
      <c r="AH74" t="e">
        <f t="shared" si="106"/>
        <v>#N/A</v>
      </c>
      <c r="AI74" t="e">
        <f t="shared" si="107"/>
        <v>#N/A</v>
      </c>
      <c r="AJ74" t="e">
        <f t="shared" si="108"/>
        <v>#N/A</v>
      </c>
      <c r="AK74" t="e">
        <f t="shared" si="109"/>
        <v>#N/A</v>
      </c>
      <c r="AL74" t="e">
        <f t="shared" si="110"/>
        <v>#N/A</v>
      </c>
      <c r="AM74" t="e">
        <f t="shared" si="111"/>
        <v>#N/A</v>
      </c>
      <c r="AN74" t="e">
        <f t="shared" si="112"/>
        <v>#N/A</v>
      </c>
      <c r="AO74" t="e">
        <f t="shared" si="113"/>
        <v>#N/A</v>
      </c>
      <c r="AP74" t="e">
        <f t="shared" si="114"/>
        <v>#N/A</v>
      </c>
      <c r="AQ74" t="e">
        <f t="shared" si="115"/>
        <v>#N/A</v>
      </c>
      <c r="AR74" t="e">
        <f t="shared" si="116"/>
        <v>#N/A</v>
      </c>
      <c r="AS74" t="e">
        <f t="shared" si="117"/>
        <v>#N/A</v>
      </c>
      <c r="AT74" t="e">
        <f t="shared" si="118"/>
        <v>#N/A</v>
      </c>
      <c r="AU74" t="e">
        <f t="shared" si="119"/>
        <v>#N/A</v>
      </c>
      <c r="AV74" t="e">
        <f t="shared" si="120"/>
        <v>#N/A</v>
      </c>
      <c r="AW74" t="e">
        <f t="shared" si="121"/>
        <v>#N/A</v>
      </c>
      <c r="AX74" t="e">
        <f t="shared" si="122"/>
        <v>#N/A</v>
      </c>
      <c r="AY74" t="e">
        <f t="shared" si="123"/>
        <v>#N/A</v>
      </c>
      <c r="BE74" t="e">
        <f>IF(Z74=1,IF(INDEX($C$7:$C$126,V74)&gt;=Gantt!$BF$6,NA(),MATCH(INDEX($C$7:$C$126,V74),Gantt!$J$6:$BE$6,1)),NA())</f>
        <v>#N/A</v>
      </c>
      <c r="BF74" t="e">
        <f>IF(Z74=1,IF((INDEX($D$7:$D$126,AA74)-1)&gt;=Gantt!$BF$6,NA(),IF((INDEX($D$7:$D$126,AA74)-1)&lt;Gantt!$J$6,0,MATCH((INDEX($D$7:$D$126,AA74)-1),Gantt!$J$6:$BE$6,1))),NA())</f>
        <v>#N/A</v>
      </c>
      <c r="BG74" t="e">
        <f t="shared" si="124"/>
        <v>#N/A</v>
      </c>
      <c r="BH74" t="e">
        <f t="shared" si="125"/>
        <v>#N/A</v>
      </c>
      <c r="BI74" t="e">
        <f t="shared" si="126"/>
        <v>#N/A</v>
      </c>
      <c r="BJ74" t="e">
        <f t="shared" si="127"/>
        <v>#N/A</v>
      </c>
      <c r="BK74" t="e">
        <f t="shared" si="128"/>
        <v>#N/A</v>
      </c>
      <c r="BL74" t="e">
        <f t="shared" si="129"/>
        <v>#N/A</v>
      </c>
      <c r="BM74" t="e">
        <f t="shared" si="130"/>
        <v>#N/A</v>
      </c>
      <c r="BN74" t="e">
        <f t="shared" si="131"/>
        <v>#N/A</v>
      </c>
      <c r="BO74" t="e">
        <f t="shared" si="132"/>
        <v>#N/A</v>
      </c>
      <c r="BP74" t="e">
        <f t="shared" si="133"/>
        <v>#N/A</v>
      </c>
      <c r="BQ74" t="e">
        <f t="shared" si="134"/>
        <v>#N/A</v>
      </c>
      <c r="BR74" t="e">
        <f t="shared" si="135"/>
        <v>#N/A</v>
      </c>
      <c r="BS74" t="e">
        <f t="shared" si="136"/>
        <v>#N/A</v>
      </c>
      <c r="BT74" t="e">
        <f t="shared" si="137"/>
        <v>#N/A</v>
      </c>
      <c r="BU74" t="e">
        <f t="shared" si="138"/>
        <v>#N/A</v>
      </c>
      <c r="BV74" t="e">
        <f t="shared" si="139"/>
        <v>#N/A</v>
      </c>
      <c r="BW74" t="e">
        <f t="shared" si="140"/>
        <v>#N/A</v>
      </c>
      <c r="BX74" t="e">
        <f t="shared" si="141"/>
        <v>#N/A</v>
      </c>
      <c r="BY74" t="e">
        <f t="shared" si="142"/>
        <v>#N/A</v>
      </c>
      <c r="BZ74" t="e">
        <f t="shared" si="143"/>
        <v>#N/A</v>
      </c>
      <c r="CA74" t="e">
        <f t="shared" si="144"/>
        <v>#N/A</v>
      </c>
      <c r="CB74" t="e">
        <f t="shared" si="145"/>
        <v>#N/A</v>
      </c>
      <c r="CC74" t="e">
        <f t="shared" si="146"/>
        <v>#N/A</v>
      </c>
      <c r="CD74" t="e">
        <f t="shared" si="147"/>
        <v>#N/A</v>
      </c>
      <c r="CE74" t="e">
        <f t="shared" si="148"/>
        <v>#N/A</v>
      </c>
      <c r="CF74" t="e">
        <f t="shared" si="149"/>
        <v>#N/A</v>
      </c>
      <c r="CG74" t="e">
        <f t="shared" si="150"/>
        <v>#N/A</v>
      </c>
      <c r="CI74" t="e">
        <f>AP29</f>
        <v>#N/A</v>
      </c>
      <c r="CJ74" t="e">
        <f>AQ29</f>
        <v>#N/A</v>
      </c>
      <c r="CK74">
        <f>IF(ISNUMBER(CI74),IFERROR(MAX(0,AR29-CI74),0),0)</f>
        <v>0</v>
      </c>
      <c r="CL74">
        <f>IF(ISNUMBER(CI74),IFERROR(MAX(0,CI74-AR29),0),0)</f>
        <v>0</v>
      </c>
      <c r="CM74">
        <f>IF(ISNUMBER(CJ74),IFERROR(MAX(0,AS29-CJ74),0),0)</f>
        <v>0</v>
      </c>
      <c r="CN74">
        <f>IF(ISNUMBER(CJ74),IFERROR(MAX(0,CJ74-AS29),0),0)</f>
        <v>0</v>
      </c>
      <c r="CP74" t="e">
        <f>BX29</f>
        <v>#N/A</v>
      </c>
      <c r="CQ74" t="e">
        <f>BY29</f>
        <v>#N/A</v>
      </c>
      <c r="CR74">
        <f>IF(ISNUMBER(CP74),IFERROR(MAX(0,BZ29-CP74),0),0)</f>
        <v>0</v>
      </c>
      <c r="CS74">
        <f>IF(ISNUMBER(CP74),IFERROR(MAX(0,CP74-BZ29),0),0)</f>
        <v>0</v>
      </c>
      <c r="CT74">
        <f>IF(ISNUMBER(CQ74),IFERROR(MAX(0,CA29-CQ74),0),0)</f>
        <v>0</v>
      </c>
      <c r="CU74">
        <f>IF(ISNUMBER(CQ74),IFERROR(MAX(0,CQ74-CA29),0),0)</f>
        <v>0</v>
      </c>
    </row>
    <row r="75" spans="1:99" x14ac:dyDescent="0.3">
      <c r="A75">
        <v>69</v>
      </c>
      <c r="B75">
        <f>IF(A75&lt;=$B$2,IF(INDEX(Gantt!$A$7:$A$119,A75)&lt;&gt;"",1,0),0)</f>
        <v>0</v>
      </c>
      <c r="C75" t="e">
        <f>IF(B75=1,INDEX(Gantt!$C$7:$C$119,A75),NA())</f>
        <v>#N/A</v>
      </c>
      <c r="D75" t="e">
        <f>IF(B75=1,INDEX(Gantt!$D$7:$D$119,A75)+1,NA())</f>
        <v>#N/A</v>
      </c>
      <c r="E75">
        <f>IF(B75=1,INDEX(Gantt!$BN$7:$BN$119,A75),0)</f>
        <v>0</v>
      </c>
      <c r="F75">
        <f>IF(B75=1,N(INDEX(Gantt!$F$7:$F$119,A75)),0)</f>
        <v>0</v>
      </c>
      <c r="G75">
        <f t="shared" si="82"/>
        <v>0</v>
      </c>
      <c r="H75" t="e">
        <f t="shared" si="83"/>
        <v>#N/A</v>
      </c>
      <c r="I75" t="e">
        <f t="shared" si="84"/>
        <v>#N/A</v>
      </c>
      <c r="J75" t="e">
        <f t="shared" si="85"/>
        <v>#N/A</v>
      </c>
      <c r="K75" t="e">
        <f t="shared" si="86"/>
        <v>#N/A</v>
      </c>
      <c r="L75" t="e">
        <f t="shared" si="87"/>
        <v>#N/A</v>
      </c>
      <c r="M75" t="e">
        <f t="shared" si="88"/>
        <v>#N/A</v>
      </c>
      <c r="N75" t="e">
        <f t="shared" si="89"/>
        <v>#N/A</v>
      </c>
      <c r="O75" t="e">
        <f t="shared" si="90"/>
        <v>#N/A</v>
      </c>
      <c r="P75" t="e">
        <f t="shared" si="91"/>
        <v>#N/A</v>
      </c>
      <c r="Q75" t="str">
        <f>IF(B75=1,INDEX(Gantt!$A$7:$A$119,A75)&amp;"   "&amp;INDEX(Gantt!$B$7:$B$119,A75),"")</f>
        <v/>
      </c>
      <c r="R75" t="e">
        <f t="shared" si="92"/>
        <v>#N/A</v>
      </c>
      <c r="S75">
        <f t="shared" si="93"/>
        <v>0</v>
      </c>
      <c r="T75">
        <f t="shared" si="94"/>
        <v>0</v>
      </c>
      <c r="U75">
        <v>69</v>
      </c>
      <c r="V75">
        <f t="shared" si="95"/>
        <v>18</v>
      </c>
      <c r="W75">
        <f t="shared" si="96"/>
        <v>1</v>
      </c>
      <c r="X75">
        <f t="shared" si="97"/>
        <v>0</v>
      </c>
      <c r="Y75">
        <f>IF(X75&lt;&gt;1,9999,CHOOSE(W75,INDEX(Gantt!$BQ$7:$BQ$119,V75),INDEX(Gantt!$BR$7:$BR$119,V75),INDEX(Gantt!$BT$7:$BT$119,V75),INDEX(Gantt!$BU$7:$BU$119,V75)))</f>
        <v>9999</v>
      </c>
      <c r="Z75">
        <f t="shared" si="98"/>
        <v>0</v>
      </c>
      <c r="AA75" t="e">
        <f t="shared" si="99"/>
        <v>#N/A</v>
      </c>
      <c r="AB75" t="e">
        <f t="shared" si="100"/>
        <v>#N/A</v>
      </c>
      <c r="AC75" t="e">
        <f t="shared" si="101"/>
        <v>#N/A</v>
      </c>
      <c r="AD75" t="e">
        <f t="shared" si="102"/>
        <v>#N/A</v>
      </c>
      <c r="AE75" t="e">
        <f t="shared" si="103"/>
        <v>#N/A</v>
      </c>
      <c r="AF75" t="e">
        <f t="shared" si="104"/>
        <v>#N/A</v>
      </c>
      <c r="AG75" t="e">
        <f t="shared" si="105"/>
        <v>#N/A</v>
      </c>
      <c r="AH75" t="e">
        <f t="shared" si="106"/>
        <v>#N/A</v>
      </c>
      <c r="AI75" t="e">
        <f t="shared" si="107"/>
        <v>#N/A</v>
      </c>
      <c r="AJ75" t="e">
        <f t="shared" si="108"/>
        <v>#N/A</v>
      </c>
      <c r="AK75" t="e">
        <f t="shared" si="109"/>
        <v>#N/A</v>
      </c>
      <c r="AL75" t="e">
        <f t="shared" si="110"/>
        <v>#N/A</v>
      </c>
      <c r="AM75" t="e">
        <f t="shared" si="111"/>
        <v>#N/A</v>
      </c>
      <c r="AN75" t="e">
        <f t="shared" si="112"/>
        <v>#N/A</v>
      </c>
      <c r="AO75" t="e">
        <f t="shared" si="113"/>
        <v>#N/A</v>
      </c>
      <c r="AP75" t="e">
        <f t="shared" si="114"/>
        <v>#N/A</v>
      </c>
      <c r="AQ75" t="e">
        <f t="shared" si="115"/>
        <v>#N/A</v>
      </c>
      <c r="AR75" t="e">
        <f t="shared" si="116"/>
        <v>#N/A</v>
      </c>
      <c r="AS75" t="e">
        <f t="shared" si="117"/>
        <v>#N/A</v>
      </c>
      <c r="AT75" t="e">
        <f t="shared" si="118"/>
        <v>#N/A</v>
      </c>
      <c r="AU75" t="e">
        <f t="shared" si="119"/>
        <v>#N/A</v>
      </c>
      <c r="AV75" t="e">
        <f t="shared" si="120"/>
        <v>#N/A</v>
      </c>
      <c r="AW75" t="e">
        <f t="shared" si="121"/>
        <v>#N/A</v>
      </c>
      <c r="AX75" t="e">
        <f t="shared" si="122"/>
        <v>#N/A</v>
      </c>
      <c r="AY75" t="e">
        <f t="shared" si="123"/>
        <v>#N/A</v>
      </c>
      <c r="BE75" t="e">
        <f>IF(Z75=1,IF(INDEX($C$7:$C$126,V75)&gt;=Gantt!$BF$6,NA(),MATCH(INDEX($C$7:$C$126,V75),Gantt!$J$6:$BE$6,1)),NA())</f>
        <v>#N/A</v>
      </c>
      <c r="BF75" t="e">
        <f>IF(Z75=1,IF((INDEX($D$7:$D$126,AA75)-1)&gt;=Gantt!$BF$6,NA(),IF((INDEX($D$7:$D$126,AA75)-1)&lt;Gantt!$J$6,0,MATCH((INDEX($D$7:$D$126,AA75)-1),Gantt!$J$6:$BE$6,1))),NA())</f>
        <v>#N/A</v>
      </c>
      <c r="BG75" t="e">
        <f t="shared" si="124"/>
        <v>#N/A</v>
      </c>
      <c r="BH75" t="e">
        <f t="shared" si="125"/>
        <v>#N/A</v>
      </c>
      <c r="BI75" t="e">
        <f t="shared" si="126"/>
        <v>#N/A</v>
      </c>
      <c r="BJ75" t="e">
        <f t="shared" si="127"/>
        <v>#N/A</v>
      </c>
      <c r="BK75" t="e">
        <f t="shared" si="128"/>
        <v>#N/A</v>
      </c>
      <c r="BL75" t="e">
        <f t="shared" si="129"/>
        <v>#N/A</v>
      </c>
      <c r="BM75" t="e">
        <f t="shared" si="130"/>
        <v>#N/A</v>
      </c>
      <c r="BN75" t="e">
        <f t="shared" si="131"/>
        <v>#N/A</v>
      </c>
      <c r="BO75" t="e">
        <f t="shared" si="132"/>
        <v>#N/A</v>
      </c>
      <c r="BP75" t="e">
        <f t="shared" si="133"/>
        <v>#N/A</v>
      </c>
      <c r="BQ75" t="e">
        <f t="shared" si="134"/>
        <v>#N/A</v>
      </c>
      <c r="BR75" t="e">
        <f t="shared" si="135"/>
        <v>#N/A</v>
      </c>
      <c r="BS75" t="e">
        <f t="shared" si="136"/>
        <v>#N/A</v>
      </c>
      <c r="BT75" t="e">
        <f t="shared" si="137"/>
        <v>#N/A</v>
      </c>
      <c r="BU75" t="e">
        <f t="shared" si="138"/>
        <v>#N/A</v>
      </c>
      <c r="BV75" t="e">
        <f t="shared" si="139"/>
        <v>#N/A</v>
      </c>
      <c r="BW75" t="e">
        <f t="shared" si="140"/>
        <v>#N/A</v>
      </c>
      <c r="BX75" t="e">
        <f t="shared" si="141"/>
        <v>#N/A</v>
      </c>
      <c r="BY75" t="e">
        <f t="shared" si="142"/>
        <v>#N/A</v>
      </c>
      <c r="BZ75" t="e">
        <f t="shared" si="143"/>
        <v>#N/A</v>
      </c>
      <c r="CA75" t="e">
        <f t="shared" si="144"/>
        <v>#N/A</v>
      </c>
      <c r="CB75" t="e">
        <f t="shared" si="145"/>
        <v>#N/A</v>
      </c>
      <c r="CC75" t="e">
        <f t="shared" si="146"/>
        <v>#N/A</v>
      </c>
      <c r="CD75" t="e">
        <f t="shared" si="147"/>
        <v>#N/A</v>
      </c>
      <c r="CE75" t="e">
        <f t="shared" si="148"/>
        <v>#N/A</v>
      </c>
      <c r="CF75" t="e">
        <f t="shared" si="149"/>
        <v>#N/A</v>
      </c>
      <c r="CG75" t="e">
        <f t="shared" si="150"/>
        <v>#N/A</v>
      </c>
      <c r="CI75" t="e">
        <f>AT29</f>
        <v>#N/A</v>
      </c>
      <c r="CJ75" t="e">
        <f>AU29</f>
        <v>#N/A</v>
      </c>
      <c r="CK75">
        <f>IF(ISNUMBER(CI75),IFERROR(MAX(0,AV29-CI75),0),0)</f>
        <v>0</v>
      </c>
      <c r="CL75">
        <f>IF(ISNUMBER(CI75),IFERROR(MAX(0,CI75-AV29),0),0)</f>
        <v>0</v>
      </c>
      <c r="CM75">
        <f>IF(ISNUMBER(CJ75),IFERROR(MAX(0,AW29-CJ75),0),0)</f>
        <v>0</v>
      </c>
      <c r="CN75">
        <f>IF(ISNUMBER(CJ75),IFERROR(MAX(0,CJ75-AW29),0),0)</f>
        <v>0</v>
      </c>
      <c r="CP75" t="e">
        <f>CB29</f>
        <v>#N/A</v>
      </c>
      <c r="CQ75" t="e">
        <f>CC29</f>
        <v>#N/A</v>
      </c>
      <c r="CR75">
        <f>IF(ISNUMBER(CP75),IFERROR(MAX(0,CD29-CP75),0),0)</f>
        <v>0</v>
      </c>
      <c r="CS75">
        <f>IF(ISNUMBER(CP75),IFERROR(MAX(0,CP75-CD29),0),0)</f>
        <v>0</v>
      </c>
      <c r="CT75">
        <f>IF(ISNUMBER(CQ75),IFERROR(MAX(0,CE29-CQ75),0),0)</f>
        <v>0</v>
      </c>
      <c r="CU75">
        <f>IF(ISNUMBER(CQ75),IFERROR(MAX(0,CQ75-CE29),0),0)</f>
        <v>0</v>
      </c>
    </row>
    <row r="76" spans="1:99" x14ac:dyDescent="0.3">
      <c r="A76">
        <v>70</v>
      </c>
      <c r="B76">
        <f>IF(A76&lt;=$B$2,IF(INDEX(Gantt!$A$7:$A$119,A76)&lt;&gt;"",1,0),0)</f>
        <v>0</v>
      </c>
      <c r="C76" t="e">
        <f>IF(B76=1,INDEX(Gantt!$C$7:$C$119,A76),NA())</f>
        <v>#N/A</v>
      </c>
      <c r="D76" t="e">
        <f>IF(B76=1,INDEX(Gantt!$D$7:$D$119,A76)+1,NA())</f>
        <v>#N/A</v>
      </c>
      <c r="E76">
        <f>IF(B76=1,INDEX(Gantt!$BN$7:$BN$119,A76),0)</f>
        <v>0</v>
      </c>
      <c r="F76">
        <f>IF(B76=1,N(INDEX(Gantt!$F$7:$F$119,A76)),0)</f>
        <v>0</v>
      </c>
      <c r="G76">
        <f t="shared" si="82"/>
        <v>0</v>
      </c>
      <c r="H76" t="e">
        <f t="shared" si="83"/>
        <v>#N/A</v>
      </c>
      <c r="I76" t="e">
        <f t="shared" si="84"/>
        <v>#N/A</v>
      </c>
      <c r="J76" t="e">
        <f t="shared" si="85"/>
        <v>#N/A</v>
      </c>
      <c r="K76" t="e">
        <f t="shared" si="86"/>
        <v>#N/A</v>
      </c>
      <c r="L76" t="e">
        <f t="shared" si="87"/>
        <v>#N/A</v>
      </c>
      <c r="M76" t="e">
        <f t="shared" si="88"/>
        <v>#N/A</v>
      </c>
      <c r="N76" t="e">
        <f t="shared" si="89"/>
        <v>#N/A</v>
      </c>
      <c r="O76" t="e">
        <f t="shared" si="90"/>
        <v>#N/A</v>
      </c>
      <c r="P76" t="e">
        <f t="shared" si="91"/>
        <v>#N/A</v>
      </c>
      <c r="Q76" t="str">
        <f>IF(B76=1,INDEX(Gantt!$A$7:$A$119,A76)&amp;"   "&amp;INDEX(Gantt!$B$7:$B$119,A76),"")</f>
        <v/>
      </c>
      <c r="R76" t="e">
        <f t="shared" si="92"/>
        <v>#N/A</v>
      </c>
      <c r="S76">
        <f t="shared" si="93"/>
        <v>0</v>
      </c>
      <c r="T76">
        <f t="shared" si="94"/>
        <v>0</v>
      </c>
      <c r="U76">
        <v>70</v>
      </c>
      <c r="V76">
        <f t="shared" si="95"/>
        <v>18</v>
      </c>
      <c r="W76">
        <f t="shared" si="96"/>
        <v>2</v>
      </c>
      <c r="X76">
        <f t="shared" si="97"/>
        <v>0</v>
      </c>
      <c r="Y76">
        <f>IF(X76&lt;&gt;1,9999,CHOOSE(W76,INDEX(Gantt!$BQ$7:$BQ$119,V76),INDEX(Gantt!$BR$7:$BR$119,V76),INDEX(Gantt!$BT$7:$BT$119,V76),INDEX(Gantt!$BU$7:$BU$119,V76)))</f>
        <v>9999</v>
      </c>
      <c r="Z76">
        <f t="shared" si="98"/>
        <v>0</v>
      </c>
      <c r="AA76" t="e">
        <f t="shared" si="99"/>
        <v>#N/A</v>
      </c>
      <c r="AB76" t="e">
        <f t="shared" si="100"/>
        <v>#N/A</v>
      </c>
      <c r="AC76" t="e">
        <f t="shared" si="101"/>
        <v>#N/A</v>
      </c>
      <c r="AD76" t="e">
        <f t="shared" si="102"/>
        <v>#N/A</v>
      </c>
      <c r="AE76" t="e">
        <f t="shared" si="103"/>
        <v>#N/A</v>
      </c>
      <c r="AF76" t="e">
        <f t="shared" si="104"/>
        <v>#N/A</v>
      </c>
      <c r="AG76" t="e">
        <f t="shared" si="105"/>
        <v>#N/A</v>
      </c>
      <c r="AH76" t="e">
        <f t="shared" si="106"/>
        <v>#N/A</v>
      </c>
      <c r="AI76" t="e">
        <f t="shared" si="107"/>
        <v>#N/A</v>
      </c>
      <c r="AJ76" t="e">
        <f t="shared" si="108"/>
        <v>#N/A</v>
      </c>
      <c r="AK76" t="e">
        <f t="shared" si="109"/>
        <v>#N/A</v>
      </c>
      <c r="AL76" t="e">
        <f t="shared" si="110"/>
        <v>#N/A</v>
      </c>
      <c r="AM76" t="e">
        <f t="shared" si="111"/>
        <v>#N/A</v>
      </c>
      <c r="AN76" t="e">
        <f t="shared" si="112"/>
        <v>#N/A</v>
      </c>
      <c r="AO76" t="e">
        <f t="shared" si="113"/>
        <v>#N/A</v>
      </c>
      <c r="AP76" t="e">
        <f t="shared" si="114"/>
        <v>#N/A</v>
      </c>
      <c r="AQ76" t="e">
        <f t="shared" si="115"/>
        <v>#N/A</v>
      </c>
      <c r="AR76" t="e">
        <f t="shared" si="116"/>
        <v>#N/A</v>
      </c>
      <c r="AS76" t="e">
        <f t="shared" si="117"/>
        <v>#N/A</v>
      </c>
      <c r="AT76" t="e">
        <f t="shared" si="118"/>
        <v>#N/A</v>
      </c>
      <c r="AU76" t="e">
        <f t="shared" si="119"/>
        <v>#N/A</v>
      </c>
      <c r="AV76" t="e">
        <f t="shared" si="120"/>
        <v>#N/A</v>
      </c>
      <c r="AW76" t="e">
        <f t="shared" si="121"/>
        <v>#N/A</v>
      </c>
      <c r="AX76" t="e">
        <f t="shared" si="122"/>
        <v>#N/A</v>
      </c>
      <c r="AY76" t="e">
        <f t="shared" si="123"/>
        <v>#N/A</v>
      </c>
      <c r="BE76" t="e">
        <f>IF(Z76=1,IF(INDEX($C$7:$C$126,V76)&gt;=Gantt!$BF$6,NA(),MATCH(INDEX($C$7:$C$126,V76),Gantt!$J$6:$BE$6,1)),NA())</f>
        <v>#N/A</v>
      </c>
      <c r="BF76" t="e">
        <f>IF(Z76=1,IF((INDEX($D$7:$D$126,AA76)-1)&gt;=Gantt!$BF$6,NA(),IF((INDEX($D$7:$D$126,AA76)-1)&lt;Gantt!$J$6,0,MATCH((INDEX($D$7:$D$126,AA76)-1),Gantt!$J$6:$BE$6,1))),NA())</f>
        <v>#N/A</v>
      </c>
      <c r="BG76" t="e">
        <f t="shared" si="124"/>
        <v>#N/A</v>
      </c>
      <c r="BH76" t="e">
        <f t="shared" si="125"/>
        <v>#N/A</v>
      </c>
      <c r="BI76" t="e">
        <f t="shared" si="126"/>
        <v>#N/A</v>
      </c>
      <c r="BJ76" t="e">
        <f t="shared" si="127"/>
        <v>#N/A</v>
      </c>
      <c r="BK76" t="e">
        <f t="shared" si="128"/>
        <v>#N/A</v>
      </c>
      <c r="BL76" t="e">
        <f t="shared" si="129"/>
        <v>#N/A</v>
      </c>
      <c r="BM76" t="e">
        <f t="shared" si="130"/>
        <v>#N/A</v>
      </c>
      <c r="BN76" t="e">
        <f t="shared" si="131"/>
        <v>#N/A</v>
      </c>
      <c r="BO76" t="e">
        <f t="shared" si="132"/>
        <v>#N/A</v>
      </c>
      <c r="BP76" t="e">
        <f t="shared" si="133"/>
        <v>#N/A</v>
      </c>
      <c r="BQ76" t="e">
        <f t="shared" si="134"/>
        <v>#N/A</v>
      </c>
      <c r="BR76" t="e">
        <f t="shared" si="135"/>
        <v>#N/A</v>
      </c>
      <c r="BS76" t="e">
        <f t="shared" si="136"/>
        <v>#N/A</v>
      </c>
      <c r="BT76" t="e">
        <f t="shared" si="137"/>
        <v>#N/A</v>
      </c>
      <c r="BU76" t="e">
        <f t="shared" si="138"/>
        <v>#N/A</v>
      </c>
      <c r="BV76" t="e">
        <f t="shared" si="139"/>
        <v>#N/A</v>
      </c>
      <c r="BW76" t="e">
        <f t="shared" si="140"/>
        <v>#N/A</v>
      </c>
      <c r="BX76" t="e">
        <f t="shared" si="141"/>
        <v>#N/A</v>
      </c>
      <c r="BY76" t="e">
        <f t="shared" si="142"/>
        <v>#N/A</v>
      </c>
      <c r="BZ76" t="e">
        <f t="shared" si="143"/>
        <v>#N/A</v>
      </c>
      <c r="CA76" t="e">
        <f t="shared" si="144"/>
        <v>#N/A</v>
      </c>
      <c r="CB76" t="e">
        <f t="shared" si="145"/>
        <v>#N/A</v>
      </c>
      <c r="CC76" t="e">
        <f t="shared" si="146"/>
        <v>#N/A</v>
      </c>
      <c r="CD76" t="e">
        <f t="shared" si="147"/>
        <v>#N/A</v>
      </c>
      <c r="CE76" t="e">
        <f t="shared" si="148"/>
        <v>#N/A</v>
      </c>
      <c r="CF76" t="e">
        <f t="shared" si="149"/>
        <v>#N/A</v>
      </c>
      <c r="CG76" t="e">
        <f t="shared" si="150"/>
        <v>#N/A</v>
      </c>
      <c r="CI76" t="e">
        <f>AL30</f>
        <v>#N/A</v>
      </c>
      <c r="CJ76" t="e">
        <f>AM30</f>
        <v>#N/A</v>
      </c>
      <c r="CK76">
        <f>IF(ISNUMBER(CI76),IFERROR(MAX(0,AN30-CI76),0),0)</f>
        <v>0</v>
      </c>
      <c r="CL76">
        <f>IF(ISNUMBER(CI76),IFERROR(MAX(0,CI76-AN30),0),0)</f>
        <v>0</v>
      </c>
      <c r="CM76">
        <f>IF(ISNUMBER(CJ76),IFERROR(MAX(0,AO30-CJ76),0),0)</f>
        <v>0</v>
      </c>
      <c r="CN76">
        <f>IF(ISNUMBER(CJ76),IFERROR(MAX(0,CJ76-AO30),0),0)</f>
        <v>0</v>
      </c>
      <c r="CP76" t="e">
        <f>BT30</f>
        <v>#N/A</v>
      </c>
      <c r="CQ76" t="e">
        <f>BU30</f>
        <v>#N/A</v>
      </c>
      <c r="CR76">
        <f>IF(ISNUMBER(CP76),IFERROR(MAX(0,BV30-CP76),0),0)</f>
        <v>0</v>
      </c>
      <c r="CS76">
        <f>IF(ISNUMBER(CP76),IFERROR(MAX(0,CP76-BV30),0),0)</f>
        <v>0</v>
      </c>
      <c r="CT76">
        <f>IF(ISNUMBER(CQ76),IFERROR(MAX(0,BW30-CQ76),0),0)</f>
        <v>0</v>
      </c>
      <c r="CU76">
        <f>IF(ISNUMBER(CQ76),IFERROR(MAX(0,CQ76-BW30),0),0)</f>
        <v>0</v>
      </c>
    </row>
    <row r="77" spans="1:99" x14ac:dyDescent="0.3">
      <c r="A77">
        <v>71</v>
      </c>
      <c r="B77">
        <f>IF(A77&lt;=$B$2,IF(INDEX(Gantt!$A$7:$A$119,A77)&lt;&gt;"",1,0),0)</f>
        <v>0</v>
      </c>
      <c r="C77" t="e">
        <f>IF(B77=1,INDEX(Gantt!$C$7:$C$119,A77),NA())</f>
        <v>#N/A</v>
      </c>
      <c r="D77" t="e">
        <f>IF(B77=1,INDEX(Gantt!$D$7:$D$119,A77)+1,NA())</f>
        <v>#N/A</v>
      </c>
      <c r="E77">
        <f>IF(B77=1,INDEX(Gantt!$BN$7:$BN$119,A77),0)</f>
        <v>0</v>
      </c>
      <c r="F77">
        <f>IF(B77=1,N(INDEX(Gantt!$F$7:$F$119,A77)),0)</f>
        <v>0</v>
      </c>
      <c r="G77">
        <f t="shared" si="82"/>
        <v>0</v>
      </c>
      <c r="H77" t="e">
        <f t="shared" si="83"/>
        <v>#N/A</v>
      </c>
      <c r="I77" t="e">
        <f t="shared" si="84"/>
        <v>#N/A</v>
      </c>
      <c r="J77" t="e">
        <f t="shared" si="85"/>
        <v>#N/A</v>
      </c>
      <c r="K77" t="e">
        <f t="shared" si="86"/>
        <v>#N/A</v>
      </c>
      <c r="L77" t="e">
        <f t="shared" si="87"/>
        <v>#N/A</v>
      </c>
      <c r="M77" t="e">
        <f t="shared" si="88"/>
        <v>#N/A</v>
      </c>
      <c r="N77" t="e">
        <f t="shared" si="89"/>
        <v>#N/A</v>
      </c>
      <c r="O77" t="e">
        <f t="shared" si="90"/>
        <v>#N/A</v>
      </c>
      <c r="P77" t="e">
        <f t="shared" si="91"/>
        <v>#N/A</v>
      </c>
      <c r="Q77" t="str">
        <f>IF(B77=1,INDEX(Gantt!$A$7:$A$119,A77)&amp;"   "&amp;INDEX(Gantt!$B$7:$B$119,A77),"")</f>
        <v/>
      </c>
      <c r="R77" t="e">
        <f t="shared" si="92"/>
        <v>#N/A</v>
      </c>
      <c r="S77">
        <f t="shared" si="93"/>
        <v>0</v>
      </c>
      <c r="T77">
        <f t="shared" si="94"/>
        <v>0</v>
      </c>
      <c r="U77">
        <v>71</v>
      </c>
      <c r="V77">
        <f t="shared" si="95"/>
        <v>18</v>
      </c>
      <c r="W77">
        <f t="shared" si="96"/>
        <v>3</v>
      </c>
      <c r="X77">
        <f t="shared" si="97"/>
        <v>0</v>
      </c>
      <c r="Y77">
        <f>IF(X77&lt;&gt;1,9999,CHOOSE(W77,INDEX(Gantt!$BQ$7:$BQ$119,V77),INDEX(Gantt!$BR$7:$BR$119,V77),INDEX(Gantt!$BT$7:$BT$119,V77),INDEX(Gantt!$BU$7:$BU$119,V77)))</f>
        <v>9999</v>
      </c>
      <c r="Z77">
        <f t="shared" si="98"/>
        <v>0</v>
      </c>
      <c r="AA77" t="e">
        <f t="shared" si="99"/>
        <v>#N/A</v>
      </c>
      <c r="AB77" t="e">
        <f t="shared" si="100"/>
        <v>#N/A</v>
      </c>
      <c r="AC77" t="e">
        <f t="shared" si="101"/>
        <v>#N/A</v>
      </c>
      <c r="AD77" t="e">
        <f t="shared" si="102"/>
        <v>#N/A</v>
      </c>
      <c r="AE77" t="e">
        <f t="shared" si="103"/>
        <v>#N/A</v>
      </c>
      <c r="AF77" t="e">
        <f t="shared" si="104"/>
        <v>#N/A</v>
      </c>
      <c r="AG77" t="e">
        <f t="shared" si="105"/>
        <v>#N/A</v>
      </c>
      <c r="AH77" t="e">
        <f t="shared" si="106"/>
        <v>#N/A</v>
      </c>
      <c r="AI77" t="e">
        <f t="shared" si="107"/>
        <v>#N/A</v>
      </c>
      <c r="AJ77" t="e">
        <f t="shared" si="108"/>
        <v>#N/A</v>
      </c>
      <c r="AK77" t="e">
        <f t="shared" si="109"/>
        <v>#N/A</v>
      </c>
      <c r="AL77" t="e">
        <f t="shared" si="110"/>
        <v>#N/A</v>
      </c>
      <c r="AM77" t="e">
        <f t="shared" si="111"/>
        <v>#N/A</v>
      </c>
      <c r="AN77" t="e">
        <f t="shared" si="112"/>
        <v>#N/A</v>
      </c>
      <c r="AO77" t="e">
        <f t="shared" si="113"/>
        <v>#N/A</v>
      </c>
      <c r="AP77" t="e">
        <f t="shared" si="114"/>
        <v>#N/A</v>
      </c>
      <c r="AQ77" t="e">
        <f t="shared" si="115"/>
        <v>#N/A</v>
      </c>
      <c r="AR77" t="e">
        <f t="shared" si="116"/>
        <v>#N/A</v>
      </c>
      <c r="AS77" t="e">
        <f t="shared" si="117"/>
        <v>#N/A</v>
      </c>
      <c r="AT77" t="e">
        <f t="shared" si="118"/>
        <v>#N/A</v>
      </c>
      <c r="AU77" t="e">
        <f t="shared" si="119"/>
        <v>#N/A</v>
      </c>
      <c r="AV77" t="e">
        <f t="shared" si="120"/>
        <v>#N/A</v>
      </c>
      <c r="AW77" t="e">
        <f t="shared" si="121"/>
        <v>#N/A</v>
      </c>
      <c r="AX77" t="e">
        <f t="shared" si="122"/>
        <v>#N/A</v>
      </c>
      <c r="AY77" t="e">
        <f t="shared" si="123"/>
        <v>#N/A</v>
      </c>
      <c r="BE77" t="e">
        <f>IF(Z77=1,IF(INDEX($C$7:$C$126,V77)&gt;=Gantt!$BF$6,NA(),MATCH(INDEX($C$7:$C$126,V77),Gantt!$J$6:$BE$6,1)),NA())</f>
        <v>#N/A</v>
      </c>
      <c r="BF77" t="e">
        <f>IF(Z77=1,IF((INDEX($D$7:$D$126,AA77)-1)&gt;=Gantt!$BF$6,NA(),IF((INDEX($D$7:$D$126,AA77)-1)&lt;Gantt!$J$6,0,MATCH((INDEX($D$7:$D$126,AA77)-1),Gantt!$J$6:$BE$6,1))),NA())</f>
        <v>#N/A</v>
      </c>
      <c r="BG77" t="e">
        <f t="shared" si="124"/>
        <v>#N/A</v>
      </c>
      <c r="BH77" t="e">
        <f t="shared" si="125"/>
        <v>#N/A</v>
      </c>
      <c r="BI77" t="e">
        <f t="shared" si="126"/>
        <v>#N/A</v>
      </c>
      <c r="BJ77" t="e">
        <f t="shared" si="127"/>
        <v>#N/A</v>
      </c>
      <c r="BK77" t="e">
        <f t="shared" si="128"/>
        <v>#N/A</v>
      </c>
      <c r="BL77" t="e">
        <f t="shared" si="129"/>
        <v>#N/A</v>
      </c>
      <c r="BM77" t="e">
        <f t="shared" si="130"/>
        <v>#N/A</v>
      </c>
      <c r="BN77" t="e">
        <f t="shared" si="131"/>
        <v>#N/A</v>
      </c>
      <c r="BO77" t="e">
        <f t="shared" si="132"/>
        <v>#N/A</v>
      </c>
      <c r="BP77" t="e">
        <f t="shared" si="133"/>
        <v>#N/A</v>
      </c>
      <c r="BQ77" t="e">
        <f t="shared" si="134"/>
        <v>#N/A</v>
      </c>
      <c r="BR77" t="e">
        <f t="shared" si="135"/>
        <v>#N/A</v>
      </c>
      <c r="BS77" t="e">
        <f t="shared" si="136"/>
        <v>#N/A</v>
      </c>
      <c r="BT77" t="e">
        <f t="shared" si="137"/>
        <v>#N/A</v>
      </c>
      <c r="BU77" t="e">
        <f t="shared" si="138"/>
        <v>#N/A</v>
      </c>
      <c r="BV77" t="e">
        <f t="shared" si="139"/>
        <v>#N/A</v>
      </c>
      <c r="BW77" t="e">
        <f t="shared" si="140"/>
        <v>#N/A</v>
      </c>
      <c r="BX77" t="e">
        <f t="shared" si="141"/>
        <v>#N/A</v>
      </c>
      <c r="BY77" t="e">
        <f t="shared" si="142"/>
        <v>#N/A</v>
      </c>
      <c r="BZ77" t="e">
        <f t="shared" si="143"/>
        <v>#N/A</v>
      </c>
      <c r="CA77" t="e">
        <f t="shared" si="144"/>
        <v>#N/A</v>
      </c>
      <c r="CB77" t="e">
        <f t="shared" si="145"/>
        <v>#N/A</v>
      </c>
      <c r="CC77" t="e">
        <f t="shared" si="146"/>
        <v>#N/A</v>
      </c>
      <c r="CD77" t="e">
        <f t="shared" si="147"/>
        <v>#N/A</v>
      </c>
      <c r="CE77" t="e">
        <f t="shared" si="148"/>
        <v>#N/A</v>
      </c>
      <c r="CF77" t="e">
        <f t="shared" si="149"/>
        <v>#N/A</v>
      </c>
      <c r="CG77" t="e">
        <f t="shared" si="150"/>
        <v>#N/A</v>
      </c>
      <c r="CI77" t="e">
        <f>AP30</f>
        <v>#N/A</v>
      </c>
      <c r="CJ77" t="e">
        <f>AQ30</f>
        <v>#N/A</v>
      </c>
      <c r="CK77">
        <f>IF(ISNUMBER(CI77),IFERROR(MAX(0,AR30-CI77),0),0)</f>
        <v>0</v>
      </c>
      <c r="CL77">
        <f>IF(ISNUMBER(CI77),IFERROR(MAX(0,CI77-AR30),0),0)</f>
        <v>0</v>
      </c>
      <c r="CM77">
        <f>IF(ISNUMBER(CJ77),IFERROR(MAX(0,AS30-CJ77),0),0)</f>
        <v>0</v>
      </c>
      <c r="CN77">
        <f>IF(ISNUMBER(CJ77),IFERROR(MAX(0,CJ77-AS30),0),0)</f>
        <v>0</v>
      </c>
      <c r="CP77" t="e">
        <f>BX30</f>
        <v>#N/A</v>
      </c>
      <c r="CQ77" t="e">
        <f>BY30</f>
        <v>#N/A</v>
      </c>
      <c r="CR77">
        <f>IF(ISNUMBER(CP77),IFERROR(MAX(0,BZ30-CP77),0),0)</f>
        <v>0</v>
      </c>
      <c r="CS77">
        <f>IF(ISNUMBER(CP77),IFERROR(MAX(0,CP77-BZ30),0),0)</f>
        <v>0</v>
      </c>
      <c r="CT77">
        <f>IF(ISNUMBER(CQ77),IFERROR(MAX(0,CA30-CQ77),0),0)</f>
        <v>0</v>
      </c>
      <c r="CU77">
        <f>IF(ISNUMBER(CQ77),IFERROR(MAX(0,CQ77-CA30),0),0)</f>
        <v>0</v>
      </c>
    </row>
    <row r="78" spans="1:99" x14ac:dyDescent="0.3">
      <c r="A78">
        <v>72</v>
      </c>
      <c r="B78">
        <f>IF(A78&lt;=$B$2,IF(INDEX(Gantt!$A$7:$A$119,A78)&lt;&gt;"",1,0),0)</f>
        <v>0</v>
      </c>
      <c r="C78" t="e">
        <f>IF(B78=1,INDEX(Gantt!$C$7:$C$119,A78),NA())</f>
        <v>#N/A</v>
      </c>
      <c r="D78" t="e">
        <f>IF(B78=1,INDEX(Gantt!$D$7:$D$119,A78)+1,NA())</f>
        <v>#N/A</v>
      </c>
      <c r="E78">
        <f>IF(B78=1,INDEX(Gantt!$BN$7:$BN$119,A78),0)</f>
        <v>0</v>
      </c>
      <c r="F78">
        <f>IF(B78=1,N(INDEX(Gantt!$F$7:$F$119,A78)),0)</f>
        <v>0</v>
      </c>
      <c r="G78">
        <f t="shared" si="82"/>
        <v>0</v>
      </c>
      <c r="H78" t="e">
        <f t="shared" si="83"/>
        <v>#N/A</v>
      </c>
      <c r="I78" t="e">
        <f t="shared" si="84"/>
        <v>#N/A</v>
      </c>
      <c r="J78" t="e">
        <f t="shared" si="85"/>
        <v>#N/A</v>
      </c>
      <c r="K78" t="e">
        <f t="shared" si="86"/>
        <v>#N/A</v>
      </c>
      <c r="L78" t="e">
        <f t="shared" si="87"/>
        <v>#N/A</v>
      </c>
      <c r="M78" t="e">
        <f t="shared" si="88"/>
        <v>#N/A</v>
      </c>
      <c r="N78" t="e">
        <f t="shared" si="89"/>
        <v>#N/A</v>
      </c>
      <c r="O78" t="e">
        <f t="shared" si="90"/>
        <v>#N/A</v>
      </c>
      <c r="P78" t="e">
        <f t="shared" si="91"/>
        <v>#N/A</v>
      </c>
      <c r="Q78" t="str">
        <f>IF(B78=1,INDEX(Gantt!$A$7:$A$119,A78)&amp;"   "&amp;INDEX(Gantt!$B$7:$B$119,A78),"")</f>
        <v/>
      </c>
      <c r="R78" t="e">
        <f t="shared" si="92"/>
        <v>#N/A</v>
      </c>
      <c r="S78">
        <f t="shared" si="93"/>
        <v>0</v>
      </c>
      <c r="T78">
        <f t="shared" si="94"/>
        <v>0</v>
      </c>
      <c r="U78">
        <v>72</v>
      </c>
      <c r="V78">
        <f t="shared" si="95"/>
        <v>18</v>
      </c>
      <c r="W78">
        <f t="shared" si="96"/>
        <v>4</v>
      </c>
      <c r="X78">
        <f t="shared" si="97"/>
        <v>0</v>
      </c>
      <c r="Y78">
        <f>IF(X78&lt;&gt;1,9999,CHOOSE(W78,INDEX(Gantt!$BQ$7:$BQ$119,V78),INDEX(Gantt!$BR$7:$BR$119,V78),INDEX(Gantt!$BT$7:$BT$119,V78),INDEX(Gantt!$BU$7:$BU$119,V78)))</f>
        <v>9999</v>
      </c>
      <c r="Z78">
        <f t="shared" si="98"/>
        <v>0</v>
      </c>
      <c r="AA78" t="e">
        <f t="shared" si="99"/>
        <v>#N/A</v>
      </c>
      <c r="AB78" t="e">
        <f t="shared" si="100"/>
        <v>#N/A</v>
      </c>
      <c r="AC78" t="e">
        <f t="shared" si="101"/>
        <v>#N/A</v>
      </c>
      <c r="AD78" t="e">
        <f t="shared" si="102"/>
        <v>#N/A</v>
      </c>
      <c r="AE78" t="e">
        <f t="shared" si="103"/>
        <v>#N/A</v>
      </c>
      <c r="AF78" t="e">
        <f t="shared" si="104"/>
        <v>#N/A</v>
      </c>
      <c r="AG78" t="e">
        <f t="shared" si="105"/>
        <v>#N/A</v>
      </c>
      <c r="AH78" t="e">
        <f t="shared" si="106"/>
        <v>#N/A</v>
      </c>
      <c r="AI78" t="e">
        <f t="shared" si="107"/>
        <v>#N/A</v>
      </c>
      <c r="AJ78" t="e">
        <f t="shared" si="108"/>
        <v>#N/A</v>
      </c>
      <c r="AK78" t="e">
        <f t="shared" si="109"/>
        <v>#N/A</v>
      </c>
      <c r="AL78" t="e">
        <f t="shared" si="110"/>
        <v>#N/A</v>
      </c>
      <c r="AM78" t="e">
        <f t="shared" si="111"/>
        <v>#N/A</v>
      </c>
      <c r="AN78" t="e">
        <f t="shared" si="112"/>
        <v>#N/A</v>
      </c>
      <c r="AO78" t="e">
        <f t="shared" si="113"/>
        <v>#N/A</v>
      </c>
      <c r="AP78" t="e">
        <f t="shared" si="114"/>
        <v>#N/A</v>
      </c>
      <c r="AQ78" t="e">
        <f t="shared" si="115"/>
        <v>#N/A</v>
      </c>
      <c r="AR78" t="e">
        <f t="shared" si="116"/>
        <v>#N/A</v>
      </c>
      <c r="AS78" t="e">
        <f t="shared" si="117"/>
        <v>#N/A</v>
      </c>
      <c r="AT78" t="e">
        <f t="shared" si="118"/>
        <v>#N/A</v>
      </c>
      <c r="AU78" t="e">
        <f t="shared" si="119"/>
        <v>#N/A</v>
      </c>
      <c r="AV78" t="e">
        <f t="shared" si="120"/>
        <v>#N/A</v>
      </c>
      <c r="AW78" t="e">
        <f t="shared" si="121"/>
        <v>#N/A</v>
      </c>
      <c r="AX78" t="e">
        <f t="shared" si="122"/>
        <v>#N/A</v>
      </c>
      <c r="AY78" t="e">
        <f t="shared" si="123"/>
        <v>#N/A</v>
      </c>
      <c r="BE78" t="e">
        <f>IF(Z78=1,IF(INDEX($C$7:$C$126,V78)&gt;=Gantt!$BF$6,NA(),MATCH(INDEX($C$7:$C$126,V78),Gantt!$J$6:$BE$6,1)),NA())</f>
        <v>#N/A</v>
      </c>
      <c r="BF78" t="e">
        <f>IF(Z78=1,IF((INDEX($D$7:$D$126,AA78)-1)&gt;=Gantt!$BF$6,NA(),IF((INDEX($D$7:$D$126,AA78)-1)&lt;Gantt!$J$6,0,MATCH((INDEX($D$7:$D$126,AA78)-1),Gantt!$J$6:$BE$6,1))),NA())</f>
        <v>#N/A</v>
      </c>
      <c r="BG78" t="e">
        <f t="shared" si="124"/>
        <v>#N/A</v>
      </c>
      <c r="BH78" t="e">
        <f t="shared" si="125"/>
        <v>#N/A</v>
      </c>
      <c r="BI78" t="e">
        <f t="shared" si="126"/>
        <v>#N/A</v>
      </c>
      <c r="BJ78" t="e">
        <f t="shared" si="127"/>
        <v>#N/A</v>
      </c>
      <c r="BK78" t="e">
        <f t="shared" si="128"/>
        <v>#N/A</v>
      </c>
      <c r="BL78" t="e">
        <f t="shared" si="129"/>
        <v>#N/A</v>
      </c>
      <c r="BM78" t="e">
        <f t="shared" si="130"/>
        <v>#N/A</v>
      </c>
      <c r="BN78" t="e">
        <f t="shared" si="131"/>
        <v>#N/A</v>
      </c>
      <c r="BO78" t="e">
        <f t="shared" si="132"/>
        <v>#N/A</v>
      </c>
      <c r="BP78" t="e">
        <f t="shared" si="133"/>
        <v>#N/A</v>
      </c>
      <c r="BQ78" t="e">
        <f t="shared" si="134"/>
        <v>#N/A</v>
      </c>
      <c r="BR78" t="e">
        <f t="shared" si="135"/>
        <v>#N/A</v>
      </c>
      <c r="BS78" t="e">
        <f t="shared" si="136"/>
        <v>#N/A</v>
      </c>
      <c r="BT78" t="e">
        <f t="shared" si="137"/>
        <v>#N/A</v>
      </c>
      <c r="BU78" t="e">
        <f t="shared" si="138"/>
        <v>#N/A</v>
      </c>
      <c r="BV78" t="e">
        <f t="shared" si="139"/>
        <v>#N/A</v>
      </c>
      <c r="BW78" t="e">
        <f t="shared" si="140"/>
        <v>#N/A</v>
      </c>
      <c r="BX78" t="e">
        <f t="shared" si="141"/>
        <v>#N/A</v>
      </c>
      <c r="BY78" t="e">
        <f t="shared" si="142"/>
        <v>#N/A</v>
      </c>
      <c r="BZ78" t="e">
        <f t="shared" si="143"/>
        <v>#N/A</v>
      </c>
      <c r="CA78" t="e">
        <f t="shared" si="144"/>
        <v>#N/A</v>
      </c>
      <c r="CB78" t="e">
        <f t="shared" si="145"/>
        <v>#N/A</v>
      </c>
      <c r="CC78" t="e">
        <f t="shared" si="146"/>
        <v>#N/A</v>
      </c>
      <c r="CD78" t="e">
        <f t="shared" si="147"/>
        <v>#N/A</v>
      </c>
      <c r="CE78" t="e">
        <f t="shared" si="148"/>
        <v>#N/A</v>
      </c>
      <c r="CF78" t="e">
        <f t="shared" si="149"/>
        <v>#N/A</v>
      </c>
      <c r="CG78" t="e">
        <f t="shared" si="150"/>
        <v>#N/A</v>
      </c>
      <c r="CI78" t="e">
        <f>AT30</f>
        <v>#N/A</v>
      </c>
      <c r="CJ78" t="e">
        <f>AU30</f>
        <v>#N/A</v>
      </c>
      <c r="CK78">
        <f>IF(ISNUMBER(CI78),IFERROR(MAX(0,AV30-CI78),0),0)</f>
        <v>0</v>
      </c>
      <c r="CL78">
        <f>IF(ISNUMBER(CI78),IFERROR(MAX(0,CI78-AV30),0),0)</f>
        <v>0</v>
      </c>
      <c r="CM78">
        <f>IF(ISNUMBER(CJ78),IFERROR(MAX(0,AW30-CJ78),0),0)</f>
        <v>0</v>
      </c>
      <c r="CN78">
        <f>IF(ISNUMBER(CJ78),IFERROR(MAX(0,CJ78-AW30),0),0)</f>
        <v>0</v>
      </c>
      <c r="CP78" t="e">
        <f>CB30</f>
        <v>#N/A</v>
      </c>
      <c r="CQ78" t="e">
        <f>CC30</f>
        <v>#N/A</v>
      </c>
      <c r="CR78">
        <f>IF(ISNUMBER(CP78),IFERROR(MAX(0,CD30-CP78),0),0)</f>
        <v>0</v>
      </c>
      <c r="CS78">
        <f>IF(ISNUMBER(CP78),IFERROR(MAX(0,CP78-CD30),0),0)</f>
        <v>0</v>
      </c>
      <c r="CT78">
        <f>IF(ISNUMBER(CQ78),IFERROR(MAX(0,CE30-CQ78),0),0)</f>
        <v>0</v>
      </c>
      <c r="CU78">
        <f>IF(ISNUMBER(CQ78),IFERROR(MAX(0,CQ78-CE30),0),0)</f>
        <v>0</v>
      </c>
    </row>
    <row r="79" spans="1:99" x14ac:dyDescent="0.3">
      <c r="A79">
        <v>73</v>
      </c>
      <c r="B79">
        <f>IF(A79&lt;=$B$2,IF(INDEX(Gantt!$A$7:$A$119,A79)&lt;&gt;"",1,0),0)</f>
        <v>0</v>
      </c>
      <c r="C79" t="e">
        <f>IF(B79=1,INDEX(Gantt!$C$7:$C$119,A79),NA())</f>
        <v>#N/A</v>
      </c>
      <c r="D79" t="e">
        <f>IF(B79=1,INDEX(Gantt!$D$7:$D$119,A79)+1,NA())</f>
        <v>#N/A</v>
      </c>
      <c r="E79">
        <f>IF(B79=1,INDEX(Gantt!$BN$7:$BN$119,A79),0)</f>
        <v>0</v>
      </c>
      <c r="F79">
        <f>IF(B79=1,N(INDEX(Gantt!$F$7:$F$119,A79)),0)</f>
        <v>0</v>
      </c>
      <c r="G79">
        <f t="shared" si="82"/>
        <v>0</v>
      </c>
      <c r="H79" t="e">
        <f t="shared" si="83"/>
        <v>#N/A</v>
      </c>
      <c r="I79" t="e">
        <f t="shared" si="84"/>
        <v>#N/A</v>
      </c>
      <c r="J79" t="e">
        <f t="shared" si="85"/>
        <v>#N/A</v>
      </c>
      <c r="K79" t="e">
        <f t="shared" si="86"/>
        <v>#N/A</v>
      </c>
      <c r="L79" t="e">
        <f t="shared" si="87"/>
        <v>#N/A</v>
      </c>
      <c r="M79" t="e">
        <f t="shared" si="88"/>
        <v>#N/A</v>
      </c>
      <c r="N79" t="e">
        <f t="shared" si="89"/>
        <v>#N/A</v>
      </c>
      <c r="O79" t="e">
        <f t="shared" si="90"/>
        <v>#N/A</v>
      </c>
      <c r="P79" t="e">
        <f t="shared" si="91"/>
        <v>#N/A</v>
      </c>
      <c r="Q79" t="str">
        <f>IF(B79=1,INDEX(Gantt!$A$7:$A$119,A79)&amp;"   "&amp;INDEX(Gantt!$B$7:$B$119,A79),"")</f>
        <v/>
      </c>
      <c r="R79" t="e">
        <f t="shared" si="92"/>
        <v>#N/A</v>
      </c>
      <c r="S79">
        <f t="shared" si="93"/>
        <v>0</v>
      </c>
      <c r="T79">
        <f t="shared" si="94"/>
        <v>0</v>
      </c>
      <c r="U79">
        <v>73</v>
      </c>
      <c r="V79">
        <f t="shared" si="95"/>
        <v>19</v>
      </c>
      <c r="W79">
        <f t="shared" si="96"/>
        <v>1</v>
      </c>
      <c r="X79">
        <f t="shared" si="97"/>
        <v>0</v>
      </c>
      <c r="Y79">
        <f>IF(X79&lt;&gt;1,9999,CHOOSE(W79,INDEX(Gantt!$BQ$7:$BQ$119,V79),INDEX(Gantt!$BR$7:$BR$119,V79),INDEX(Gantt!$BT$7:$BT$119,V79),INDEX(Gantt!$BU$7:$BU$119,V79)))</f>
        <v>9999</v>
      </c>
      <c r="Z79">
        <f t="shared" si="98"/>
        <v>0</v>
      </c>
      <c r="AA79" t="e">
        <f t="shared" si="99"/>
        <v>#N/A</v>
      </c>
      <c r="AB79" t="e">
        <f t="shared" si="100"/>
        <v>#N/A</v>
      </c>
      <c r="AC79" t="e">
        <f t="shared" si="101"/>
        <v>#N/A</v>
      </c>
      <c r="AD79" t="e">
        <f t="shared" si="102"/>
        <v>#N/A</v>
      </c>
      <c r="AE79" t="e">
        <f t="shared" si="103"/>
        <v>#N/A</v>
      </c>
      <c r="AF79" t="e">
        <f t="shared" si="104"/>
        <v>#N/A</v>
      </c>
      <c r="AG79" t="e">
        <f t="shared" si="105"/>
        <v>#N/A</v>
      </c>
      <c r="AH79" t="e">
        <f t="shared" si="106"/>
        <v>#N/A</v>
      </c>
      <c r="AI79" t="e">
        <f t="shared" si="107"/>
        <v>#N/A</v>
      </c>
      <c r="AJ79" t="e">
        <f t="shared" si="108"/>
        <v>#N/A</v>
      </c>
      <c r="AK79" t="e">
        <f t="shared" si="109"/>
        <v>#N/A</v>
      </c>
      <c r="AL79" t="e">
        <f t="shared" si="110"/>
        <v>#N/A</v>
      </c>
      <c r="AM79" t="e">
        <f t="shared" si="111"/>
        <v>#N/A</v>
      </c>
      <c r="AN79" t="e">
        <f t="shared" si="112"/>
        <v>#N/A</v>
      </c>
      <c r="AO79" t="e">
        <f t="shared" si="113"/>
        <v>#N/A</v>
      </c>
      <c r="AP79" t="e">
        <f t="shared" si="114"/>
        <v>#N/A</v>
      </c>
      <c r="AQ79" t="e">
        <f t="shared" si="115"/>
        <v>#N/A</v>
      </c>
      <c r="AR79" t="e">
        <f t="shared" si="116"/>
        <v>#N/A</v>
      </c>
      <c r="AS79" t="e">
        <f t="shared" si="117"/>
        <v>#N/A</v>
      </c>
      <c r="AT79" t="e">
        <f t="shared" si="118"/>
        <v>#N/A</v>
      </c>
      <c r="AU79" t="e">
        <f t="shared" si="119"/>
        <v>#N/A</v>
      </c>
      <c r="AV79" t="e">
        <f t="shared" si="120"/>
        <v>#N/A</v>
      </c>
      <c r="AW79" t="e">
        <f t="shared" si="121"/>
        <v>#N/A</v>
      </c>
      <c r="AX79" t="e">
        <f t="shared" si="122"/>
        <v>#N/A</v>
      </c>
      <c r="AY79" t="e">
        <f t="shared" si="123"/>
        <v>#N/A</v>
      </c>
      <c r="BE79" t="e">
        <f>IF(Z79=1,IF(INDEX($C$7:$C$126,V79)&gt;=Gantt!$BF$6,NA(),MATCH(INDEX($C$7:$C$126,V79),Gantt!$J$6:$BE$6,1)),NA())</f>
        <v>#N/A</v>
      </c>
      <c r="BF79" t="e">
        <f>IF(Z79=1,IF((INDEX($D$7:$D$126,AA79)-1)&gt;=Gantt!$BF$6,NA(),IF((INDEX($D$7:$D$126,AA79)-1)&lt;Gantt!$J$6,0,MATCH((INDEX($D$7:$D$126,AA79)-1),Gantt!$J$6:$BE$6,1))),NA())</f>
        <v>#N/A</v>
      </c>
      <c r="BG79" t="e">
        <f t="shared" si="124"/>
        <v>#N/A</v>
      </c>
      <c r="BH79" t="e">
        <f t="shared" si="125"/>
        <v>#N/A</v>
      </c>
      <c r="BI79" t="e">
        <f t="shared" si="126"/>
        <v>#N/A</v>
      </c>
      <c r="BJ79" t="e">
        <f t="shared" si="127"/>
        <v>#N/A</v>
      </c>
      <c r="BK79" t="e">
        <f t="shared" si="128"/>
        <v>#N/A</v>
      </c>
      <c r="BL79" t="e">
        <f t="shared" si="129"/>
        <v>#N/A</v>
      </c>
      <c r="BM79" t="e">
        <f t="shared" si="130"/>
        <v>#N/A</v>
      </c>
      <c r="BN79" t="e">
        <f t="shared" si="131"/>
        <v>#N/A</v>
      </c>
      <c r="BO79" t="e">
        <f t="shared" si="132"/>
        <v>#N/A</v>
      </c>
      <c r="BP79" t="e">
        <f t="shared" si="133"/>
        <v>#N/A</v>
      </c>
      <c r="BQ79" t="e">
        <f t="shared" si="134"/>
        <v>#N/A</v>
      </c>
      <c r="BR79" t="e">
        <f t="shared" si="135"/>
        <v>#N/A</v>
      </c>
      <c r="BS79" t="e">
        <f t="shared" si="136"/>
        <v>#N/A</v>
      </c>
      <c r="BT79" t="e">
        <f t="shared" si="137"/>
        <v>#N/A</v>
      </c>
      <c r="BU79" t="e">
        <f t="shared" si="138"/>
        <v>#N/A</v>
      </c>
      <c r="BV79" t="e">
        <f t="shared" si="139"/>
        <v>#N/A</v>
      </c>
      <c r="BW79" t="e">
        <f t="shared" si="140"/>
        <v>#N/A</v>
      </c>
      <c r="BX79" t="e">
        <f t="shared" si="141"/>
        <v>#N/A</v>
      </c>
      <c r="BY79" t="e">
        <f t="shared" si="142"/>
        <v>#N/A</v>
      </c>
      <c r="BZ79" t="e">
        <f t="shared" si="143"/>
        <v>#N/A</v>
      </c>
      <c r="CA79" t="e">
        <f t="shared" si="144"/>
        <v>#N/A</v>
      </c>
      <c r="CB79" t="e">
        <f t="shared" si="145"/>
        <v>#N/A</v>
      </c>
      <c r="CC79" t="e">
        <f t="shared" si="146"/>
        <v>#N/A</v>
      </c>
      <c r="CD79" t="e">
        <f t="shared" si="147"/>
        <v>#N/A</v>
      </c>
      <c r="CE79" t="e">
        <f t="shared" si="148"/>
        <v>#N/A</v>
      </c>
      <c r="CF79" t="e">
        <f t="shared" si="149"/>
        <v>#N/A</v>
      </c>
      <c r="CG79" t="e">
        <f t="shared" si="150"/>
        <v>#N/A</v>
      </c>
      <c r="CI79" t="e">
        <f>AL31</f>
        <v>#N/A</v>
      </c>
      <c r="CJ79" t="e">
        <f>AM31</f>
        <v>#N/A</v>
      </c>
      <c r="CK79">
        <f>IF(ISNUMBER(CI79),IFERROR(MAX(0,AN31-CI79),0),0)</f>
        <v>0</v>
      </c>
      <c r="CL79">
        <f>IF(ISNUMBER(CI79),IFERROR(MAX(0,CI79-AN31),0),0)</f>
        <v>0</v>
      </c>
      <c r="CM79">
        <f>IF(ISNUMBER(CJ79),IFERROR(MAX(0,AO31-CJ79),0),0)</f>
        <v>0</v>
      </c>
      <c r="CN79">
        <f>IF(ISNUMBER(CJ79),IFERROR(MAX(0,CJ79-AO31),0),0)</f>
        <v>0</v>
      </c>
      <c r="CP79" t="e">
        <f>BT31</f>
        <v>#N/A</v>
      </c>
      <c r="CQ79" t="e">
        <f>BU31</f>
        <v>#N/A</v>
      </c>
      <c r="CR79">
        <f>IF(ISNUMBER(CP79),IFERROR(MAX(0,BV31-CP79),0),0)</f>
        <v>0</v>
      </c>
      <c r="CS79">
        <f>IF(ISNUMBER(CP79),IFERROR(MAX(0,CP79-BV31),0),0)</f>
        <v>0</v>
      </c>
      <c r="CT79">
        <f>IF(ISNUMBER(CQ79),IFERROR(MAX(0,BW31-CQ79),0),0)</f>
        <v>0</v>
      </c>
      <c r="CU79">
        <f>IF(ISNUMBER(CQ79),IFERROR(MAX(0,CQ79-BW31),0),0)</f>
        <v>0</v>
      </c>
    </row>
    <row r="80" spans="1:99" x14ac:dyDescent="0.3">
      <c r="A80">
        <v>74</v>
      </c>
      <c r="B80">
        <f>IF(A80&lt;=$B$2,IF(INDEX(Gantt!$A$7:$A$119,A80)&lt;&gt;"",1,0),0)</f>
        <v>0</v>
      </c>
      <c r="C80" t="e">
        <f>IF(B80=1,INDEX(Gantt!$C$7:$C$119,A80),NA())</f>
        <v>#N/A</v>
      </c>
      <c r="D80" t="e">
        <f>IF(B80=1,INDEX(Gantt!$D$7:$D$119,A80)+1,NA())</f>
        <v>#N/A</v>
      </c>
      <c r="E80">
        <f>IF(B80=1,INDEX(Gantt!$BN$7:$BN$119,A80),0)</f>
        <v>0</v>
      </c>
      <c r="F80">
        <f>IF(B80=1,N(INDEX(Gantt!$F$7:$F$119,A80)),0)</f>
        <v>0</v>
      </c>
      <c r="G80">
        <f t="shared" si="82"/>
        <v>0</v>
      </c>
      <c r="H80" t="e">
        <f t="shared" si="83"/>
        <v>#N/A</v>
      </c>
      <c r="I80" t="e">
        <f t="shared" si="84"/>
        <v>#N/A</v>
      </c>
      <c r="J80" t="e">
        <f t="shared" si="85"/>
        <v>#N/A</v>
      </c>
      <c r="K80" t="e">
        <f t="shared" si="86"/>
        <v>#N/A</v>
      </c>
      <c r="L80" t="e">
        <f t="shared" si="87"/>
        <v>#N/A</v>
      </c>
      <c r="M80" t="e">
        <f t="shared" si="88"/>
        <v>#N/A</v>
      </c>
      <c r="N80" t="e">
        <f t="shared" si="89"/>
        <v>#N/A</v>
      </c>
      <c r="O80" t="e">
        <f t="shared" si="90"/>
        <v>#N/A</v>
      </c>
      <c r="P80" t="e">
        <f t="shared" si="91"/>
        <v>#N/A</v>
      </c>
      <c r="Q80" t="str">
        <f>IF(B80=1,INDEX(Gantt!$A$7:$A$119,A80)&amp;"   "&amp;INDEX(Gantt!$B$7:$B$119,A80),"")</f>
        <v/>
      </c>
      <c r="R80" t="e">
        <f t="shared" si="92"/>
        <v>#N/A</v>
      </c>
      <c r="S80">
        <f t="shared" si="93"/>
        <v>0</v>
      </c>
      <c r="T80">
        <f t="shared" si="94"/>
        <v>0</v>
      </c>
      <c r="U80">
        <v>74</v>
      </c>
      <c r="V80">
        <f t="shared" si="95"/>
        <v>19</v>
      </c>
      <c r="W80">
        <f t="shared" si="96"/>
        <v>2</v>
      </c>
      <c r="X80">
        <f t="shared" si="97"/>
        <v>0</v>
      </c>
      <c r="Y80">
        <f>IF(X80&lt;&gt;1,9999,CHOOSE(W80,INDEX(Gantt!$BQ$7:$BQ$119,V80),INDEX(Gantt!$BR$7:$BR$119,V80),INDEX(Gantt!$BT$7:$BT$119,V80),INDEX(Gantt!$BU$7:$BU$119,V80)))</f>
        <v>9999</v>
      </c>
      <c r="Z80">
        <f t="shared" si="98"/>
        <v>0</v>
      </c>
      <c r="AA80" t="e">
        <f t="shared" si="99"/>
        <v>#N/A</v>
      </c>
      <c r="AB80" t="e">
        <f t="shared" si="100"/>
        <v>#N/A</v>
      </c>
      <c r="AC80" t="e">
        <f t="shared" si="101"/>
        <v>#N/A</v>
      </c>
      <c r="AD80" t="e">
        <f t="shared" si="102"/>
        <v>#N/A</v>
      </c>
      <c r="AE80" t="e">
        <f t="shared" si="103"/>
        <v>#N/A</v>
      </c>
      <c r="AF80" t="e">
        <f t="shared" si="104"/>
        <v>#N/A</v>
      </c>
      <c r="AG80" t="e">
        <f t="shared" si="105"/>
        <v>#N/A</v>
      </c>
      <c r="AH80" t="e">
        <f t="shared" si="106"/>
        <v>#N/A</v>
      </c>
      <c r="AI80" t="e">
        <f t="shared" si="107"/>
        <v>#N/A</v>
      </c>
      <c r="AJ80" t="e">
        <f t="shared" si="108"/>
        <v>#N/A</v>
      </c>
      <c r="AK80" t="e">
        <f t="shared" si="109"/>
        <v>#N/A</v>
      </c>
      <c r="AL80" t="e">
        <f t="shared" si="110"/>
        <v>#N/A</v>
      </c>
      <c r="AM80" t="e">
        <f t="shared" si="111"/>
        <v>#N/A</v>
      </c>
      <c r="AN80" t="e">
        <f t="shared" si="112"/>
        <v>#N/A</v>
      </c>
      <c r="AO80" t="e">
        <f t="shared" si="113"/>
        <v>#N/A</v>
      </c>
      <c r="AP80" t="e">
        <f t="shared" si="114"/>
        <v>#N/A</v>
      </c>
      <c r="AQ80" t="e">
        <f t="shared" si="115"/>
        <v>#N/A</v>
      </c>
      <c r="AR80" t="e">
        <f t="shared" si="116"/>
        <v>#N/A</v>
      </c>
      <c r="AS80" t="e">
        <f t="shared" si="117"/>
        <v>#N/A</v>
      </c>
      <c r="AT80" t="e">
        <f t="shared" si="118"/>
        <v>#N/A</v>
      </c>
      <c r="AU80" t="e">
        <f t="shared" si="119"/>
        <v>#N/A</v>
      </c>
      <c r="AV80" t="e">
        <f t="shared" si="120"/>
        <v>#N/A</v>
      </c>
      <c r="AW80" t="e">
        <f t="shared" si="121"/>
        <v>#N/A</v>
      </c>
      <c r="AX80" t="e">
        <f t="shared" si="122"/>
        <v>#N/A</v>
      </c>
      <c r="AY80" t="e">
        <f t="shared" si="123"/>
        <v>#N/A</v>
      </c>
      <c r="BE80" t="e">
        <f>IF(Z80=1,IF(INDEX($C$7:$C$126,V80)&gt;=Gantt!$BF$6,NA(),MATCH(INDEX($C$7:$C$126,V80),Gantt!$J$6:$BE$6,1)),NA())</f>
        <v>#N/A</v>
      </c>
      <c r="BF80" t="e">
        <f>IF(Z80=1,IF((INDEX($D$7:$D$126,AA80)-1)&gt;=Gantt!$BF$6,NA(),IF((INDEX($D$7:$D$126,AA80)-1)&lt;Gantt!$J$6,0,MATCH((INDEX($D$7:$D$126,AA80)-1),Gantt!$J$6:$BE$6,1))),NA())</f>
        <v>#N/A</v>
      </c>
      <c r="BG80" t="e">
        <f t="shared" si="124"/>
        <v>#N/A</v>
      </c>
      <c r="BH80" t="e">
        <f t="shared" si="125"/>
        <v>#N/A</v>
      </c>
      <c r="BI80" t="e">
        <f t="shared" si="126"/>
        <v>#N/A</v>
      </c>
      <c r="BJ80" t="e">
        <f t="shared" si="127"/>
        <v>#N/A</v>
      </c>
      <c r="BK80" t="e">
        <f t="shared" si="128"/>
        <v>#N/A</v>
      </c>
      <c r="BL80" t="e">
        <f t="shared" si="129"/>
        <v>#N/A</v>
      </c>
      <c r="BM80" t="e">
        <f t="shared" si="130"/>
        <v>#N/A</v>
      </c>
      <c r="BN80" t="e">
        <f t="shared" si="131"/>
        <v>#N/A</v>
      </c>
      <c r="BO80" t="e">
        <f t="shared" si="132"/>
        <v>#N/A</v>
      </c>
      <c r="BP80" t="e">
        <f t="shared" si="133"/>
        <v>#N/A</v>
      </c>
      <c r="BQ80" t="e">
        <f t="shared" si="134"/>
        <v>#N/A</v>
      </c>
      <c r="BR80" t="e">
        <f t="shared" si="135"/>
        <v>#N/A</v>
      </c>
      <c r="BS80" t="e">
        <f t="shared" si="136"/>
        <v>#N/A</v>
      </c>
      <c r="BT80" t="e">
        <f t="shared" si="137"/>
        <v>#N/A</v>
      </c>
      <c r="BU80" t="e">
        <f t="shared" si="138"/>
        <v>#N/A</v>
      </c>
      <c r="BV80" t="e">
        <f t="shared" si="139"/>
        <v>#N/A</v>
      </c>
      <c r="BW80" t="e">
        <f t="shared" si="140"/>
        <v>#N/A</v>
      </c>
      <c r="BX80" t="e">
        <f t="shared" si="141"/>
        <v>#N/A</v>
      </c>
      <c r="BY80" t="e">
        <f t="shared" si="142"/>
        <v>#N/A</v>
      </c>
      <c r="BZ80" t="e">
        <f t="shared" si="143"/>
        <v>#N/A</v>
      </c>
      <c r="CA80" t="e">
        <f t="shared" si="144"/>
        <v>#N/A</v>
      </c>
      <c r="CB80" t="e">
        <f t="shared" si="145"/>
        <v>#N/A</v>
      </c>
      <c r="CC80" t="e">
        <f t="shared" si="146"/>
        <v>#N/A</v>
      </c>
      <c r="CD80" t="e">
        <f t="shared" si="147"/>
        <v>#N/A</v>
      </c>
      <c r="CE80" t="e">
        <f t="shared" si="148"/>
        <v>#N/A</v>
      </c>
      <c r="CF80" t="e">
        <f t="shared" si="149"/>
        <v>#N/A</v>
      </c>
      <c r="CG80" t="e">
        <f t="shared" si="150"/>
        <v>#N/A</v>
      </c>
      <c r="CI80" t="e">
        <f>AP31</f>
        <v>#N/A</v>
      </c>
      <c r="CJ80" t="e">
        <f>AQ31</f>
        <v>#N/A</v>
      </c>
      <c r="CK80">
        <f>IF(ISNUMBER(CI80),IFERROR(MAX(0,AR31-CI80),0),0)</f>
        <v>0</v>
      </c>
      <c r="CL80">
        <f>IF(ISNUMBER(CI80),IFERROR(MAX(0,CI80-AR31),0),0)</f>
        <v>0</v>
      </c>
      <c r="CM80">
        <f>IF(ISNUMBER(CJ80),IFERROR(MAX(0,AS31-CJ80),0),0)</f>
        <v>0</v>
      </c>
      <c r="CN80">
        <f>IF(ISNUMBER(CJ80),IFERROR(MAX(0,CJ80-AS31),0),0)</f>
        <v>0</v>
      </c>
      <c r="CP80" t="e">
        <f>BX31</f>
        <v>#N/A</v>
      </c>
      <c r="CQ80" t="e">
        <f>BY31</f>
        <v>#N/A</v>
      </c>
      <c r="CR80">
        <f>IF(ISNUMBER(CP80),IFERROR(MAX(0,BZ31-CP80),0),0)</f>
        <v>0</v>
      </c>
      <c r="CS80">
        <f>IF(ISNUMBER(CP80),IFERROR(MAX(0,CP80-BZ31),0),0)</f>
        <v>0</v>
      </c>
      <c r="CT80">
        <f>IF(ISNUMBER(CQ80),IFERROR(MAX(0,CA31-CQ80),0),0)</f>
        <v>0</v>
      </c>
      <c r="CU80">
        <f>IF(ISNUMBER(CQ80),IFERROR(MAX(0,CQ80-CA31),0),0)</f>
        <v>0</v>
      </c>
    </row>
    <row r="81" spans="1:99" x14ac:dyDescent="0.3">
      <c r="A81">
        <v>75</v>
      </c>
      <c r="B81">
        <f>IF(A81&lt;=$B$2,IF(INDEX(Gantt!$A$7:$A$119,A81)&lt;&gt;"",1,0),0)</f>
        <v>0</v>
      </c>
      <c r="C81" t="e">
        <f>IF(B81=1,INDEX(Gantt!$C$7:$C$119,A81),NA())</f>
        <v>#N/A</v>
      </c>
      <c r="D81" t="e">
        <f>IF(B81=1,INDEX(Gantt!$D$7:$D$119,A81)+1,NA())</f>
        <v>#N/A</v>
      </c>
      <c r="E81">
        <f>IF(B81=1,INDEX(Gantt!$BN$7:$BN$119,A81),0)</f>
        <v>0</v>
      </c>
      <c r="F81">
        <f>IF(B81=1,N(INDEX(Gantt!$F$7:$F$119,A81)),0)</f>
        <v>0</v>
      </c>
      <c r="G81">
        <f t="shared" si="82"/>
        <v>0</v>
      </c>
      <c r="H81" t="e">
        <f t="shared" si="83"/>
        <v>#N/A</v>
      </c>
      <c r="I81" t="e">
        <f t="shared" si="84"/>
        <v>#N/A</v>
      </c>
      <c r="J81" t="e">
        <f t="shared" si="85"/>
        <v>#N/A</v>
      </c>
      <c r="K81" t="e">
        <f t="shared" si="86"/>
        <v>#N/A</v>
      </c>
      <c r="L81" t="e">
        <f t="shared" si="87"/>
        <v>#N/A</v>
      </c>
      <c r="M81" t="e">
        <f t="shared" si="88"/>
        <v>#N/A</v>
      </c>
      <c r="N81" t="e">
        <f t="shared" si="89"/>
        <v>#N/A</v>
      </c>
      <c r="O81" t="e">
        <f t="shared" si="90"/>
        <v>#N/A</v>
      </c>
      <c r="P81" t="e">
        <f t="shared" si="91"/>
        <v>#N/A</v>
      </c>
      <c r="Q81" t="str">
        <f>IF(B81=1,INDEX(Gantt!$A$7:$A$119,A81)&amp;"   "&amp;INDEX(Gantt!$B$7:$B$119,A81),"")</f>
        <v/>
      </c>
      <c r="R81" t="e">
        <f t="shared" si="92"/>
        <v>#N/A</v>
      </c>
      <c r="S81">
        <f t="shared" si="93"/>
        <v>0</v>
      </c>
      <c r="T81">
        <f t="shared" si="94"/>
        <v>0</v>
      </c>
      <c r="U81">
        <v>75</v>
      </c>
      <c r="V81">
        <f t="shared" si="95"/>
        <v>19</v>
      </c>
      <c r="W81">
        <f t="shared" si="96"/>
        <v>3</v>
      </c>
      <c r="X81">
        <f t="shared" si="97"/>
        <v>0</v>
      </c>
      <c r="Y81">
        <f>IF(X81&lt;&gt;1,9999,CHOOSE(W81,INDEX(Gantt!$BQ$7:$BQ$119,V81),INDEX(Gantt!$BR$7:$BR$119,V81),INDEX(Gantt!$BT$7:$BT$119,V81),INDEX(Gantt!$BU$7:$BU$119,V81)))</f>
        <v>9999</v>
      </c>
      <c r="Z81">
        <f t="shared" si="98"/>
        <v>0</v>
      </c>
      <c r="AA81" t="e">
        <f t="shared" si="99"/>
        <v>#N/A</v>
      </c>
      <c r="AB81" t="e">
        <f t="shared" si="100"/>
        <v>#N/A</v>
      </c>
      <c r="AC81" t="e">
        <f t="shared" si="101"/>
        <v>#N/A</v>
      </c>
      <c r="AD81" t="e">
        <f t="shared" si="102"/>
        <v>#N/A</v>
      </c>
      <c r="AE81" t="e">
        <f t="shared" si="103"/>
        <v>#N/A</v>
      </c>
      <c r="AF81" t="e">
        <f t="shared" si="104"/>
        <v>#N/A</v>
      </c>
      <c r="AG81" t="e">
        <f t="shared" si="105"/>
        <v>#N/A</v>
      </c>
      <c r="AH81" t="e">
        <f t="shared" si="106"/>
        <v>#N/A</v>
      </c>
      <c r="AI81" t="e">
        <f t="shared" si="107"/>
        <v>#N/A</v>
      </c>
      <c r="AJ81" t="e">
        <f t="shared" si="108"/>
        <v>#N/A</v>
      </c>
      <c r="AK81" t="e">
        <f t="shared" si="109"/>
        <v>#N/A</v>
      </c>
      <c r="AL81" t="e">
        <f t="shared" si="110"/>
        <v>#N/A</v>
      </c>
      <c r="AM81" t="e">
        <f t="shared" si="111"/>
        <v>#N/A</v>
      </c>
      <c r="AN81" t="e">
        <f t="shared" si="112"/>
        <v>#N/A</v>
      </c>
      <c r="AO81" t="e">
        <f t="shared" si="113"/>
        <v>#N/A</v>
      </c>
      <c r="AP81" t="e">
        <f t="shared" si="114"/>
        <v>#N/A</v>
      </c>
      <c r="AQ81" t="e">
        <f t="shared" si="115"/>
        <v>#N/A</v>
      </c>
      <c r="AR81" t="e">
        <f t="shared" si="116"/>
        <v>#N/A</v>
      </c>
      <c r="AS81" t="e">
        <f t="shared" si="117"/>
        <v>#N/A</v>
      </c>
      <c r="AT81" t="e">
        <f t="shared" si="118"/>
        <v>#N/A</v>
      </c>
      <c r="AU81" t="e">
        <f t="shared" si="119"/>
        <v>#N/A</v>
      </c>
      <c r="AV81" t="e">
        <f t="shared" si="120"/>
        <v>#N/A</v>
      </c>
      <c r="AW81" t="e">
        <f t="shared" si="121"/>
        <v>#N/A</v>
      </c>
      <c r="AX81" t="e">
        <f t="shared" si="122"/>
        <v>#N/A</v>
      </c>
      <c r="AY81" t="e">
        <f t="shared" si="123"/>
        <v>#N/A</v>
      </c>
      <c r="BE81" t="e">
        <f>IF(Z81=1,IF(INDEX($C$7:$C$126,V81)&gt;=Gantt!$BF$6,NA(),MATCH(INDEX($C$7:$C$126,V81),Gantt!$J$6:$BE$6,1)),NA())</f>
        <v>#N/A</v>
      </c>
      <c r="BF81" t="e">
        <f>IF(Z81=1,IF((INDEX($D$7:$D$126,AA81)-1)&gt;=Gantt!$BF$6,NA(),IF((INDEX($D$7:$D$126,AA81)-1)&lt;Gantt!$J$6,0,MATCH((INDEX($D$7:$D$126,AA81)-1),Gantt!$J$6:$BE$6,1))),NA())</f>
        <v>#N/A</v>
      </c>
      <c r="BG81" t="e">
        <f t="shared" si="124"/>
        <v>#N/A</v>
      </c>
      <c r="BH81" t="e">
        <f t="shared" si="125"/>
        <v>#N/A</v>
      </c>
      <c r="BI81" t="e">
        <f t="shared" si="126"/>
        <v>#N/A</v>
      </c>
      <c r="BJ81" t="e">
        <f t="shared" si="127"/>
        <v>#N/A</v>
      </c>
      <c r="BK81" t="e">
        <f t="shared" si="128"/>
        <v>#N/A</v>
      </c>
      <c r="BL81" t="e">
        <f t="shared" si="129"/>
        <v>#N/A</v>
      </c>
      <c r="BM81" t="e">
        <f t="shared" si="130"/>
        <v>#N/A</v>
      </c>
      <c r="BN81" t="e">
        <f t="shared" si="131"/>
        <v>#N/A</v>
      </c>
      <c r="BO81" t="e">
        <f t="shared" si="132"/>
        <v>#N/A</v>
      </c>
      <c r="BP81" t="e">
        <f t="shared" si="133"/>
        <v>#N/A</v>
      </c>
      <c r="BQ81" t="e">
        <f t="shared" si="134"/>
        <v>#N/A</v>
      </c>
      <c r="BR81" t="e">
        <f t="shared" si="135"/>
        <v>#N/A</v>
      </c>
      <c r="BS81" t="e">
        <f t="shared" si="136"/>
        <v>#N/A</v>
      </c>
      <c r="BT81" t="e">
        <f t="shared" si="137"/>
        <v>#N/A</v>
      </c>
      <c r="BU81" t="e">
        <f t="shared" si="138"/>
        <v>#N/A</v>
      </c>
      <c r="BV81" t="e">
        <f t="shared" si="139"/>
        <v>#N/A</v>
      </c>
      <c r="BW81" t="e">
        <f t="shared" si="140"/>
        <v>#N/A</v>
      </c>
      <c r="BX81" t="e">
        <f t="shared" si="141"/>
        <v>#N/A</v>
      </c>
      <c r="BY81" t="e">
        <f t="shared" si="142"/>
        <v>#N/A</v>
      </c>
      <c r="BZ81" t="e">
        <f t="shared" si="143"/>
        <v>#N/A</v>
      </c>
      <c r="CA81" t="e">
        <f t="shared" si="144"/>
        <v>#N/A</v>
      </c>
      <c r="CB81" t="e">
        <f t="shared" si="145"/>
        <v>#N/A</v>
      </c>
      <c r="CC81" t="e">
        <f t="shared" si="146"/>
        <v>#N/A</v>
      </c>
      <c r="CD81" t="e">
        <f t="shared" si="147"/>
        <v>#N/A</v>
      </c>
      <c r="CE81" t="e">
        <f t="shared" si="148"/>
        <v>#N/A</v>
      </c>
      <c r="CF81" t="e">
        <f t="shared" si="149"/>
        <v>#N/A</v>
      </c>
      <c r="CG81" t="e">
        <f t="shared" si="150"/>
        <v>#N/A</v>
      </c>
      <c r="CI81" t="e">
        <f>AT31</f>
        <v>#N/A</v>
      </c>
      <c r="CJ81" t="e">
        <f>AU31</f>
        <v>#N/A</v>
      </c>
      <c r="CK81">
        <f>IF(ISNUMBER(CI81),IFERROR(MAX(0,AV31-CI81),0),0)</f>
        <v>0</v>
      </c>
      <c r="CL81">
        <f>IF(ISNUMBER(CI81),IFERROR(MAX(0,CI81-AV31),0),0)</f>
        <v>0</v>
      </c>
      <c r="CM81">
        <f>IF(ISNUMBER(CJ81),IFERROR(MAX(0,AW31-CJ81),0),0)</f>
        <v>0</v>
      </c>
      <c r="CN81">
        <f>IF(ISNUMBER(CJ81),IFERROR(MAX(0,CJ81-AW31),0),0)</f>
        <v>0</v>
      </c>
      <c r="CP81" t="e">
        <f>CB31</f>
        <v>#N/A</v>
      </c>
      <c r="CQ81" t="e">
        <f>CC31</f>
        <v>#N/A</v>
      </c>
      <c r="CR81">
        <f>IF(ISNUMBER(CP81),IFERROR(MAX(0,CD31-CP81),0),0)</f>
        <v>0</v>
      </c>
      <c r="CS81">
        <f>IF(ISNUMBER(CP81),IFERROR(MAX(0,CP81-CD31),0),0)</f>
        <v>0</v>
      </c>
      <c r="CT81">
        <f>IF(ISNUMBER(CQ81),IFERROR(MAX(0,CE31-CQ81),0),0)</f>
        <v>0</v>
      </c>
      <c r="CU81">
        <f>IF(ISNUMBER(CQ81),IFERROR(MAX(0,CQ81-CE31),0),0)</f>
        <v>0</v>
      </c>
    </row>
    <row r="82" spans="1:99" x14ac:dyDescent="0.3">
      <c r="A82">
        <v>76</v>
      </c>
      <c r="B82">
        <f>IF(A82&lt;=$B$2,IF(INDEX(Gantt!$A$7:$A$119,A82)&lt;&gt;"",1,0),0)</f>
        <v>0</v>
      </c>
      <c r="C82" t="e">
        <f>IF(B82=1,INDEX(Gantt!$C$7:$C$119,A82),NA())</f>
        <v>#N/A</v>
      </c>
      <c r="D82" t="e">
        <f>IF(B82=1,INDEX(Gantt!$D$7:$D$119,A82)+1,NA())</f>
        <v>#N/A</v>
      </c>
      <c r="E82">
        <f>IF(B82=1,INDEX(Gantt!$BN$7:$BN$119,A82),0)</f>
        <v>0</v>
      </c>
      <c r="F82">
        <f>IF(B82=1,N(INDEX(Gantt!$F$7:$F$119,A82)),0)</f>
        <v>0</v>
      </c>
      <c r="G82">
        <f t="shared" si="82"/>
        <v>0</v>
      </c>
      <c r="H82" t="e">
        <f t="shared" si="83"/>
        <v>#N/A</v>
      </c>
      <c r="I82" t="e">
        <f t="shared" si="84"/>
        <v>#N/A</v>
      </c>
      <c r="J82" t="e">
        <f t="shared" si="85"/>
        <v>#N/A</v>
      </c>
      <c r="K82" t="e">
        <f t="shared" si="86"/>
        <v>#N/A</v>
      </c>
      <c r="L82" t="e">
        <f t="shared" si="87"/>
        <v>#N/A</v>
      </c>
      <c r="M82" t="e">
        <f t="shared" si="88"/>
        <v>#N/A</v>
      </c>
      <c r="N82" t="e">
        <f t="shared" si="89"/>
        <v>#N/A</v>
      </c>
      <c r="O82" t="e">
        <f t="shared" si="90"/>
        <v>#N/A</v>
      </c>
      <c r="P82" t="e">
        <f t="shared" si="91"/>
        <v>#N/A</v>
      </c>
      <c r="Q82" t="str">
        <f>IF(B82=1,INDEX(Gantt!$A$7:$A$119,A82)&amp;"   "&amp;INDEX(Gantt!$B$7:$B$119,A82),"")</f>
        <v/>
      </c>
      <c r="R82" t="e">
        <f t="shared" si="92"/>
        <v>#N/A</v>
      </c>
      <c r="S82">
        <f t="shared" si="93"/>
        <v>0</v>
      </c>
      <c r="T82">
        <f t="shared" si="94"/>
        <v>0</v>
      </c>
      <c r="U82">
        <v>76</v>
      </c>
      <c r="V82">
        <f t="shared" si="95"/>
        <v>19</v>
      </c>
      <c r="W82">
        <f t="shared" si="96"/>
        <v>4</v>
      </c>
      <c r="X82">
        <f t="shared" si="97"/>
        <v>0</v>
      </c>
      <c r="Y82">
        <f>IF(X82&lt;&gt;1,9999,CHOOSE(W82,INDEX(Gantt!$BQ$7:$BQ$119,V82),INDEX(Gantt!$BR$7:$BR$119,V82),INDEX(Gantt!$BT$7:$BT$119,V82),INDEX(Gantt!$BU$7:$BU$119,V82)))</f>
        <v>9999</v>
      </c>
      <c r="Z82">
        <f t="shared" si="98"/>
        <v>0</v>
      </c>
      <c r="AA82" t="e">
        <f t="shared" si="99"/>
        <v>#N/A</v>
      </c>
      <c r="AB82" t="e">
        <f t="shared" si="100"/>
        <v>#N/A</v>
      </c>
      <c r="AC82" t="e">
        <f t="shared" si="101"/>
        <v>#N/A</v>
      </c>
      <c r="AD82" t="e">
        <f t="shared" si="102"/>
        <v>#N/A</v>
      </c>
      <c r="AE82" t="e">
        <f t="shared" si="103"/>
        <v>#N/A</v>
      </c>
      <c r="AF82" t="e">
        <f t="shared" si="104"/>
        <v>#N/A</v>
      </c>
      <c r="AG82" t="e">
        <f t="shared" si="105"/>
        <v>#N/A</v>
      </c>
      <c r="AH82" t="e">
        <f t="shared" si="106"/>
        <v>#N/A</v>
      </c>
      <c r="AI82" t="e">
        <f t="shared" si="107"/>
        <v>#N/A</v>
      </c>
      <c r="AJ82" t="e">
        <f t="shared" si="108"/>
        <v>#N/A</v>
      </c>
      <c r="AK82" t="e">
        <f t="shared" si="109"/>
        <v>#N/A</v>
      </c>
      <c r="AL82" t="e">
        <f t="shared" si="110"/>
        <v>#N/A</v>
      </c>
      <c r="AM82" t="e">
        <f t="shared" si="111"/>
        <v>#N/A</v>
      </c>
      <c r="AN82" t="e">
        <f t="shared" si="112"/>
        <v>#N/A</v>
      </c>
      <c r="AO82" t="e">
        <f t="shared" si="113"/>
        <v>#N/A</v>
      </c>
      <c r="AP82" t="e">
        <f t="shared" si="114"/>
        <v>#N/A</v>
      </c>
      <c r="AQ82" t="e">
        <f t="shared" si="115"/>
        <v>#N/A</v>
      </c>
      <c r="AR82" t="e">
        <f t="shared" si="116"/>
        <v>#N/A</v>
      </c>
      <c r="AS82" t="e">
        <f t="shared" si="117"/>
        <v>#N/A</v>
      </c>
      <c r="AT82" t="e">
        <f t="shared" si="118"/>
        <v>#N/A</v>
      </c>
      <c r="AU82" t="e">
        <f t="shared" si="119"/>
        <v>#N/A</v>
      </c>
      <c r="AV82" t="e">
        <f t="shared" si="120"/>
        <v>#N/A</v>
      </c>
      <c r="AW82" t="e">
        <f t="shared" si="121"/>
        <v>#N/A</v>
      </c>
      <c r="AX82" t="e">
        <f t="shared" si="122"/>
        <v>#N/A</v>
      </c>
      <c r="AY82" t="e">
        <f t="shared" si="123"/>
        <v>#N/A</v>
      </c>
      <c r="BE82" t="e">
        <f>IF(Z82=1,IF(INDEX($C$7:$C$126,V82)&gt;=Gantt!$BF$6,NA(),MATCH(INDEX($C$7:$C$126,V82),Gantt!$J$6:$BE$6,1)),NA())</f>
        <v>#N/A</v>
      </c>
      <c r="BF82" t="e">
        <f>IF(Z82=1,IF((INDEX($D$7:$D$126,AA82)-1)&gt;=Gantt!$BF$6,NA(),IF((INDEX($D$7:$D$126,AA82)-1)&lt;Gantt!$J$6,0,MATCH((INDEX($D$7:$D$126,AA82)-1),Gantt!$J$6:$BE$6,1))),NA())</f>
        <v>#N/A</v>
      </c>
      <c r="BG82" t="e">
        <f t="shared" si="124"/>
        <v>#N/A</v>
      </c>
      <c r="BH82" t="e">
        <f t="shared" si="125"/>
        <v>#N/A</v>
      </c>
      <c r="BI82" t="e">
        <f t="shared" si="126"/>
        <v>#N/A</v>
      </c>
      <c r="BJ82" t="e">
        <f t="shared" si="127"/>
        <v>#N/A</v>
      </c>
      <c r="BK82" t="e">
        <f t="shared" si="128"/>
        <v>#N/A</v>
      </c>
      <c r="BL82" t="e">
        <f t="shared" si="129"/>
        <v>#N/A</v>
      </c>
      <c r="BM82" t="e">
        <f t="shared" si="130"/>
        <v>#N/A</v>
      </c>
      <c r="BN82" t="e">
        <f t="shared" si="131"/>
        <v>#N/A</v>
      </c>
      <c r="BO82" t="e">
        <f t="shared" si="132"/>
        <v>#N/A</v>
      </c>
      <c r="BP82" t="e">
        <f t="shared" si="133"/>
        <v>#N/A</v>
      </c>
      <c r="BQ82" t="e">
        <f t="shared" si="134"/>
        <v>#N/A</v>
      </c>
      <c r="BR82" t="e">
        <f t="shared" si="135"/>
        <v>#N/A</v>
      </c>
      <c r="BS82" t="e">
        <f t="shared" si="136"/>
        <v>#N/A</v>
      </c>
      <c r="BT82" t="e">
        <f t="shared" si="137"/>
        <v>#N/A</v>
      </c>
      <c r="BU82" t="e">
        <f t="shared" si="138"/>
        <v>#N/A</v>
      </c>
      <c r="BV82" t="e">
        <f t="shared" si="139"/>
        <v>#N/A</v>
      </c>
      <c r="BW82" t="e">
        <f t="shared" si="140"/>
        <v>#N/A</v>
      </c>
      <c r="BX82" t="e">
        <f t="shared" si="141"/>
        <v>#N/A</v>
      </c>
      <c r="BY82" t="e">
        <f t="shared" si="142"/>
        <v>#N/A</v>
      </c>
      <c r="BZ82" t="e">
        <f t="shared" si="143"/>
        <v>#N/A</v>
      </c>
      <c r="CA82" t="e">
        <f t="shared" si="144"/>
        <v>#N/A</v>
      </c>
      <c r="CB82" t="e">
        <f t="shared" si="145"/>
        <v>#N/A</v>
      </c>
      <c r="CC82" t="e">
        <f t="shared" si="146"/>
        <v>#N/A</v>
      </c>
      <c r="CD82" t="e">
        <f t="shared" si="147"/>
        <v>#N/A</v>
      </c>
      <c r="CE82" t="e">
        <f t="shared" si="148"/>
        <v>#N/A</v>
      </c>
      <c r="CF82" t="e">
        <f t="shared" si="149"/>
        <v>#N/A</v>
      </c>
      <c r="CG82" t="e">
        <f t="shared" si="150"/>
        <v>#N/A</v>
      </c>
      <c r="CI82" t="e">
        <f>AL32</f>
        <v>#N/A</v>
      </c>
      <c r="CJ82" t="e">
        <f>AM32</f>
        <v>#N/A</v>
      </c>
      <c r="CK82">
        <f>IF(ISNUMBER(CI82),IFERROR(MAX(0,AN32-CI82),0),0)</f>
        <v>0</v>
      </c>
      <c r="CL82">
        <f>IF(ISNUMBER(CI82),IFERROR(MAX(0,CI82-AN32),0),0)</f>
        <v>0</v>
      </c>
      <c r="CM82">
        <f>IF(ISNUMBER(CJ82),IFERROR(MAX(0,AO32-CJ82),0),0)</f>
        <v>0</v>
      </c>
      <c r="CN82">
        <f>IF(ISNUMBER(CJ82),IFERROR(MAX(0,CJ82-AO32),0),0)</f>
        <v>0</v>
      </c>
      <c r="CP82" t="e">
        <f>BT32</f>
        <v>#N/A</v>
      </c>
      <c r="CQ82" t="e">
        <f>BU32</f>
        <v>#N/A</v>
      </c>
      <c r="CR82">
        <f>IF(ISNUMBER(CP82),IFERROR(MAX(0,BV32-CP82),0),0)</f>
        <v>0</v>
      </c>
      <c r="CS82">
        <f>IF(ISNUMBER(CP82),IFERROR(MAX(0,CP82-BV32),0),0)</f>
        <v>0</v>
      </c>
      <c r="CT82">
        <f>IF(ISNUMBER(CQ82),IFERROR(MAX(0,BW32-CQ82),0),0)</f>
        <v>0</v>
      </c>
      <c r="CU82">
        <f>IF(ISNUMBER(CQ82),IFERROR(MAX(0,CQ82-BW32),0),0)</f>
        <v>0</v>
      </c>
    </row>
    <row r="83" spans="1:99" x14ac:dyDescent="0.3">
      <c r="A83">
        <v>77</v>
      </c>
      <c r="B83">
        <f>IF(A83&lt;=$B$2,IF(INDEX(Gantt!$A$7:$A$119,A83)&lt;&gt;"",1,0),0)</f>
        <v>0</v>
      </c>
      <c r="C83" t="e">
        <f>IF(B83=1,INDEX(Gantt!$C$7:$C$119,A83),NA())</f>
        <v>#N/A</v>
      </c>
      <c r="D83" t="e">
        <f>IF(B83=1,INDEX(Gantt!$D$7:$D$119,A83)+1,NA())</f>
        <v>#N/A</v>
      </c>
      <c r="E83">
        <f>IF(B83=1,INDEX(Gantt!$BN$7:$BN$119,A83),0)</f>
        <v>0</v>
      </c>
      <c r="F83">
        <f>IF(B83=1,N(INDEX(Gantt!$F$7:$F$119,A83)),0)</f>
        <v>0</v>
      </c>
      <c r="G83">
        <f t="shared" si="82"/>
        <v>0</v>
      </c>
      <c r="H83" t="e">
        <f t="shared" si="83"/>
        <v>#N/A</v>
      </c>
      <c r="I83" t="e">
        <f t="shared" si="84"/>
        <v>#N/A</v>
      </c>
      <c r="J83" t="e">
        <f t="shared" si="85"/>
        <v>#N/A</v>
      </c>
      <c r="K83" t="e">
        <f t="shared" si="86"/>
        <v>#N/A</v>
      </c>
      <c r="L83" t="e">
        <f t="shared" si="87"/>
        <v>#N/A</v>
      </c>
      <c r="M83" t="e">
        <f t="shared" si="88"/>
        <v>#N/A</v>
      </c>
      <c r="N83" t="e">
        <f t="shared" si="89"/>
        <v>#N/A</v>
      </c>
      <c r="O83" t="e">
        <f t="shared" si="90"/>
        <v>#N/A</v>
      </c>
      <c r="P83" t="e">
        <f t="shared" si="91"/>
        <v>#N/A</v>
      </c>
      <c r="Q83" t="str">
        <f>IF(B83=1,INDEX(Gantt!$A$7:$A$119,A83)&amp;"   "&amp;INDEX(Gantt!$B$7:$B$119,A83),"")</f>
        <v/>
      </c>
      <c r="R83" t="e">
        <f t="shared" si="92"/>
        <v>#N/A</v>
      </c>
      <c r="S83">
        <f t="shared" si="93"/>
        <v>0</v>
      </c>
      <c r="T83">
        <f t="shared" si="94"/>
        <v>0</v>
      </c>
      <c r="U83">
        <v>77</v>
      </c>
      <c r="V83">
        <f t="shared" si="95"/>
        <v>20</v>
      </c>
      <c r="W83">
        <f t="shared" si="96"/>
        <v>1</v>
      </c>
      <c r="X83">
        <f t="shared" si="97"/>
        <v>0</v>
      </c>
      <c r="Y83">
        <f>IF(X83&lt;&gt;1,9999,CHOOSE(W83,INDEX(Gantt!$BQ$7:$BQ$119,V83),INDEX(Gantt!$BR$7:$BR$119,V83),INDEX(Gantt!$BT$7:$BT$119,V83),INDEX(Gantt!$BU$7:$BU$119,V83)))</f>
        <v>9999</v>
      </c>
      <c r="Z83">
        <f t="shared" si="98"/>
        <v>0</v>
      </c>
      <c r="AA83" t="e">
        <f t="shared" si="99"/>
        <v>#N/A</v>
      </c>
      <c r="AB83" t="e">
        <f t="shared" si="100"/>
        <v>#N/A</v>
      </c>
      <c r="AC83" t="e">
        <f t="shared" si="101"/>
        <v>#N/A</v>
      </c>
      <c r="AD83" t="e">
        <f t="shared" si="102"/>
        <v>#N/A</v>
      </c>
      <c r="AE83" t="e">
        <f t="shared" si="103"/>
        <v>#N/A</v>
      </c>
      <c r="AF83" t="e">
        <f t="shared" si="104"/>
        <v>#N/A</v>
      </c>
      <c r="AG83" t="e">
        <f t="shared" si="105"/>
        <v>#N/A</v>
      </c>
      <c r="AH83" t="e">
        <f t="shared" si="106"/>
        <v>#N/A</v>
      </c>
      <c r="AI83" t="e">
        <f t="shared" si="107"/>
        <v>#N/A</v>
      </c>
      <c r="AJ83" t="e">
        <f t="shared" si="108"/>
        <v>#N/A</v>
      </c>
      <c r="AK83" t="e">
        <f t="shared" si="109"/>
        <v>#N/A</v>
      </c>
      <c r="AL83" t="e">
        <f t="shared" si="110"/>
        <v>#N/A</v>
      </c>
      <c r="AM83" t="e">
        <f t="shared" si="111"/>
        <v>#N/A</v>
      </c>
      <c r="AN83" t="e">
        <f t="shared" si="112"/>
        <v>#N/A</v>
      </c>
      <c r="AO83" t="e">
        <f t="shared" si="113"/>
        <v>#N/A</v>
      </c>
      <c r="AP83" t="e">
        <f t="shared" si="114"/>
        <v>#N/A</v>
      </c>
      <c r="AQ83" t="e">
        <f t="shared" si="115"/>
        <v>#N/A</v>
      </c>
      <c r="AR83" t="e">
        <f t="shared" si="116"/>
        <v>#N/A</v>
      </c>
      <c r="AS83" t="e">
        <f t="shared" si="117"/>
        <v>#N/A</v>
      </c>
      <c r="AT83" t="e">
        <f t="shared" si="118"/>
        <v>#N/A</v>
      </c>
      <c r="AU83" t="e">
        <f t="shared" si="119"/>
        <v>#N/A</v>
      </c>
      <c r="AV83" t="e">
        <f t="shared" si="120"/>
        <v>#N/A</v>
      </c>
      <c r="AW83" t="e">
        <f t="shared" si="121"/>
        <v>#N/A</v>
      </c>
      <c r="AX83" t="e">
        <f t="shared" si="122"/>
        <v>#N/A</v>
      </c>
      <c r="AY83" t="e">
        <f t="shared" si="123"/>
        <v>#N/A</v>
      </c>
      <c r="BE83" t="e">
        <f>IF(Z83=1,IF(INDEX($C$7:$C$126,V83)&gt;=Gantt!$BF$6,NA(),MATCH(INDEX($C$7:$C$126,V83),Gantt!$J$6:$BE$6,1)),NA())</f>
        <v>#N/A</v>
      </c>
      <c r="BF83" t="e">
        <f>IF(Z83=1,IF((INDEX($D$7:$D$126,AA83)-1)&gt;=Gantt!$BF$6,NA(),IF((INDEX($D$7:$D$126,AA83)-1)&lt;Gantt!$J$6,0,MATCH((INDEX($D$7:$D$126,AA83)-1),Gantt!$J$6:$BE$6,1))),NA())</f>
        <v>#N/A</v>
      </c>
      <c r="BG83" t="e">
        <f t="shared" si="124"/>
        <v>#N/A</v>
      </c>
      <c r="BH83" t="e">
        <f t="shared" si="125"/>
        <v>#N/A</v>
      </c>
      <c r="BI83" t="e">
        <f t="shared" si="126"/>
        <v>#N/A</v>
      </c>
      <c r="BJ83" t="e">
        <f t="shared" si="127"/>
        <v>#N/A</v>
      </c>
      <c r="BK83" t="e">
        <f t="shared" si="128"/>
        <v>#N/A</v>
      </c>
      <c r="BL83" t="e">
        <f t="shared" si="129"/>
        <v>#N/A</v>
      </c>
      <c r="BM83" t="e">
        <f t="shared" si="130"/>
        <v>#N/A</v>
      </c>
      <c r="BN83" t="e">
        <f t="shared" si="131"/>
        <v>#N/A</v>
      </c>
      <c r="BO83" t="e">
        <f t="shared" si="132"/>
        <v>#N/A</v>
      </c>
      <c r="BP83" t="e">
        <f t="shared" si="133"/>
        <v>#N/A</v>
      </c>
      <c r="BQ83" t="e">
        <f t="shared" si="134"/>
        <v>#N/A</v>
      </c>
      <c r="BR83" t="e">
        <f t="shared" si="135"/>
        <v>#N/A</v>
      </c>
      <c r="BS83" t="e">
        <f t="shared" si="136"/>
        <v>#N/A</v>
      </c>
      <c r="BT83" t="e">
        <f t="shared" si="137"/>
        <v>#N/A</v>
      </c>
      <c r="BU83" t="e">
        <f t="shared" si="138"/>
        <v>#N/A</v>
      </c>
      <c r="BV83" t="e">
        <f t="shared" si="139"/>
        <v>#N/A</v>
      </c>
      <c r="BW83" t="e">
        <f t="shared" si="140"/>
        <v>#N/A</v>
      </c>
      <c r="BX83" t="e">
        <f t="shared" si="141"/>
        <v>#N/A</v>
      </c>
      <c r="BY83" t="e">
        <f t="shared" si="142"/>
        <v>#N/A</v>
      </c>
      <c r="BZ83" t="e">
        <f t="shared" si="143"/>
        <v>#N/A</v>
      </c>
      <c r="CA83" t="e">
        <f t="shared" si="144"/>
        <v>#N/A</v>
      </c>
      <c r="CB83" t="e">
        <f t="shared" si="145"/>
        <v>#N/A</v>
      </c>
      <c r="CC83" t="e">
        <f t="shared" si="146"/>
        <v>#N/A</v>
      </c>
      <c r="CD83" t="e">
        <f t="shared" si="147"/>
        <v>#N/A</v>
      </c>
      <c r="CE83" t="e">
        <f t="shared" si="148"/>
        <v>#N/A</v>
      </c>
      <c r="CF83" t="e">
        <f t="shared" si="149"/>
        <v>#N/A</v>
      </c>
      <c r="CG83" t="e">
        <f t="shared" si="150"/>
        <v>#N/A</v>
      </c>
      <c r="CI83" t="e">
        <f>AP32</f>
        <v>#N/A</v>
      </c>
      <c r="CJ83" t="e">
        <f>AQ32</f>
        <v>#N/A</v>
      </c>
      <c r="CK83">
        <f>IF(ISNUMBER(CI83),IFERROR(MAX(0,AR32-CI83),0),0)</f>
        <v>0</v>
      </c>
      <c r="CL83">
        <f>IF(ISNUMBER(CI83),IFERROR(MAX(0,CI83-AR32),0),0)</f>
        <v>0</v>
      </c>
      <c r="CM83">
        <f>IF(ISNUMBER(CJ83),IFERROR(MAX(0,AS32-CJ83),0),0)</f>
        <v>0</v>
      </c>
      <c r="CN83">
        <f>IF(ISNUMBER(CJ83),IFERROR(MAX(0,CJ83-AS32),0),0)</f>
        <v>0</v>
      </c>
      <c r="CP83" t="e">
        <f>BX32</f>
        <v>#N/A</v>
      </c>
      <c r="CQ83" t="e">
        <f>BY32</f>
        <v>#N/A</v>
      </c>
      <c r="CR83">
        <f>IF(ISNUMBER(CP83),IFERROR(MAX(0,BZ32-CP83),0),0)</f>
        <v>0</v>
      </c>
      <c r="CS83">
        <f>IF(ISNUMBER(CP83),IFERROR(MAX(0,CP83-BZ32),0),0)</f>
        <v>0</v>
      </c>
      <c r="CT83">
        <f>IF(ISNUMBER(CQ83),IFERROR(MAX(0,CA32-CQ83),0),0)</f>
        <v>0</v>
      </c>
      <c r="CU83">
        <f>IF(ISNUMBER(CQ83),IFERROR(MAX(0,CQ83-CA32),0),0)</f>
        <v>0</v>
      </c>
    </row>
    <row r="84" spans="1:99" x14ac:dyDescent="0.3">
      <c r="A84">
        <v>78</v>
      </c>
      <c r="B84">
        <f>IF(A84&lt;=$B$2,IF(INDEX(Gantt!$A$7:$A$119,A84)&lt;&gt;"",1,0),0)</f>
        <v>0</v>
      </c>
      <c r="C84" t="e">
        <f>IF(B84=1,INDEX(Gantt!$C$7:$C$119,A84),NA())</f>
        <v>#N/A</v>
      </c>
      <c r="D84" t="e">
        <f>IF(B84=1,INDEX(Gantt!$D$7:$D$119,A84)+1,NA())</f>
        <v>#N/A</v>
      </c>
      <c r="E84">
        <f>IF(B84=1,INDEX(Gantt!$BN$7:$BN$119,A84),0)</f>
        <v>0</v>
      </c>
      <c r="F84">
        <f>IF(B84=1,N(INDEX(Gantt!$F$7:$F$119,A84)),0)</f>
        <v>0</v>
      </c>
      <c r="G84">
        <f t="shared" si="82"/>
        <v>0</v>
      </c>
      <c r="H84" t="e">
        <f t="shared" si="83"/>
        <v>#N/A</v>
      </c>
      <c r="I84" t="e">
        <f t="shared" si="84"/>
        <v>#N/A</v>
      </c>
      <c r="J84" t="e">
        <f t="shared" si="85"/>
        <v>#N/A</v>
      </c>
      <c r="K84" t="e">
        <f t="shared" si="86"/>
        <v>#N/A</v>
      </c>
      <c r="L84" t="e">
        <f t="shared" si="87"/>
        <v>#N/A</v>
      </c>
      <c r="M84" t="e">
        <f t="shared" si="88"/>
        <v>#N/A</v>
      </c>
      <c r="N84" t="e">
        <f t="shared" si="89"/>
        <v>#N/A</v>
      </c>
      <c r="O84" t="e">
        <f t="shared" si="90"/>
        <v>#N/A</v>
      </c>
      <c r="P84" t="e">
        <f t="shared" si="91"/>
        <v>#N/A</v>
      </c>
      <c r="Q84" t="str">
        <f>IF(B84=1,INDEX(Gantt!$A$7:$A$119,A84)&amp;"   "&amp;INDEX(Gantt!$B$7:$B$119,A84),"")</f>
        <v/>
      </c>
      <c r="R84" t="e">
        <f t="shared" si="92"/>
        <v>#N/A</v>
      </c>
      <c r="S84">
        <f t="shared" si="93"/>
        <v>0</v>
      </c>
      <c r="T84">
        <f t="shared" si="94"/>
        <v>0</v>
      </c>
      <c r="U84">
        <v>78</v>
      </c>
      <c r="V84">
        <f t="shared" si="95"/>
        <v>20</v>
      </c>
      <c r="W84">
        <f t="shared" si="96"/>
        <v>2</v>
      </c>
      <c r="X84">
        <f t="shared" si="97"/>
        <v>0</v>
      </c>
      <c r="Y84">
        <f>IF(X84&lt;&gt;1,9999,CHOOSE(W84,INDEX(Gantt!$BQ$7:$BQ$119,V84),INDEX(Gantt!$BR$7:$BR$119,V84),INDEX(Gantt!$BT$7:$BT$119,V84),INDEX(Gantt!$BU$7:$BU$119,V84)))</f>
        <v>9999</v>
      </c>
      <c r="Z84">
        <f t="shared" si="98"/>
        <v>0</v>
      </c>
      <c r="AA84" t="e">
        <f t="shared" si="99"/>
        <v>#N/A</v>
      </c>
      <c r="AB84" t="e">
        <f t="shared" si="100"/>
        <v>#N/A</v>
      </c>
      <c r="AC84" t="e">
        <f t="shared" si="101"/>
        <v>#N/A</v>
      </c>
      <c r="AD84" t="e">
        <f t="shared" si="102"/>
        <v>#N/A</v>
      </c>
      <c r="AE84" t="e">
        <f t="shared" si="103"/>
        <v>#N/A</v>
      </c>
      <c r="AF84" t="e">
        <f t="shared" si="104"/>
        <v>#N/A</v>
      </c>
      <c r="AG84" t="e">
        <f t="shared" si="105"/>
        <v>#N/A</v>
      </c>
      <c r="AH84" t="e">
        <f t="shared" si="106"/>
        <v>#N/A</v>
      </c>
      <c r="AI84" t="e">
        <f t="shared" si="107"/>
        <v>#N/A</v>
      </c>
      <c r="AJ84" t="e">
        <f t="shared" si="108"/>
        <v>#N/A</v>
      </c>
      <c r="AK84" t="e">
        <f t="shared" si="109"/>
        <v>#N/A</v>
      </c>
      <c r="AL84" t="e">
        <f t="shared" si="110"/>
        <v>#N/A</v>
      </c>
      <c r="AM84" t="e">
        <f t="shared" si="111"/>
        <v>#N/A</v>
      </c>
      <c r="AN84" t="e">
        <f t="shared" si="112"/>
        <v>#N/A</v>
      </c>
      <c r="AO84" t="e">
        <f t="shared" si="113"/>
        <v>#N/A</v>
      </c>
      <c r="AP84" t="e">
        <f t="shared" si="114"/>
        <v>#N/A</v>
      </c>
      <c r="AQ84" t="e">
        <f t="shared" si="115"/>
        <v>#N/A</v>
      </c>
      <c r="AR84" t="e">
        <f t="shared" si="116"/>
        <v>#N/A</v>
      </c>
      <c r="AS84" t="e">
        <f t="shared" si="117"/>
        <v>#N/A</v>
      </c>
      <c r="AT84" t="e">
        <f t="shared" si="118"/>
        <v>#N/A</v>
      </c>
      <c r="AU84" t="e">
        <f t="shared" si="119"/>
        <v>#N/A</v>
      </c>
      <c r="AV84" t="e">
        <f t="shared" si="120"/>
        <v>#N/A</v>
      </c>
      <c r="AW84" t="e">
        <f t="shared" si="121"/>
        <v>#N/A</v>
      </c>
      <c r="AX84" t="e">
        <f t="shared" si="122"/>
        <v>#N/A</v>
      </c>
      <c r="AY84" t="e">
        <f t="shared" si="123"/>
        <v>#N/A</v>
      </c>
      <c r="BE84" t="e">
        <f>IF(Z84=1,IF(INDEX($C$7:$C$126,V84)&gt;=Gantt!$BF$6,NA(),MATCH(INDEX($C$7:$C$126,V84),Gantt!$J$6:$BE$6,1)),NA())</f>
        <v>#N/A</v>
      </c>
      <c r="BF84" t="e">
        <f>IF(Z84=1,IF((INDEX($D$7:$D$126,AA84)-1)&gt;=Gantt!$BF$6,NA(),IF((INDEX($D$7:$D$126,AA84)-1)&lt;Gantt!$J$6,0,MATCH((INDEX($D$7:$D$126,AA84)-1),Gantt!$J$6:$BE$6,1))),NA())</f>
        <v>#N/A</v>
      </c>
      <c r="BG84" t="e">
        <f t="shared" si="124"/>
        <v>#N/A</v>
      </c>
      <c r="BH84" t="e">
        <f t="shared" si="125"/>
        <v>#N/A</v>
      </c>
      <c r="BI84" t="e">
        <f t="shared" si="126"/>
        <v>#N/A</v>
      </c>
      <c r="BJ84" t="e">
        <f t="shared" si="127"/>
        <v>#N/A</v>
      </c>
      <c r="BK84" t="e">
        <f t="shared" si="128"/>
        <v>#N/A</v>
      </c>
      <c r="BL84" t="e">
        <f t="shared" si="129"/>
        <v>#N/A</v>
      </c>
      <c r="BM84" t="e">
        <f t="shared" si="130"/>
        <v>#N/A</v>
      </c>
      <c r="BN84" t="e">
        <f t="shared" si="131"/>
        <v>#N/A</v>
      </c>
      <c r="BO84" t="e">
        <f t="shared" si="132"/>
        <v>#N/A</v>
      </c>
      <c r="BP84" t="e">
        <f t="shared" si="133"/>
        <v>#N/A</v>
      </c>
      <c r="BQ84" t="e">
        <f t="shared" si="134"/>
        <v>#N/A</v>
      </c>
      <c r="BR84" t="e">
        <f t="shared" si="135"/>
        <v>#N/A</v>
      </c>
      <c r="BS84" t="e">
        <f t="shared" si="136"/>
        <v>#N/A</v>
      </c>
      <c r="BT84" t="e">
        <f t="shared" si="137"/>
        <v>#N/A</v>
      </c>
      <c r="BU84" t="e">
        <f t="shared" si="138"/>
        <v>#N/A</v>
      </c>
      <c r="BV84" t="e">
        <f t="shared" si="139"/>
        <v>#N/A</v>
      </c>
      <c r="BW84" t="e">
        <f t="shared" si="140"/>
        <v>#N/A</v>
      </c>
      <c r="BX84" t="e">
        <f t="shared" si="141"/>
        <v>#N/A</v>
      </c>
      <c r="BY84" t="e">
        <f t="shared" si="142"/>
        <v>#N/A</v>
      </c>
      <c r="BZ84" t="e">
        <f t="shared" si="143"/>
        <v>#N/A</v>
      </c>
      <c r="CA84" t="e">
        <f t="shared" si="144"/>
        <v>#N/A</v>
      </c>
      <c r="CB84" t="e">
        <f t="shared" si="145"/>
        <v>#N/A</v>
      </c>
      <c r="CC84" t="e">
        <f t="shared" si="146"/>
        <v>#N/A</v>
      </c>
      <c r="CD84" t="e">
        <f t="shared" si="147"/>
        <v>#N/A</v>
      </c>
      <c r="CE84" t="e">
        <f t="shared" si="148"/>
        <v>#N/A</v>
      </c>
      <c r="CF84" t="e">
        <f t="shared" si="149"/>
        <v>#N/A</v>
      </c>
      <c r="CG84" t="e">
        <f t="shared" si="150"/>
        <v>#N/A</v>
      </c>
      <c r="CI84" t="e">
        <f>AT32</f>
        <v>#N/A</v>
      </c>
      <c r="CJ84" t="e">
        <f>AU32</f>
        <v>#N/A</v>
      </c>
      <c r="CK84">
        <f>IF(ISNUMBER(CI84),IFERROR(MAX(0,AV32-CI84),0),0)</f>
        <v>0</v>
      </c>
      <c r="CL84">
        <f>IF(ISNUMBER(CI84),IFERROR(MAX(0,CI84-AV32),0),0)</f>
        <v>0</v>
      </c>
      <c r="CM84">
        <f>IF(ISNUMBER(CJ84),IFERROR(MAX(0,AW32-CJ84),0),0)</f>
        <v>0</v>
      </c>
      <c r="CN84">
        <f>IF(ISNUMBER(CJ84),IFERROR(MAX(0,CJ84-AW32),0),0)</f>
        <v>0</v>
      </c>
      <c r="CP84" t="e">
        <f>CB32</f>
        <v>#N/A</v>
      </c>
      <c r="CQ84" t="e">
        <f>CC32</f>
        <v>#N/A</v>
      </c>
      <c r="CR84">
        <f>IF(ISNUMBER(CP84),IFERROR(MAX(0,CD32-CP84),0),0)</f>
        <v>0</v>
      </c>
      <c r="CS84">
        <f>IF(ISNUMBER(CP84),IFERROR(MAX(0,CP84-CD32),0),0)</f>
        <v>0</v>
      </c>
      <c r="CT84">
        <f>IF(ISNUMBER(CQ84),IFERROR(MAX(0,CE32-CQ84),0),0)</f>
        <v>0</v>
      </c>
      <c r="CU84">
        <f>IF(ISNUMBER(CQ84),IFERROR(MAX(0,CQ84-CE32),0),0)</f>
        <v>0</v>
      </c>
    </row>
    <row r="85" spans="1:99" x14ac:dyDescent="0.3">
      <c r="A85">
        <v>79</v>
      </c>
      <c r="B85">
        <f>IF(A85&lt;=$B$2,IF(INDEX(Gantt!$A$7:$A$119,A85)&lt;&gt;"",1,0),0)</f>
        <v>0</v>
      </c>
      <c r="C85" t="e">
        <f>IF(B85=1,INDEX(Gantt!$C$7:$C$119,A85),NA())</f>
        <v>#N/A</v>
      </c>
      <c r="D85" t="e">
        <f>IF(B85=1,INDEX(Gantt!$D$7:$D$119,A85)+1,NA())</f>
        <v>#N/A</v>
      </c>
      <c r="E85">
        <f>IF(B85=1,INDEX(Gantt!$BN$7:$BN$119,A85),0)</f>
        <v>0</v>
      </c>
      <c r="F85">
        <f>IF(B85=1,N(INDEX(Gantt!$F$7:$F$119,A85)),0)</f>
        <v>0</v>
      </c>
      <c r="G85">
        <f t="shared" si="82"/>
        <v>0</v>
      </c>
      <c r="H85" t="e">
        <f t="shared" si="83"/>
        <v>#N/A</v>
      </c>
      <c r="I85" t="e">
        <f t="shared" si="84"/>
        <v>#N/A</v>
      </c>
      <c r="J85" t="e">
        <f t="shared" si="85"/>
        <v>#N/A</v>
      </c>
      <c r="K85" t="e">
        <f t="shared" si="86"/>
        <v>#N/A</v>
      </c>
      <c r="L85" t="e">
        <f t="shared" si="87"/>
        <v>#N/A</v>
      </c>
      <c r="M85" t="e">
        <f t="shared" si="88"/>
        <v>#N/A</v>
      </c>
      <c r="N85" t="e">
        <f t="shared" si="89"/>
        <v>#N/A</v>
      </c>
      <c r="O85" t="e">
        <f t="shared" si="90"/>
        <v>#N/A</v>
      </c>
      <c r="P85" t="e">
        <f t="shared" si="91"/>
        <v>#N/A</v>
      </c>
      <c r="Q85" t="str">
        <f>IF(B85=1,INDEX(Gantt!$A$7:$A$119,A85)&amp;"   "&amp;INDEX(Gantt!$B$7:$B$119,A85),"")</f>
        <v/>
      </c>
      <c r="R85" t="e">
        <f t="shared" si="92"/>
        <v>#N/A</v>
      </c>
      <c r="S85">
        <f t="shared" si="93"/>
        <v>0</v>
      </c>
      <c r="T85">
        <f t="shared" si="94"/>
        <v>0</v>
      </c>
      <c r="U85">
        <v>79</v>
      </c>
      <c r="V85">
        <f t="shared" si="95"/>
        <v>20</v>
      </c>
      <c r="W85">
        <f t="shared" si="96"/>
        <v>3</v>
      </c>
      <c r="X85">
        <f t="shared" si="97"/>
        <v>0</v>
      </c>
      <c r="Y85">
        <f>IF(X85&lt;&gt;1,9999,CHOOSE(W85,INDEX(Gantt!$BQ$7:$BQ$119,V85),INDEX(Gantt!$BR$7:$BR$119,V85),INDEX(Gantt!$BT$7:$BT$119,V85),INDEX(Gantt!$BU$7:$BU$119,V85)))</f>
        <v>9999</v>
      </c>
      <c r="Z85">
        <f t="shared" si="98"/>
        <v>0</v>
      </c>
      <c r="AA85" t="e">
        <f t="shared" si="99"/>
        <v>#N/A</v>
      </c>
      <c r="AB85" t="e">
        <f t="shared" si="100"/>
        <v>#N/A</v>
      </c>
      <c r="AC85" t="e">
        <f t="shared" si="101"/>
        <v>#N/A</v>
      </c>
      <c r="AD85" t="e">
        <f t="shared" si="102"/>
        <v>#N/A</v>
      </c>
      <c r="AE85" t="e">
        <f t="shared" si="103"/>
        <v>#N/A</v>
      </c>
      <c r="AF85" t="e">
        <f t="shared" si="104"/>
        <v>#N/A</v>
      </c>
      <c r="AG85" t="e">
        <f t="shared" si="105"/>
        <v>#N/A</v>
      </c>
      <c r="AH85" t="e">
        <f t="shared" si="106"/>
        <v>#N/A</v>
      </c>
      <c r="AI85" t="e">
        <f t="shared" si="107"/>
        <v>#N/A</v>
      </c>
      <c r="AJ85" t="e">
        <f t="shared" si="108"/>
        <v>#N/A</v>
      </c>
      <c r="AK85" t="e">
        <f t="shared" si="109"/>
        <v>#N/A</v>
      </c>
      <c r="AL85" t="e">
        <f t="shared" si="110"/>
        <v>#N/A</v>
      </c>
      <c r="AM85" t="e">
        <f t="shared" si="111"/>
        <v>#N/A</v>
      </c>
      <c r="AN85" t="e">
        <f t="shared" si="112"/>
        <v>#N/A</v>
      </c>
      <c r="AO85" t="e">
        <f t="shared" si="113"/>
        <v>#N/A</v>
      </c>
      <c r="AP85" t="e">
        <f t="shared" si="114"/>
        <v>#N/A</v>
      </c>
      <c r="AQ85" t="e">
        <f t="shared" si="115"/>
        <v>#N/A</v>
      </c>
      <c r="AR85" t="e">
        <f t="shared" si="116"/>
        <v>#N/A</v>
      </c>
      <c r="AS85" t="e">
        <f t="shared" si="117"/>
        <v>#N/A</v>
      </c>
      <c r="AT85" t="e">
        <f t="shared" si="118"/>
        <v>#N/A</v>
      </c>
      <c r="AU85" t="e">
        <f t="shared" si="119"/>
        <v>#N/A</v>
      </c>
      <c r="AV85" t="e">
        <f t="shared" si="120"/>
        <v>#N/A</v>
      </c>
      <c r="AW85" t="e">
        <f t="shared" si="121"/>
        <v>#N/A</v>
      </c>
      <c r="AX85" t="e">
        <f t="shared" si="122"/>
        <v>#N/A</v>
      </c>
      <c r="AY85" t="e">
        <f t="shared" si="123"/>
        <v>#N/A</v>
      </c>
      <c r="BE85" t="e">
        <f>IF(Z85=1,IF(INDEX($C$7:$C$126,V85)&gt;=Gantt!$BF$6,NA(),MATCH(INDEX($C$7:$C$126,V85),Gantt!$J$6:$BE$6,1)),NA())</f>
        <v>#N/A</v>
      </c>
      <c r="BF85" t="e">
        <f>IF(Z85=1,IF((INDEX($D$7:$D$126,AA85)-1)&gt;=Gantt!$BF$6,NA(),IF((INDEX($D$7:$D$126,AA85)-1)&lt;Gantt!$J$6,0,MATCH((INDEX($D$7:$D$126,AA85)-1),Gantt!$J$6:$BE$6,1))),NA())</f>
        <v>#N/A</v>
      </c>
      <c r="BG85" t="e">
        <f t="shared" si="124"/>
        <v>#N/A</v>
      </c>
      <c r="BH85" t="e">
        <f t="shared" si="125"/>
        <v>#N/A</v>
      </c>
      <c r="BI85" t="e">
        <f t="shared" si="126"/>
        <v>#N/A</v>
      </c>
      <c r="BJ85" t="e">
        <f t="shared" si="127"/>
        <v>#N/A</v>
      </c>
      <c r="BK85" t="e">
        <f t="shared" si="128"/>
        <v>#N/A</v>
      </c>
      <c r="BL85" t="e">
        <f t="shared" si="129"/>
        <v>#N/A</v>
      </c>
      <c r="BM85" t="e">
        <f t="shared" si="130"/>
        <v>#N/A</v>
      </c>
      <c r="BN85" t="e">
        <f t="shared" si="131"/>
        <v>#N/A</v>
      </c>
      <c r="BO85" t="e">
        <f t="shared" si="132"/>
        <v>#N/A</v>
      </c>
      <c r="BP85" t="e">
        <f t="shared" si="133"/>
        <v>#N/A</v>
      </c>
      <c r="BQ85" t="e">
        <f t="shared" si="134"/>
        <v>#N/A</v>
      </c>
      <c r="BR85" t="e">
        <f t="shared" si="135"/>
        <v>#N/A</v>
      </c>
      <c r="BS85" t="e">
        <f t="shared" si="136"/>
        <v>#N/A</v>
      </c>
      <c r="BT85" t="e">
        <f t="shared" si="137"/>
        <v>#N/A</v>
      </c>
      <c r="BU85" t="e">
        <f t="shared" si="138"/>
        <v>#N/A</v>
      </c>
      <c r="BV85" t="e">
        <f t="shared" si="139"/>
        <v>#N/A</v>
      </c>
      <c r="BW85" t="e">
        <f t="shared" si="140"/>
        <v>#N/A</v>
      </c>
      <c r="BX85" t="e">
        <f t="shared" si="141"/>
        <v>#N/A</v>
      </c>
      <c r="BY85" t="e">
        <f t="shared" si="142"/>
        <v>#N/A</v>
      </c>
      <c r="BZ85" t="e">
        <f t="shared" si="143"/>
        <v>#N/A</v>
      </c>
      <c r="CA85" t="e">
        <f t="shared" si="144"/>
        <v>#N/A</v>
      </c>
      <c r="CB85" t="e">
        <f t="shared" si="145"/>
        <v>#N/A</v>
      </c>
      <c r="CC85" t="e">
        <f t="shared" si="146"/>
        <v>#N/A</v>
      </c>
      <c r="CD85" t="e">
        <f t="shared" si="147"/>
        <v>#N/A</v>
      </c>
      <c r="CE85" t="e">
        <f t="shared" si="148"/>
        <v>#N/A</v>
      </c>
      <c r="CF85" t="e">
        <f t="shared" si="149"/>
        <v>#N/A</v>
      </c>
      <c r="CG85" t="e">
        <f t="shared" si="150"/>
        <v>#N/A</v>
      </c>
      <c r="CI85" t="e">
        <f>AL33</f>
        <v>#N/A</v>
      </c>
      <c r="CJ85" t="e">
        <f>AM33</f>
        <v>#N/A</v>
      </c>
      <c r="CK85">
        <f>IF(ISNUMBER(CI85),IFERROR(MAX(0,AN33-CI85),0),0)</f>
        <v>0</v>
      </c>
      <c r="CL85">
        <f>IF(ISNUMBER(CI85),IFERROR(MAX(0,CI85-AN33),0),0)</f>
        <v>0</v>
      </c>
      <c r="CM85">
        <f>IF(ISNUMBER(CJ85),IFERROR(MAX(0,AO33-CJ85),0),0)</f>
        <v>0</v>
      </c>
      <c r="CN85">
        <f>IF(ISNUMBER(CJ85),IFERROR(MAX(0,CJ85-AO33),0),0)</f>
        <v>0</v>
      </c>
      <c r="CP85" t="e">
        <f>BT33</f>
        <v>#N/A</v>
      </c>
      <c r="CQ85" t="e">
        <f>BU33</f>
        <v>#N/A</v>
      </c>
      <c r="CR85">
        <f>IF(ISNUMBER(CP85),IFERROR(MAX(0,BV33-CP85),0),0)</f>
        <v>0</v>
      </c>
      <c r="CS85">
        <f>IF(ISNUMBER(CP85),IFERROR(MAX(0,CP85-BV33),0),0)</f>
        <v>0</v>
      </c>
      <c r="CT85">
        <f>IF(ISNUMBER(CQ85),IFERROR(MAX(0,BW33-CQ85),0),0)</f>
        <v>0</v>
      </c>
      <c r="CU85">
        <f>IF(ISNUMBER(CQ85),IFERROR(MAX(0,CQ85-BW33),0),0)</f>
        <v>0</v>
      </c>
    </row>
    <row r="86" spans="1:99" x14ac:dyDescent="0.3">
      <c r="A86">
        <v>80</v>
      </c>
      <c r="B86">
        <f>IF(A86&lt;=$B$2,IF(INDEX(Gantt!$A$7:$A$119,A86)&lt;&gt;"",1,0),0)</f>
        <v>0</v>
      </c>
      <c r="C86" t="e">
        <f>IF(B86=1,INDEX(Gantt!$C$7:$C$119,A86),NA())</f>
        <v>#N/A</v>
      </c>
      <c r="D86" t="e">
        <f>IF(B86=1,INDEX(Gantt!$D$7:$D$119,A86)+1,NA())</f>
        <v>#N/A</v>
      </c>
      <c r="E86">
        <f>IF(B86=1,INDEX(Gantt!$BN$7:$BN$119,A86),0)</f>
        <v>0</v>
      </c>
      <c r="F86">
        <f>IF(B86=1,N(INDEX(Gantt!$F$7:$F$119,A86)),0)</f>
        <v>0</v>
      </c>
      <c r="G86">
        <f t="shared" si="82"/>
        <v>0</v>
      </c>
      <c r="H86" t="e">
        <f t="shared" si="83"/>
        <v>#N/A</v>
      </c>
      <c r="I86" t="e">
        <f t="shared" si="84"/>
        <v>#N/A</v>
      </c>
      <c r="J86" t="e">
        <f t="shared" si="85"/>
        <v>#N/A</v>
      </c>
      <c r="K86" t="e">
        <f t="shared" si="86"/>
        <v>#N/A</v>
      </c>
      <c r="L86" t="e">
        <f t="shared" si="87"/>
        <v>#N/A</v>
      </c>
      <c r="M86" t="e">
        <f t="shared" si="88"/>
        <v>#N/A</v>
      </c>
      <c r="N86" t="e">
        <f t="shared" si="89"/>
        <v>#N/A</v>
      </c>
      <c r="O86" t="e">
        <f t="shared" si="90"/>
        <v>#N/A</v>
      </c>
      <c r="P86" t="e">
        <f t="shared" si="91"/>
        <v>#N/A</v>
      </c>
      <c r="Q86" t="str">
        <f>IF(B86=1,INDEX(Gantt!$A$7:$A$119,A86)&amp;"   "&amp;INDEX(Gantt!$B$7:$B$119,A86),"")</f>
        <v/>
      </c>
      <c r="R86" t="e">
        <f t="shared" si="92"/>
        <v>#N/A</v>
      </c>
      <c r="S86">
        <f t="shared" si="93"/>
        <v>0</v>
      </c>
      <c r="T86">
        <f t="shared" si="94"/>
        <v>0</v>
      </c>
      <c r="U86">
        <v>80</v>
      </c>
      <c r="V86">
        <f t="shared" si="95"/>
        <v>20</v>
      </c>
      <c r="W86">
        <f t="shared" si="96"/>
        <v>4</v>
      </c>
      <c r="X86">
        <f t="shared" si="97"/>
        <v>0</v>
      </c>
      <c r="Y86">
        <f>IF(X86&lt;&gt;1,9999,CHOOSE(W86,INDEX(Gantt!$BQ$7:$BQ$119,V86),INDEX(Gantt!$BR$7:$BR$119,V86),INDEX(Gantt!$BT$7:$BT$119,V86),INDEX(Gantt!$BU$7:$BU$119,V86)))</f>
        <v>9999</v>
      </c>
      <c r="Z86">
        <f t="shared" si="98"/>
        <v>0</v>
      </c>
      <c r="AA86" t="e">
        <f t="shared" si="99"/>
        <v>#N/A</v>
      </c>
      <c r="AB86" t="e">
        <f t="shared" si="100"/>
        <v>#N/A</v>
      </c>
      <c r="AC86" t="e">
        <f t="shared" si="101"/>
        <v>#N/A</v>
      </c>
      <c r="AD86" t="e">
        <f t="shared" si="102"/>
        <v>#N/A</v>
      </c>
      <c r="AE86" t="e">
        <f t="shared" si="103"/>
        <v>#N/A</v>
      </c>
      <c r="AF86" t="e">
        <f t="shared" si="104"/>
        <v>#N/A</v>
      </c>
      <c r="AG86" t="e">
        <f t="shared" si="105"/>
        <v>#N/A</v>
      </c>
      <c r="AH86" t="e">
        <f t="shared" si="106"/>
        <v>#N/A</v>
      </c>
      <c r="AI86" t="e">
        <f t="shared" si="107"/>
        <v>#N/A</v>
      </c>
      <c r="AJ86" t="e">
        <f t="shared" si="108"/>
        <v>#N/A</v>
      </c>
      <c r="AK86" t="e">
        <f t="shared" si="109"/>
        <v>#N/A</v>
      </c>
      <c r="AL86" t="e">
        <f t="shared" si="110"/>
        <v>#N/A</v>
      </c>
      <c r="AM86" t="e">
        <f t="shared" si="111"/>
        <v>#N/A</v>
      </c>
      <c r="AN86" t="e">
        <f t="shared" si="112"/>
        <v>#N/A</v>
      </c>
      <c r="AO86" t="e">
        <f t="shared" si="113"/>
        <v>#N/A</v>
      </c>
      <c r="AP86" t="e">
        <f t="shared" si="114"/>
        <v>#N/A</v>
      </c>
      <c r="AQ86" t="e">
        <f t="shared" si="115"/>
        <v>#N/A</v>
      </c>
      <c r="AR86" t="e">
        <f t="shared" si="116"/>
        <v>#N/A</v>
      </c>
      <c r="AS86" t="e">
        <f t="shared" si="117"/>
        <v>#N/A</v>
      </c>
      <c r="AT86" t="e">
        <f t="shared" si="118"/>
        <v>#N/A</v>
      </c>
      <c r="AU86" t="e">
        <f t="shared" si="119"/>
        <v>#N/A</v>
      </c>
      <c r="AV86" t="e">
        <f t="shared" si="120"/>
        <v>#N/A</v>
      </c>
      <c r="AW86" t="e">
        <f t="shared" si="121"/>
        <v>#N/A</v>
      </c>
      <c r="AX86" t="e">
        <f t="shared" si="122"/>
        <v>#N/A</v>
      </c>
      <c r="AY86" t="e">
        <f t="shared" si="123"/>
        <v>#N/A</v>
      </c>
      <c r="BE86" t="e">
        <f>IF(Z86=1,IF(INDEX($C$7:$C$126,V86)&gt;=Gantt!$BF$6,NA(),MATCH(INDEX($C$7:$C$126,V86),Gantt!$J$6:$BE$6,1)),NA())</f>
        <v>#N/A</v>
      </c>
      <c r="BF86" t="e">
        <f>IF(Z86=1,IF((INDEX($D$7:$D$126,AA86)-1)&gt;=Gantt!$BF$6,NA(),IF((INDEX($D$7:$D$126,AA86)-1)&lt;Gantt!$J$6,0,MATCH((INDEX($D$7:$D$126,AA86)-1),Gantt!$J$6:$BE$6,1))),NA())</f>
        <v>#N/A</v>
      </c>
      <c r="BG86" t="e">
        <f t="shared" si="124"/>
        <v>#N/A</v>
      </c>
      <c r="BH86" t="e">
        <f t="shared" si="125"/>
        <v>#N/A</v>
      </c>
      <c r="BI86" t="e">
        <f t="shared" si="126"/>
        <v>#N/A</v>
      </c>
      <c r="BJ86" t="e">
        <f t="shared" si="127"/>
        <v>#N/A</v>
      </c>
      <c r="BK86" t="e">
        <f t="shared" si="128"/>
        <v>#N/A</v>
      </c>
      <c r="BL86" t="e">
        <f t="shared" si="129"/>
        <v>#N/A</v>
      </c>
      <c r="BM86" t="e">
        <f t="shared" si="130"/>
        <v>#N/A</v>
      </c>
      <c r="BN86" t="e">
        <f t="shared" si="131"/>
        <v>#N/A</v>
      </c>
      <c r="BO86" t="e">
        <f t="shared" si="132"/>
        <v>#N/A</v>
      </c>
      <c r="BP86" t="e">
        <f t="shared" si="133"/>
        <v>#N/A</v>
      </c>
      <c r="BQ86" t="e">
        <f t="shared" si="134"/>
        <v>#N/A</v>
      </c>
      <c r="BR86" t="e">
        <f t="shared" si="135"/>
        <v>#N/A</v>
      </c>
      <c r="BS86" t="e">
        <f t="shared" si="136"/>
        <v>#N/A</v>
      </c>
      <c r="BT86" t="e">
        <f t="shared" si="137"/>
        <v>#N/A</v>
      </c>
      <c r="BU86" t="e">
        <f t="shared" si="138"/>
        <v>#N/A</v>
      </c>
      <c r="BV86" t="e">
        <f t="shared" si="139"/>
        <v>#N/A</v>
      </c>
      <c r="BW86" t="e">
        <f t="shared" si="140"/>
        <v>#N/A</v>
      </c>
      <c r="BX86" t="e">
        <f t="shared" si="141"/>
        <v>#N/A</v>
      </c>
      <c r="BY86" t="e">
        <f t="shared" si="142"/>
        <v>#N/A</v>
      </c>
      <c r="BZ86" t="e">
        <f t="shared" si="143"/>
        <v>#N/A</v>
      </c>
      <c r="CA86" t="e">
        <f t="shared" si="144"/>
        <v>#N/A</v>
      </c>
      <c r="CB86" t="e">
        <f t="shared" si="145"/>
        <v>#N/A</v>
      </c>
      <c r="CC86" t="e">
        <f t="shared" si="146"/>
        <v>#N/A</v>
      </c>
      <c r="CD86" t="e">
        <f t="shared" si="147"/>
        <v>#N/A</v>
      </c>
      <c r="CE86" t="e">
        <f t="shared" si="148"/>
        <v>#N/A</v>
      </c>
      <c r="CF86" t="e">
        <f t="shared" si="149"/>
        <v>#N/A</v>
      </c>
      <c r="CG86" t="e">
        <f t="shared" si="150"/>
        <v>#N/A</v>
      </c>
      <c r="CI86" t="e">
        <f>AP33</f>
        <v>#N/A</v>
      </c>
      <c r="CJ86" t="e">
        <f>AQ33</f>
        <v>#N/A</v>
      </c>
      <c r="CK86">
        <f>IF(ISNUMBER(CI86),IFERROR(MAX(0,AR33-CI86),0),0)</f>
        <v>0</v>
      </c>
      <c r="CL86">
        <f>IF(ISNUMBER(CI86),IFERROR(MAX(0,CI86-AR33),0),0)</f>
        <v>0</v>
      </c>
      <c r="CM86">
        <f>IF(ISNUMBER(CJ86),IFERROR(MAX(0,AS33-CJ86),0),0)</f>
        <v>0</v>
      </c>
      <c r="CN86">
        <f>IF(ISNUMBER(CJ86),IFERROR(MAX(0,CJ86-AS33),0),0)</f>
        <v>0</v>
      </c>
      <c r="CP86" t="e">
        <f>BX33</f>
        <v>#N/A</v>
      </c>
      <c r="CQ86" t="e">
        <f>BY33</f>
        <v>#N/A</v>
      </c>
      <c r="CR86">
        <f>IF(ISNUMBER(CP86),IFERROR(MAX(0,BZ33-CP86),0),0)</f>
        <v>0</v>
      </c>
      <c r="CS86">
        <f>IF(ISNUMBER(CP86),IFERROR(MAX(0,CP86-BZ33),0),0)</f>
        <v>0</v>
      </c>
      <c r="CT86">
        <f>IF(ISNUMBER(CQ86),IFERROR(MAX(0,CA33-CQ86),0),0)</f>
        <v>0</v>
      </c>
      <c r="CU86">
        <f>IF(ISNUMBER(CQ86),IFERROR(MAX(0,CQ86-CA33),0),0)</f>
        <v>0</v>
      </c>
    </row>
    <row r="87" spans="1:99" x14ac:dyDescent="0.3">
      <c r="A87">
        <v>81</v>
      </c>
      <c r="B87">
        <f>IF(A87&lt;=$B$2,IF(INDEX(Gantt!$A$7:$A$119,A87)&lt;&gt;"",1,0),0)</f>
        <v>0</v>
      </c>
      <c r="C87" t="e">
        <f>IF(B87=1,INDEX(Gantt!$C$7:$C$119,A87),NA())</f>
        <v>#N/A</v>
      </c>
      <c r="D87" t="e">
        <f>IF(B87=1,INDEX(Gantt!$D$7:$D$119,A87)+1,NA())</f>
        <v>#N/A</v>
      </c>
      <c r="E87">
        <f>IF(B87=1,INDEX(Gantt!$BN$7:$BN$119,A87),0)</f>
        <v>0</v>
      </c>
      <c r="F87">
        <f>IF(B87=1,N(INDEX(Gantt!$F$7:$F$119,A87)),0)</f>
        <v>0</v>
      </c>
      <c r="G87">
        <f t="shared" si="82"/>
        <v>0</v>
      </c>
      <c r="H87" t="e">
        <f t="shared" si="83"/>
        <v>#N/A</v>
      </c>
      <c r="I87" t="e">
        <f t="shared" si="84"/>
        <v>#N/A</v>
      </c>
      <c r="J87" t="e">
        <f t="shared" si="85"/>
        <v>#N/A</v>
      </c>
      <c r="K87" t="e">
        <f t="shared" si="86"/>
        <v>#N/A</v>
      </c>
      <c r="L87" t="e">
        <f t="shared" si="87"/>
        <v>#N/A</v>
      </c>
      <c r="M87" t="e">
        <f t="shared" si="88"/>
        <v>#N/A</v>
      </c>
      <c r="N87" t="e">
        <f t="shared" si="89"/>
        <v>#N/A</v>
      </c>
      <c r="O87" t="e">
        <f t="shared" si="90"/>
        <v>#N/A</v>
      </c>
      <c r="P87" t="e">
        <f t="shared" si="91"/>
        <v>#N/A</v>
      </c>
      <c r="Q87" t="str">
        <f>IF(B87=1,INDEX(Gantt!$A$7:$A$119,A87)&amp;"   "&amp;INDEX(Gantt!$B$7:$B$119,A87),"")</f>
        <v/>
      </c>
      <c r="R87" t="e">
        <f t="shared" si="92"/>
        <v>#N/A</v>
      </c>
      <c r="S87">
        <f t="shared" si="93"/>
        <v>0</v>
      </c>
      <c r="T87">
        <f t="shared" si="94"/>
        <v>0</v>
      </c>
      <c r="U87">
        <v>81</v>
      </c>
      <c r="V87">
        <f t="shared" si="95"/>
        <v>21</v>
      </c>
      <c r="W87">
        <f t="shared" si="96"/>
        <v>1</v>
      </c>
      <c r="X87">
        <f t="shared" si="97"/>
        <v>0</v>
      </c>
      <c r="Y87">
        <f>IF(X87&lt;&gt;1,9999,CHOOSE(W87,INDEX(Gantt!$BQ$7:$BQ$119,V87),INDEX(Gantt!$BR$7:$BR$119,V87),INDEX(Gantt!$BT$7:$BT$119,V87),INDEX(Gantt!$BU$7:$BU$119,V87)))</f>
        <v>9999</v>
      </c>
      <c r="Z87">
        <f t="shared" si="98"/>
        <v>0</v>
      </c>
      <c r="AA87" t="e">
        <f t="shared" si="99"/>
        <v>#N/A</v>
      </c>
      <c r="AB87" t="e">
        <f t="shared" si="100"/>
        <v>#N/A</v>
      </c>
      <c r="AC87" t="e">
        <f t="shared" si="101"/>
        <v>#N/A</v>
      </c>
      <c r="AD87" t="e">
        <f t="shared" si="102"/>
        <v>#N/A</v>
      </c>
      <c r="AE87" t="e">
        <f t="shared" si="103"/>
        <v>#N/A</v>
      </c>
      <c r="AF87" t="e">
        <f t="shared" si="104"/>
        <v>#N/A</v>
      </c>
      <c r="AG87" t="e">
        <f t="shared" si="105"/>
        <v>#N/A</v>
      </c>
      <c r="AH87" t="e">
        <f t="shared" si="106"/>
        <v>#N/A</v>
      </c>
      <c r="AI87" t="e">
        <f t="shared" si="107"/>
        <v>#N/A</v>
      </c>
      <c r="AJ87" t="e">
        <f t="shared" si="108"/>
        <v>#N/A</v>
      </c>
      <c r="AK87" t="e">
        <f t="shared" si="109"/>
        <v>#N/A</v>
      </c>
      <c r="AL87" t="e">
        <f t="shared" si="110"/>
        <v>#N/A</v>
      </c>
      <c r="AM87" t="e">
        <f t="shared" si="111"/>
        <v>#N/A</v>
      </c>
      <c r="AN87" t="e">
        <f t="shared" si="112"/>
        <v>#N/A</v>
      </c>
      <c r="AO87" t="e">
        <f t="shared" si="113"/>
        <v>#N/A</v>
      </c>
      <c r="AP87" t="e">
        <f t="shared" si="114"/>
        <v>#N/A</v>
      </c>
      <c r="AQ87" t="e">
        <f t="shared" si="115"/>
        <v>#N/A</v>
      </c>
      <c r="AR87" t="e">
        <f t="shared" si="116"/>
        <v>#N/A</v>
      </c>
      <c r="AS87" t="e">
        <f t="shared" si="117"/>
        <v>#N/A</v>
      </c>
      <c r="AT87" t="e">
        <f t="shared" si="118"/>
        <v>#N/A</v>
      </c>
      <c r="AU87" t="e">
        <f t="shared" si="119"/>
        <v>#N/A</v>
      </c>
      <c r="AV87" t="e">
        <f t="shared" si="120"/>
        <v>#N/A</v>
      </c>
      <c r="AW87" t="e">
        <f t="shared" si="121"/>
        <v>#N/A</v>
      </c>
      <c r="AX87" t="e">
        <f t="shared" si="122"/>
        <v>#N/A</v>
      </c>
      <c r="AY87" t="e">
        <f t="shared" si="123"/>
        <v>#N/A</v>
      </c>
      <c r="BE87" t="e">
        <f>IF(Z87=1,IF(INDEX($C$7:$C$126,V87)&gt;=Gantt!$BF$6,NA(),MATCH(INDEX($C$7:$C$126,V87),Gantt!$J$6:$BE$6,1)),NA())</f>
        <v>#N/A</v>
      </c>
      <c r="BF87" t="e">
        <f>IF(Z87=1,IF((INDEX($D$7:$D$126,AA87)-1)&gt;=Gantt!$BF$6,NA(),IF((INDEX($D$7:$D$126,AA87)-1)&lt;Gantt!$J$6,0,MATCH((INDEX($D$7:$D$126,AA87)-1),Gantt!$J$6:$BE$6,1))),NA())</f>
        <v>#N/A</v>
      </c>
      <c r="BG87" t="e">
        <f t="shared" si="124"/>
        <v>#N/A</v>
      </c>
      <c r="BH87" t="e">
        <f t="shared" si="125"/>
        <v>#N/A</v>
      </c>
      <c r="BI87" t="e">
        <f t="shared" si="126"/>
        <v>#N/A</v>
      </c>
      <c r="BJ87" t="e">
        <f t="shared" si="127"/>
        <v>#N/A</v>
      </c>
      <c r="BK87" t="e">
        <f t="shared" si="128"/>
        <v>#N/A</v>
      </c>
      <c r="BL87" t="e">
        <f t="shared" si="129"/>
        <v>#N/A</v>
      </c>
      <c r="BM87" t="e">
        <f t="shared" si="130"/>
        <v>#N/A</v>
      </c>
      <c r="BN87" t="e">
        <f t="shared" si="131"/>
        <v>#N/A</v>
      </c>
      <c r="BO87" t="e">
        <f t="shared" si="132"/>
        <v>#N/A</v>
      </c>
      <c r="BP87" t="e">
        <f t="shared" si="133"/>
        <v>#N/A</v>
      </c>
      <c r="BQ87" t="e">
        <f t="shared" si="134"/>
        <v>#N/A</v>
      </c>
      <c r="BR87" t="e">
        <f t="shared" si="135"/>
        <v>#N/A</v>
      </c>
      <c r="BS87" t="e">
        <f t="shared" si="136"/>
        <v>#N/A</v>
      </c>
      <c r="BT87" t="e">
        <f t="shared" si="137"/>
        <v>#N/A</v>
      </c>
      <c r="BU87" t="e">
        <f t="shared" si="138"/>
        <v>#N/A</v>
      </c>
      <c r="BV87" t="e">
        <f t="shared" si="139"/>
        <v>#N/A</v>
      </c>
      <c r="BW87" t="e">
        <f t="shared" si="140"/>
        <v>#N/A</v>
      </c>
      <c r="BX87" t="e">
        <f t="shared" si="141"/>
        <v>#N/A</v>
      </c>
      <c r="BY87" t="e">
        <f t="shared" si="142"/>
        <v>#N/A</v>
      </c>
      <c r="BZ87" t="e">
        <f t="shared" si="143"/>
        <v>#N/A</v>
      </c>
      <c r="CA87" t="e">
        <f t="shared" si="144"/>
        <v>#N/A</v>
      </c>
      <c r="CB87" t="e">
        <f t="shared" si="145"/>
        <v>#N/A</v>
      </c>
      <c r="CC87" t="e">
        <f t="shared" si="146"/>
        <v>#N/A</v>
      </c>
      <c r="CD87" t="e">
        <f t="shared" si="147"/>
        <v>#N/A</v>
      </c>
      <c r="CE87" t="e">
        <f t="shared" si="148"/>
        <v>#N/A</v>
      </c>
      <c r="CF87" t="e">
        <f t="shared" si="149"/>
        <v>#N/A</v>
      </c>
      <c r="CG87" t="e">
        <f t="shared" si="150"/>
        <v>#N/A</v>
      </c>
      <c r="CI87" t="e">
        <f>AT33</f>
        <v>#N/A</v>
      </c>
      <c r="CJ87" t="e">
        <f>AU33</f>
        <v>#N/A</v>
      </c>
      <c r="CK87">
        <f>IF(ISNUMBER(CI87),IFERROR(MAX(0,AV33-CI87),0),0)</f>
        <v>0</v>
      </c>
      <c r="CL87">
        <f>IF(ISNUMBER(CI87),IFERROR(MAX(0,CI87-AV33),0),0)</f>
        <v>0</v>
      </c>
      <c r="CM87">
        <f>IF(ISNUMBER(CJ87),IFERROR(MAX(0,AW33-CJ87),0),0)</f>
        <v>0</v>
      </c>
      <c r="CN87">
        <f>IF(ISNUMBER(CJ87),IFERROR(MAX(0,CJ87-AW33),0),0)</f>
        <v>0</v>
      </c>
      <c r="CP87" t="e">
        <f>CB33</f>
        <v>#N/A</v>
      </c>
      <c r="CQ87" t="e">
        <f>CC33</f>
        <v>#N/A</v>
      </c>
      <c r="CR87">
        <f>IF(ISNUMBER(CP87),IFERROR(MAX(0,CD33-CP87),0),0)</f>
        <v>0</v>
      </c>
      <c r="CS87">
        <f>IF(ISNUMBER(CP87),IFERROR(MAX(0,CP87-CD33),0),0)</f>
        <v>0</v>
      </c>
      <c r="CT87">
        <f>IF(ISNUMBER(CQ87),IFERROR(MAX(0,CE33-CQ87),0),0)</f>
        <v>0</v>
      </c>
      <c r="CU87">
        <f>IF(ISNUMBER(CQ87),IFERROR(MAX(0,CQ87-CE33),0),0)</f>
        <v>0</v>
      </c>
    </row>
    <row r="88" spans="1:99" x14ac:dyDescent="0.3">
      <c r="A88">
        <v>82</v>
      </c>
      <c r="B88">
        <f>IF(A88&lt;=$B$2,IF(INDEX(Gantt!$A$7:$A$119,A88)&lt;&gt;"",1,0),0)</f>
        <v>0</v>
      </c>
      <c r="C88" t="e">
        <f>IF(B88=1,INDEX(Gantt!$C$7:$C$119,A88),NA())</f>
        <v>#N/A</v>
      </c>
      <c r="D88" t="e">
        <f>IF(B88=1,INDEX(Gantt!$D$7:$D$119,A88)+1,NA())</f>
        <v>#N/A</v>
      </c>
      <c r="E88">
        <f>IF(B88=1,INDEX(Gantt!$BN$7:$BN$119,A88),0)</f>
        <v>0</v>
      </c>
      <c r="F88">
        <f>IF(B88=1,N(INDEX(Gantt!$F$7:$F$119,A88)),0)</f>
        <v>0</v>
      </c>
      <c r="G88">
        <f t="shared" si="82"/>
        <v>0</v>
      </c>
      <c r="H88" t="e">
        <f t="shared" si="83"/>
        <v>#N/A</v>
      </c>
      <c r="I88" t="e">
        <f t="shared" si="84"/>
        <v>#N/A</v>
      </c>
      <c r="J88" t="e">
        <f t="shared" si="85"/>
        <v>#N/A</v>
      </c>
      <c r="K88" t="e">
        <f t="shared" si="86"/>
        <v>#N/A</v>
      </c>
      <c r="L88" t="e">
        <f t="shared" si="87"/>
        <v>#N/A</v>
      </c>
      <c r="M88" t="e">
        <f t="shared" si="88"/>
        <v>#N/A</v>
      </c>
      <c r="N88" t="e">
        <f t="shared" si="89"/>
        <v>#N/A</v>
      </c>
      <c r="O88" t="e">
        <f t="shared" si="90"/>
        <v>#N/A</v>
      </c>
      <c r="P88" t="e">
        <f t="shared" si="91"/>
        <v>#N/A</v>
      </c>
      <c r="Q88" t="str">
        <f>IF(B88=1,INDEX(Gantt!$A$7:$A$119,A88)&amp;"   "&amp;INDEX(Gantt!$B$7:$B$119,A88),"")</f>
        <v/>
      </c>
      <c r="R88" t="e">
        <f t="shared" si="92"/>
        <v>#N/A</v>
      </c>
      <c r="S88">
        <f t="shared" si="93"/>
        <v>0</v>
      </c>
      <c r="T88">
        <f t="shared" si="94"/>
        <v>0</v>
      </c>
      <c r="U88">
        <v>82</v>
      </c>
      <c r="V88">
        <f t="shared" si="95"/>
        <v>21</v>
      </c>
      <c r="W88">
        <f t="shared" si="96"/>
        <v>2</v>
      </c>
      <c r="X88">
        <f t="shared" si="97"/>
        <v>0</v>
      </c>
      <c r="Y88">
        <f>IF(X88&lt;&gt;1,9999,CHOOSE(W88,INDEX(Gantt!$BQ$7:$BQ$119,V88),INDEX(Gantt!$BR$7:$BR$119,V88),INDEX(Gantt!$BT$7:$BT$119,V88),INDEX(Gantt!$BU$7:$BU$119,V88)))</f>
        <v>9999</v>
      </c>
      <c r="Z88">
        <f t="shared" si="98"/>
        <v>0</v>
      </c>
      <c r="AA88" t="e">
        <f t="shared" si="99"/>
        <v>#N/A</v>
      </c>
      <c r="AB88" t="e">
        <f t="shared" si="100"/>
        <v>#N/A</v>
      </c>
      <c r="AC88" t="e">
        <f t="shared" si="101"/>
        <v>#N/A</v>
      </c>
      <c r="AD88" t="e">
        <f t="shared" si="102"/>
        <v>#N/A</v>
      </c>
      <c r="AE88" t="e">
        <f t="shared" si="103"/>
        <v>#N/A</v>
      </c>
      <c r="AF88" t="e">
        <f t="shared" si="104"/>
        <v>#N/A</v>
      </c>
      <c r="AG88" t="e">
        <f t="shared" si="105"/>
        <v>#N/A</v>
      </c>
      <c r="AH88" t="e">
        <f t="shared" si="106"/>
        <v>#N/A</v>
      </c>
      <c r="AI88" t="e">
        <f t="shared" si="107"/>
        <v>#N/A</v>
      </c>
      <c r="AJ88" t="e">
        <f t="shared" si="108"/>
        <v>#N/A</v>
      </c>
      <c r="AK88" t="e">
        <f t="shared" si="109"/>
        <v>#N/A</v>
      </c>
      <c r="AL88" t="e">
        <f t="shared" si="110"/>
        <v>#N/A</v>
      </c>
      <c r="AM88" t="e">
        <f t="shared" si="111"/>
        <v>#N/A</v>
      </c>
      <c r="AN88" t="e">
        <f t="shared" si="112"/>
        <v>#N/A</v>
      </c>
      <c r="AO88" t="e">
        <f t="shared" si="113"/>
        <v>#N/A</v>
      </c>
      <c r="AP88" t="e">
        <f t="shared" si="114"/>
        <v>#N/A</v>
      </c>
      <c r="AQ88" t="e">
        <f t="shared" si="115"/>
        <v>#N/A</v>
      </c>
      <c r="AR88" t="e">
        <f t="shared" si="116"/>
        <v>#N/A</v>
      </c>
      <c r="AS88" t="e">
        <f t="shared" si="117"/>
        <v>#N/A</v>
      </c>
      <c r="AT88" t="e">
        <f t="shared" si="118"/>
        <v>#N/A</v>
      </c>
      <c r="AU88" t="e">
        <f t="shared" si="119"/>
        <v>#N/A</v>
      </c>
      <c r="AV88" t="e">
        <f t="shared" si="120"/>
        <v>#N/A</v>
      </c>
      <c r="AW88" t="e">
        <f t="shared" si="121"/>
        <v>#N/A</v>
      </c>
      <c r="AX88" t="e">
        <f t="shared" si="122"/>
        <v>#N/A</v>
      </c>
      <c r="AY88" t="e">
        <f t="shared" si="123"/>
        <v>#N/A</v>
      </c>
      <c r="BE88" t="e">
        <f>IF(Z88=1,IF(INDEX($C$7:$C$126,V88)&gt;=Gantt!$BF$6,NA(),MATCH(INDEX($C$7:$C$126,V88),Gantt!$J$6:$BE$6,1)),NA())</f>
        <v>#N/A</v>
      </c>
      <c r="BF88" t="e">
        <f>IF(Z88=1,IF((INDEX($D$7:$D$126,AA88)-1)&gt;=Gantt!$BF$6,NA(),IF((INDEX($D$7:$D$126,AA88)-1)&lt;Gantt!$J$6,0,MATCH((INDEX($D$7:$D$126,AA88)-1),Gantt!$J$6:$BE$6,1))),NA())</f>
        <v>#N/A</v>
      </c>
      <c r="BG88" t="e">
        <f t="shared" si="124"/>
        <v>#N/A</v>
      </c>
      <c r="BH88" t="e">
        <f t="shared" si="125"/>
        <v>#N/A</v>
      </c>
      <c r="BI88" t="e">
        <f t="shared" si="126"/>
        <v>#N/A</v>
      </c>
      <c r="BJ88" t="e">
        <f t="shared" si="127"/>
        <v>#N/A</v>
      </c>
      <c r="BK88" t="e">
        <f t="shared" si="128"/>
        <v>#N/A</v>
      </c>
      <c r="BL88" t="e">
        <f t="shared" si="129"/>
        <v>#N/A</v>
      </c>
      <c r="BM88" t="e">
        <f t="shared" si="130"/>
        <v>#N/A</v>
      </c>
      <c r="BN88" t="e">
        <f t="shared" si="131"/>
        <v>#N/A</v>
      </c>
      <c r="BO88" t="e">
        <f t="shared" si="132"/>
        <v>#N/A</v>
      </c>
      <c r="BP88" t="e">
        <f t="shared" si="133"/>
        <v>#N/A</v>
      </c>
      <c r="BQ88" t="e">
        <f t="shared" si="134"/>
        <v>#N/A</v>
      </c>
      <c r="BR88" t="e">
        <f t="shared" si="135"/>
        <v>#N/A</v>
      </c>
      <c r="BS88" t="e">
        <f t="shared" si="136"/>
        <v>#N/A</v>
      </c>
      <c r="BT88" t="e">
        <f t="shared" si="137"/>
        <v>#N/A</v>
      </c>
      <c r="BU88" t="e">
        <f t="shared" si="138"/>
        <v>#N/A</v>
      </c>
      <c r="BV88" t="e">
        <f t="shared" si="139"/>
        <v>#N/A</v>
      </c>
      <c r="BW88" t="e">
        <f t="shared" si="140"/>
        <v>#N/A</v>
      </c>
      <c r="BX88" t="e">
        <f t="shared" si="141"/>
        <v>#N/A</v>
      </c>
      <c r="BY88" t="e">
        <f t="shared" si="142"/>
        <v>#N/A</v>
      </c>
      <c r="BZ88" t="e">
        <f t="shared" si="143"/>
        <v>#N/A</v>
      </c>
      <c r="CA88" t="e">
        <f t="shared" si="144"/>
        <v>#N/A</v>
      </c>
      <c r="CB88" t="e">
        <f t="shared" si="145"/>
        <v>#N/A</v>
      </c>
      <c r="CC88" t="e">
        <f t="shared" si="146"/>
        <v>#N/A</v>
      </c>
      <c r="CD88" t="e">
        <f t="shared" si="147"/>
        <v>#N/A</v>
      </c>
      <c r="CE88" t="e">
        <f t="shared" si="148"/>
        <v>#N/A</v>
      </c>
      <c r="CF88" t="e">
        <f t="shared" si="149"/>
        <v>#N/A</v>
      </c>
      <c r="CG88" t="e">
        <f t="shared" si="150"/>
        <v>#N/A</v>
      </c>
      <c r="CI88" t="e">
        <f>AL34</f>
        <v>#N/A</v>
      </c>
      <c r="CJ88" t="e">
        <f>AM34</f>
        <v>#N/A</v>
      </c>
      <c r="CK88">
        <f>IF(ISNUMBER(CI88),IFERROR(MAX(0,AN34-CI88),0),0)</f>
        <v>0</v>
      </c>
      <c r="CL88">
        <f>IF(ISNUMBER(CI88),IFERROR(MAX(0,CI88-AN34),0),0)</f>
        <v>0</v>
      </c>
      <c r="CM88">
        <f>IF(ISNUMBER(CJ88),IFERROR(MAX(0,AO34-CJ88),0),0)</f>
        <v>0</v>
      </c>
      <c r="CN88">
        <f>IF(ISNUMBER(CJ88),IFERROR(MAX(0,CJ88-AO34),0),0)</f>
        <v>0</v>
      </c>
      <c r="CP88" t="e">
        <f>BT34</f>
        <v>#N/A</v>
      </c>
      <c r="CQ88" t="e">
        <f>BU34</f>
        <v>#N/A</v>
      </c>
      <c r="CR88">
        <f>IF(ISNUMBER(CP88),IFERROR(MAX(0,BV34-CP88),0),0)</f>
        <v>0</v>
      </c>
      <c r="CS88">
        <f>IF(ISNUMBER(CP88),IFERROR(MAX(0,CP88-BV34),0),0)</f>
        <v>0</v>
      </c>
      <c r="CT88">
        <f>IF(ISNUMBER(CQ88),IFERROR(MAX(0,BW34-CQ88),0),0)</f>
        <v>0</v>
      </c>
      <c r="CU88">
        <f>IF(ISNUMBER(CQ88),IFERROR(MAX(0,CQ88-BW34),0),0)</f>
        <v>0</v>
      </c>
    </row>
    <row r="89" spans="1:99" x14ac:dyDescent="0.3">
      <c r="A89">
        <v>83</v>
      </c>
      <c r="B89">
        <f>IF(A89&lt;=$B$2,IF(INDEX(Gantt!$A$7:$A$119,A89)&lt;&gt;"",1,0),0)</f>
        <v>0</v>
      </c>
      <c r="C89" t="e">
        <f>IF(B89=1,INDEX(Gantt!$C$7:$C$119,A89),NA())</f>
        <v>#N/A</v>
      </c>
      <c r="D89" t="e">
        <f>IF(B89=1,INDEX(Gantt!$D$7:$D$119,A89)+1,NA())</f>
        <v>#N/A</v>
      </c>
      <c r="E89">
        <f>IF(B89=1,INDEX(Gantt!$BN$7:$BN$119,A89),0)</f>
        <v>0</v>
      </c>
      <c r="F89">
        <f>IF(B89=1,N(INDEX(Gantt!$F$7:$F$119,A89)),0)</f>
        <v>0</v>
      </c>
      <c r="G89">
        <f t="shared" si="82"/>
        <v>0</v>
      </c>
      <c r="H89" t="e">
        <f t="shared" si="83"/>
        <v>#N/A</v>
      </c>
      <c r="I89" t="e">
        <f t="shared" si="84"/>
        <v>#N/A</v>
      </c>
      <c r="J89" t="e">
        <f t="shared" si="85"/>
        <v>#N/A</v>
      </c>
      <c r="K89" t="e">
        <f t="shared" si="86"/>
        <v>#N/A</v>
      </c>
      <c r="L89" t="e">
        <f t="shared" si="87"/>
        <v>#N/A</v>
      </c>
      <c r="M89" t="e">
        <f t="shared" si="88"/>
        <v>#N/A</v>
      </c>
      <c r="N89" t="e">
        <f t="shared" si="89"/>
        <v>#N/A</v>
      </c>
      <c r="O89" t="e">
        <f t="shared" si="90"/>
        <v>#N/A</v>
      </c>
      <c r="P89" t="e">
        <f t="shared" si="91"/>
        <v>#N/A</v>
      </c>
      <c r="Q89" t="str">
        <f>IF(B89=1,INDEX(Gantt!$A$7:$A$119,A89)&amp;"   "&amp;INDEX(Gantt!$B$7:$B$119,A89),"")</f>
        <v/>
      </c>
      <c r="R89" t="e">
        <f t="shared" si="92"/>
        <v>#N/A</v>
      </c>
      <c r="S89">
        <f t="shared" si="93"/>
        <v>0</v>
      </c>
      <c r="T89">
        <f t="shared" si="94"/>
        <v>0</v>
      </c>
      <c r="U89">
        <v>83</v>
      </c>
      <c r="V89">
        <f t="shared" si="95"/>
        <v>21</v>
      </c>
      <c r="W89">
        <f t="shared" si="96"/>
        <v>3</v>
      </c>
      <c r="X89">
        <f t="shared" si="97"/>
        <v>0</v>
      </c>
      <c r="Y89">
        <f>IF(X89&lt;&gt;1,9999,CHOOSE(W89,INDEX(Gantt!$BQ$7:$BQ$119,V89),INDEX(Gantt!$BR$7:$BR$119,V89),INDEX(Gantt!$BT$7:$BT$119,V89),INDEX(Gantt!$BU$7:$BU$119,V89)))</f>
        <v>9999</v>
      </c>
      <c r="Z89">
        <f t="shared" si="98"/>
        <v>0</v>
      </c>
      <c r="AA89" t="e">
        <f t="shared" si="99"/>
        <v>#N/A</v>
      </c>
      <c r="AB89" t="e">
        <f t="shared" si="100"/>
        <v>#N/A</v>
      </c>
      <c r="AC89" t="e">
        <f t="shared" si="101"/>
        <v>#N/A</v>
      </c>
      <c r="AD89" t="e">
        <f t="shared" si="102"/>
        <v>#N/A</v>
      </c>
      <c r="AE89" t="e">
        <f t="shared" si="103"/>
        <v>#N/A</v>
      </c>
      <c r="AF89" t="e">
        <f t="shared" si="104"/>
        <v>#N/A</v>
      </c>
      <c r="AG89" t="e">
        <f t="shared" si="105"/>
        <v>#N/A</v>
      </c>
      <c r="AH89" t="e">
        <f t="shared" si="106"/>
        <v>#N/A</v>
      </c>
      <c r="AI89" t="e">
        <f t="shared" si="107"/>
        <v>#N/A</v>
      </c>
      <c r="AJ89" t="e">
        <f t="shared" si="108"/>
        <v>#N/A</v>
      </c>
      <c r="AK89" t="e">
        <f t="shared" si="109"/>
        <v>#N/A</v>
      </c>
      <c r="AL89" t="e">
        <f t="shared" si="110"/>
        <v>#N/A</v>
      </c>
      <c r="AM89" t="e">
        <f t="shared" si="111"/>
        <v>#N/A</v>
      </c>
      <c r="AN89" t="e">
        <f t="shared" si="112"/>
        <v>#N/A</v>
      </c>
      <c r="AO89" t="e">
        <f t="shared" si="113"/>
        <v>#N/A</v>
      </c>
      <c r="AP89" t="e">
        <f t="shared" si="114"/>
        <v>#N/A</v>
      </c>
      <c r="AQ89" t="e">
        <f t="shared" si="115"/>
        <v>#N/A</v>
      </c>
      <c r="AR89" t="e">
        <f t="shared" si="116"/>
        <v>#N/A</v>
      </c>
      <c r="AS89" t="e">
        <f t="shared" si="117"/>
        <v>#N/A</v>
      </c>
      <c r="AT89" t="e">
        <f t="shared" si="118"/>
        <v>#N/A</v>
      </c>
      <c r="AU89" t="e">
        <f t="shared" si="119"/>
        <v>#N/A</v>
      </c>
      <c r="AV89" t="e">
        <f t="shared" si="120"/>
        <v>#N/A</v>
      </c>
      <c r="AW89" t="e">
        <f t="shared" si="121"/>
        <v>#N/A</v>
      </c>
      <c r="AX89" t="e">
        <f t="shared" si="122"/>
        <v>#N/A</v>
      </c>
      <c r="AY89" t="e">
        <f t="shared" si="123"/>
        <v>#N/A</v>
      </c>
      <c r="BE89" t="e">
        <f>IF(Z89=1,IF(INDEX($C$7:$C$126,V89)&gt;=Gantt!$BF$6,NA(),MATCH(INDEX($C$7:$C$126,V89),Gantt!$J$6:$BE$6,1)),NA())</f>
        <v>#N/A</v>
      </c>
      <c r="BF89" t="e">
        <f>IF(Z89=1,IF((INDEX($D$7:$D$126,AA89)-1)&gt;=Gantt!$BF$6,NA(),IF((INDEX($D$7:$D$126,AA89)-1)&lt;Gantt!$J$6,0,MATCH((INDEX($D$7:$D$126,AA89)-1),Gantt!$J$6:$BE$6,1))),NA())</f>
        <v>#N/A</v>
      </c>
      <c r="BG89" t="e">
        <f t="shared" si="124"/>
        <v>#N/A</v>
      </c>
      <c r="BH89" t="e">
        <f t="shared" si="125"/>
        <v>#N/A</v>
      </c>
      <c r="BI89" t="e">
        <f t="shared" si="126"/>
        <v>#N/A</v>
      </c>
      <c r="BJ89" t="e">
        <f t="shared" si="127"/>
        <v>#N/A</v>
      </c>
      <c r="BK89" t="e">
        <f t="shared" si="128"/>
        <v>#N/A</v>
      </c>
      <c r="BL89" t="e">
        <f t="shared" si="129"/>
        <v>#N/A</v>
      </c>
      <c r="BM89" t="e">
        <f t="shared" si="130"/>
        <v>#N/A</v>
      </c>
      <c r="BN89" t="e">
        <f t="shared" si="131"/>
        <v>#N/A</v>
      </c>
      <c r="BO89" t="e">
        <f t="shared" si="132"/>
        <v>#N/A</v>
      </c>
      <c r="BP89" t="e">
        <f t="shared" si="133"/>
        <v>#N/A</v>
      </c>
      <c r="BQ89" t="e">
        <f t="shared" si="134"/>
        <v>#N/A</v>
      </c>
      <c r="BR89" t="e">
        <f t="shared" si="135"/>
        <v>#N/A</v>
      </c>
      <c r="BS89" t="e">
        <f t="shared" si="136"/>
        <v>#N/A</v>
      </c>
      <c r="BT89" t="e">
        <f t="shared" si="137"/>
        <v>#N/A</v>
      </c>
      <c r="BU89" t="e">
        <f t="shared" si="138"/>
        <v>#N/A</v>
      </c>
      <c r="BV89" t="e">
        <f t="shared" si="139"/>
        <v>#N/A</v>
      </c>
      <c r="BW89" t="e">
        <f t="shared" si="140"/>
        <v>#N/A</v>
      </c>
      <c r="BX89" t="e">
        <f t="shared" si="141"/>
        <v>#N/A</v>
      </c>
      <c r="BY89" t="e">
        <f t="shared" si="142"/>
        <v>#N/A</v>
      </c>
      <c r="BZ89" t="e">
        <f t="shared" si="143"/>
        <v>#N/A</v>
      </c>
      <c r="CA89" t="e">
        <f t="shared" si="144"/>
        <v>#N/A</v>
      </c>
      <c r="CB89" t="e">
        <f t="shared" si="145"/>
        <v>#N/A</v>
      </c>
      <c r="CC89" t="e">
        <f t="shared" si="146"/>
        <v>#N/A</v>
      </c>
      <c r="CD89" t="e">
        <f t="shared" si="147"/>
        <v>#N/A</v>
      </c>
      <c r="CE89" t="e">
        <f t="shared" si="148"/>
        <v>#N/A</v>
      </c>
      <c r="CF89" t="e">
        <f t="shared" si="149"/>
        <v>#N/A</v>
      </c>
      <c r="CG89" t="e">
        <f t="shared" si="150"/>
        <v>#N/A</v>
      </c>
      <c r="CI89" t="e">
        <f>AP34</f>
        <v>#N/A</v>
      </c>
      <c r="CJ89" t="e">
        <f>AQ34</f>
        <v>#N/A</v>
      </c>
      <c r="CK89">
        <f>IF(ISNUMBER(CI89),IFERROR(MAX(0,AR34-CI89),0),0)</f>
        <v>0</v>
      </c>
      <c r="CL89">
        <f>IF(ISNUMBER(CI89),IFERROR(MAX(0,CI89-AR34),0),0)</f>
        <v>0</v>
      </c>
      <c r="CM89">
        <f>IF(ISNUMBER(CJ89),IFERROR(MAX(0,AS34-CJ89),0),0)</f>
        <v>0</v>
      </c>
      <c r="CN89">
        <f>IF(ISNUMBER(CJ89),IFERROR(MAX(0,CJ89-AS34),0),0)</f>
        <v>0</v>
      </c>
      <c r="CP89" t="e">
        <f>BX34</f>
        <v>#N/A</v>
      </c>
      <c r="CQ89" t="e">
        <f>BY34</f>
        <v>#N/A</v>
      </c>
      <c r="CR89">
        <f>IF(ISNUMBER(CP89),IFERROR(MAX(0,BZ34-CP89),0),0)</f>
        <v>0</v>
      </c>
      <c r="CS89">
        <f>IF(ISNUMBER(CP89),IFERROR(MAX(0,CP89-BZ34),0),0)</f>
        <v>0</v>
      </c>
      <c r="CT89">
        <f>IF(ISNUMBER(CQ89),IFERROR(MAX(0,CA34-CQ89),0),0)</f>
        <v>0</v>
      </c>
      <c r="CU89">
        <f>IF(ISNUMBER(CQ89),IFERROR(MAX(0,CQ89-CA34),0),0)</f>
        <v>0</v>
      </c>
    </row>
    <row r="90" spans="1:99" x14ac:dyDescent="0.3">
      <c r="A90">
        <v>84</v>
      </c>
      <c r="B90">
        <f>IF(A90&lt;=$B$2,IF(INDEX(Gantt!$A$7:$A$119,A90)&lt;&gt;"",1,0),0)</f>
        <v>0</v>
      </c>
      <c r="C90" t="e">
        <f>IF(B90=1,INDEX(Gantt!$C$7:$C$119,A90),NA())</f>
        <v>#N/A</v>
      </c>
      <c r="D90" t="e">
        <f>IF(B90=1,INDEX(Gantt!$D$7:$D$119,A90)+1,NA())</f>
        <v>#N/A</v>
      </c>
      <c r="E90">
        <f>IF(B90=1,INDEX(Gantt!$BN$7:$BN$119,A90),0)</f>
        <v>0</v>
      </c>
      <c r="F90">
        <f>IF(B90=1,N(INDEX(Gantt!$F$7:$F$119,A90)),0)</f>
        <v>0</v>
      </c>
      <c r="G90">
        <f t="shared" si="82"/>
        <v>0</v>
      </c>
      <c r="H90" t="e">
        <f t="shared" si="83"/>
        <v>#N/A</v>
      </c>
      <c r="I90" t="e">
        <f t="shared" si="84"/>
        <v>#N/A</v>
      </c>
      <c r="J90" t="e">
        <f t="shared" si="85"/>
        <v>#N/A</v>
      </c>
      <c r="K90" t="e">
        <f t="shared" si="86"/>
        <v>#N/A</v>
      </c>
      <c r="L90" t="e">
        <f t="shared" si="87"/>
        <v>#N/A</v>
      </c>
      <c r="M90" t="e">
        <f t="shared" si="88"/>
        <v>#N/A</v>
      </c>
      <c r="N90" t="e">
        <f t="shared" si="89"/>
        <v>#N/A</v>
      </c>
      <c r="O90" t="e">
        <f t="shared" si="90"/>
        <v>#N/A</v>
      </c>
      <c r="P90" t="e">
        <f t="shared" si="91"/>
        <v>#N/A</v>
      </c>
      <c r="Q90" t="str">
        <f>IF(B90=1,INDEX(Gantt!$A$7:$A$119,A90)&amp;"   "&amp;INDEX(Gantt!$B$7:$B$119,A90),"")</f>
        <v/>
      </c>
      <c r="R90" t="e">
        <f t="shared" si="92"/>
        <v>#N/A</v>
      </c>
      <c r="S90">
        <f t="shared" si="93"/>
        <v>0</v>
      </c>
      <c r="T90">
        <f t="shared" si="94"/>
        <v>0</v>
      </c>
      <c r="U90">
        <v>84</v>
      </c>
      <c r="V90">
        <f t="shared" si="95"/>
        <v>21</v>
      </c>
      <c r="W90">
        <f t="shared" si="96"/>
        <v>4</v>
      </c>
      <c r="X90">
        <f t="shared" si="97"/>
        <v>0</v>
      </c>
      <c r="Y90">
        <f>IF(X90&lt;&gt;1,9999,CHOOSE(W90,INDEX(Gantt!$BQ$7:$BQ$119,V90),INDEX(Gantt!$BR$7:$BR$119,V90),INDEX(Gantt!$BT$7:$BT$119,V90),INDEX(Gantt!$BU$7:$BU$119,V90)))</f>
        <v>9999</v>
      </c>
      <c r="Z90">
        <f t="shared" si="98"/>
        <v>0</v>
      </c>
      <c r="AA90" t="e">
        <f t="shared" si="99"/>
        <v>#N/A</v>
      </c>
      <c r="AB90" t="e">
        <f t="shared" si="100"/>
        <v>#N/A</v>
      </c>
      <c r="AC90" t="e">
        <f t="shared" si="101"/>
        <v>#N/A</v>
      </c>
      <c r="AD90" t="e">
        <f t="shared" si="102"/>
        <v>#N/A</v>
      </c>
      <c r="AE90" t="e">
        <f t="shared" si="103"/>
        <v>#N/A</v>
      </c>
      <c r="AF90" t="e">
        <f t="shared" si="104"/>
        <v>#N/A</v>
      </c>
      <c r="AG90" t="e">
        <f t="shared" si="105"/>
        <v>#N/A</v>
      </c>
      <c r="AH90" t="e">
        <f t="shared" si="106"/>
        <v>#N/A</v>
      </c>
      <c r="AI90" t="e">
        <f t="shared" si="107"/>
        <v>#N/A</v>
      </c>
      <c r="AJ90" t="e">
        <f t="shared" si="108"/>
        <v>#N/A</v>
      </c>
      <c r="AK90" t="e">
        <f t="shared" si="109"/>
        <v>#N/A</v>
      </c>
      <c r="AL90" t="e">
        <f t="shared" si="110"/>
        <v>#N/A</v>
      </c>
      <c r="AM90" t="e">
        <f t="shared" si="111"/>
        <v>#N/A</v>
      </c>
      <c r="AN90" t="e">
        <f t="shared" si="112"/>
        <v>#N/A</v>
      </c>
      <c r="AO90" t="e">
        <f t="shared" si="113"/>
        <v>#N/A</v>
      </c>
      <c r="AP90" t="e">
        <f t="shared" si="114"/>
        <v>#N/A</v>
      </c>
      <c r="AQ90" t="e">
        <f t="shared" si="115"/>
        <v>#N/A</v>
      </c>
      <c r="AR90" t="e">
        <f t="shared" si="116"/>
        <v>#N/A</v>
      </c>
      <c r="AS90" t="e">
        <f t="shared" si="117"/>
        <v>#N/A</v>
      </c>
      <c r="AT90" t="e">
        <f t="shared" si="118"/>
        <v>#N/A</v>
      </c>
      <c r="AU90" t="e">
        <f t="shared" si="119"/>
        <v>#N/A</v>
      </c>
      <c r="AV90" t="e">
        <f t="shared" si="120"/>
        <v>#N/A</v>
      </c>
      <c r="AW90" t="e">
        <f t="shared" si="121"/>
        <v>#N/A</v>
      </c>
      <c r="AX90" t="e">
        <f t="shared" si="122"/>
        <v>#N/A</v>
      </c>
      <c r="AY90" t="e">
        <f t="shared" si="123"/>
        <v>#N/A</v>
      </c>
      <c r="BE90" t="e">
        <f>IF(Z90=1,IF(INDEX($C$7:$C$126,V90)&gt;=Gantt!$BF$6,NA(),MATCH(INDEX($C$7:$C$126,V90),Gantt!$J$6:$BE$6,1)),NA())</f>
        <v>#N/A</v>
      </c>
      <c r="BF90" t="e">
        <f>IF(Z90=1,IF((INDEX($D$7:$D$126,AA90)-1)&gt;=Gantt!$BF$6,NA(),IF((INDEX($D$7:$D$126,AA90)-1)&lt;Gantt!$J$6,0,MATCH((INDEX($D$7:$D$126,AA90)-1),Gantt!$J$6:$BE$6,1))),NA())</f>
        <v>#N/A</v>
      </c>
      <c r="BG90" t="e">
        <f t="shared" si="124"/>
        <v>#N/A</v>
      </c>
      <c r="BH90" t="e">
        <f t="shared" si="125"/>
        <v>#N/A</v>
      </c>
      <c r="BI90" t="e">
        <f t="shared" si="126"/>
        <v>#N/A</v>
      </c>
      <c r="BJ90" t="e">
        <f t="shared" si="127"/>
        <v>#N/A</v>
      </c>
      <c r="BK90" t="e">
        <f t="shared" si="128"/>
        <v>#N/A</v>
      </c>
      <c r="BL90" t="e">
        <f t="shared" si="129"/>
        <v>#N/A</v>
      </c>
      <c r="BM90" t="e">
        <f t="shared" si="130"/>
        <v>#N/A</v>
      </c>
      <c r="BN90" t="e">
        <f t="shared" si="131"/>
        <v>#N/A</v>
      </c>
      <c r="BO90" t="e">
        <f t="shared" si="132"/>
        <v>#N/A</v>
      </c>
      <c r="BP90" t="e">
        <f t="shared" si="133"/>
        <v>#N/A</v>
      </c>
      <c r="BQ90" t="e">
        <f t="shared" si="134"/>
        <v>#N/A</v>
      </c>
      <c r="BR90" t="e">
        <f t="shared" si="135"/>
        <v>#N/A</v>
      </c>
      <c r="BS90" t="e">
        <f t="shared" si="136"/>
        <v>#N/A</v>
      </c>
      <c r="BT90" t="e">
        <f t="shared" si="137"/>
        <v>#N/A</v>
      </c>
      <c r="BU90" t="e">
        <f t="shared" si="138"/>
        <v>#N/A</v>
      </c>
      <c r="BV90" t="e">
        <f t="shared" si="139"/>
        <v>#N/A</v>
      </c>
      <c r="BW90" t="e">
        <f t="shared" si="140"/>
        <v>#N/A</v>
      </c>
      <c r="BX90" t="e">
        <f t="shared" si="141"/>
        <v>#N/A</v>
      </c>
      <c r="BY90" t="e">
        <f t="shared" si="142"/>
        <v>#N/A</v>
      </c>
      <c r="BZ90" t="e">
        <f t="shared" si="143"/>
        <v>#N/A</v>
      </c>
      <c r="CA90" t="e">
        <f t="shared" si="144"/>
        <v>#N/A</v>
      </c>
      <c r="CB90" t="e">
        <f t="shared" si="145"/>
        <v>#N/A</v>
      </c>
      <c r="CC90" t="e">
        <f t="shared" si="146"/>
        <v>#N/A</v>
      </c>
      <c r="CD90" t="e">
        <f t="shared" si="147"/>
        <v>#N/A</v>
      </c>
      <c r="CE90" t="e">
        <f t="shared" si="148"/>
        <v>#N/A</v>
      </c>
      <c r="CF90" t="e">
        <f t="shared" si="149"/>
        <v>#N/A</v>
      </c>
      <c r="CG90" t="e">
        <f t="shared" si="150"/>
        <v>#N/A</v>
      </c>
      <c r="CI90" t="e">
        <f>AT34</f>
        <v>#N/A</v>
      </c>
      <c r="CJ90" t="e">
        <f>AU34</f>
        <v>#N/A</v>
      </c>
      <c r="CK90">
        <f>IF(ISNUMBER(CI90),IFERROR(MAX(0,AV34-CI90),0),0)</f>
        <v>0</v>
      </c>
      <c r="CL90">
        <f>IF(ISNUMBER(CI90),IFERROR(MAX(0,CI90-AV34),0),0)</f>
        <v>0</v>
      </c>
      <c r="CM90">
        <f>IF(ISNUMBER(CJ90),IFERROR(MAX(0,AW34-CJ90),0),0)</f>
        <v>0</v>
      </c>
      <c r="CN90">
        <f>IF(ISNUMBER(CJ90),IFERROR(MAX(0,CJ90-AW34),0),0)</f>
        <v>0</v>
      </c>
      <c r="CP90" t="e">
        <f>CB34</f>
        <v>#N/A</v>
      </c>
      <c r="CQ90" t="e">
        <f>CC34</f>
        <v>#N/A</v>
      </c>
      <c r="CR90">
        <f>IF(ISNUMBER(CP90),IFERROR(MAX(0,CD34-CP90),0),0)</f>
        <v>0</v>
      </c>
      <c r="CS90">
        <f>IF(ISNUMBER(CP90),IFERROR(MAX(0,CP90-CD34),0),0)</f>
        <v>0</v>
      </c>
      <c r="CT90">
        <f>IF(ISNUMBER(CQ90),IFERROR(MAX(0,CE34-CQ90),0),0)</f>
        <v>0</v>
      </c>
      <c r="CU90">
        <f>IF(ISNUMBER(CQ90),IFERROR(MAX(0,CQ90-CE34),0),0)</f>
        <v>0</v>
      </c>
    </row>
    <row r="91" spans="1:99" x14ac:dyDescent="0.3">
      <c r="A91">
        <v>85</v>
      </c>
      <c r="B91">
        <f>IF(A91&lt;=$B$2,IF(INDEX(Gantt!$A$7:$A$119,A91)&lt;&gt;"",1,0),0)</f>
        <v>0</v>
      </c>
      <c r="C91" t="e">
        <f>IF(B91=1,INDEX(Gantt!$C$7:$C$119,A91),NA())</f>
        <v>#N/A</v>
      </c>
      <c r="D91" t="e">
        <f>IF(B91=1,INDEX(Gantt!$D$7:$D$119,A91)+1,NA())</f>
        <v>#N/A</v>
      </c>
      <c r="E91">
        <f>IF(B91=1,INDEX(Gantt!$BN$7:$BN$119,A91),0)</f>
        <v>0</v>
      </c>
      <c r="F91">
        <f>IF(B91=1,N(INDEX(Gantt!$F$7:$F$119,A91)),0)</f>
        <v>0</v>
      </c>
      <c r="G91">
        <f t="shared" si="82"/>
        <v>0</v>
      </c>
      <c r="H91" t="e">
        <f t="shared" si="83"/>
        <v>#N/A</v>
      </c>
      <c r="I91" t="e">
        <f t="shared" si="84"/>
        <v>#N/A</v>
      </c>
      <c r="J91" t="e">
        <f t="shared" si="85"/>
        <v>#N/A</v>
      </c>
      <c r="K91" t="e">
        <f t="shared" si="86"/>
        <v>#N/A</v>
      </c>
      <c r="L91" t="e">
        <f t="shared" si="87"/>
        <v>#N/A</v>
      </c>
      <c r="M91" t="e">
        <f t="shared" si="88"/>
        <v>#N/A</v>
      </c>
      <c r="N91" t="e">
        <f t="shared" si="89"/>
        <v>#N/A</v>
      </c>
      <c r="O91" t="e">
        <f t="shared" si="90"/>
        <v>#N/A</v>
      </c>
      <c r="P91" t="e">
        <f t="shared" si="91"/>
        <v>#N/A</v>
      </c>
      <c r="Q91" t="str">
        <f>IF(B91=1,INDEX(Gantt!$A$7:$A$119,A91)&amp;"   "&amp;INDEX(Gantt!$B$7:$B$119,A91),"")</f>
        <v/>
      </c>
      <c r="R91" t="e">
        <f t="shared" si="92"/>
        <v>#N/A</v>
      </c>
      <c r="S91">
        <f t="shared" si="93"/>
        <v>0</v>
      </c>
      <c r="T91">
        <f t="shared" si="94"/>
        <v>0</v>
      </c>
      <c r="U91">
        <v>85</v>
      </c>
      <c r="V91">
        <f t="shared" si="95"/>
        <v>22</v>
      </c>
      <c r="W91">
        <f t="shared" si="96"/>
        <v>1</v>
      </c>
      <c r="X91">
        <f t="shared" si="97"/>
        <v>0</v>
      </c>
      <c r="Y91">
        <f>IF(X91&lt;&gt;1,9999,CHOOSE(W91,INDEX(Gantt!$BQ$7:$BQ$119,V91),INDEX(Gantt!$BR$7:$BR$119,V91),INDEX(Gantt!$BT$7:$BT$119,V91),INDEX(Gantt!$BU$7:$BU$119,V91)))</f>
        <v>9999</v>
      </c>
      <c r="Z91">
        <f t="shared" si="98"/>
        <v>0</v>
      </c>
      <c r="AA91" t="e">
        <f t="shared" si="99"/>
        <v>#N/A</v>
      </c>
      <c r="AB91" t="e">
        <f t="shared" si="100"/>
        <v>#N/A</v>
      </c>
      <c r="AC91" t="e">
        <f t="shared" si="101"/>
        <v>#N/A</v>
      </c>
      <c r="AD91" t="e">
        <f t="shared" si="102"/>
        <v>#N/A</v>
      </c>
      <c r="AE91" t="e">
        <f t="shared" si="103"/>
        <v>#N/A</v>
      </c>
      <c r="AF91" t="e">
        <f t="shared" si="104"/>
        <v>#N/A</v>
      </c>
      <c r="AG91" t="e">
        <f t="shared" si="105"/>
        <v>#N/A</v>
      </c>
      <c r="AH91" t="e">
        <f t="shared" si="106"/>
        <v>#N/A</v>
      </c>
      <c r="AI91" t="e">
        <f t="shared" si="107"/>
        <v>#N/A</v>
      </c>
      <c r="AJ91" t="e">
        <f t="shared" si="108"/>
        <v>#N/A</v>
      </c>
      <c r="AK91" t="e">
        <f t="shared" si="109"/>
        <v>#N/A</v>
      </c>
      <c r="AL91" t="e">
        <f t="shared" si="110"/>
        <v>#N/A</v>
      </c>
      <c r="AM91" t="e">
        <f t="shared" si="111"/>
        <v>#N/A</v>
      </c>
      <c r="AN91" t="e">
        <f t="shared" si="112"/>
        <v>#N/A</v>
      </c>
      <c r="AO91" t="e">
        <f t="shared" si="113"/>
        <v>#N/A</v>
      </c>
      <c r="AP91" t="e">
        <f t="shared" si="114"/>
        <v>#N/A</v>
      </c>
      <c r="AQ91" t="e">
        <f t="shared" si="115"/>
        <v>#N/A</v>
      </c>
      <c r="AR91" t="e">
        <f t="shared" si="116"/>
        <v>#N/A</v>
      </c>
      <c r="AS91" t="e">
        <f t="shared" si="117"/>
        <v>#N/A</v>
      </c>
      <c r="AT91" t="e">
        <f t="shared" si="118"/>
        <v>#N/A</v>
      </c>
      <c r="AU91" t="e">
        <f t="shared" si="119"/>
        <v>#N/A</v>
      </c>
      <c r="AV91" t="e">
        <f t="shared" si="120"/>
        <v>#N/A</v>
      </c>
      <c r="AW91" t="e">
        <f t="shared" si="121"/>
        <v>#N/A</v>
      </c>
      <c r="AX91" t="e">
        <f t="shared" si="122"/>
        <v>#N/A</v>
      </c>
      <c r="AY91" t="e">
        <f t="shared" si="123"/>
        <v>#N/A</v>
      </c>
      <c r="BE91" t="e">
        <f>IF(Z91=1,IF(INDEX($C$7:$C$126,V91)&gt;=Gantt!$BF$6,NA(),MATCH(INDEX($C$7:$C$126,V91),Gantt!$J$6:$BE$6,1)),NA())</f>
        <v>#N/A</v>
      </c>
      <c r="BF91" t="e">
        <f>IF(Z91=1,IF((INDEX($D$7:$D$126,AA91)-1)&gt;=Gantt!$BF$6,NA(),IF((INDEX($D$7:$D$126,AA91)-1)&lt;Gantt!$J$6,0,MATCH((INDEX($D$7:$D$126,AA91)-1),Gantt!$J$6:$BE$6,1))),NA())</f>
        <v>#N/A</v>
      </c>
      <c r="BG91" t="e">
        <f t="shared" si="124"/>
        <v>#N/A</v>
      </c>
      <c r="BH91" t="e">
        <f t="shared" si="125"/>
        <v>#N/A</v>
      </c>
      <c r="BI91" t="e">
        <f t="shared" si="126"/>
        <v>#N/A</v>
      </c>
      <c r="BJ91" t="e">
        <f t="shared" si="127"/>
        <v>#N/A</v>
      </c>
      <c r="BK91" t="e">
        <f t="shared" si="128"/>
        <v>#N/A</v>
      </c>
      <c r="BL91" t="e">
        <f t="shared" si="129"/>
        <v>#N/A</v>
      </c>
      <c r="BM91" t="e">
        <f t="shared" si="130"/>
        <v>#N/A</v>
      </c>
      <c r="BN91" t="e">
        <f t="shared" si="131"/>
        <v>#N/A</v>
      </c>
      <c r="BO91" t="e">
        <f t="shared" si="132"/>
        <v>#N/A</v>
      </c>
      <c r="BP91" t="e">
        <f t="shared" si="133"/>
        <v>#N/A</v>
      </c>
      <c r="BQ91" t="e">
        <f t="shared" si="134"/>
        <v>#N/A</v>
      </c>
      <c r="BR91" t="e">
        <f t="shared" si="135"/>
        <v>#N/A</v>
      </c>
      <c r="BS91" t="e">
        <f t="shared" si="136"/>
        <v>#N/A</v>
      </c>
      <c r="BT91" t="e">
        <f t="shared" si="137"/>
        <v>#N/A</v>
      </c>
      <c r="BU91" t="e">
        <f t="shared" si="138"/>
        <v>#N/A</v>
      </c>
      <c r="BV91" t="e">
        <f t="shared" si="139"/>
        <v>#N/A</v>
      </c>
      <c r="BW91" t="e">
        <f t="shared" si="140"/>
        <v>#N/A</v>
      </c>
      <c r="BX91" t="e">
        <f t="shared" si="141"/>
        <v>#N/A</v>
      </c>
      <c r="BY91" t="e">
        <f t="shared" si="142"/>
        <v>#N/A</v>
      </c>
      <c r="BZ91" t="e">
        <f t="shared" si="143"/>
        <v>#N/A</v>
      </c>
      <c r="CA91" t="e">
        <f t="shared" si="144"/>
        <v>#N/A</v>
      </c>
      <c r="CB91" t="e">
        <f t="shared" si="145"/>
        <v>#N/A</v>
      </c>
      <c r="CC91" t="e">
        <f t="shared" si="146"/>
        <v>#N/A</v>
      </c>
      <c r="CD91" t="e">
        <f t="shared" si="147"/>
        <v>#N/A</v>
      </c>
      <c r="CE91" t="e">
        <f t="shared" si="148"/>
        <v>#N/A</v>
      </c>
      <c r="CF91" t="e">
        <f t="shared" si="149"/>
        <v>#N/A</v>
      </c>
      <c r="CG91" t="e">
        <f t="shared" si="150"/>
        <v>#N/A</v>
      </c>
      <c r="CI91" t="e">
        <f>AL35</f>
        <v>#N/A</v>
      </c>
      <c r="CJ91" t="e">
        <f>AM35</f>
        <v>#N/A</v>
      </c>
      <c r="CK91">
        <f>IF(ISNUMBER(CI91),IFERROR(MAX(0,AN35-CI91),0),0)</f>
        <v>0</v>
      </c>
      <c r="CL91">
        <f>IF(ISNUMBER(CI91),IFERROR(MAX(0,CI91-AN35),0),0)</f>
        <v>0</v>
      </c>
      <c r="CM91">
        <f>IF(ISNUMBER(CJ91),IFERROR(MAX(0,AO35-CJ91),0),0)</f>
        <v>0</v>
      </c>
      <c r="CN91">
        <f>IF(ISNUMBER(CJ91),IFERROR(MAX(0,CJ91-AO35),0),0)</f>
        <v>0</v>
      </c>
      <c r="CP91" t="e">
        <f>BT35</f>
        <v>#N/A</v>
      </c>
      <c r="CQ91" t="e">
        <f>BU35</f>
        <v>#N/A</v>
      </c>
      <c r="CR91">
        <f>IF(ISNUMBER(CP91),IFERROR(MAX(0,BV35-CP91),0),0)</f>
        <v>0</v>
      </c>
      <c r="CS91">
        <f>IF(ISNUMBER(CP91),IFERROR(MAX(0,CP91-BV35),0),0)</f>
        <v>0</v>
      </c>
      <c r="CT91">
        <f>IF(ISNUMBER(CQ91),IFERROR(MAX(0,BW35-CQ91),0),0)</f>
        <v>0</v>
      </c>
      <c r="CU91">
        <f>IF(ISNUMBER(CQ91),IFERROR(MAX(0,CQ91-BW35),0),0)</f>
        <v>0</v>
      </c>
    </row>
    <row r="92" spans="1:99" x14ac:dyDescent="0.3">
      <c r="A92">
        <v>86</v>
      </c>
      <c r="B92">
        <f>IF(A92&lt;=$B$2,IF(INDEX(Gantt!$A$7:$A$119,A92)&lt;&gt;"",1,0),0)</f>
        <v>0</v>
      </c>
      <c r="C92" t="e">
        <f>IF(B92=1,INDEX(Gantt!$C$7:$C$119,A92),NA())</f>
        <v>#N/A</v>
      </c>
      <c r="D92" t="e">
        <f>IF(B92=1,INDEX(Gantt!$D$7:$D$119,A92)+1,NA())</f>
        <v>#N/A</v>
      </c>
      <c r="E92">
        <f>IF(B92=1,INDEX(Gantt!$BN$7:$BN$119,A92),0)</f>
        <v>0</v>
      </c>
      <c r="F92">
        <f>IF(B92=1,N(INDEX(Gantt!$F$7:$F$119,A92)),0)</f>
        <v>0</v>
      </c>
      <c r="G92">
        <f t="shared" si="82"/>
        <v>0</v>
      </c>
      <c r="H92" t="e">
        <f t="shared" si="83"/>
        <v>#N/A</v>
      </c>
      <c r="I92" t="e">
        <f t="shared" si="84"/>
        <v>#N/A</v>
      </c>
      <c r="J92" t="e">
        <f t="shared" si="85"/>
        <v>#N/A</v>
      </c>
      <c r="K92" t="e">
        <f t="shared" si="86"/>
        <v>#N/A</v>
      </c>
      <c r="L92" t="e">
        <f t="shared" si="87"/>
        <v>#N/A</v>
      </c>
      <c r="M92" t="e">
        <f t="shared" si="88"/>
        <v>#N/A</v>
      </c>
      <c r="N92" t="e">
        <f t="shared" si="89"/>
        <v>#N/A</v>
      </c>
      <c r="O92" t="e">
        <f t="shared" si="90"/>
        <v>#N/A</v>
      </c>
      <c r="P92" t="e">
        <f t="shared" si="91"/>
        <v>#N/A</v>
      </c>
      <c r="Q92" t="str">
        <f>IF(B92=1,INDEX(Gantt!$A$7:$A$119,A92)&amp;"   "&amp;INDEX(Gantt!$B$7:$B$119,A92),"")</f>
        <v/>
      </c>
      <c r="R92" t="e">
        <f t="shared" si="92"/>
        <v>#N/A</v>
      </c>
      <c r="S92">
        <f t="shared" si="93"/>
        <v>0</v>
      </c>
      <c r="T92">
        <f t="shared" si="94"/>
        <v>0</v>
      </c>
      <c r="U92">
        <v>86</v>
      </c>
      <c r="V92">
        <f t="shared" si="95"/>
        <v>22</v>
      </c>
      <c r="W92">
        <f t="shared" si="96"/>
        <v>2</v>
      </c>
      <c r="X92">
        <f t="shared" si="97"/>
        <v>0</v>
      </c>
      <c r="Y92">
        <f>IF(X92&lt;&gt;1,9999,CHOOSE(W92,INDEX(Gantt!$BQ$7:$BQ$119,V92),INDEX(Gantt!$BR$7:$BR$119,V92),INDEX(Gantt!$BT$7:$BT$119,V92),INDEX(Gantt!$BU$7:$BU$119,V92)))</f>
        <v>9999</v>
      </c>
      <c r="Z92">
        <f t="shared" si="98"/>
        <v>0</v>
      </c>
      <c r="AA92" t="e">
        <f t="shared" si="99"/>
        <v>#N/A</v>
      </c>
      <c r="AB92" t="e">
        <f t="shared" si="100"/>
        <v>#N/A</v>
      </c>
      <c r="AC92" t="e">
        <f t="shared" si="101"/>
        <v>#N/A</v>
      </c>
      <c r="AD92" t="e">
        <f t="shared" si="102"/>
        <v>#N/A</v>
      </c>
      <c r="AE92" t="e">
        <f t="shared" si="103"/>
        <v>#N/A</v>
      </c>
      <c r="AF92" t="e">
        <f t="shared" si="104"/>
        <v>#N/A</v>
      </c>
      <c r="AG92" t="e">
        <f t="shared" si="105"/>
        <v>#N/A</v>
      </c>
      <c r="AH92" t="e">
        <f t="shared" si="106"/>
        <v>#N/A</v>
      </c>
      <c r="AI92" t="e">
        <f t="shared" si="107"/>
        <v>#N/A</v>
      </c>
      <c r="AJ92" t="e">
        <f t="shared" si="108"/>
        <v>#N/A</v>
      </c>
      <c r="AK92" t="e">
        <f t="shared" si="109"/>
        <v>#N/A</v>
      </c>
      <c r="AL92" t="e">
        <f t="shared" si="110"/>
        <v>#N/A</v>
      </c>
      <c r="AM92" t="e">
        <f t="shared" si="111"/>
        <v>#N/A</v>
      </c>
      <c r="AN92" t="e">
        <f t="shared" si="112"/>
        <v>#N/A</v>
      </c>
      <c r="AO92" t="e">
        <f t="shared" si="113"/>
        <v>#N/A</v>
      </c>
      <c r="AP92" t="e">
        <f t="shared" si="114"/>
        <v>#N/A</v>
      </c>
      <c r="AQ92" t="e">
        <f t="shared" si="115"/>
        <v>#N/A</v>
      </c>
      <c r="AR92" t="e">
        <f t="shared" si="116"/>
        <v>#N/A</v>
      </c>
      <c r="AS92" t="e">
        <f t="shared" si="117"/>
        <v>#N/A</v>
      </c>
      <c r="AT92" t="e">
        <f t="shared" si="118"/>
        <v>#N/A</v>
      </c>
      <c r="AU92" t="e">
        <f t="shared" si="119"/>
        <v>#N/A</v>
      </c>
      <c r="AV92" t="e">
        <f t="shared" si="120"/>
        <v>#N/A</v>
      </c>
      <c r="AW92" t="e">
        <f t="shared" si="121"/>
        <v>#N/A</v>
      </c>
      <c r="AX92" t="e">
        <f t="shared" si="122"/>
        <v>#N/A</v>
      </c>
      <c r="AY92" t="e">
        <f t="shared" si="123"/>
        <v>#N/A</v>
      </c>
      <c r="BE92" t="e">
        <f>IF(Z92=1,IF(INDEX($C$7:$C$126,V92)&gt;=Gantt!$BF$6,NA(),MATCH(INDEX($C$7:$C$126,V92),Gantt!$J$6:$BE$6,1)),NA())</f>
        <v>#N/A</v>
      </c>
      <c r="BF92" t="e">
        <f>IF(Z92=1,IF((INDEX($D$7:$D$126,AA92)-1)&gt;=Gantt!$BF$6,NA(),IF((INDEX($D$7:$D$126,AA92)-1)&lt;Gantt!$J$6,0,MATCH((INDEX($D$7:$D$126,AA92)-1),Gantt!$J$6:$BE$6,1))),NA())</f>
        <v>#N/A</v>
      </c>
      <c r="BG92" t="e">
        <f t="shared" si="124"/>
        <v>#N/A</v>
      </c>
      <c r="BH92" t="e">
        <f t="shared" si="125"/>
        <v>#N/A</v>
      </c>
      <c r="BI92" t="e">
        <f t="shared" si="126"/>
        <v>#N/A</v>
      </c>
      <c r="BJ92" t="e">
        <f t="shared" si="127"/>
        <v>#N/A</v>
      </c>
      <c r="BK92" t="e">
        <f t="shared" si="128"/>
        <v>#N/A</v>
      </c>
      <c r="BL92" t="e">
        <f t="shared" si="129"/>
        <v>#N/A</v>
      </c>
      <c r="BM92" t="e">
        <f t="shared" si="130"/>
        <v>#N/A</v>
      </c>
      <c r="BN92" t="e">
        <f t="shared" si="131"/>
        <v>#N/A</v>
      </c>
      <c r="BO92" t="e">
        <f t="shared" si="132"/>
        <v>#N/A</v>
      </c>
      <c r="BP92" t="e">
        <f t="shared" si="133"/>
        <v>#N/A</v>
      </c>
      <c r="BQ92" t="e">
        <f t="shared" si="134"/>
        <v>#N/A</v>
      </c>
      <c r="BR92" t="e">
        <f t="shared" si="135"/>
        <v>#N/A</v>
      </c>
      <c r="BS92" t="e">
        <f t="shared" si="136"/>
        <v>#N/A</v>
      </c>
      <c r="BT92" t="e">
        <f t="shared" si="137"/>
        <v>#N/A</v>
      </c>
      <c r="BU92" t="e">
        <f t="shared" si="138"/>
        <v>#N/A</v>
      </c>
      <c r="BV92" t="e">
        <f t="shared" si="139"/>
        <v>#N/A</v>
      </c>
      <c r="BW92" t="e">
        <f t="shared" si="140"/>
        <v>#N/A</v>
      </c>
      <c r="BX92" t="e">
        <f t="shared" si="141"/>
        <v>#N/A</v>
      </c>
      <c r="BY92" t="e">
        <f t="shared" si="142"/>
        <v>#N/A</v>
      </c>
      <c r="BZ92" t="e">
        <f t="shared" si="143"/>
        <v>#N/A</v>
      </c>
      <c r="CA92" t="e">
        <f t="shared" si="144"/>
        <v>#N/A</v>
      </c>
      <c r="CB92" t="e">
        <f t="shared" si="145"/>
        <v>#N/A</v>
      </c>
      <c r="CC92" t="e">
        <f t="shared" si="146"/>
        <v>#N/A</v>
      </c>
      <c r="CD92" t="e">
        <f t="shared" si="147"/>
        <v>#N/A</v>
      </c>
      <c r="CE92" t="e">
        <f t="shared" si="148"/>
        <v>#N/A</v>
      </c>
      <c r="CF92" t="e">
        <f t="shared" si="149"/>
        <v>#N/A</v>
      </c>
      <c r="CG92" t="e">
        <f t="shared" si="150"/>
        <v>#N/A</v>
      </c>
      <c r="CI92" t="e">
        <f>AP35</f>
        <v>#N/A</v>
      </c>
      <c r="CJ92" t="e">
        <f>AQ35</f>
        <v>#N/A</v>
      </c>
      <c r="CK92">
        <f>IF(ISNUMBER(CI92),IFERROR(MAX(0,AR35-CI92),0),0)</f>
        <v>0</v>
      </c>
      <c r="CL92">
        <f>IF(ISNUMBER(CI92),IFERROR(MAX(0,CI92-AR35),0),0)</f>
        <v>0</v>
      </c>
      <c r="CM92">
        <f>IF(ISNUMBER(CJ92),IFERROR(MAX(0,AS35-CJ92),0),0)</f>
        <v>0</v>
      </c>
      <c r="CN92">
        <f>IF(ISNUMBER(CJ92),IFERROR(MAX(0,CJ92-AS35),0),0)</f>
        <v>0</v>
      </c>
      <c r="CP92" t="e">
        <f>BX35</f>
        <v>#N/A</v>
      </c>
      <c r="CQ92" t="e">
        <f>BY35</f>
        <v>#N/A</v>
      </c>
      <c r="CR92">
        <f>IF(ISNUMBER(CP92),IFERROR(MAX(0,BZ35-CP92),0),0)</f>
        <v>0</v>
      </c>
      <c r="CS92">
        <f>IF(ISNUMBER(CP92),IFERROR(MAX(0,CP92-BZ35),0),0)</f>
        <v>0</v>
      </c>
      <c r="CT92">
        <f>IF(ISNUMBER(CQ92),IFERROR(MAX(0,CA35-CQ92),0),0)</f>
        <v>0</v>
      </c>
      <c r="CU92">
        <f>IF(ISNUMBER(CQ92),IFERROR(MAX(0,CQ92-CA35),0),0)</f>
        <v>0</v>
      </c>
    </row>
    <row r="93" spans="1:99" x14ac:dyDescent="0.3">
      <c r="A93">
        <v>87</v>
      </c>
      <c r="B93">
        <f>IF(A93&lt;=$B$2,IF(INDEX(Gantt!$A$7:$A$119,A93)&lt;&gt;"",1,0),0)</f>
        <v>0</v>
      </c>
      <c r="C93" t="e">
        <f>IF(B93=1,INDEX(Gantt!$C$7:$C$119,A93),NA())</f>
        <v>#N/A</v>
      </c>
      <c r="D93" t="e">
        <f>IF(B93=1,INDEX(Gantt!$D$7:$D$119,A93)+1,NA())</f>
        <v>#N/A</v>
      </c>
      <c r="E93">
        <f>IF(B93=1,INDEX(Gantt!$BN$7:$BN$119,A93),0)</f>
        <v>0</v>
      </c>
      <c r="F93">
        <f>IF(B93=1,N(INDEX(Gantt!$F$7:$F$119,A93)),0)</f>
        <v>0</v>
      </c>
      <c r="G93">
        <f t="shared" si="82"/>
        <v>0</v>
      </c>
      <c r="H93" t="e">
        <f t="shared" si="83"/>
        <v>#N/A</v>
      </c>
      <c r="I93" t="e">
        <f t="shared" si="84"/>
        <v>#N/A</v>
      </c>
      <c r="J93" t="e">
        <f t="shared" si="85"/>
        <v>#N/A</v>
      </c>
      <c r="K93" t="e">
        <f t="shared" si="86"/>
        <v>#N/A</v>
      </c>
      <c r="L93" t="e">
        <f t="shared" si="87"/>
        <v>#N/A</v>
      </c>
      <c r="M93" t="e">
        <f t="shared" si="88"/>
        <v>#N/A</v>
      </c>
      <c r="N93" t="e">
        <f t="shared" si="89"/>
        <v>#N/A</v>
      </c>
      <c r="O93" t="e">
        <f t="shared" si="90"/>
        <v>#N/A</v>
      </c>
      <c r="P93" t="e">
        <f t="shared" si="91"/>
        <v>#N/A</v>
      </c>
      <c r="Q93" t="str">
        <f>IF(B93=1,INDEX(Gantt!$A$7:$A$119,A93)&amp;"   "&amp;INDEX(Gantt!$B$7:$B$119,A93),"")</f>
        <v/>
      </c>
      <c r="R93" t="e">
        <f t="shared" si="92"/>
        <v>#N/A</v>
      </c>
      <c r="S93">
        <f t="shared" si="93"/>
        <v>0</v>
      </c>
      <c r="T93">
        <f t="shared" si="94"/>
        <v>0</v>
      </c>
      <c r="U93">
        <v>87</v>
      </c>
      <c r="V93">
        <f t="shared" si="95"/>
        <v>22</v>
      </c>
      <c r="W93">
        <f t="shared" si="96"/>
        <v>3</v>
      </c>
      <c r="X93">
        <f t="shared" si="97"/>
        <v>0</v>
      </c>
      <c r="Y93">
        <f>IF(X93&lt;&gt;1,9999,CHOOSE(W93,INDEX(Gantt!$BQ$7:$BQ$119,V93),INDEX(Gantt!$BR$7:$BR$119,V93),INDEX(Gantt!$BT$7:$BT$119,V93),INDEX(Gantt!$BU$7:$BU$119,V93)))</f>
        <v>9999</v>
      </c>
      <c r="Z93">
        <f t="shared" si="98"/>
        <v>0</v>
      </c>
      <c r="AA93" t="e">
        <f t="shared" si="99"/>
        <v>#N/A</v>
      </c>
      <c r="AB93" t="e">
        <f t="shared" si="100"/>
        <v>#N/A</v>
      </c>
      <c r="AC93" t="e">
        <f t="shared" si="101"/>
        <v>#N/A</v>
      </c>
      <c r="AD93" t="e">
        <f t="shared" si="102"/>
        <v>#N/A</v>
      </c>
      <c r="AE93" t="e">
        <f t="shared" si="103"/>
        <v>#N/A</v>
      </c>
      <c r="AF93" t="e">
        <f t="shared" si="104"/>
        <v>#N/A</v>
      </c>
      <c r="AG93" t="e">
        <f t="shared" si="105"/>
        <v>#N/A</v>
      </c>
      <c r="AH93" t="e">
        <f t="shared" si="106"/>
        <v>#N/A</v>
      </c>
      <c r="AI93" t="e">
        <f t="shared" si="107"/>
        <v>#N/A</v>
      </c>
      <c r="AJ93" t="e">
        <f t="shared" si="108"/>
        <v>#N/A</v>
      </c>
      <c r="AK93" t="e">
        <f t="shared" si="109"/>
        <v>#N/A</v>
      </c>
      <c r="AL93" t="e">
        <f t="shared" si="110"/>
        <v>#N/A</v>
      </c>
      <c r="AM93" t="e">
        <f t="shared" si="111"/>
        <v>#N/A</v>
      </c>
      <c r="AN93" t="e">
        <f t="shared" si="112"/>
        <v>#N/A</v>
      </c>
      <c r="AO93" t="e">
        <f t="shared" si="113"/>
        <v>#N/A</v>
      </c>
      <c r="AP93" t="e">
        <f t="shared" si="114"/>
        <v>#N/A</v>
      </c>
      <c r="AQ93" t="e">
        <f t="shared" si="115"/>
        <v>#N/A</v>
      </c>
      <c r="AR93" t="e">
        <f t="shared" si="116"/>
        <v>#N/A</v>
      </c>
      <c r="AS93" t="e">
        <f t="shared" si="117"/>
        <v>#N/A</v>
      </c>
      <c r="AT93" t="e">
        <f t="shared" si="118"/>
        <v>#N/A</v>
      </c>
      <c r="AU93" t="e">
        <f t="shared" si="119"/>
        <v>#N/A</v>
      </c>
      <c r="AV93" t="e">
        <f t="shared" si="120"/>
        <v>#N/A</v>
      </c>
      <c r="AW93" t="e">
        <f t="shared" si="121"/>
        <v>#N/A</v>
      </c>
      <c r="AX93" t="e">
        <f t="shared" si="122"/>
        <v>#N/A</v>
      </c>
      <c r="AY93" t="e">
        <f t="shared" si="123"/>
        <v>#N/A</v>
      </c>
      <c r="BE93" t="e">
        <f>IF(Z93=1,IF(INDEX($C$7:$C$126,V93)&gt;=Gantt!$BF$6,NA(),MATCH(INDEX($C$7:$C$126,V93),Gantt!$J$6:$BE$6,1)),NA())</f>
        <v>#N/A</v>
      </c>
      <c r="BF93" t="e">
        <f>IF(Z93=1,IF((INDEX($D$7:$D$126,AA93)-1)&gt;=Gantt!$BF$6,NA(),IF((INDEX($D$7:$D$126,AA93)-1)&lt;Gantt!$J$6,0,MATCH((INDEX($D$7:$D$126,AA93)-1),Gantt!$J$6:$BE$6,1))),NA())</f>
        <v>#N/A</v>
      </c>
      <c r="BG93" t="e">
        <f t="shared" si="124"/>
        <v>#N/A</v>
      </c>
      <c r="BH93" t="e">
        <f t="shared" si="125"/>
        <v>#N/A</v>
      </c>
      <c r="BI93" t="e">
        <f t="shared" si="126"/>
        <v>#N/A</v>
      </c>
      <c r="BJ93" t="e">
        <f t="shared" si="127"/>
        <v>#N/A</v>
      </c>
      <c r="BK93" t="e">
        <f t="shared" si="128"/>
        <v>#N/A</v>
      </c>
      <c r="BL93" t="e">
        <f t="shared" si="129"/>
        <v>#N/A</v>
      </c>
      <c r="BM93" t="e">
        <f t="shared" si="130"/>
        <v>#N/A</v>
      </c>
      <c r="BN93" t="e">
        <f t="shared" si="131"/>
        <v>#N/A</v>
      </c>
      <c r="BO93" t="e">
        <f t="shared" si="132"/>
        <v>#N/A</v>
      </c>
      <c r="BP93" t="e">
        <f t="shared" si="133"/>
        <v>#N/A</v>
      </c>
      <c r="BQ93" t="e">
        <f t="shared" si="134"/>
        <v>#N/A</v>
      </c>
      <c r="BR93" t="e">
        <f t="shared" si="135"/>
        <v>#N/A</v>
      </c>
      <c r="BS93" t="e">
        <f t="shared" si="136"/>
        <v>#N/A</v>
      </c>
      <c r="BT93" t="e">
        <f t="shared" si="137"/>
        <v>#N/A</v>
      </c>
      <c r="BU93" t="e">
        <f t="shared" si="138"/>
        <v>#N/A</v>
      </c>
      <c r="BV93" t="e">
        <f t="shared" si="139"/>
        <v>#N/A</v>
      </c>
      <c r="BW93" t="e">
        <f t="shared" si="140"/>
        <v>#N/A</v>
      </c>
      <c r="BX93" t="e">
        <f t="shared" si="141"/>
        <v>#N/A</v>
      </c>
      <c r="BY93" t="e">
        <f t="shared" si="142"/>
        <v>#N/A</v>
      </c>
      <c r="BZ93" t="e">
        <f t="shared" si="143"/>
        <v>#N/A</v>
      </c>
      <c r="CA93" t="e">
        <f t="shared" si="144"/>
        <v>#N/A</v>
      </c>
      <c r="CB93" t="e">
        <f t="shared" si="145"/>
        <v>#N/A</v>
      </c>
      <c r="CC93" t="e">
        <f t="shared" si="146"/>
        <v>#N/A</v>
      </c>
      <c r="CD93" t="e">
        <f t="shared" si="147"/>
        <v>#N/A</v>
      </c>
      <c r="CE93" t="e">
        <f t="shared" si="148"/>
        <v>#N/A</v>
      </c>
      <c r="CF93" t="e">
        <f t="shared" si="149"/>
        <v>#N/A</v>
      </c>
      <c r="CG93" t="e">
        <f t="shared" si="150"/>
        <v>#N/A</v>
      </c>
      <c r="CI93" t="e">
        <f>AT35</f>
        <v>#N/A</v>
      </c>
      <c r="CJ93" t="e">
        <f>AU35</f>
        <v>#N/A</v>
      </c>
      <c r="CK93">
        <f>IF(ISNUMBER(CI93),IFERROR(MAX(0,AV35-CI93),0),0)</f>
        <v>0</v>
      </c>
      <c r="CL93">
        <f>IF(ISNUMBER(CI93),IFERROR(MAX(0,CI93-AV35),0),0)</f>
        <v>0</v>
      </c>
      <c r="CM93">
        <f>IF(ISNUMBER(CJ93),IFERROR(MAX(0,AW35-CJ93),0),0)</f>
        <v>0</v>
      </c>
      <c r="CN93">
        <f>IF(ISNUMBER(CJ93),IFERROR(MAX(0,CJ93-AW35),0),0)</f>
        <v>0</v>
      </c>
      <c r="CP93" t="e">
        <f>CB35</f>
        <v>#N/A</v>
      </c>
      <c r="CQ93" t="e">
        <f>CC35</f>
        <v>#N/A</v>
      </c>
      <c r="CR93">
        <f>IF(ISNUMBER(CP93),IFERROR(MAX(0,CD35-CP93),0),0)</f>
        <v>0</v>
      </c>
      <c r="CS93">
        <f>IF(ISNUMBER(CP93),IFERROR(MAX(0,CP93-CD35),0),0)</f>
        <v>0</v>
      </c>
      <c r="CT93">
        <f>IF(ISNUMBER(CQ93),IFERROR(MAX(0,CE35-CQ93),0),0)</f>
        <v>0</v>
      </c>
      <c r="CU93">
        <f>IF(ISNUMBER(CQ93),IFERROR(MAX(0,CQ93-CE35),0),0)</f>
        <v>0</v>
      </c>
    </row>
    <row r="94" spans="1:99" x14ac:dyDescent="0.3">
      <c r="A94">
        <v>88</v>
      </c>
      <c r="B94">
        <f>IF(A94&lt;=$B$2,IF(INDEX(Gantt!$A$7:$A$119,A94)&lt;&gt;"",1,0),0)</f>
        <v>0</v>
      </c>
      <c r="C94" t="e">
        <f>IF(B94=1,INDEX(Gantt!$C$7:$C$119,A94),NA())</f>
        <v>#N/A</v>
      </c>
      <c r="D94" t="e">
        <f>IF(B94=1,INDEX(Gantt!$D$7:$D$119,A94)+1,NA())</f>
        <v>#N/A</v>
      </c>
      <c r="E94">
        <f>IF(B94=1,INDEX(Gantt!$BN$7:$BN$119,A94),0)</f>
        <v>0</v>
      </c>
      <c r="F94">
        <f>IF(B94=1,N(INDEX(Gantt!$F$7:$F$119,A94)),0)</f>
        <v>0</v>
      </c>
      <c r="G94">
        <f t="shared" si="82"/>
        <v>0</v>
      </c>
      <c r="H94" t="e">
        <f t="shared" si="83"/>
        <v>#N/A</v>
      </c>
      <c r="I94" t="e">
        <f t="shared" si="84"/>
        <v>#N/A</v>
      </c>
      <c r="J94" t="e">
        <f t="shared" si="85"/>
        <v>#N/A</v>
      </c>
      <c r="K94" t="e">
        <f t="shared" si="86"/>
        <v>#N/A</v>
      </c>
      <c r="L94" t="e">
        <f t="shared" si="87"/>
        <v>#N/A</v>
      </c>
      <c r="M94" t="e">
        <f t="shared" si="88"/>
        <v>#N/A</v>
      </c>
      <c r="N94" t="e">
        <f t="shared" si="89"/>
        <v>#N/A</v>
      </c>
      <c r="O94" t="e">
        <f t="shared" si="90"/>
        <v>#N/A</v>
      </c>
      <c r="P94" t="e">
        <f t="shared" si="91"/>
        <v>#N/A</v>
      </c>
      <c r="Q94" t="str">
        <f>IF(B94=1,INDEX(Gantt!$A$7:$A$119,A94)&amp;"   "&amp;INDEX(Gantt!$B$7:$B$119,A94),"")</f>
        <v/>
      </c>
      <c r="R94" t="e">
        <f t="shared" si="92"/>
        <v>#N/A</v>
      </c>
      <c r="S94">
        <f t="shared" si="93"/>
        <v>0</v>
      </c>
      <c r="T94">
        <f t="shared" si="94"/>
        <v>0</v>
      </c>
      <c r="U94">
        <v>88</v>
      </c>
      <c r="V94">
        <f t="shared" si="95"/>
        <v>22</v>
      </c>
      <c r="W94">
        <f t="shared" si="96"/>
        <v>4</v>
      </c>
      <c r="X94">
        <f t="shared" si="97"/>
        <v>0</v>
      </c>
      <c r="Y94">
        <f>IF(X94&lt;&gt;1,9999,CHOOSE(W94,INDEX(Gantt!$BQ$7:$BQ$119,V94),INDEX(Gantt!$BR$7:$BR$119,V94),INDEX(Gantt!$BT$7:$BT$119,V94),INDEX(Gantt!$BU$7:$BU$119,V94)))</f>
        <v>9999</v>
      </c>
      <c r="Z94">
        <f t="shared" si="98"/>
        <v>0</v>
      </c>
      <c r="AA94" t="e">
        <f t="shared" si="99"/>
        <v>#N/A</v>
      </c>
      <c r="AB94" t="e">
        <f t="shared" si="100"/>
        <v>#N/A</v>
      </c>
      <c r="AC94" t="e">
        <f t="shared" si="101"/>
        <v>#N/A</v>
      </c>
      <c r="AD94" t="e">
        <f t="shared" si="102"/>
        <v>#N/A</v>
      </c>
      <c r="AE94" t="e">
        <f t="shared" si="103"/>
        <v>#N/A</v>
      </c>
      <c r="AF94" t="e">
        <f t="shared" si="104"/>
        <v>#N/A</v>
      </c>
      <c r="AG94" t="e">
        <f t="shared" si="105"/>
        <v>#N/A</v>
      </c>
      <c r="AH94" t="e">
        <f t="shared" si="106"/>
        <v>#N/A</v>
      </c>
      <c r="AI94" t="e">
        <f t="shared" si="107"/>
        <v>#N/A</v>
      </c>
      <c r="AJ94" t="e">
        <f t="shared" si="108"/>
        <v>#N/A</v>
      </c>
      <c r="AK94" t="e">
        <f t="shared" si="109"/>
        <v>#N/A</v>
      </c>
      <c r="AL94" t="e">
        <f t="shared" si="110"/>
        <v>#N/A</v>
      </c>
      <c r="AM94" t="e">
        <f t="shared" si="111"/>
        <v>#N/A</v>
      </c>
      <c r="AN94" t="e">
        <f t="shared" si="112"/>
        <v>#N/A</v>
      </c>
      <c r="AO94" t="e">
        <f t="shared" si="113"/>
        <v>#N/A</v>
      </c>
      <c r="AP94" t="e">
        <f t="shared" si="114"/>
        <v>#N/A</v>
      </c>
      <c r="AQ94" t="e">
        <f t="shared" si="115"/>
        <v>#N/A</v>
      </c>
      <c r="AR94" t="e">
        <f t="shared" si="116"/>
        <v>#N/A</v>
      </c>
      <c r="AS94" t="e">
        <f t="shared" si="117"/>
        <v>#N/A</v>
      </c>
      <c r="AT94" t="e">
        <f t="shared" si="118"/>
        <v>#N/A</v>
      </c>
      <c r="AU94" t="e">
        <f t="shared" si="119"/>
        <v>#N/A</v>
      </c>
      <c r="AV94" t="e">
        <f t="shared" si="120"/>
        <v>#N/A</v>
      </c>
      <c r="AW94" t="e">
        <f t="shared" si="121"/>
        <v>#N/A</v>
      </c>
      <c r="AX94" t="e">
        <f t="shared" si="122"/>
        <v>#N/A</v>
      </c>
      <c r="AY94" t="e">
        <f t="shared" si="123"/>
        <v>#N/A</v>
      </c>
      <c r="BE94" t="e">
        <f>IF(Z94=1,IF(INDEX($C$7:$C$126,V94)&gt;=Gantt!$BF$6,NA(),MATCH(INDEX($C$7:$C$126,V94),Gantt!$J$6:$BE$6,1)),NA())</f>
        <v>#N/A</v>
      </c>
      <c r="BF94" t="e">
        <f>IF(Z94=1,IF((INDEX($D$7:$D$126,AA94)-1)&gt;=Gantt!$BF$6,NA(),IF((INDEX($D$7:$D$126,AA94)-1)&lt;Gantt!$J$6,0,MATCH((INDEX($D$7:$D$126,AA94)-1),Gantt!$J$6:$BE$6,1))),NA())</f>
        <v>#N/A</v>
      </c>
      <c r="BG94" t="e">
        <f t="shared" si="124"/>
        <v>#N/A</v>
      </c>
      <c r="BH94" t="e">
        <f t="shared" si="125"/>
        <v>#N/A</v>
      </c>
      <c r="BI94" t="e">
        <f t="shared" si="126"/>
        <v>#N/A</v>
      </c>
      <c r="BJ94" t="e">
        <f t="shared" si="127"/>
        <v>#N/A</v>
      </c>
      <c r="BK94" t="e">
        <f t="shared" si="128"/>
        <v>#N/A</v>
      </c>
      <c r="BL94" t="e">
        <f t="shared" si="129"/>
        <v>#N/A</v>
      </c>
      <c r="BM94" t="e">
        <f t="shared" si="130"/>
        <v>#N/A</v>
      </c>
      <c r="BN94" t="e">
        <f t="shared" si="131"/>
        <v>#N/A</v>
      </c>
      <c r="BO94" t="e">
        <f t="shared" si="132"/>
        <v>#N/A</v>
      </c>
      <c r="BP94" t="e">
        <f t="shared" si="133"/>
        <v>#N/A</v>
      </c>
      <c r="BQ94" t="e">
        <f t="shared" si="134"/>
        <v>#N/A</v>
      </c>
      <c r="BR94" t="e">
        <f t="shared" si="135"/>
        <v>#N/A</v>
      </c>
      <c r="BS94" t="e">
        <f t="shared" si="136"/>
        <v>#N/A</v>
      </c>
      <c r="BT94" t="e">
        <f t="shared" si="137"/>
        <v>#N/A</v>
      </c>
      <c r="BU94" t="e">
        <f t="shared" si="138"/>
        <v>#N/A</v>
      </c>
      <c r="BV94" t="e">
        <f t="shared" si="139"/>
        <v>#N/A</v>
      </c>
      <c r="BW94" t="e">
        <f t="shared" si="140"/>
        <v>#N/A</v>
      </c>
      <c r="BX94" t="e">
        <f t="shared" si="141"/>
        <v>#N/A</v>
      </c>
      <c r="BY94" t="e">
        <f t="shared" si="142"/>
        <v>#N/A</v>
      </c>
      <c r="BZ94" t="e">
        <f t="shared" si="143"/>
        <v>#N/A</v>
      </c>
      <c r="CA94" t="e">
        <f t="shared" si="144"/>
        <v>#N/A</v>
      </c>
      <c r="CB94" t="e">
        <f t="shared" si="145"/>
        <v>#N/A</v>
      </c>
      <c r="CC94" t="e">
        <f t="shared" si="146"/>
        <v>#N/A</v>
      </c>
      <c r="CD94" t="e">
        <f t="shared" si="147"/>
        <v>#N/A</v>
      </c>
      <c r="CE94" t="e">
        <f t="shared" si="148"/>
        <v>#N/A</v>
      </c>
      <c r="CF94" t="e">
        <f t="shared" si="149"/>
        <v>#N/A</v>
      </c>
      <c r="CG94" t="e">
        <f t="shared" si="150"/>
        <v>#N/A</v>
      </c>
      <c r="CI94" t="e">
        <f>AL36</f>
        <v>#N/A</v>
      </c>
      <c r="CJ94" t="e">
        <f>AM36</f>
        <v>#N/A</v>
      </c>
      <c r="CK94">
        <f>IF(ISNUMBER(CI94),IFERROR(MAX(0,AN36-CI94),0),0)</f>
        <v>0</v>
      </c>
      <c r="CL94">
        <f>IF(ISNUMBER(CI94),IFERROR(MAX(0,CI94-AN36),0),0)</f>
        <v>0</v>
      </c>
      <c r="CM94">
        <f>IF(ISNUMBER(CJ94),IFERROR(MAX(0,AO36-CJ94),0),0)</f>
        <v>0</v>
      </c>
      <c r="CN94">
        <f>IF(ISNUMBER(CJ94),IFERROR(MAX(0,CJ94-AO36),0),0)</f>
        <v>0</v>
      </c>
      <c r="CP94" t="e">
        <f>BT36</f>
        <v>#N/A</v>
      </c>
      <c r="CQ94" t="e">
        <f>BU36</f>
        <v>#N/A</v>
      </c>
      <c r="CR94">
        <f>IF(ISNUMBER(CP94),IFERROR(MAX(0,BV36-CP94),0),0)</f>
        <v>0</v>
      </c>
      <c r="CS94">
        <f>IF(ISNUMBER(CP94),IFERROR(MAX(0,CP94-BV36),0),0)</f>
        <v>0</v>
      </c>
      <c r="CT94">
        <f>IF(ISNUMBER(CQ94),IFERROR(MAX(0,BW36-CQ94),0),0)</f>
        <v>0</v>
      </c>
      <c r="CU94">
        <f>IF(ISNUMBER(CQ94),IFERROR(MAX(0,CQ94-BW36),0),0)</f>
        <v>0</v>
      </c>
    </row>
    <row r="95" spans="1:99" x14ac:dyDescent="0.3">
      <c r="A95">
        <v>89</v>
      </c>
      <c r="B95">
        <f>IF(A95&lt;=$B$2,IF(INDEX(Gantt!$A$7:$A$119,A95)&lt;&gt;"",1,0),0)</f>
        <v>0</v>
      </c>
      <c r="C95" t="e">
        <f>IF(B95=1,INDEX(Gantt!$C$7:$C$119,A95),NA())</f>
        <v>#N/A</v>
      </c>
      <c r="D95" t="e">
        <f>IF(B95=1,INDEX(Gantt!$D$7:$D$119,A95)+1,NA())</f>
        <v>#N/A</v>
      </c>
      <c r="E95">
        <f>IF(B95=1,INDEX(Gantt!$BN$7:$BN$119,A95),0)</f>
        <v>0</v>
      </c>
      <c r="F95">
        <f>IF(B95=1,N(INDEX(Gantt!$F$7:$F$119,A95)),0)</f>
        <v>0</v>
      </c>
      <c r="G95">
        <f t="shared" si="82"/>
        <v>0</v>
      </c>
      <c r="H95" t="e">
        <f t="shared" si="83"/>
        <v>#N/A</v>
      </c>
      <c r="I95" t="e">
        <f t="shared" si="84"/>
        <v>#N/A</v>
      </c>
      <c r="J95" t="e">
        <f t="shared" si="85"/>
        <v>#N/A</v>
      </c>
      <c r="K95" t="e">
        <f t="shared" si="86"/>
        <v>#N/A</v>
      </c>
      <c r="L95" t="e">
        <f t="shared" si="87"/>
        <v>#N/A</v>
      </c>
      <c r="M95" t="e">
        <f t="shared" si="88"/>
        <v>#N/A</v>
      </c>
      <c r="N95" t="e">
        <f t="shared" si="89"/>
        <v>#N/A</v>
      </c>
      <c r="O95" t="e">
        <f t="shared" si="90"/>
        <v>#N/A</v>
      </c>
      <c r="P95" t="e">
        <f t="shared" si="91"/>
        <v>#N/A</v>
      </c>
      <c r="Q95" t="str">
        <f>IF(B95=1,INDEX(Gantt!$A$7:$A$119,A95)&amp;"   "&amp;INDEX(Gantt!$B$7:$B$119,A95),"")</f>
        <v/>
      </c>
      <c r="R95" t="e">
        <f t="shared" si="92"/>
        <v>#N/A</v>
      </c>
      <c r="S95">
        <f t="shared" si="93"/>
        <v>0</v>
      </c>
      <c r="T95">
        <f t="shared" si="94"/>
        <v>0</v>
      </c>
      <c r="U95">
        <v>89</v>
      </c>
      <c r="V95">
        <f t="shared" si="95"/>
        <v>23</v>
      </c>
      <c r="W95">
        <f t="shared" si="96"/>
        <v>1</v>
      </c>
      <c r="X95">
        <f t="shared" si="97"/>
        <v>0</v>
      </c>
      <c r="Y95">
        <f>IF(X95&lt;&gt;1,9999,CHOOSE(W95,INDEX(Gantt!$BQ$7:$BQ$119,V95),INDEX(Gantt!$BR$7:$BR$119,V95),INDEX(Gantt!$BT$7:$BT$119,V95),INDEX(Gantt!$BU$7:$BU$119,V95)))</f>
        <v>9999</v>
      </c>
      <c r="Z95">
        <f t="shared" si="98"/>
        <v>0</v>
      </c>
      <c r="AA95" t="e">
        <f t="shared" si="99"/>
        <v>#N/A</v>
      </c>
      <c r="AB95" t="e">
        <f t="shared" si="100"/>
        <v>#N/A</v>
      </c>
      <c r="AC95" t="e">
        <f t="shared" si="101"/>
        <v>#N/A</v>
      </c>
      <c r="AD95" t="e">
        <f t="shared" si="102"/>
        <v>#N/A</v>
      </c>
      <c r="AE95" t="e">
        <f t="shared" si="103"/>
        <v>#N/A</v>
      </c>
      <c r="AF95" t="e">
        <f t="shared" si="104"/>
        <v>#N/A</v>
      </c>
      <c r="AG95" t="e">
        <f t="shared" si="105"/>
        <v>#N/A</v>
      </c>
      <c r="AH95" t="e">
        <f t="shared" si="106"/>
        <v>#N/A</v>
      </c>
      <c r="AI95" t="e">
        <f t="shared" si="107"/>
        <v>#N/A</v>
      </c>
      <c r="AJ95" t="e">
        <f t="shared" si="108"/>
        <v>#N/A</v>
      </c>
      <c r="AK95" t="e">
        <f t="shared" si="109"/>
        <v>#N/A</v>
      </c>
      <c r="AL95" t="e">
        <f t="shared" si="110"/>
        <v>#N/A</v>
      </c>
      <c r="AM95" t="e">
        <f t="shared" si="111"/>
        <v>#N/A</v>
      </c>
      <c r="AN95" t="e">
        <f t="shared" si="112"/>
        <v>#N/A</v>
      </c>
      <c r="AO95" t="e">
        <f t="shared" si="113"/>
        <v>#N/A</v>
      </c>
      <c r="AP95" t="e">
        <f t="shared" si="114"/>
        <v>#N/A</v>
      </c>
      <c r="AQ95" t="e">
        <f t="shared" si="115"/>
        <v>#N/A</v>
      </c>
      <c r="AR95" t="e">
        <f t="shared" si="116"/>
        <v>#N/A</v>
      </c>
      <c r="AS95" t="e">
        <f t="shared" si="117"/>
        <v>#N/A</v>
      </c>
      <c r="AT95" t="e">
        <f t="shared" si="118"/>
        <v>#N/A</v>
      </c>
      <c r="AU95" t="e">
        <f t="shared" si="119"/>
        <v>#N/A</v>
      </c>
      <c r="AV95" t="e">
        <f t="shared" si="120"/>
        <v>#N/A</v>
      </c>
      <c r="AW95" t="e">
        <f t="shared" si="121"/>
        <v>#N/A</v>
      </c>
      <c r="AX95" t="e">
        <f t="shared" si="122"/>
        <v>#N/A</v>
      </c>
      <c r="AY95" t="e">
        <f t="shared" si="123"/>
        <v>#N/A</v>
      </c>
      <c r="BE95" t="e">
        <f>IF(Z95=1,IF(INDEX($C$7:$C$126,V95)&gt;=Gantt!$BF$6,NA(),MATCH(INDEX($C$7:$C$126,V95),Gantt!$J$6:$BE$6,1)),NA())</f>
        <v>#N/A</v>
      </c>
      <c r="BF95" t="e">
        <f>IF(Z95=1,IF((INDEX($D$7:$D$126,AA95)-1)&gt;=Gantt!$BF$6,NA(),IF((INDEX($D$7:$D$126,AA95)-1)&lt;Gantt!$J$6,0,MATCH((INDEX($D$7:$D$126,AA95)-1),Gantt!$J$6:$BE$6,1))),NA())</f>
        <v>#N/A</v>
      </c>
      <c r="BG95" t="e">
        <f t="shared" si="124"/>
        <v>#N/A</v>
      </c>
      <c r="BH95" t="e">
        <f t="shared" si="125"/>
        <v>#N/A</v>
      </c>
      <c r="BI95" t="e">
        <f t="shared" si="126"/>
        <v>#N/A</v>
      </c>
      <c r="BJ95" t="e">
        <f t="shared" si="127"/>
        <v>#N/A</v>
      </c>
      <c r="BK95" t="e">
        <f t="shared" si="128"/>
        <v>#N/A</v>
      </c>
      <c r="BL95" t="e">
        <f t="shared" si="129"/>
        <v>#N/A</v>
      </c>
      <c r="BM95" t="e">
        <f t="shared" si="130"/>
        <v>#N/A</v>
      </c>
      <c r="BN95" t="e">
        <f t="shared" si="131"/>
        <v>#N/A</v>
      </c>
      <c r="BO95" t="e">
        <f t="shared" si="132"/>
        <v>#N/A</v>
      </c>
      <c r="BP95" t="e">
        <f t="shared" si="133"/>
        <v>#N/A</v>
      </c>
      <c r="BQ95" t="e">
        <f t="shared" si="134"/>
        <v>#N/A</v>
      </c>
      <c r="BR95" t="e">
        <f t="shared" si="135"/>
        <v>#N/A</v>
      </c>
      <c r="BS95" t="e">
        <f t="shared" si="136"/>
        <v>#N/A</v>
      </c>
      <c r="BT95" t="e">
        <f t="shared" si="137"/>
        <v>#N/A</v>
      </c>
      <c r="BU95" t="e">
        <f t="shared" si="138"/>
        <v>#N/A</v>
      </c>
      <c r="BV95" t="e">
        <f t="shared" si="139"/>
        <v>#N/A</v>
      </c>
      <c r="BW95" t="e">
        <f t="shared" si="140"/>
        <v>#N/A</v>
      </c>
      <c r="BX95" t="e">
        <f t="shared" si="141"/>
        <v>#N/A</v>
      </c>
      <c r="BY95" t="e">
        <f t="shared" si="142"/>
        <v>#N/A</v>
      </c>
      <c r="BZ95" t="e">
        <f t="shared" si="143"/>
        <v>#N/A</v>
      </c>
      <c r="CA95" t="e">
        <f t="shared" si="144"/>
        <v>#N/A</v>
      </c>
      <c r="CB95" t="e">
        <f t="shared" si="145"/>
        <v>#N/A</v>
      </c>
      <c r="CC95" t="e">
        <f t="shared" si="146"/>
        <v>#N/A</v>
      </c>
      <c r="CD95" t="e">
        <f t="shared" si="147"/>
        <v>#N/A</v>
      </c>
      <c r="CE95" t="e">
        <f t="shared" si="148"/>
        <v>#N/A</v>
      </c>
      <c r="CF95" t="e">
        <f t="shared" si="149"/>
        <v>#N/A</v>
      </c>
      <c r="CG95" t="e">
        <f t="shared" si="150"/>
        <v>#N/A</v>
      </c>
      <c r="CI95" t="e">
        <f>AP36</f>
        <v>#N/A</v>
      </c>
      <c r="CJ95" t="e">
        <f>AQ36</f>
        <v>#N/A</v>
      </c>
      <c r="CK95">
        <f>IF(ISNUMBER(CI95),IFERROR(MAX(0,AR36-CI95),0),0)</f>
        <v>0</v>
      </c>
      <c r="CL95">
        <f>IF(ISNUMBER(CI95),IFERROR(MAX(0,CI95-AR36),0),0)</f>
        <v>0</v>
      </c>
      <c r="CM95">
        <f>IF(ISNUMBER(CJ95),IFERROR(MAX(0,AS36-CJ95),0),0)</f>
        <v>0</v>
      </c>
      <c r="CN95">
        <f>IF(ISNUMBER(CJ95),IFERROR(MAX(0,CJ95-AS36),0),0)</f>
        <v>0</v>
      </c>
      <c r="CP95" t="e">
        <f>BX36</f>
        <v>#N/A</v>
      </c>
      <c r="CQ95" t="e">
        <f>BY36</f>
        <v>#N/A</v>
      </c>
      <c r="CR95">
        <f>IF(ISNUMBER(CP95),IFERROR(MAX(0,BZ36-CP95),0),0)</f>
        <v>0</v>
      </c>
      <c r="CS95">
        <f>IF(ISNUMBER(CP95),IFERROR(MAX(0,CP95-BZ36),0),0)</f>
        <v>0</v>
      </c>
      <c r="CT95">
        <f>IF(ISNUMBER(CQ95),IFERROR(MAX(0,CA36-CQ95),0),0)</f>
        <v>0</v>
      </c>
      <c r="CU95">
        <f>IF(ISNUMBER(CQ95),IFERROR(MAX(0,CQ95-CA36),0),0)</f>
        <v>0</v>
      </c>
    </row>
    <row r="96" spans="1:99" x14ac:dyDescent="0.3">
      <c r="A96">
        <v>90</v>
      </c>
      <c r="B96">
        <f>IF(A96&lt;=$B$2,IF(INDEX(Gantt!$A$7:$A$119,A96)&lt;&gt;"",1,0),0)</f>
        <v>0</v>
      </c>
      <c r="C96" t="e">
        <f>IF(B96=1,INDEX(Gantt!$C$7:$C$119,A96),NA())</f>
        <v>#N/A</v>
      </c>
      <c r="D96" t="e">
        <f>IF(B96=1,INDEX(Gantt!$D$7:$D$119,A96)+1,NA())</f>
        <v>#N/A</v>
      </c>
      <c r="E96">
        <f>IF(B96=1,INDEX(Gantt!$BN$7:$BN$119,A96),0)</f>
        <v>0</v>
      </c>
      <c r="F96">
        <f>IF(B96=1,N(INDEX(Gantt!$F$7:$F$119,A96)),0)</f>
        <v>0</v>
      </c>
      <c r="G96">
        <f t="shared" si="82"/>
        <v>0</v>
      </c>
      <c r="H96" t="e">
        <f t="shared" si="83"/>
        <v>#N/A</v>
      </c>
      <c r="I96" t="e">
        <f t="shared" si="84"/>
        <v>#N/A</v>
      </c>
      <c r="J96" t="e">
        <f t="shared" si="85"/>
        <v>#N/A</v>
      </c>
      <c r="K96" t="e">
        <f t="shared" si="86"/>
        <v>#N/A</v>
      </c>
      <c r="L96" t="e">
        <f t="shared" si="87"/>
        <v>#N/A</v>
      </c>
      <c r="M96" t="e">
        <f t="shared" si="88"/>
        <v>#N/A</v>
      </c>
      <c r="N96" t="e">
        <f t="shared" si="89"/>
        <v>#N/A</v>
      </c>
      <c r="O96" t="e">
        <f t="shared" si="90"/>
        <v>#N/A</v>
      </c>
      <c r="P96" t="e">
        <f t="shared" si="91"/>
        <v>#N/A</v>
      </c>
      <c r="Q96" t="str">
        <f>IF(B96=1,INDEX(Gantt!$A$7:$A$119,A96)&amp;"   "&amp;INDEX(Gantt!$B$7:$B$119,A96),"")</f>
        <v/>
      </c>
      <c r="R96" t="e">
        <f t="shared" si="92"/>
        <v>#N/A</v>
      </c>
      <c r="S96">
        <f t="shared" si="93"/>
        <v>0</v>
      </c>
      <c r="T96">
        <f t="shared" si="94"/>
        <v>0</v>
      </c>
      <c r="U96">
        <v>90</v>
      </c>
      <c r="V96">
        <f t="shared" si="95"/>
        <v>23</v>
      </c>
      <c r="W96">
        <f t="shared" si="96"/>
        <v>2</v>
      </c>
      <c r="X96">
        <f t="shared" si="97"/>
        <v>0</v>
      </c>
      <c r="Y96">
        <f>IF(X96&lt;&gt;1,9999,CHOOSE(W96,INDEX(Gantt!$BQ$7:$BQ$119,V96),INDEX(Gantt!$BR$7:$BR$119,V96),INDEX(Gantt!$BT$7:$BT$119,V96),INDEX(Gantt!$BU$7:$BU$119,V96)))</f>
        <v>9999</v>
      </c>
      <c r="Z96">
        <f t="shared" si="98"/>
        <v>0</v>
      </c>
      <c r="AA96" t="e">
        <f t="shared" si="99"/>
        <v>#N/A</v>
      </c>
      <c r="AB96" t="e">
        <f t="shared" si="100"/>
        <v>#N/A</v>
      </c>
      <c r="AC96" t="e">
        <f t="shared" si="101"/>
        <v>#N/A</v>
      </c>
      <c r="AD96" t="e">
        <f t="shared" si="102"/>
        <v>#N/A</v>
      </c>
      <c r="AE96" t="e">
        <f t="shared" si="103"/>
        <v>#N/A</v>
      </c>
      <c r="AF96" t="e">
        <f t="shared" si="104"/>
        <v>#N/A</v>
      </c>
      <c r="AG96" t="e">
        <f t="shared" si="105"/>
        <v>#N/A</v>
      </c>
      <c r="AH96" t="e">
        <f t="shared" si="106"/>
        <v>#N/A</v>
      </c>
      <c r="AI96" t="e">
        <f t="shared" si="107"/>
        <v>#N/A</v>
      </c>
      <c r="AJ96" t="e">
        <f t="shared" si="108"/>
        <v>#N/A</v>
      </c>
      <c r="AK96" t="e">
        <f t="shared" si="109"/>
        <v>#N/A</v>
      </c>
      <c r="AL96" t="e">
        <f t="shared" si="110"/>
        <v>#N/A</v>
      </c>
      <c r="AM96" t="e">
        <f t="shared" si="111"/>
        <v>#N/A</v>
      </c>
      <c r="AN96" t="e">
        <f t="shared" si="112"/>
        <v>#N/A</v>
      </c>
      <c r="AO96" t="e">
        <f t="shared" si="113"/>
        <v>#N/A</v>
      </c>
      <c r="AP96" t="e">
        <f t="shared" si="114"/>
        <v>#N/A</v>
      </c>
      <c r="AQ96" t="e">
        <f t="shared" si="115"/>
        <v>#N/A</v>
      </c>
      <c r="AR96" t="e">
        <f t="shared" si="116"/>
        <v>#N/A</v>
      </c>
      <c r="AS96" t="e">
        <f t="shared" si="117"/>
        <v>#N/A</v>
      </c>
      <c r="AT96" t="e">
        <f t="shared" si="118"/>
        <v>#N/A</v>
      </c>
      <c r="AU96" t="e">
        <f t="shared" si="119"/>
        <v>#N/A</v>
      </c>
      <c r="AV96" t="e">
        <f t="shared" si="120"/>
        <v>#N/A</v>
      </c>
      <c r="AW96" t="e">
        <f t="shared" si="121"/>
        <v>#N/A</v>
      </c>
      <c r="AX96" t="e">
        <f t="shared" si="122"/>
        <v>#N/A</v>
      </c>
      <c r="AY96" t="e">
        <f t="shared" si="123"/>
        <v>#N/A</v>
      </c>
      <c r="BE96" t="e">
        <f>IF(Z96=1,IF(INDEX($C$7:$C$126,V96)&gt;=Gantt!$BF$6,NA(),MATCH(INDEX($C$7:$C$126,V96),Gantt!$J$6:$BE$6,1)),NA())</f>
        <v>#N/A</v>
      </c>
      <c r="BF96" t="e">
        <f>IF(Z96=1,IF((INDEX($D$7:$D$126,AA96)-1)&gt;=Gantt!$BF$6,NA(),IF((INDEX($D$7:$D$126,AA96)-1)&lt;Gantt!$J$6,0,MATCH((INDEX($D$7:$D$126,AA96)-1),Gantt!$J$6:$BE$6,1))),NA())</f>
        <v>#N/A</v>
      </c>
      <c r="BG96" t="e">
        <f t="shared" si="124"/>
        <v>#N/A</v>
      </c>
      <c r="BH96" t="e">
        <f t="shared" si="125"/>
        <v>#N/A</v>
      </c>
      <c r="BI96" t="e">
        <f t="shared" si="126"/>
        <v>#N/A</v>
      </c>
      <c r="BJ96" t="e">
        <f t="shared" si="127"/>
        <v>#N/A</v>
      </c>
      <c r="BK96" t="e">
        <f t="shared" si="128"/>
        <v>#N/A</v>
      </c>
      <c r="BL96" t="e">
        <f t="shared" si="129"/>
        <v>#N/A</v>
      </c>
      <c r="BM96" t="e">
        <f t="shared" si="130"/>
        <v>#N/A</v>
      </c>
      <c r="BN96" t="e">
        <f t="shared" si="131"/>
        <v>#N/A</v>
      </c>
      <c r="BO96" t="e">
        <f t="shared" si="132"/>
        <v>#N/A</v>
      </c>
      <c r="BP96" t="e">
        <f t="shared" si="133"/>
        <v>#N/A</v>
      </c>
      <c r="BQ96" t="e">
        <f t="shared" si="134"/>
        <v>#N/A</v>
      </c>
      <c r="BR96" t="e">
        <f t="shared" si="135"/>
        <v>#N/A</v>
      </c>
      <c r="BS96" t="e">
        <f t="shared" si="136"/>
        <v>#N/A</v>
      </c>
      <c r="BT96" t="e">
        <f t="shared" si="137"/>
        <v>#N/A</v>
      </c>
      <c r="BU96" t="e">
        <f t="shared" si="138"/>
        <v>#N/A</v>
      </c>
      <c r="BV96" t="e">
        <f t="shared" si="139"/>
        <v>#N/A</v>
      </c>
      <c r="BW96" t="e">
        <f t="shared" si="140"/>
        <v>#N/A</v>
      </c>
      <c r="BX96" t="e">
        <f t="shared" si="141"/>
        <v>#N/A</v>
      </c>
      <c r="BY96" t="e">
        <f t="shared" si="142"/>
        <v>#N/A</v>
      </c>
      <c r="BZ96" t="e">
        <f t="shared" si="143"/>
        <v>#N/A</v>
      </c>
      <c r="CA96" t="e">
        <f t="shared" si="144"/>
        <v>#N/A</v>
      </c>
      <c r="CB96" t="e">
        <f t="shared" si="145"/>
        <v>#N/A</v>
      </c>
      <c r="CC96" t="e">
        <f t="shared" si="146"/>
        <v>#N/A</v>
      </c>
      <c r="CD96" t="e">
        <f t="shared" si="147"/>
        <v>#N/A</v>
      </c>
      <c r="CE96" t="e">
        <f t="shared" si="148"/>
        <v>#N/A</v>
      </c>
      <c r="CF96" t="e">
        <f t="shared" si="149"/>
        <v>#N/A</v>
      </c>
      <c r="CG96" t="e">
        <f t="shared" si="150"/>
        <v>#N/A</v>
      </c>
      <c r="CI96" t="e">
        <f>AT36</f>
        <v>#N/A</v>
      </c>
      <c r="CJ96" t="e">
        <f>AU36</f>
        <v>#N/A</v>
      </c>
      <c r="CK96">
        <f>IF(ISNUMBER(CI96),IFERROR(MAX(0,AV36-CI96),0),0)</f>
        <v>0</v>
      </c>
      <c r="CL96">
        <f>IF(ISNUMBER(CI96),IFERROR(MAX(0,CI96-AV36),0),0)</f>
        <v>0</v>
      </c>
      <c r="CM96">
        <f>IF(ISNUMBER(CJ96),IFERROR(MAX(0,AW36-CJ96),0),0)</f>
        <v>0</v>
      </c>
      <c r="CN96">
        <f>IF(ISNUMBER(CJ96),IFERROR(MAX(0,CJ96-AW36),0),0)</f>
        <v>0</v>
      </c>
      <c r="CP96" t="e">
        <f>CB36</f>
        <v>#N/A</v>
      </c>
      <c r="CQ96" t="e">
        <f>CC36</f>
        <v>#N/A</v>
      </c>
      <c r="CR96">
        <f>IF(ISNUMBER(CP96),IFERROR(MAX(0,CD36-CP96),0),0)</f>
        <v>0</v>
      </c>
      <c r="CS96">
        <f>IF(ISNUMBER(CP96),IFERROR(MAX(0,CP96-CD36),0),0)</f>
        <v>0</v>
      </c>
      <c r="CT96">
        <f>IF(ISNUMBER(CQ96),IFERROR(MAX(0,CE36-CQ96),0),0)</f>
        <v>0</v>
      </c>
      <c r="CU96">
        <f>IF(ISNUMBER(CQ96),IFERROR(MAX(0,CQ96-CE36),0),0)</f>
        <v>0</v>
      </c>
    </row>
    <row r="97" spans="1:99" x14ac:dyDescent="0.3">
      <c r="A97">
        <v>91</v>
      </c>
      <c r="B97">
        <f>IF(A97&lt;=$B$2,IF(INDEX(Gantt!$A$7:$A$119,A97)&lt;&gt;"",1,0),0)</f>
        <v>0</v>
      </c>
      <c r="C97" t="e">
        <f>IF(B97=1,INDEX(Gantt!$C$7:$C$119,A97),NA())</f>
        <v>#N/A</v>
      </c>
      <c r="D97" t="e">
        <f>IF(B97=1,INDEX(Gantt!$D$7:$D$119,A97)+1,NA())</f>
        <v>#N/A</v>
      </c>
      <c r="E97">
        <f>IF(B97=1,INDEX(Gantt!$BN$7:$BN$119,A97),0)</f>
        <v>0</v>
      </c>
      <c r="F97">
        <f>IF(B97=1,N(INDEX(Gantt!$F$7:$F$119,A97)),0)</f>
        <v>0</v>
      </c>
      <c r="G97">
        <f t="shared" si="82"/>
        <v>0</v>
      </c>
      <c r="H97" t="e">
        <f t="shared" si="83"/>
        <v>#N/A</v>
      </c>
      <c r="I97" t="e">
        <f t="shared" si="84"/>
        <v>#N/A</v>
      </c>
      <c r="J97" t="e">
        <f t="shared" si="85"/>
        <v>#N/A</v>
      </c>
      <c r="K97" t="e">
        <f t="shared" si="86"/>
        <v>#N/A</v>
      </c>
      <c r="L97" t="e">
        <f t="shared" si="87"/>
        <v>#N/A</v>
      </c>
      <c r="M97" t="e">
        <f t="shared" si="88"/>
        <v>#N/A</v>
      </c>
      <c r="N97" t="e">
        <f t="shared" si="89"/>
        <v>#N/A</v>
      </c>
      <c r="O97" t="e">
        <f t="shared" si="90"/>
        <v>#N/A</v>
      </c>
      <c r="P97" t="e">
        <f t="shared" si="91"/>
        <v>#N/A</v>
      </c>
      <c r="Q97" t="str">
        <f>IF(B97=1,INDEX(Gantt!$A$7:$A$119,A97)&amp;"   "&amp;INDEX(Gantt!$B$7:$B$119,A97),"")</f>
        <v/>
      </c>
      <c r="R97" t="e">
        <f t="shared" si="92"/>
        <v>#N/A</v>
      </c>
      <c r="S97">
        <f t="shared" si="93"/>
        <v>0</v>
      </c>
      <c r="T97">
        <f t="shared" si="94"/>
        <v>0</v>
      </c>
      <c r="U97">
        <v>91</v>
      </c>
      <c r="V97">
        <f t="shared" si="95"/>
        <v>23</v>
      </c>
      <c r="W97">
        <f t="shared" si="96"/>
        <v>3</v>
      </c>
      <c r="X97">
        <f t="shared" si="97"/>
        <v>0</v>
      </c>
      <c r="Y97">
        <f>IF(X97&lt;&gt;1,9999,CHOOSE(W97,INDEX(Gantt!$BQ$7:$BQ$119,V97),INDEX(Gantt!$BR$7:$BR$119,V97),INDEX(Gantt!$BT$7:$BT$119,V97),INDEX(Gantt!$BU$7:$BU$119,V97)))</f>
        <v>9999</v>
      </c>
      <c r="Z97">
        <f t="shared" si="98"/>
        <v>0</v>
      </c>
      <c r="AA97" t="e">
        <f t="shared" si="99"/>
        <v>#N/A</v>
      </c>
      <c r="AB97" t="e">
        <f t="shared" si="100"/>
        <v>#N/A</v>
      </c>
      <c r="AC97" t="e">
        <f t="shared" si="101"/>
        <v>#N/A</v>
      </c>
      <c r="AD97" t="e">
        <f t="shared" si="102"/>
        <v>#N/A</v>
      </c>
      <c r="AE97" t="e">
        <f t="shared" si="103"/>
        <v>#N/A</v>
      </c>
      <c r="AF97" t="e">
        <f t="shared" si="104"/>
        <v>#N/A</v>
      </c>
      <c r="AG97" t="e">
        <f t="shared" si="105"/>
        <v>#N/A</v>
      </c>
      <c r="AH97" t="e">
        <f t="shared" si="106"/>
        <v>#N/A</v>
      </c>
      <c r="AI97" t="e">
        <f t="shared" si="107"/>
        <v>#N/A</v>
      </c>
      <c r="AJ97" t="e">
        <f t="shared" si="108"/>
        <v>#N/A</v>
      </c>
      <c r="AK97" t="e">
        <f t="shared" si="109"/>
        <v>#N/A</v>
      </c>
      <c r="AL97" t="e">
        <f t="shared" si="110"/>
        <v>#N/A</v>
      </c>
      <c r="AM97" t="e">
        <f t="shared" si="111"/>
        <v>#N/A</v>
      </c>
      <c r="AN97" t="e">
        <f t="shared" si="112"/>
        <v>#N/A</v>
      </c>
      <c r="AO97" t="e">
        <f t="shared" si="113"/>
        <v>#N/A</v>
      </c>
      <c r="AP97" t="e">
        <f t="shared" si="114"/>
        <v>#N/A</v>
      </c>
      <c r="AQ97" t="e">
        <f t="shared" si="115"/>
        <v>#N/A</v>
      </c>
      <c r="AR97" t="e">
        <f t="shared" si="116"/>
        <v>#N/A</v>
      </c>
      <c r="AS97" t="e">
        <f t="shared" si="117"/>
        <v>#N/A</v>
      </c>
      <c r="AT97" t="e">
        <f t="shared" si="118"/>
        <v>#N/A</v>
      </c>
      <c r="AU97" t="e">
        <f t="shared" si="119"/>
        <v>#N/A</v>
      </c>
      <c r="AV97" t="e">
        <f t="shared" si="120"/>
        <v>#N/A</v>
      </c>
      <c r="AW97" t="e">
        <f t="shared" si="121"/>
        <v>#N/A</v>
      </c>
      <c r="AX97" t="e">
        <f t="shared" si="122"/>
        <v>#N/A</v>
      </c>
      <c r="AY97" t="e">
        <f t="shared" si="123"/>
        <v>#N/A</v>
      </c>
      <c r="BE97" t="e">
        <f>IF(Z97=1,IF(INDEX($C$7:$C$126,V97)&gt;=Gantt!$BF$6,NA(),MATCH(INDEX($C$7:$C$126,V97),Gantt!$J$6:$BE$6,1)),NA())</f>
        <v>#N/A</v>
      </c>
      <c r="BF97" t="e">
        <f>IF(Z97=1,IF((INDEX($D$7:$D$126,AA97)-1)&gt;=Gantt!$BF$6,NA(),IF((INDEX($D$7:$D$126,AA97)-1)&lt;Gantt!$J$6,0,MATCH((INDEX($D$7:$D$126,AA97)-1),Gantt!$J$6:$BE$6,1))),NA())</f>
        <v>#N/A</v>
      </c>
      <c r="BG97" t="e">
        <f t="shared" si="124"/>
        <v>#N/A</v>
      </c>
      <c r="BH97" t="e">
        <f t="shared" si="125"/>
        <v>#N/A</v>
      </c>
      <c r="BI97" t="e">
        <f t="shared" si="126"/>
        <v>#N/A</v>
      </c>
      <c r="BJ97" t="e">
        <f t="shared" si="127"/>
        <v>#N/A</v>
      </c>
      <c r="BK97" t="e">
        <f t="shared" si="128"/>
        <v>#N/A</v>
      </c>
      <c r="BL97" t="e">
        <f t="shared" si="129"/>
        <v>#N/A</v>
      </c>
      <c r="BM97" t="e">
        <f t="shared" si="130"/>
        <v>#N/A</v>
      </c>
      <c r="BN97" t="e">
        <f t="shared" si="131"/>
        <v>#N/A</v>
      </c>
      <c r="BO97" t="e">
        <f t="shared" si="132"/>
        <v>#N/A</v>
      </c>
      <c r="BP97" t="e">
        <f t="shared" si="133"/>
        <v>#N/A</v>
      </c>
      <c r="BQ97" t="e">
        <f t="shared" si="134"/>
        <v>#N/A</v>
      </c>
      <c r="BR97" t="e">
        <f t="shared" si="135"/>
        <v>#N/A</v>
      </c>
      <c r="BS97" t="e">
        <f t="shared" si="136"/>
        <v>#N/A</v>
      </c>
      <c r="BT97" t="e">
        <f t="shared" si="137"/>
        <v>#N/A</v>
      </c>
      <c r="BU97" t="e">
        <f t="shared" si="138"/>
        <v>#N/A</v>
      </c>
      <c r="BV97" t="e">
        <f t="shared" si="139"/>
        <v>#N/A</v>
      </c>
      <c r="BW97" t="e">
        <f t="shared" si="140"/>
        <v>#N/A</v>
      </c>
      <c r="BX97" t="e">
        <f t="shared" si="141"/>
        <v>#N/A</v>
      </c>
      <c r="BY97" t="e">
        <f t="shared" si="142"/>
        <v>#N/A</v>
      </c>
      <c r="BZ97" t="e">
        <f t="shared" si="143"/>
        <v>#N/A</v>
      </c>
      <c r="CA97" t="e">
        <f t="shared" si="144"/>
        <v>#N/A</v>
      </c>
      <c r="CB97" t="e">
        <f t="shared" si="145"/>
        <v>#N/A</v>
      </c>
      <c r="CC97" t="e">
        <f t="shared" si="146"/>
        <v>#N/A</v>
      </c>
      <c r="CD97" t="e">
        <f t="shared" si="147"/>
        <v>#N/A</v>
      </c>
      <c r="CE97" t="e">
        <f t="shared" si="148"/>
        <v>#N/A</v>
      </c>
      <c r="CF97" t="e">
        <f t="shared" si="149"/>
        <v>#N/A</v>
      </c>
      <c r="CG97" t="e">
        <f t="shared" si="150"/>
        <v>#N/A</v>
      </c>
      <c r="CI97" t="e">
        <f>AL37</f>
        <v>#N/A</v>
      </c>
      <c r="CJ97" t="e">
        <f>AM37</f>
        <v>#N/A</v>
      </c>
      <c r="CK97">
        <f>IF(ISNUMBER(CI97),IFERROR(MAX(0,AN37-CI97),0),0)</f>
        <v>0</v>
      </c>
      <c r="CL97">
        <f>IF(ISNUMBER(CI97),IFERROR(MAX(0,CI97-AN37),0),0)</f>
        <v>0</v>
      </c>
      <c r="CM97">
        <f>IF(ISNUMBER(CJ97),IFERROR(MAX(0,AO37-CJ97),0),0)</f>
        <v>0</v>
      </c>
      <c r="CN97">
        <f>IF(ISNUMBER(CJ97),IFERROR(MAX(0,CJ97-AO37),0),0)</f>
        <v>0</v>
      </c>
      <c r="CP97" t="e">
        <f>BT37</f>
        <v>#N/A</v>
      </c>
      <c r="CQ97" t="e">
        <f>BU37</f>
        <v>#N/A</v>
      </c>
      <c r="CR97">
        <f>IF(ISNUMBER(CP97),IFERROR(MAX(0,BV37-CP97),0),0)</f>
        <v>0</v>
      </c>
      <c r="CS97">
        <f>IF(ISNUMBER(CP97),IFERROR(MAX(0,CP97-BV37),0),0)</f>
        <v>0</v>
      </c>
      <c r="CT97">
        <f>IF(ISNUMBER(CQ97),IFERROR(MAX(0,BW37-CQ97),0),0)</f>
        <v>0</v>
      </c>
      <c r="CU97">
        <f>IF(ISNUMBER(CQ97),IFERROR(MAX(0,CQ97-BW37),0),0)</f>
        <v>0</v>
      </c>
    </row>
    <row r="98" spans="1:99" x14ac:dyDescent="0.3">
      <c r="A98">
        <v>92</v>
      </c>
      <c r="B98">
        <f>IF(A98&lt;=$B$2,IF(INDEX(Gantt!$A$7:$A$119,A98)&lt;&gt;"",1,0),0)</f>
        <v>0</v>
      </c>
      <c r="C98" t="e">
        <f>IF(B98=1,INDEX(Gantt!$C$7:$C$119,A98),NA())</f>
        <v>#N/A</v>
      </c>
      <c r="D98" t="e">
        <f>IF(B98=1,INDEX(Gantt!$D$7:$D$119,A98)+1,NA())</f>
        <v>#N/A</v>
      </c>
      <c r="E98">
        <f>IF(B98=1,INDEX(Gantt!$BN$7:$BN$119,A98),0)</f>
        <v>0</v>
      </c>
      <c r="F98">
        <f>IF(B98=1,N(INDEX(Gantt!$F$7:$F$119,A98)),0)</f>
        <v>0</v>
      </c>
      <c r="G98">
        <f t="shared" si="82"/>
        <v>0</v>
      </c>
      <c r="H98" t="e">
        <f t="shared" si="83"/>
        <v>#N/A</v>
      </c>
      <c r="I98" t="e">
        <f t="shared" si="84"/>
        <v>#N/A</v>
      </c>
      <c r="J98" t="e">
        <f t="shared" si="85"/>
        <v>#N/A</v>
      </c>
      <c r="K98" t="e">
        <f t="shared" si="86"/>
        <v>#N/A</v>
      </c>
      <c r="L98" t="e">
        <f t="shared" si="87"/>
        <v>#N/A</v>
      </c>
      <c r="M98" t="e">
        <f t="shared" si="88"/>
        <v>#N/A</v>
      </c>
      <c r="N98" t="e">
        <f t="shared" si="89"/>
        <v>#N/A</v>
      </c>
      <c r="O98" t="e">
        <f t="shared" si="90"/>
        <v>#N/A</v>
      </c>
      <c r="P98" t="e">
        <f t="shared" si="91"/>
        <v>#N/A</v>
      </c>
      <c r="Q98" t="str">
        <f>IF(B98=1,INDEX(Gantt!$A$7:$A$119,A98)&amp;"   "&amp;INDEX(Gantt!$B$7:$B$119,A98),"")</f>
        <v/>
      </c>
      <c r="R98" t="e">
        <f t="shared" si="92"/>
        <v>#N/A</v>
      </c>
      <c r="S98">
        <f t="shared" si="93"/>
        <v>0</v>
      </c>
      <c r="T98">
        <f t="shared" si="94"/>
        <v>0</v>
      </c>
      <c r="U98">
        <v>92</v>
      </c>
      <c r="V98">
        <f t="shared" si="95"/>
        <v>23</v>
      </c>
      <c r="W98">
        <f t="shared" si="96"/>
        <v>4</v>
      </c>
      <c r="X98">
        <f t="shared" si="97"/>
        <v>0</v>
      </c>
      <c r="Y98">
        <f>IF(X98&lt;&gt;1,9999,CHOOSE(W98,INDEX(Gantt!$BQ$7:$BQ$119,V98),INDEX(Gantt!$BR$7:$BR$119,V98),INDEX(Gantt!$BT$7:$BT$119,V98),INDEX(Gantt!$BU$7:$BU$119,V98)))</f>
        <v>9999</v>
      </c>
      <c r="Z98">
        <f t="shared" si="98"/>
        <v>0</v>
      </c>
      <c r="AA98" t="e">
        <f t="shared" si="99"/>
        <v>#N/A</v>
      </c>
      <c r="AB98" t="e">
        <f t="shared" si="100"/>
        <v>#N/A</v>
      </c>
      <c r="AC98" t="e">
        <f t="shared" si="101"/>
        <v>#N/A</v>
      </c>
      <c r="AD98" t="e">
        <f t="shared" si="102"/>
        <v>#N/A</v>
      </c>
      <c r="AE98" t="e">
        <f t="shared" si="103"/>
        <v>#N/A</v>
      </c>
      <c r="AF98" t="e">
        <f t="shared" si="104"/>
        <v>#N/A</v>
      </c>
      <c r="AG98" t="e">
        <f t="shared" si="105"/>
        <v>#N/A</v>
      </c>
      <c r="AH98" t="e">
        <f t="shared" si="106"/>
        <v>#N/A</v>
      </c>
      <c r="AI98" t="e">
        <f t="shared" si="107"/>
        <v>#N/A</v>
      </c>
      <c r="AJ98" t="e">
        <f t="shared" si="108"/>
        <v>#N/A</v>
      </c>
      <c r="AK98" t="e">
        <f t="shared" si="109"/>
        <v>#N/A</v>
      </c>
      <c r="AL98" t="e">
        <f t="shared" si="110"/>
        <v>#N/A</v>
      </c>
      <c r="AM98" t="e">
        <f t="shared" si="111"/>
        <v>#N/A</v>
      </c>
      <c r="AN98" t="e">
        <f t="shared" si="112"/>
        <v>#N/A</v>
      </c>
      <c r="AO98" t="e">
        <f t="shared" si="113"/>
        <v>#N/A</v>
      </c>
      <c r="AP98" t="e">
        <f t="shared" si="114"/>
        <v>#N/A</v>
      </c>
      <c r="AQ98" t="e">
        <f t="shared" si="115"/>
        <v>#N/A</v>
      </c>
      <c r="AR98" t="e">
        <f t="shared" si="116"/>
        <v>#N/A</v>
      </c>
      <c r="AS98" t="e">
        <f t="shared" si="117"/>
        <v>#N/A</v>
      </c>
      <c r="AT98" t="e">
        <f t="shared" si="118"/>
        <v>#N/A</v>
      </c>
      <c r="AU98" t="e">
        <f t="shared" si="119"/>
        <v>#N/A</v>
      </c>
      <c r="AV98" t="e">
        <f t="shared" si="120"/>
        <v>#N/A</v>
      </c>
      <c r="AW98" t="e">
        <f t="shared" si="121"/>
        <v>#N/A</v>
      </c>
      <c r="AX98" t="e">
        <f t="shared" si="122"/>
        <v>#N/A</v>
      </c>
      <c r="AY98" t="e">
        <f t="shared" si="123"/>
        <v>#N/A</v>
      </c>
      <c r="BE98" t="e">
        <f>IF(Z98=1,IF(INDEX($C$7:$C$126,V98)&gt;=Gantt!$BF$6,NA(),MATCH(INDEX($C$7:$C$126,V98),Gantt!$J$6:$BE$6,1)),NA())</f>
        <v>#N/A</v>
      </c>
      <c r="BF98" t="e">
        <f>IF(Z98=1,IF((INDEX($D$7:$D$126,AA98)-1)&gt;=Gantt!$BF$6,NA(),IF((INDEX($D$7:$D$126,AA98)-1)&lt;Gantt!$J$6,0,MATCH((INDEX($D$7:$D$126,AA98)-1),Gantt!$J$6:$BE$6,1))),NA())</f>
        <v>#N/A</v>
      </c>
      <c r="BG98" t="e">
        <f t="shared" si="124"/>
        <v>#N/A</v>
      </c>
      <c r="BH98" t="e">
        <f t="shared" si="125"/>
        <v>#N/A</v>
      </c>
      <c r="BI98" t="e">
        <f t="shared" si="126"/>
        <v>#N/A</v>
      </c>
      <c r="BJ98" t="e">
        <f t="shared" si="127"/>
        <v>#N/A</v>
      </c>
      <c r="BK98" t="e">
        <f t="shared" si="128"/>
        <v>#N/A</v>
      </c>
      <c r="BL98" t="e">
        <f t="shared" si="129"/>
        <v>#N/A</v>
      </c>
      <c r="BM98" t="e">
        <f t="shared" si="130"/>
        <v>#N/A</v>
      </c>
      <c r="BN98" t="e">
        <f t="shared" si="131"/>
        <v>#N/A</v>
      </c>
      <c r="BO98" t="e">
        <f t="shared" si="132"/>
        <v>#N/A</v>
      </c>
      <c r="BP98" t="e">
        <f t="shared" si="133"/>
        <v>#N/A</v>
      </c>
      <c r="BQ98" t="e">
        <f t="shared" si="134"/>
        <v>#N/A</v>
      </c>
      <c r="BR98" t="e">
        <f t="shared" si="135"/>
        <v>#N/A</v>
      </c>
      <c r="BS98" t="e">
        <f t="shared" si="136"/>
        <v>#N/A</v>
      </c>
      <c r="BT98" t="e">
        <f t="shared" si="137"/>
        <v>#N/A</v>
      </c>
      <c r="BU98" t="e">
        <f t="shared" si="138"/>
        <v>#N/A</v>
      </c>
      <c r="BV98" t="e">
        <f t="shared" si="139"/>
        <v>#N/A</v>
      </c>
      <c r="BW98" t="e">
        <f t="shared" si="140"/>
        <v>#N/A</v>
      </c>
      <c r="BX98" t="e">
        <f t="shared" si="141"/>
        <v>#N/A</v>
      </c>
      <c r="BY98" t="e">
        <f t="shared" si="142"/>
        <v>#N/A</v>
      </c>
      <c r="BZ98" t="e">
        <f t="shared" si="143"/>
        <v>#N/A</v>
      </c>
      <c r="CA98" t="e">
        <f t="shared" si="144"/>
        <v>#N/A</v>
      </c>
      <c r="CB98" t="e">
        <f t="shared" si="145"/>
        <v>#N/A</v>
      </c>
      <c r="CC98" t="e">
        <f t="shared" si="146"/>
        <v>#N/A</v>
      </c>
      <c r="CD98" t="e">
        <f t="shared" si="147"/>
        <v>#N/A</v>
      </c>
      <c r="CE98" t="e">
        <f t="shared" si="148"/>
        <v>#N/A</v>
      </c>
      <c r="CF98" t="e">
        <f t="shared" si="149"/>
        <v>#N/A</v>
      </c>
      <c r="CG98" t="e">
        <f t="shared" si="150"/>
        <v>#N/A</v>
      </c>
      <c r="CI98" t="e">
        <f>AP37</f>
        <v>#N/A</v>
      </c>
      <c r="CJ98" t="e">
        <f>AQ37</f>
        <v>#N/A</v>
      </c>
      <c r="CK98">
        <f>IF(ISNUMBER(CI98),IFERROR(MAX(0,AR37-CI98),0),0)</f>
        <v>0</v>
      </c>
      <c r="CL98">
        <f>IF(ISNUMBER(CI98),IFERROR(MAX(0,CI98-AR37),0),0)</f>
        <v>0</v>
      </c>
      <c r="CM98">
        <f>IF(ISNUMBER(CJ98),IFERROR(MAX(0,AS37-CJ98),0),0)</f>
        <v>0</v>
      </c>
      <c r="CN98">
        <f>IF(ISNUMBER(CJ98),IFERROR(MAX(0,CJ98-AS37),0),0)</f>
        <v>0</v>
      </c>
      <c r="CP98" t="e">
        <f>BX37</f>
        <v>#N/A</v>
      </c>
      <c r="CQ98" t="e">
        <f>BY37</f>
        <v>#N/A</v>
      </c>
      <c r="CR98">
        <f>IF(ISNUMBER(CP98),IFERROR(MAX(0,BZ37-CP98),0),0)</f>
        <v>0</v>
      </c>
      <c r="CS98">
        <f>IF(ISNUMBER(CP98),IFERROR(MAX(0,CP98-BZ37),0),0)</f>
        <v>0</v>
      </c>
      <c r="CT98">
        <f>IF(ISNUMBER(CQ98),IFERROR(MAX(0,CA37-CQ98),0),0)</f>
        <v>0</v>
      </c>
      <c r="CU98">
        <f>IF(ISNUMBER(CQ98),IFERROR(MAX(0,CQ98-CA37),0),0)</f>
        <v>0</v>
      </c>
    </row>
    <row r="99" spans="1:99" x14ac:dyDescent="0.3">
      <c r="A99">
        <v>93</v>
      </c>
      <c r="B99">
        <f>IF(A99&lt;=$B$2,IF(INDEX(Gantt!$A$7:$A$119,A99)&lt;&gt;"",1,0),0)</f>
        <v>0</v>
      </c>
      <c r="C99" t="e">
        <f>IF(B99=1,INDEX(Gantt!$C$7:$C$119,A99),NA())</f>
        <v>#N/A</v>
      </c>
      <c r="D99" t="e">
        <f>IF(B99=1,INDEX(Gantt!$D$7:$D$119,A99)+1,NA())</f>
        <v>#N/A</v>
      </c>
      <c r="E99">
        <f>IF(B99=1,INDEX(Gantt!$BN$7:$BN$119,A99),0)</f>
        <v>0</v>
      </c>
      <c r="F99">
        <f>IF(B99=1,N(INDEX(Gantt!$F$7:$F$119,A99)),0)</f>
        <v>0</v>
      </c>
      <c r="G99">
        <f t="shared" si="82"/>
        <v>0</v>
      </c>
      <c r="H99" t="e">
        <f t="shared" si="83"/>
        <v>#N/A</v>
      </c>
      <c r="I99" t="e">
        <f t="shared" si="84"/>
        <v>#N/A</v>
      </c>
      <c r="J99" t="e">
        <f t="shared" si="85"/>
        <v>#N/A</v>
      </c>
      <c r="K99" t="e">
        <f t="shared" si="86"/>
        <v>#N/A</v>
      </c>
      <c r="L99" t="e">
        <f t="shared" si="87"/>
        <v>#N/A</v>
      </c>
      <c r="M99" t="e">
        <f t="shared" si="88"/>
        <v>#N/A</v>
      </c>
      <c r="N99" t="e">
        <f t="shared" si="89"/>
        <v>#N/A</v>
      </c>
      <c r="O99" t="e">
        <f t="shared" si="90"/>
        <v>#N/A</v>
      </c>
      <c r="P99" t="e">
        <f t="shared" si="91"/>
        <v>#N/A</v>
      </c>
      <c r="Q99" t="str">
        <f>IF(B99=1,INDEX(Gantt!$A$7:$A$119,A99)&amp;"   "&amp;INDEX(Gantt!$B$7:$B$119,A99),"")</f>
        <v/>
      </c>
      <c r="R99" t="e">
        <f t="shared" si="92"/>
        <v>#N/A</v>
      </c>
      <c r="S99">
        <f t="shared" si="93"/>
        <v>0</v>
      </c>
      <c r="T99">
        <f t="shared" si="94"/>
        <v>0</v>
      </c>
      <c r="U99">
        <v>93</v>
      </c>
      <c r="V99">
        <f t="shared" si="95"/>
        <v>24</v>
      </c>
      <c r="W99">
        <f t="shared" si="96"/>
        <v>1</v>
      </c>
      <c r="X99">
        <f t="shared" si="97"/>
        <v>0</v>
      </c>
      <c r="Y99">
        <f>IF(X99&lt;&gt;1,9999,CHOOSE(W99,INDEX(Gantt!$BQ$7:$BQ$119,V99),INDEX(Gantt!$BR$7:$BR$119,V99),INDEX(Gantt!$BT$7:$BT$119,V99),INDEX(Gantt!$BU$7:$BU$119,V99)))</f>
        <v>9999</v>
      </c>
      <c r="Z99">
        <f t="shared" si="98"/>
        <v>0</v>
      </c>
      <c r="AA99" t="e">
        <f t="shared" si="99"/>
        <v>#N/A</v>
      </c>
      <c r="AB99" t="e">
        <f t="shared" si="100"/>
        <v>#N/A</v>
      </c>
      <c r="AC99" t="e">
        <f t="shared" si="101"/>
        <v>#N/A</v>
      </c>
      <c r="AD99" t="e">
        <f t="shared" si="102"/>
        <v>#N/A</v>
      </c>
      <c r="AE99" t="e">
        <f t="shared" si="103"/>
        <v>#N/A</v>
      </c>
      <c r="AF99" t="e">
        <f t="shared" si="104"/>
        <v>#N/A</v>
      </c>
      <c r="AG99" t="e">
        <f t="shared" si="105"/>
        <v>#N/A</v>
      </c>
      <c r="AH99" t="e">
        <f t="shared" si="106"/>
        <v>#N/A</v>
      </c>
      <c r="AI99" t="e">
        <f t="shared" si="107"/>
        <v>#N/A</v>
      </c>
      <c r="AJ99" t="e">
        <f t="shared" si="108"/>
        <v>#N/A</v>
      </c>
      <c r="AK99" t="e">
        <f t="shared" si="109"/>
        <v>#N/A</v>
      </c>
      <c r="AL99" t="e">
        <f t="shared" si="110"/>
        <v>#N/A</v>
      </c>
      <c r="AM99" t="e">
        <f t="shared" si="111"/>
        <v>#N/A</v>
      </c>
      <c r="AN99" t="e">
        <f t="shared" si="112"/>
        <v>#N/A</v>
      </c>
      <c r="AO99" t="e">
        <f t="shared" si="113"/>
        <v>#N/A</v>
      </c>
      <c r="AP99" t="e">
        <f t="shared" si="114"/>
        <v>#N/A</v>
      </c>
      <c r="AQ99" t="e">
        <f t="shared" si="115"/>
        <v>#N/A</v>
      </c>
      <c r="AR99" t="e">
        <f t="shared" si="116"/>
        <v>#N/A</v>
      </c>
      <c r="AS99" t="e">
        <f t="shared" si="117"/>
        <v>#N/A</v>
      </c>
      <c r="AT99" t="e">
        <f t="shared" si="118"/>
        <v>#N/A</v>
      </c>
      <c r="AU99" t="e">
        <f t="shared" si="119"/>
        <v>#N/A</v>
      </c>
      <c r="AV99" t="e">
        <f t="shared" si="120"/>
        <v>#N/A</v>
      </c>
      <c r="AW99" t="e">
        <f t="shared" si="121"/>
        <v>#N/A</v>
      </c>
      <c r="AX99" t="e">
        <f t="shared" si="122"/>
        <v>#N/A</v>
      </c>
      <c r="AY99" t="e">
        <f t="shared" si="123"/>
        <v>#N/A</v>
      </c>
      <c r="BE99" t="e">
        <f>IF(Z99=1,IF(INDEX($C$7:$C$126,V99)&gt;=Gantt!$BF$6,NA(),MATCH(INDEX($C$7:$C$126,V99),Gantt!$J$6:$BE$6,1)),NA())</f>
        <v>#N/A</v>
      </c>
      <c r="BF99" t="e">
        <f>IF(Z99=1,IF((INDEX($D$7:$D$126,AA99)-1)&gt;=Gantt!$BF$6,NA(),IF((INDEX($D$7:$D$126,AA99)-1)&lt;Gantt!$J$6,0,MATCH((INDEX($D$7:$D$126,AA99)-1),Gantt!$J$6:$BE$6,1))),NA())</f>
        <v>#N/A</v>
      </c>
      <c r="BG99" t="e">
        <f t="shared" si="124"/>
        <v>#N/A</v>
      </c>
      <c r="BH99" t="e">
        <f t="shared" si="125"/>
        <v>#N/A</v>
      </c>
      <c r="BI99" t="e">
        <f t="shared" si="126"/>
        <v>#N/A</v>
      </c>
      <c r="BJ99" t="e">
        <f t="shared" si="127"/>
        <v>#N/A</v>
      </c>
      <c r="BK99" t="e">
        <f t="shared" si="128"/>
        <v>#N/A</v>
      </c>
      <c r="BL99" t="e">
        <f t="shared" si="129"/>
        <v>#N/A</v>
      </c>
      <c r="BM99" t="e">
        <f t="shared" si="130"/>
        <v>#N/A</v>
      </c>
      <c r="BN99" t="e">
        <f t="shared" si="131"/>
        <v>#N/A</v>
      </c>
      <c r="BO99" t="e">
        <f t="shared" si="132"/>
        <v>#N/A</v>
      </c>
      <c r="BP99" t="e">
        <f t="shared" si="133"/>
        <v>#N/A</v>
      </c>
      <c r="BQ99" t="e">
        <f t="shared" si="134"/>
        <v>#N/A</v>
      </c>
      <c r="BR99" t="e">
        <f t="shared" si="135"/>
        <v>#N/A</v>
      </c>
      <c r="BS99" t="e">
        <f t="shared" si="136"/>
        <v>#N/A</v>
      </c>
      <c r="BT99" t="e">
        <f t="shared" si="137"/>
        <v>#N/A</v>
      </c>
      <c r="BU99" t="e">
        <f t="shared" si="138"/>
        <v>#N/A</v>
      </c>
      <c r="BV99" t="e">
        <f t="shared" si="139"/>
        <v>#N/A</v>
      </c>
      <c r="BW99" t="e">
        <f t="shared" si="140"/>
        <v>#N/A</v>
      </c>
      <c r="BX99" t="e">
        <f t="shared" si="141"/>
        <v>#N/A</v>
      </c>
      <c r="BY99" t="e">
        <f t="shared" si="142"/>
        <v>#N/A</v>
      </c>
      <c r="BZ99" t="e">
        <f t="shared" si="143"/>
        <v>#N/A</v>
      </c>
      <c r="CA99" t="e">
        <f t="shared" si="144"/>
        <v>#N/A</v>
      </c>
      <c r="CB99" t="e">
        <f t="shared" si="145"/>
        <v>#N/A</v>
      </c>
      <c r="CC99" t="e">
        <f t="shared" si="146"/>
        <v>#N/A</v>
      </c>
      <c r="CD99" t="e">
        <f t="shared" si="147"/>
        <v>#N/A</v>
      </c>
      <c r="CE99" t="e">
        <f t="shared" si="148"/>
        <v>#N/A</v>
      </c>
      <c r="CF99" t="e">
        <f t="shared" si="149"/>
        <v>#N/A</v>
      </c>
      <c r="CG99" t="e">
        <f t="shared" si="150"/>
        <v>#N/A</v>
      </c>
      <c r="CI99" t="e">
        <f>AT37</f>
        <v>#N/A</v>
      </c>
      <c r="CJ99" t="e">
        <f>AU37</f>
        <v>#N/A</v>
      </c>
      <c r="CK99">
        <f>IF(ISNUMBER(CI99),IFERROR(MAX(0,AV37-CI99),0),0)</f>
        <v>0</v>
      </c>
      <c r="CL99">
        <f>IF(ISNUMBER(CI99),IFERROR(MAX(0,CI99-AV37),0),0)</f>
        <v>0</v>
      </c>
      <c r="CM99">
        <f>IF(ISNUMBER(CJ99),IFERROR(MAX(0,AW37-CJ99),0),0)</f>
        <v>0</v>
      </c>
      <c r="CN99">
        <f>IF(ISNUMBER(CJ99),IFERROR(MAX(0,CJ99-AW37),0),0)</f>
        <v>0</v>
      </c>
      <c r="CP99" t="e">
        <f>CB37</f>
        <v>#N/A</v>
      </c>
      <c r="CQ99" t="e">
        <f>CC37</f>
        <v>#N/A</v>
      </c>
      <c r="CR99">
        <f>IF(ISNUMBER(CP99),IFERROR(MAX(0,CD37-CP99),0),0)</f>
        <v>0</v>
      </c>
      <c r="CS99">
        <f>IF(ISNUMBER(CP99),IFERROR(MAX(0,CP99-CD37),0),0)</f>
        <v>0</v>
      </c>
      <c r="CT99">
        <f>IF(ISNUMBER(CQ99),IFERROR(MAX(0,CE37-CQ99),0),0)</f>
        <v>0</v>
      </c>
      <c r="CU99">
        <f>IF(ISNUMBER(CQ99),IFERROR(MAX(0,CQ99-CE37),0),0)</f>
        <v>0</v>
      </c>
    </row>
    <row r="100" spans="1:99" x14ac:dyDescent="0.3">
      <c r="A100">
        <v>94</v>
      </c>
      <c r="B100">
        <f>IF(A100&lt;=$B$2,IF(INDEX(Gantt!$A$7:$A$119,A100)&lt;&gt;"",1,0),0)</f>
        <v>0</v>
      </c>
      <c r="C100" t="e">
        <f>IF(B100=1,INDEX(Gantt!$C$7:$C$119,A100),NA())</f>
        <v>#N/A</v>
      </c>
      <c r="D100" t="e">
        <f>IF(B100=1,INDEX(Gantt!$D$7:$D$119,A100)+1,NA())</f>
        <v>#N/A</v>
      </c>
      <c r="E100">
        <f>IF(B100=1,INDEX(Gantt!$BN$7:$BN$119,A100),0)</f>
        <v>0</v>
      </c>
      <c r="F100">
        <f>IF(B100=1,N(INDEX(Gantt!$F$7:$F$119,A100)),0)</f>
        <v>0</v>
      </c>
      <c r="G100">
        <f t="shared" si="82"/>
        <v>0</v>
      </c>
      <c r="H100" t="e">
        <f t="shared" si="83"/>
        <v>#N/A</v>
      </c>
      <c r="I100" t="e">
        <f t="shared" si="84"/>
        <v>#N/A</v>
      </c>
      <c r="J100" t="e">
        <f t="shared" si="85"/>
        <v>#N/A</v>
      </c>
      <c r="K100" t="e">
        <f t="shared" si="86"/>
        <v>#N/A</v>
      </c>
      <c r="L100" t="e">
        <f t="shared" si="87"/>
        <v>#N/A</v>
      </c>
      <c r="M100" t="e">
        <f t="shared" si="88"/>
        <v>#N/A</v>
      </c>
      <c r="N100" t="e">
        <f t="shared" si="89"/>
        <v>#N/A</v>
      </c>
      <c r="O100" t="e">
        <f t="shared" si="90"/>
        <v>#N/A</v>
      </c>
      <c r="P100" t="e">
        <f t="shared" si="91"/>
        <v>#N/A</v>
      </c>
      <c r="Q100" t="str">
        <f>IF(B100=1,INDEX(Gantt!$A$7:$A$119,A100)&amp;"   "&amp;INDEX(Gantt!$B$7:$B$119,A100),"")</f>
        <v/>
      </c>
      <c r="R100" t="e">
        <f t="shared" si="92"/>
        <v>#N/A</v>
      </c>
      <c r="S100">
        <f t="shared" si="93"/>
        <v>0</v>
      </c>
      <c r="T100">
        <f t="shared" si="94"/>
        <v>0</v>
      </c>
      <c r="U100">
        <v>94</v>
      </c>
      <c r="V100">
        <f t="shared" si="95"/>
        <v>24</v>
      </c>
      <c r="W100">
        <f t="shared" si="96"/>
        <v>2</v>
      </c>
      <c r="X100">
        <f t="shared" si="97"/>
        <v>0</v>
      </c>
      <c r="Y100">
        <f>IF(X100&lt;&gt;1,9999,CHOOSE(W100,INDEX(Gantt!$BQ$7:$BQ$119,V100),INDEX(Gantt!$BR$7:$BR$119,V100),INDEX(Gantt!$BT$7:$BT$119,V100),INDEX(Gantt!$BU$7:$BU$119,V100)))</f>
        <v>9999</v>
      </c>
      <c r="Z100">
        <f t="shared" si="98"/>
        <v>0</v>
      </c>
      <c r="AA100" t="e">
        <f t="shared" si="99"/>
        <v>#N/A</v>
      </c>
      <c r="AB100" t="e">
        <f t="shared" si="100"/>
        <v>#N/A</v>
      </c>
      <c r="AC100" t="e">
        <f t="shared" si="101"/>
        <v>#N/A</v>
      </c>
      <c r="AD100" t="e">
        <f t="shared" si="102"/>
        <v>#N/A</v>
      </c>
      <c r="AE100" t="e">
        <f t="shared" si="103"/>
        <v>#N/A</v>
      </c>
      <c r="AF100" t="e">
        <f t="shared" si="104"/>
        <v>#N/A</v>
      </c>
      <c r="AG100" t="e">
        <f t="shared" si="105"/>
        <v>#N/A</v>
      </c>
      <c r="AH100" t="e">
        <f t="shared" si="106"/>
        <v>#N/A</v>
      </c>
      <c r="AI100" t="e">
        <f t="shared" si="107"/>
        <v>#N/A</v>
      </c>
      <c r="AJ100" t="e">
        <f t="shared" si="108"/>
        <v>#N/A</v>
      </c>
      <c r="AK100" t="e">
        <f t="shared" si="109"/>
        <v>#N/A</v>
      </c>
      <c r="AL100" t="e">
        <f t="shared" si="110"/>
        <v>#N/A</v>
      </c>
      <c r="AM100" t="e">
        <f t="shared" si="111"/>
        <v>#N/A</v>
      </c>
      <c r="AN100" t="e">
        <f t="shared" si="112"/>
        <v>#N/A</v>
      </c>
      <c r="AO100" t="e">
        <f t="shared" si="113"/>
        <v>#N/A</v>
      </c>
      <c r="AP100" t="e">
        <f t="shared" si="114"/>
        <v>#N/A</v>
      </c>
      <c r="AQ100" t="e">
        <f t="shared" si="115"/>
        <v>#N/A</v>
      </c>
      <c r="AR100" t="e">
        <f t="shared" si="116"/>
        <v>#N/A</v>
      </c>
      <c r="AS100" t="e">
        <f t="shared" si="117"/>
        <v>#N/A</v>
      </c>
      <c r="AT100" t="e">
        <f t="shared" si="118"/>
        <v>#N/A</v>
      </c>
      <c r="AU100" t="e">
        <f t="shared" si="119"/>
        <v>#N/A</v>
      </c>
      <c r="AV100" t="e">
        <f t="shared" si="120"/>
        <v>#N/A</v>
      </c>
      <c r="AW100" t="e">
        <f t="shared" si="121"/>
        <v>#N/A</v>
      </c>
      <c r="AX100" t="e">
        <f t="shared" si="122"/>
        <v>#N/A</v>
      </c>
      <c r="AY100" t="e">
        <f t="shared" si="123"/>
        <v>#N/A</v>
      </c>
      <c r="BE100" t="e">
        <f>IF(Z100=1,IF(INDEX($C$7:$C$126,V100)&gt;=Gantt!$BF$6,NA(),MATCH(INDEX($C$7:$C$126,V100),Gantt!$J$6:$BE$6,1)),NA())</f>
        <v>#N/A</v>
      </c>
      <c r="BF100" t="e">
        <f>IF(Z100=1,IF((INDEX($D$7:$D$126,AA100)-1)&gt;=Gantt!$BF$6,NA(),IF((INDEX($D$7:$D$126,AA100)-1)&lt;Gantt!$J$6,0,MATCH((INDEX($D$7:$D$126,AA100)-1),Gantt!$J$6:$BE$6,1))),NA())</f>
        <v>#N/A</v>
      </c>
      <c r="BG100" t="e">
        <f t="shared" si="124"/>
        <v>#N/A</v>
      </c>
      <c r="BH100" t="e">
        <f t="shared" si="125"/>
        <v>#N/A</v>
      </c>
      <c r="BI100" t="e">
        <f t="shared" si="126"/>
        <v>#N/A</v>
      </c>
      <c r="BJ100" t="e">
        <f t="shared" si="127"/>
        <v>#N/A</v>
      </c>
      <c r="BK100" t="e">
        <f t="shared" si="128"/>
        <v>#N/A</v>
      </c>
      <c r="BL100" t="e">
        <f t="shared" si="129"/>
        <v>#N/A</v>
      </c>
      <c r="BM100" t="e">
        <f t="shared" si="130"/>
        <v>#N/A</v>
      </c>
      <c r="BN100" t="e">
        <f t="shared" si="131"/>
        <v>#N/A</v>
      </c>
      <c r="BO100" t="e">
        <f t="shared" si="132"/>
        <v>#N/A</v>
      </c>
      <c r="BP100" t="e">
        <f t="shared" si="133"/>
        <v>#N/A</v>
      </c>
      <c r="BQ100" t="e">
        <f t="shared" si="134"/>
        <v>#N/A</v>
      </c>
      <c r="BR100" t="e">
        <f t="shared" si="135"/>
        <v>#N/A</v>
      </c>
      <c r="BS100" t="e">
        <f t="shared" si="136"/>
        <v>#N/A</v>
      </c>
      <c r="BT100" t="e">
        <f t="shared" si="137"/>
        <v>#N/A</v>
      </c>
      <c r="BU100" t="e">
        <f t="shared" si="138"/>
        <v>#N/A</v>
      </c>
      <c r="BV100" t="e">
        <f t="shared" si="139"/>
        <v>#N/A</v>
      </c>
      <c r="BW100" t="e">
        <f t="shared" si="140"/>
        <v>#N/A</v>
      </c>
      <c r="BX100" t="e">
        <f t="shared" si="141"/>
        <v>#N/A</v>
      </c>
      <c r="BY100" t="e">
        <f t="shared" si="142"/>
        <v>#N/A</v>
      </c>
      <c r="BZ100" t="e">
        <f t="shared" si="143"/>
        <v>#N/A</v>
      </c>
      <c r="CA100" t="e">
        <f t="shared" si="144"/>
        <v>#N/A</v>
      </c>
      <c r="CB100" t="e">
        <f t="shared" si="145"/>
        <v>#N/A</v>
      </c>
      <c r="CC100" t="e">
        <f t="shared" si="146"/>
        <v>#N/A</v>
      </c>
      <c r="CD100" t="e">
        <f t="shared" si="147"/>
        <v>#N/A</v>
      </c>
      <c r="CE100" t="e">
        <f t="shared" si="148"/>
        <v>#N/A</v>
      </c>
      <c r="CF100" t="e">
        <f t="shared" si="149"/>
        <v>#N/A</v>
      </c>
      <c r="CG100" t="e">
        <f t="shared" si="150"/>
        <v>#N/A</v>
      </c>
      <c r="CI100" t="e">
        <f>AL38</f>
        <v>#N/A</v>
      </c>
      <c r="CJ100" t="e">
        <f>AM38</f>
        <v>#N/A</v>
      </c>
      <c r="CK100">
        <f>IF(ISNUMBER(CI100),IFERROR(MAX(0,AN38-CI100),0),0)</f>
        <v>0</v>
      </c>
      <c r="CL100">
        <f>IF(ISNUMBER(CI100),IFERROR(MAX(0,CI100-AN38),0),0)</f>
        <v>0</v>
      </c>
      <c r="CM100">
        <f>IF(ISNUMBER(CJ100),IFERROR(MAX(0,AO38-CJ100),0),0)</f>
        <v>0</v>
      </c>
      <c r="CN100">
        <f>IF(ISNUMBER(CJ100),IFERROR(MAX(0,CJ100-AO38),0),0)</f>
        <v>0</v>
      </c>
      <c r="CP100" t="e">
        <f>BT38</f>
        <v>#N/A</v>
      </c>
      <c r="CQ100" t="e">
        <f>BU38</f>
        <v>#N/A</v>
      </c>
      <c r="CR100">
        <f>IF(ISNUMBER(CP100),IFERROR(MAX(0,BV38-CP100),0),0)</f>
        <v>0</v>
      </c>
      <c r="CS100">
        <f>IF(ISNUMBER(CP100),IFERROR(MAX(0,CP100-BV38),0),0)</f>
        <v>0</v>
      </c>
      <c r="CT100">
        <f>IF(ISNUMBER(CQ100),IFERROR(MAX(0,BW38-CQ100),0),0)</f>
        <v>0</v>
      </c>
      <c r="CU100">
        <f>IF(ISNUMBER(CQ100),IFERROR(MAX(0,CQ100-BW38),0),0)</f>
        <v>0</v>
      </c>
    </row>
    <row r="101" spans="1:99" x14ac:dyDescent="0.3">
      <c r="A101">
        <v>95</v>
      </c>
      <c r="B101">
        <f>IF(A101&lt;=$B$2,IF(INDEX(Gantt!$A$7:$A$119,A101)&lt;&gt;"",1,0),0)</f>
        <v>0</v>
      </c>
      <c r="C101" t="e">
        <f>IF(B101=1,INDEX(Gantt!$C$7:$C$119,A101),NA())</f>
        <v>#N/A</v>
      </c>
      <c r="D101" t="e">
        <f>IF(B101=1,INDEX(Gantt!$D$7:$D$119,A101)+1,NA())</f>
        <v>#N/A</v>
      </c>
      <c r="E101">
        <f>IF(B101=1,INDEX(Gantt!$BN$7:$BN$119,A101),0)</f>
        <v>0</v>
      </c>
      <c r="F101">
        <f>IF(B101=1,N(INDEX(Gantt!$F$7:$F$119,A101)),0)</f>
        <v>0</v>
      </c>
      <c r="G101">
        <f t="shared" si="82"/>
        <v>0</v>
      </c>
      <c r="H101" t="e">
        <f t="shared" si="83"/>
        <v>#N/A</v>
      </c>
      <c r="I101" t="e">
        <f t="shared" si="84"/>
        <v>#N/A</v>
      </c>
      <c r="J101" t="e">
        <f t="shared" si="85"/>
        <v>#N/A</v>
      </c>
      <c r="K101" t="e">
        <f t="shared" si="86"/>
        <v>#N/A</v>
      </c>
      <c r="L101" t="e">
        <f t="shared" si="87"/>
        <v>#N/A</v>
      </c>
      <c r="M101" t="e">
        <f t="shared" si="88"/>
        <v>#N/A</v>
      </c>
      <c r="N101" t="e">
        <f t="shared" si="89"/>
        <v>#N/A</v>
      </c>
      <c r="O101" t="e">
        <f t="shared" si="90"/>
        <v>#N/A</v>
      </c>
      <c r="P101" t="e">
        <f t="shared" si="91"/>
        <v>#N/A</v>
      </c>
      <c r="Q101" t="str">
        <f>IF(B101=1,INDEX(Gantt!$A$7:$A$119,A101)&amp;"   "&amp;INDEX(Gantt!$B$7:$B$119,A101),"")</f>
        <v/>
      </c>
      <c r="R101" t="e">
        <f t="shared" si="92"/>
        <v>#N/A</v>
      </c>
      <c r="S101">
        <f t="shared" si="93"/>
        <v>0</v>
      </c>
      <c r="T101">
        <f t="shared" si="94"/>
        <v>0</v>
      </c>
      <c r="U101">
        <v>95</v>
      </c>
      <c r="V101">
        <f t="shared" si="95"/>
        <v>24</v>
      </c>
      <c r="W101">
        <f t="shared" si="96"/>
        <v>3</v>
      </c>
      <c r="X101">
        <f t="shared" si="97"/>
        <v>0</v>
      </c>
      <c r="Y101">
        <f>IF(X101&lt;&gt;1,9999,CHOOSE(W101,INDEX(Gantt!$BQ$7:$BQ$119,V101),INDEX(Gantt!$BR$7:$BR$119,V101),INDEX(Gantt!$BT$7:$BT$119,V101),INDEX(Gantt!$BU$7:$BU$119,V101)))</f>
        <v>9999</v>
      </c>
      <c r="Z101">
        <f t="shared" si="98"/>
        <v>0</v>
      </c>
      <c r="AA101" t="e">
        <f t="shared" si="99"/>
        <v>#N/A</v>
      </c>
      <c r="AB101" t="e">
        <f t="shared" si="100"/>
        <v>#N/A</v>
      </c>
      <c r="AC101" t="e">
        <f t="shared" si="101"/>
        <v>#N/A</v>
      </c>
      <c r="AD101" t="e">
        <f t="shared" si="102"/>
        <v>#N/A</v>
      </c>
      <c r="AE101" t="e">
        <f t="shared" si="103"/>
        <v>#N/A</v>
      </c>
      <c r="AF101" t="e">
        <f t="shared" si="104"/>
        <v>#N/A</v>
      </c>
      <c r="AG101" t="e">
        <f t="shared" si="105"/>
        <v>#N/A</v>
      </c>
      <c r="AH101" t="e">
        <f t="shared" si="106"/>
        <v>#N/A</v>
      </c>
      <c r="AI101" t="e">
        <f t="shared" si="107"/>
        <v>#N/A</v>
      </c>
      <c r="AJ101" t="e">
        <f t="shared" si="108"/>
        <v>#N/A</v>
      </c>
      <c r="AK101" t="e">
        <f t="shared" si="109"/>
        <v>#N/A</v>
      </c>
      <c r="AL101" t="e">
        <f t="shared" si="110"/>
        <v>#N/A</v>
      </c>
      <c r="AM101" t="e">
        <f t="shared" si="111"/>
        <v>#N/A</v>
      </c>
      <c r="AN101" t="e">
        <f t="shared" si="112"/>
        <v>#N/A</v>
      </c>
      <c r="AO101" t="e">
        <f t="shared" si="113"/>
        <v>#N/A</v>
      </c>
      <c r="AP101" t="e">
        <f t="shared" si="114"/>
        <v>#N/A</v>
      </c>
      <c r="AQ101" t="e">
        <f t="shared" si="115"/>
        <v>#N/A</v>
      </c>
      <c r="AR101" t="e">
        <f t="shared" si="116"/>
        <v>#N/A</v>
      </c>
      <c r="AS101" t="e">
        <f t="shared" si="117"/>
        <v>#N/A</v>
      </c>
      <c r="AT101" t="e">
        <f t="shared" si="118"/>
        <v>#N/A</v>
      </c>
      <c r="AU101" t="e">
        <f t="shared" si="119"/>
        <v>#N/A</v>
      </c>
      <c r="AV101" t="e">
        <f t="shared" si="120"/>
        <v>#N/A</v>
      </c>
      <c r="AW101" t="e">
        <f t="shared" si="121"/>
        <v>#N/A</v>
      </c>
      <c r="AX101" t="e">
        <f t="shared" si="122"/>
        <v>#N/A</v>
      </c>
      <c r="AY101" t="e">
        <f t="shared" si="123"/>
        <v>#N/A</v>
      </c>
      <c r="BE101" t="e">
        <f>IF(Z101=1,IF(INDEX($C$7:$C$126,V101)&gt;=Gantt!$BF$6,NA(),MATCH(INDEX($C$7:$C$126,V101),Gantt!$J$6:$BE$6,1)),NA())</f>
        <v>#N/A</v>
      </c>
      <c r="BF101" t="e">
        <f>IF(Z101=1,IF((INDEX($D$7:$D$126,AA101)-1)&gt;=Gantt!$BF$6,NA(),IF((INDEX($D$7:$D$126,AA101)-1)&lt;Gantt!$J$6,0,MATCH((INDEX($D$7:$D$126,AA101)-1),Gantt!$J$6:$BE$6,1))),NA())</f>
        <v>#N/A</v>
      </c>
      <c r="BG101" t="e">
        <f t="shared" si="124"/>
        <v>#N/A</v>
      </c>
      <c r="BH101" t="e">
        <f t="shared" si="125"/>
        <v>#N/A</v>
      </c>
      <c r="BI101" t="e">
        <f t="shared" si="126"/>
        <v>#N/A</v>
      </c>
      <c r="BJ101" t="e">
        <f t="shared" si="127"/>
        <v>#N/A</v>
      </c>
      <c r="BK101" t="e">
        <f t="shared" si="128"/>
        <v>#N/A</v>
      </c>
      <c r="BL101" t="e">
        <f t="shared" si="129"/>
        <v>#N/A</v>
      </c>
      <c r="BM101" t="e">
        <f t="shared" si="130"/>
        <v>#N/A</v>
      </c>
      <c r="BN101" t="e">
        <f t="shared" si="131"/>
        <v>#N/A</v>
      </c>
      <c r="BO101" t="e">
        <f t="shared" si="132"/>
        <v>#N/A</v>
      </c>
      <c r="BP101" t="e">
        <f t="shared" si="133"/>
        <v>#N/A</v>
      </c>
      <c r="BQ101" t="e">
        <f t="shared" si="134"/>
        <v>#N/A</v>
      </c>
      <c r="BR101" t="e">
        <f t="shared" si="135"/>
        <v>#N/A</v>
      </c>
      <c r="BS101" t="e">
        <f t="shared" si="136"/>
        <v>#N/A</v>
      </c>
      <c r="BT101" t="e">
        <f t="shared" si="137"/>
        <v>#N/A</v>
      </c>
      <c r="BU101" t="e">
        <f t="shared" si="138"/>
        <v>#N/A</v>
      </c>
      <c r="BV101" t="e">
        <f t="shared" si="139"/>
        <v>#N/A</v>
      </c>
      <c r="BW101" t="e">
        <f t="shared" si="140"/>
        <v>#N/A</v>
      </c>
      <c r="BX101" t="e">
        <f t="shared" si="141"/>
        <v>#N/A</v>
      </c>
      <c r="BY101" t="e">
        <f t="shared" si="142"/>
        <v>#N/A</v>
      </c>
      <c r="BZ101" t="e">
        <f t="shared" si="143"/>
        <v>#N/A</v>
      </c>
      <c r="CA101" t="e">
        <f t="shared" si="144"/>
        <v>#N/A</v>
      </c>
      <c r="CB101" t="e">
        <f t="shared" si="145"/>
        <v>#N/A</v>
      </c>
      <c r="CC101" t="e">
        <f t="shared" si="146"/>
        <v>#N/A</v>
      </c>
      <c r="CD101" t="e">
        <f t="shared" si="147"/>
        <v>#N/A</v>
      </c>
      <c r="CE101" t="e">
        <f t="shared" si="148"/>
        <v>#N/A</v>
      </c>
      <c r="CF101" t="e">
        <f t="shared" si="149"/>
        <v>#N/A</v>
      </c>
      <c r="CG101" t="e">
        <f t="shared" si="150"/>
        <v>#N/A</v>
      </c>
      <c r="CI101" t="e">
        <f>AP38</f>
        <v>#N/A</v>
      </c>
      <c r="CJ101" t="e">
        <f>AQ38</f>
        <v>#N/A</v>
      </c>
      <c r="CK101">
        <f>IF(ISNUMBER(CI101),IFERROR(MAX(0,AR38-CI101),0),0)</f>
        <v>0</v>
      </c>
      <c r="CL101">
        <f>IF(ISNUMBER(CI101),IFERROR(MAX(0,CI101-AR38),0),0)</f>
        <v>0</v>
      </c>
      <c r="CM101">
        <f>IF(ISNUMBER(CJ101),IFERROR(MAX(0,AS38-CJ101),0),0)</f>
        <v>0</v>
      </c>
      <c r="CN101">
        <f>IF(ISNUMBER(CJ101),IFERROR(MAX(0,CJ101-AS38),0),0)</f>
        <v>0</v>
      </c>
      <c r="CP101" t="e">
        <f>BX38</f>
        <v>#N/A</v>
      </c>
      <c r="CQ101" t="e">
        <f>BY38</f>
        <v>#N/A</v>
      </c>
      <c r="CR101">
        <f>IF(ISNUMBER(CP101),IFERROR(MAX(0,BZ38-CP101),0),0)</f>
        <v>0</v>
      </c>
      <c r="CS101">
        <f>IF(ISNUMBER(CP101),IFERROR(MAX(0,CP101-BZ38),0),0)</f>
        <v>0</v>
      </c>
      <c r="CT101">
        <f>IF(ISNUMBER(CQ101),IFERROR(MAX(0,CA38-CQ101),0),0)</f>
        <v>0</v>
      </c>
      <c r="CU101">
        <f>IF(ISNUMBER(CQ101),IFERROR(MAX(0,CQ101-CA38),0),0)</f>
        <v>0</v>
      </c>
    </row>
    <row r="102" spans="1:99" x14ac:dyDescent="0.3">
      <c r="A102">
        <v>96</v>
      </c>
      <c r="B102">
        <f>IF(A102&lt;=$B$2,IF(INDEX(Gantt!$A$7:$A$119,A102)&lt;&gt;"",1,0),0)</f>
        <v>0</v>
      </c>
      <c r="C102" t="e">
        <f>IF(B102=1,INDEX(Gantt!$C$7:$C$119,A102),NA())</f>
        <v>#N/A</v>
      </c>
      <c r="D102" t="e">
        <f>IF(B102=1,INDEX(Gantt!$D$7:$D$119,A102)+1,NA())</f>
        <v>#N/A</v>
      </c>
      <c r="E102">
        <f>IF(B102=1,INDEX(Gantt!$BN$7:$BN$119,A102),0)</f>
        <v>0</v>
      </c>
      <c r="F102">
        <f>IF(B102=1,N(INDEX(Gantt!$F$7:$F$119,A102)),0)</f>
        <v>0</v>
      </c>
      <c r="G102">
        <f t="shared" si="82"/>
        <v>0</v>
      </c>
      <c r="H102" t="e">
        <f t="shared" si="83"/>
        <v>#N/A</v>
      </c>
      <c r="I102" t="e">
        <f t="shared" si="84"/>
        <v>#N/A</v>
      </c>
      <c r="J102" t="e">
        <f t="shared" si="85"/>
        <v>#N/A</v>
      </c>
      <c r="K102" t="e">
        <f t="shared" si="86"/>
        <v>#N/A</v>
      </c>
      <c r="L102" t="e">
        <f t="shared" si="87"/>
        <v>#N/A</v>
      </c>
      <c r="M102" t="e">
        <f t="shared" si="88"/>
        <v>#N/A</v>
      </c>
      <c r="N102" t="e">
        <f t="shared" si="89"/>
        <v>#N/A</v>
      </c>
      <c r="O102" t="e">
        <f t="shared" si="90"/>
        <v>#N/A</v>
      </c>
      <c r="P102" t="e">
        <f t="shared" si="91"/>
        <v>#N/A</v>
      </c>
      <c r="Q102" t="str">
        <f>IF(B102=1,INDEX(Gantt!$A$7:$A$119,A102)&amp;"   "&amp;INDEX(Gantt!$B$7:$B$119,A102),"")</f>
        <v/>
      </c>
      <c r="R102" t="e">
        <f t="shared" si="92"/>
        <v>#N/A</v>
      </c>
      <c r="S102">
        <f t="shared" si="93"/>
        <v>0</v>
      </c>
      <c r="T102">
        <f t="shared" si="94"/>
        <v>0</v>
      </c>
      <c r="U102">
        <v>96</v>
      </c>
      <c r="V102">
        <f t="shared" si="95"/>
        <v>24</v>
      </c>
      <c r="W102">
        <f t="shared" si="96"/>
        <v>4</v>
      </c>
      <c r="X102">
        <f t="shared" si="97"/>
        <v>0</v>
      </c>
      <c r="Y102">
        <f>IF(X102&lt;&gt;1,9999,CHOOSE(W102,INDEX(Gantt!$BQ$7:$BQ$119,V102),INDEX(Gantt!$BR$7:$BR$119,V102),INDEX(Gantt!$BT$7:$BT$119,V102),INDEX(Gantt!$BU$7:$BU$119,V102)))</f>
        <v>9999</v>
      </c>
      <c r="Z102">
        <f t="shared" si="98"/>
        <v>0</v>
      </c>
      <c r="AA102" t="e">
        <f t="shared" si="99"/>
        <v>#N/A</v>
      </c>
      <c r="AB102" t="e">
        <f t="shared" si="100"/>
        <v>#N/A</v>
      </c>
      <c r="AC102" t="e">
        <f t="shared" si="101"/>
        <v>#N/A</v>
      </c>
      <c r="AD102" t="e">
        <f t="shared" si="102"/>
        <v>#N/A</v>
      </c>
      <c r="AE102" t="e">
        <f t="shared" si="103"/>
        <v>#N/A</v>
      </c>
      <c r="AF102" t="e">
        <f t="shared" si="104"/>
        <v>#N/A</v>
      </c>
      <c r="AG102" t="e">
        <f t="shared" si="105"/>
        <v>#N/A</v>
      </c>
      <c r="AH102" t="e">
        <f t="shared" si="106"/>
        <v>#N/A</v>
      </c>
      <c r="AI102" t="e">
        <f t="shared" si="107"/>
        <v>#N/A</v>
      </c>
      <c r="AJ102" t="e">
        <f t="shared" si="108"/>
        <v>#N/A</v>
      </c>
      <c r="AK102" t="e">
        <f t="shared" si="109"/>
        <v>#N/A</v>
      </c>
      <c r="AL102" t="e">
        <f t="shared" si="110"/>
        <v>#N/A</v>
      </c>
      <c r="AM102" t="e">
        <f t="shared" si="111"/>
        <v>#N/A</v>
      </c>
      <c r="AN102" t="e">
        <f t="shared" si="112"/>
        <v>#N/A</v>
      </c>
      <c r="AO102" t="e">
        <f t="shared" si="113"/>
        <v>#N/A</v>
      </c>
      <c r="AP102" t="e">
        <f t="shared" si="114"/>
        <v>#N/A</v>
      </c>
      <c r="AQ102" t="e">
        <f t="shared" si="115"/>
        <v>#N/A</v>
      </c>
      <c r="AR102" t="e">
        <f t="shared" si="116"/>
        <v>#N/A</v>
      </c>
      <c r="AS102" t="e">
        <f t="shared" si="117"/>
        <v>#N/A</v>
      </c>
      <c r="AT102" t="e">
        <f t="shared" si="118"/>
        <v>#N/A</v>
      </c>
      <c r="AU102" t="e">
        <f t="shared" si="119"/>
        <v>#N/A</v>
      </c>
      <c r="AV102" t="e">
        <f t="shared" si="120"/>
        <v>#N/A</v>
      </c>
      <c r="AW102" t="e">
        <f t="shared" si="121"/>
        <v>#N/A</v>
      </c>
      <c r="AX102" t="e">
        <f t="shared" si="122"/>
        <v>#N/A</v>
      </c>
      <c r="AY102" t="e">
        <f t="shared" si="123"/>
        <v>#N/A</v>
      </c>
      <c r="BE102" t="e">
        <f>IF(Z102=1,IF(INDEX($C$7:$C$126,V102)&gt;=Gantt!$BF$6,NA(),MATCH(INDEX($C$7:$C$126,V102),Gantt!$J$6:$BE$6,1)),NA())</f>
        <v>#N/A</v>
      </c>
      <c r="BF102" t="e">
        <f>IF(Z102=1,IF((INDEX($D$7:$D$126,AA102)-1)&gt;=Gantt!$BF$6,NA(),IF((INDEX($D$7:$D$126,AA102)-1)&lt;Gantt!$J$6,0,MATCH((INDEX($D$7:$D$126,AA102)-1),Gantt!$J$6:$BE$6,1))),NA())</f>
        <v>#N/A</v>
      </c>
      <c r="BG102" t="e">
        <f t="shared" si="124"/>
        <v>#N/A</v>
      </c>
      <c r="BH102" t="e">
        <f t="shared" si="125"/>
        <v>#N/A</v>
      </c>
      <c r="BI102" t="e">
        <f t="shared" si="126"/>
        <v>#N/A</v>
      </c>
      <c r="BJ102" t="e">
        <f t="shared" si="127"/>
        <v>#N/A</v>
      </c>
      <c r="BK102" t="e">
        <f t="shared" si="128"/>
        <v>#N/A</v>
      </c>
      <c r="BL102" t="e">
        <f t="shared" si="129"/>
        <v>#N/A</v>
      </c>
      <c r="BM102" t="e">
        <f t="shared" si="130"/>
        <v>#N/A</v>
      </c>
      <c r="BN102" t="e">
        <f t="shared" si="131"/>
        <v>#N/A</v>
      </c>
      <c r="BO102" t="e">
        <f t="shared" si="132"/>
        <v>#N/A</v>
      </c>
      <c r="BP102" t="e">
        <f t="shared" si="133"/>
        <v>#N/A</v>
      </c>
      <c r="BQ102" t="e">
        <f t="shared" si="134"/>
        <v>#N/A</v>
      </c>
      <c r="BR102" t="e">
        <f t="shared" si="135"/>
        <v>#N/A</v>
      </c>
      <c r="BS102" t="e">
        <f t="shared" si="136"/>
        <v>#N/A</v>
      </c>
      <c r="BT102" t="e">
        <f t="shared" si="137"/>
        <v>#N/A</v>
      </c>
      <c r="BU102" t="e">
        <f t="shared" si="138"/>
        <v>#N/A</v>
      </c>
      <c r="BV102" t="e">
        <f t="shared" si="139"/>
        <v>#N/A</v>
      </c>
      <c r="BW102" t="e">
        <f t="shared" si="140"/>
        <v>#N/A</v>
      </c>
      <c r="BX102" t="e">
        <f t="shared" si="141"/>
        <v>#N/A</v>
      </c>
      <c r="BY102" t="e">
        <f t="shared" si="142"/>
        <v>#N/A</v>
      </c>
      <c r="BZ102" t="e">
        <f t="shared" si="143"/>
        <v>#N/A</v>
      </c>
      <c r="CA102" t="e">
        <f t="shared" si="144"/>
        <v>#N/A</v>
      </c>
      <c r="CB102" t="e">
        <f t="shared" si="145"/>
        <v>#N/A</v>
      </c>
      <c r="CC102" t="e">
        <f t="shared" si="146"/>
        <v>#N/A</v>
      </c>
      <c r="CD102" t="e">
        <f t="shared" si="147"/>
        <v>#N/A</v>
      </c>
      <c r="CE102" t="e">
        <f t="shared" si="148"/>
        <v>#N/A</v>
      </c>
      <c r="CF102" t="e">
        <f t="shared" si="149"/>
        <v>#N/A</v>
      </c>
      <c r="CG102" t="e">
        <f t="shared" si="150"/>
        <v>#N/A</v>
      </c>
      <c r="CI102" t="e">
        <f>AT38</f>
        <v>#N/A</v>
      </c>
      <c r="CJ102" t="e">
        <f>AU38</f>
        <v>#N/A</v>
      </c>
      <c r="CK102">
        <f>IF(ISNUMBER(CI102),IFERROR(MAX(0,AV38-CI102),0),0)</f>
        <v>0</v>
      </c>
      <c r="CL102">
        <f>IF(ISNUMBER(CI102),IFERROR(MAX(0,CI102-AV38),0),0)</f>
        <v>0</v>
      </c>
      <c r="CM102">
        <f>IF(ISNUMBER(CJ102),IFERROR(MAX(0,AW38-CJ102),0),0)</f>
        <v>0</v>
      </c>
      <c r="CN102">
        <f>IF(ISNUMBER(CJ102),IFERROR(MAX(0,CJ102-AW38),0),0)</f>
        <v>0</v>
      </c>
      <c r="CP102" t="e">
        <f>CB38</f>
        <v>#N/A</v>
      </c>
      <c r="CQ102" t="e">
        <f>CC38</f>
        <v>#N/A</v>
      </c>
      <c r="CR102">
        <f>IF(ISNUMBER(CP102),IFERROR(MAX(0,CD38-CP102),0),0)</f>
        <v>0</v>
      </c>
      <c r="CS102">
        <f>IF(ISNUMBER(CP102),IFERROR(MAX(0,CP102-CD38),0),0)</f>
        <v>0</v>
      </c>
      <c r="CT102">
        <f>IF(ISNUMBER(CQ102),IFERROR(MAX(0,CE38-CQ102),0),0)</f>
        <v>0</v>
      </c>
      <c r="CU102">
        <f>IF(ISNUMBER(CQ102),IFERROR(MAX(0,CQ102-CE38),0),0)</f>
        <v>0</v>
      </c>
    </row>
    <row r="103" spans="1:99" x14ac:dyDescent="0.3">
      <c r="A103">
        <v>97</v>
      </c>
      <c r="B103">
        <f>IF(A103&lt;=$B$2,IF(INDEX(Gantt!$A$7:$A$119,A103)&lt;&gt;"",1,0),0)</f>
        <v>0</v>
      </c>
      <c r="C103" t="e">
        <f>IF(B103=1,INDEX(Gantt!$C$7:$C$119,A103),NA())</f>
        <v>#N/A</v>
      </c>
      <c r="D103" t="e">
        <f>IF(B103=1,INDEX(Gantt!$D$7:$D$119,A103)+1,NA())</f>
        <v>#N/A</v>
      </c>
      <c r="E103">
        <f>IF(B103=1,INDEX(Gantt!$BN$7:$BN$119,A103),0)</f>
        <v>0</v>
      </c>
      <c r="F103">
        <f>IF(B103=1,N(INDEX(Gantt!$F$7:$F$119,A103)),0)</f>
        <v>0</v>
      </c>
      <c r="G103">
        <f t="shared" ref="G103:G126" si="151">IF(B103=1,IF(AND(E103=3,D103-C103=1),1,0),0)</f>
        <v>0</v>
      </c>
      <c r="H103" t="e">
        <f t="shared" ref="H103:H126" si="152">IF(B103=1,C103-$B$1,NA())</f>
        <v>#N/A</v>
      </c>
      <c r="I103" t="e">
        <f t="shared" ref="I103:I126" si="153">IF(B103=1,D103-C103,NA())</f>
        <v>#N/A</v>
      </c>
      <c r="J103" t="e">
        <f t="shared" ref="J103:J126" si="154">IF($B103=1,$A103,NA())</f>
        <v>#N/A</v>
      </c>
      <c r="K103" t="e">
        <f t="shared" ref="K103:K126" si="155">IF(AND(B103=1,G103=0,F103&gt;=1),H103,NA())</f>
        <v>#N/A</v>
      </c>
      <c r="L103" t="e">
        <f t="shared" ref="L103:L126" si="156">IF(AND(B103=1,G103=0,F103&lt;1,E103=1),H103+S103,NA())</f>
        <v>#N/A</v>
      </c>
      <c r="M103" t="e">
        <f t="shared" ref="M103:M126" si="157">IF(AND(B103=1,G103=0,F103&lt;1,E103=2),H103+S103,NA())</f>
        <v>#N/A</v>
      </c>
      <c r="N103" t="e">
        <f t="shared" ref="N103:N126" si="158">IF(AND(B103=1,G103=0,F103&lt;1,E103=3),H103+S103,NA())</f>
        <v>#N/A</v>
      </c>
      <c r="O103" t="e">
        <f t="shared" ref="O103:O126" si="159">IF(AND(B103=1,G103=1),H103+0.5,NA())</f>
        <v>#N/A</v>
      </c>
      <c r="P103" t="e">
        <f t="shared" ref="P103:P126" si="160">IF(B103=1,H103+IF(G103=1,1.5,I103),NA())</f>
        <v>#N/A</v>
      </c>
      <c r="Q103" t="str">
        <f>IF(B103=1,INDEX(Gantt!$A$7:$A$119,A103)&amp;"   "&amp;INDEX(Gantt!$B$7:$B$119,A103),"")</f>
        <v/>
      </c>
      <c r="R103" t="e">
        <f t="shared" ref="R103:R126" si="161">IF(AND(B103=1,G103=0,F103&gt;0,F103&lt;1),H103,NA())</f>
        <v>#N/A</v>
      </c>
      <c r="S103">
        <f t="shared" ref="S103:S126" si="162">IF(B103=1,I103*F103,0)</f>
        <v>0</v>
      </c>
      <c r="T103">
        <f t="shared" ref="T103:T126" si="163">IF(B103=1,MAX(0,I103-S103),0)</f>
        <v>0</v>
      </c>
      <c r="U103">
        <v>97</v>
      </c>
      <c r="V103">
        <f t="shared" si="95"/>
        <v>25</v>
      </c>
      <c r="W103">
        <f t="shared" si="96"/>
        <v>1</v>
      </c>
      <c r="X103">
        <f t="shared" si="97"/>
        <v>0</v>
      </c>
      <c r="Y103">
        <f>IF(X103&lt;&gt;1,9999,CHOOSE(W103,INDEX(Gantt!$BQ$7:$BQ$119,V103),INDEX(Gantt!$BR$7:$BR$119,V103),INDEX(Gantt!$BT$7:$BT$119,V103),INDEX(Gantt!$BU$7:$BU$119,V103)))</f>
        <v>9999</v>
      </c>
      <c r="Z103">
        <f t="shared" si="98"/>
        <v>0</v>
      </c>
      <c r="AA103" t="e">
        <f t="shared" si="99"/>
        <v>#N/A</v>
      </c>
      <c r="AB103" t="e">
        <f t="shared" si="100"/>
        <v>#N/A</v>
      </c>
      <c r="AC103" t="e">
        <f t="shared" si="101"/>
        <v>#N/A</v>
      </c>
      <c r="AD103" t="e">
        <f t="shared" si="102"/>
        <v>#N/A</v>
      </c>
      <c r="AE103" t="e">
        <f t="shared" si="103"/>
        <v>#N/A</v>
      </c>
      <c r="AF103" t="e">
        <f t="shared" si="104"/>
        <v>#N/A</v>
      </c>
      <c r="AG103" t="e">
        <f t="shared" si="105"/>
        <v>#N/A</v>
      </c>
      <c r="AH103" t="e">
        <f t="shared" si="106"/>
        <v>#N/A</v>
      </c>
      <c r="AI103" t="e">
        <f t="shared" si="107"/>
        <v>#N/A</v>
      </c>
      <c r="AJ103" t="e">
        <f t="shared" si="108"/>
        <v>#N/A</v>
      </c>
      <c r="AK103" t="e">
        <f t="shared" si="109"/>
        <v>#N/A</v>
      </c>
      <c r="AL103" t="e">
        <f t="shared" si="110"/>
        <v>#N/A</v>
      </c>
      <c r="AM103" t="e">
        <f t="shared" si="111"/>
        <v>#N/A</v>
      </c>
      <c r="AN103" t="e">
        <f t="shared" si="112"/>
        <v>#N/A</v>
      </c>
      <c r="AO103" t="e">
        <f t="shared" si="113"/>
        <v>#N/A</v>
      </c>
      <c r="AP103" t="e">
        <f t="shared" si="114"/>
        <v>#N/A</v>
      </c>
      <c r="AQ103" t="e">
        <f t="shared" si="115"/>
        <v>#N/A</v>
      </c>
      <c r="AR103" t="e">
        <f t="shared" si="116"/>
        <v>#N/A</v>
      </c>
      <c r="AS103" t="e">
        <f t="shared" si="117"/>
        <v>#N/A</v>
      </c>
      <c r="AT103" t="e">
        <f t="shared" si="118"/>
        <v>#N/A</v>
      </c>
      <c r="AU103" t="e">
        <f t="shared" si="119"/>
        <v>#N/A</v>
      </c>
      <c r="AV103" t="e">
        <f t="shared" si="120"/>
        <v>#N/A</v>
      </c>
      <c r="AW103" t="e">
        <f t="shared" si="121"/>
        <v>#N/A</v>
      </c>
      <c r="AX103" t="e">
        <f t="shared" si="122"/>
        <v>#N/A</v>
      </c>
      <c r="AY103" t="e">
        <f t="shared" si="123"/>
        <v>#N/A</v>
      </c>
      <c r="BE103" t="e">
        <f>IF(Z103=1,IF(INDEX($C$7:$C$126,V103)&gt;=Gantt!$BF$6,NA(),MATCH(INDEX($C$7:$C$126,V103),Gantt!$J$6:$BE$6,1)),NA())</f>
        <v>#N/A</v>
      </c>
      <c r="BF103" t="e">
        <f>IF(Z103=1,IF((INDEX($D$7:$D$126,AA103)-1)&gt;=Gantt!$BF$6,NA(),IF((INDEX($D$7:$D$126,AA103)-1)&lt;Gantt!$J$6,0,MATCH((INDEX($D$7:$D$126,AA103)-1),Gantt!$J$6:$BE$6,1))),NA())</f>
        <v>#N/A</v>
      </c>
      <c r="BG103" t="e">
        <f t="shared" si="124"/>
        <v>#N/A</v>
      </c>
      <c r="BH103" t="e">
        <f t="shared" si="125"/>
        <v>#N/A</v>
      </c>
      <c r="BI103" t="e">
        <f t="shared" si="126"/>
        <v>#N/A</v>
      </c>
      <c r="BJ103" t="e">
        <f t="shared" si="127"/>
        <v>#N/A</v>
      </c>
      <c r="BK103" t="e">
        <f t="shared" si="128"/>
        <v>#N/A</v>
      </c>
      <c r="BL103" t="e">
        <f t="shared" si="129"/>
        <v>#N/A</v>
      </c>
      <c r="BM103" t="e">
        <f t="shared" si="130"/>
        <v>#N/A</v>
      </c>
      <c r="BN103" t="e">
        <f t="shared" si="131"/>
        <v>#N/A</v>
      </c>
      <c r="BO103" t="e">
        <f t="shared" si="132"/>
        <v>#N/A</v>
      </c>
      <c r="BP103" t="e">
        <f t="shared" si="133"/>
        <v>#N/A</v>
      </c>
      <c r="BQ103" t="e">
        <f t="shared" si="134"/>
        <v>#N/A</v>
      </c>
      <c r="BR103" t="e">
        <f t="shared" si="135"/>
        <v>#N/A</v>
      </c>
      <c r="BS103" t="e">
        <f t="shared" si="136"/>
        <v>#N/A</v>
      </c>
      <c r="BT103" t="e">
        <f t="shared" si="137"/>
        <v>#N/A</v>
      </c>
      <c r="BU103" t="e">
        <f t="shared" si="138"/>
        <v>#N/A</v>
      </c>
      <c r="BV103" t="e">
        <f t="shared" si="139"/>
        <v>#N/A</v>
      </c>
      <c r="BW103" t="e">
        <f t="shared" si="140"/>
        <v>#N/A</v>
      </c>
      <c r="BX103" t="e">
        <f t="shared" si="141"/>
        <v>#N/A</v>
      </c>
      <c r="BY103" t="e">
        <f t="shared" si="142"/>
        <v>#N/A</v>
      </c>
      <c r="BZ103" t="e">
        <f t="shared" si="143"/>
        <v>#N/A</v>
      </c>
      <c r="CA103" t="e">
        <f t="shared" si="144"/>
        <v>#N/A</v>
      </c>
      <c r="CB103" t="e">
        <f t="shared" si="145"/>
        <v>#N/A</v>
      </c>
      <c r="CC103" t="e">
        <f t="shared" si="146"/>
        <v>#N/A</v>
      </c>
      <c r="CD103" t="e">
        <f t="shared" si="147"/>
        <v>#N/A</v>
      </c>
      <c r="CE103" t="e">
        <f t="shared" si="148"/>
        <v>#N/A</v>
      </c>
      <c r="CF103" t="e">
        <f t="shared" si="149"/>
        <v>#N/A</v>
      </c>
      <c r="CG103" t="e">
        <f t="shared" si="150"/>
        <v>#N/A</v>
      </c>
      <c r="CI103" t="e">
        <f>AL39</f>
        <v>#N/A</v>
      </c>
      <c r="CJ103" t="e">
        <f>AM39</f>
        <v>#N/A</v>
      </c>
      <c r="CK103">
        <f>IF(ISNUMBER(CI103),IFERROR(MAX(0,AN39-CI103),0),0)</f>
        <v>0</v>
      </c>
      <c r="CL103">
        <f>IF(ISNUMBER(CI103),IFERROR(MAX(0,CI103-AN39),0),0)</f>
        <v>0</v>
      </c>
      <c r="CM103">
        <f>IF(ISNUMBER(CJ103),IFERROR(MAX(0,AO39-CJ103),0),0)</f>
        <v>0</v>
      </c>
      <c r="CN103">
        <f>IF(ISNUMBER(CJ103),IFERROR(MAX(0,CJ103-AO39),0),0)</f>
        <v>0</v>
      </c>
      <c r="CP103" t="e">
        <f>BT39</f>
        <v>#N/A</v>
      </c>
      <c r="CQ103" t="e">
        <f>BU39</f>
        <v>#N/A</v>
      </c>
      <c r="CR103">
        <f>IF(ISNUMBER(CP103),IFERROR(MAX(0,BV39-CP103),0),0)</f>
        <v>0</v>
      </c>
      <c r="CS103">
        <f>IF(ISNUMBER(CP103),IFERROR(MAX(0,CP103-BV39),0),0)</f>
        <v>0</v>
      </c>
      <c r="CT103">
        <f>IF(ISNUMBER(CQ103),IFERROR(MAX(0,BW39-CQ103),0),0)</f>
        <v>0</v>
      </c>
      <c r="CU103">
        <f>IF(ISNUMBER(CQ103),IFERROR(MAX(0,CQ103-BW39),0),0)</f>
        <v>0</v>
      </c>
    </row>
    <row r="104" spans="1:99" x14ac:dyDescent="0.3">
      <c r="A104">
        <v>98</v>
      </c>
      <c r="B104">
        <f>IF(A104&lt;=$B$2,IF(INDEX(Gantt!$A$7:$A$119,A104)&lt;&gt;"",1,0),0)</f>
        <v>0</v>
      </c>
      <c r="C104" t="e">
        <f>IF(B104=1,INDEX(Gantt!$C$7:$C$119,A104),NA())</f>
        <v>#N/A</v>
      </c>
      <c r="D104" t="e">
        <f>IF(B104=1,INDEX(Gantt!$D$7:$D$119,A104)+1,NA())</f>
        <v>#N/A</v>
      </c>
      <c r="E104">
        <f>IF(B104=1,INDEX(Gantt!$BN$7:$BN$119,A104),0)</f>
        <v>0</v>
      </c>
      <c r="F104">
        <f>IF(B104=1,N(INDEX(Gantt!$F$7:$F$119,A104)),0)</f>
        <v>0</v>
      </c>
      <c r="G104">
        <f t="shared" si="151"/>
        <v>0</v>
      </c>
      <c r="H104" t="e">
        <f t="shared" si="152"/>
        <v>#N/A</v>
      </c>
      <c r="I104" t="e">
        <f t="shared" si="153"/>
        <v>#N/A</v>
      </c>
      <c r="J104" t="e">
        <f t="shared" si="154"/>
        <v>#N/A</v>
      </c>
      <c r="K104" t="e">
        <f t="shared" si="155"/>
        <v>#N/A</v>
      </c>
      <c r="L104" t="e">
        <f t="shared" si="156"/>
        <v>#N/A</v>
      </c>
      <c r="M104" t="e">
        <f t="shared" si="157"/>
        <v>#N/A</v>
      </c>
      <c r="N104" t="e">
        <f t="shared" si="158"/>
        <v>#N/A</v>
      </c>
      <c r="O104" t="e">
        <f t="shared" si="159"/>
        <v>#N/A</v>
      </c>
      <c r="P104" t="e">
        <f t="shared" si="160"/>
        <v>#N/A</v>
      </c>
      <c r="Q104" t="str">
        <f>IF(B104=1,INDEX(Gantt!$A$7:$A$119,A104)&amp;"   "&amp;INDEX(Gantt!$B$7:$B$119,A104),"")</f>
        <v/>
      </c>
      <c r="R104" t="e">
        <f t="shared" si="161"/>
        <v>#N/A</v>
      </c>
      <c r="S104">
        <f t="shared" si="162"/>
        <v>0</v>
      </c>
      <c r="T104">
        <f t="shared" si="163"/>
        <v>0</v>
      </c>
      <c r="U104">
        <v>98</v>
      </c>
      <c r="V104">
        <f t="shared" si="95"/>
        <v>25</v>
      </c>
      <c r="W104">
        <f t="shared" si="96"/>
        <v>2</v>
      </c>
      <c r="X104">
        <f t="shared" si="97"/>
        <v>0</v>
      </c>
      <c r="Y104">
        <f>IF(X104&lt;&gt;1,9999,CHOOSE(W104,INDEX(Gantt!$BQ$7:$BQ$119,V104),INDEX(Gantt!$BR$7:$BR$119,V104),INDEX(Gantt!$BT$7:$BT$119,V104),INDEX(Gantt!$BU$7:$BU$119,V104)))</f>
        <v>9999</v>
      </c>
      <c r="Z104">
        <f t="shared" si="98"/>
        <v>0</v>
      </c>
      <c r="AA104" t="e">
        <f t="shared" si="99"/>
        <v>#N/A</v>
      </c>
      <c r="AB104" t="e">
        <f t="shared" si="100"/>
        <v>#N/A</v>
      </c>
      <c r="AC104" t="e">
        <f t="shared" si="101"/>
        <v>#N/A</v>
      </c>
      <c r="AD104" t="e">
        <f t="shared" si="102"/>
        <v>#N/A</v>
      </c>
      <c r="AE104" t="e">
        <f t="shared" si="103"/>
        <v>#N/A</v>
      </c>
      <c r="AF104" t="e">
        <f t="shared" si="104"/>
        <v>#N/A</v>
      </c>
      <c r="AG104" t="e">
        <f t="shared" si="105"/>
        <v>#N/A</v>
      </c>
      <c r="AH104" t="e">
        <f t="shared" si="106"/>
        <v>#N/A</v>
      </c>
      <c r="AI104" t="e">
        <f t="shared" si="107"/>
        <v>#N/A</v>
      </c>
      <c r="AJ104" t="e">
        <f t="shared" si="108"/>
        <v>#N/A</v>
      </c>
      <c r="AK104" t="e">
        <f t="shared" si="109"/>
        <v>#N/A</v>
      </c>
      <c r="AL104" t="e">
        <f t="shared" si="110"/>
        <v>#N/A</v>
      </c>
      <c r="AM104" t="e">
        <f t="shared" si="111"/>
        <v>#N/A</v>
      </c>
      <c r="AN104" t="e">
        <f t="shared" si="112"/>
        <v>#N/A</v>
      </c>
      <c r="AO104" t="e">
        <f t="shared" si="113"/>
        <v>#N/A</v>
      </c>
      <c r="AP104" t="e">
        <f t="shared" si="114"/>
        <v>#N/A</v>
      </c>
      <c r="AQ104" t="e">
        <f t="shared" si="115"/>
        <v>#N/A</v>
      </c>
      <c r="AR104" t="e">
        <f t="shared" si="116"/>
        <v>#N/A</v>
      </c>
      <c r="AS104" t="e">
        <f t="shared" si="117"/>
        <v>#N/A</v>
      </c>
      <c r="AT104" t="e">
        <f t="shared" si="118"/>
        <v>#N/A</v>
      </c>
      <c r="AU104" t="e">
        <f t="shared" si="119"/>
        <v>#N/A</v>
      </c>
      <c r="AV104" t="e">
        <f t="shared" si="120"/>
        <v>#N/A</v>
      </c>
      <c r="AW104" t="e">
        <f t="shared" si="121"/>
        <v>#N/A</v>
      </c>
      <c r="AX104" t="e">
        <f t="shared" si="122"/>
        <v>#N/A</v>
      </c>
      <c r="AY104" t="e">
        <f t="shared" si="123"/>
        <v>#N/A</v>
      </c>
      <c r="BE104" t="e">
        <f>IF(Z104=1,IF(INDEX($C$7:$C$126,V104)&gt;=Gantt!$BF$6,NA(),MATCH(INDEX($C$7:$C$126,V104),Gantt!$J$6:$BE$6,1)),NA())</f>
        <v>#N/A</v>
      </c>
      <c r="BF104" t="e">
        <f>IF(Z104=1,IF((INDEX($D$7:$D$126,AA104)-1)&gt;=Gantt!$BF$6,NA(),IF((INDEX($D$7:$D$126,AA104)-1)&lt;Gantt!$J$6,0,MATCH((INDEX($D$7:$D$126,AA104)-1),Gantt!$J$6:$BE$6,1))),NA())</f>
        <v>#N/A</v>
      </c>
      <c r="BG104" t="e">
        <f t="shared" si="124"/>
        <v>#N/A</v>
      </c>
      <c r="BH104" t="e">
        <f t="shared" si="125"/>
        <v>#N/A</v>
      </c>
      <c r="BI104" t="e">
        <f t="shared" si="126"/>
        <v>#N/A</v>
      </c>
      <c r="BJ104" t="e">
        <f t="shared" si="127"/>
        <v>#N/A</v>
      </c>
      <c r="BK104" t="e">
        <f t="shared" si="128"/>
        <v>#N/A</v>
      </c>
      <c r="BL104" t="e">
        <f t="shared" si="129"/>
        <v>#N/A</v>
      </c>
      <c r="BM104" t="e">
        <f t="shared" si="130"/>
        <v>#N/A</v>
      </c>
      <c r="BN104" t="e">
        <f t="shared" si="131"/>
        <v>#N/A</v>
      </c>
      <c r="BO104" t="e">
        <f t="shared" si="132"/>
        <v>#N/A</v>
      </c>
      <c r="BP104" t="e">
        <f t="shared" si="133"/>
        <v>#N/A</v>
      </c>
      <c r="BQ104" t="e">
        <f t="shared" si="134"/>
        <v>#N/A</v>
      </c>
      <c r="BR104" t="e">
        <f t="shared" si="135"/>
        <v>#N/A</v>
      </c>
      <c r="BS104" t="e">
        <f t="shared" si="136"/>
        <v>#N/A</v>
      </c>
      <c r="BT104" t="e">
        <f t="shared" si="137"/>
        <v>#N/A</v>
      </c>
      <c r="BU104" t="e">
        <f t="shared" si="138"/>
        <v>#N/A</v>
      </c>
      <c r="BV104" t="e">
        <f t="shared" si="139"/>
        <v>#N/A</v>
      </c>
      <c r="BW104" t="e">
        <f t="shared" si="140"/>
        <v>#N/A</v>
      </c>
      <c r="BX104" t="e">
        <f t="shared" si="141"/>
        <v>#N/A</v>
      </c>
      <c r="BY104" t="e">
        <f t="shared" si="142"/>
        <v>#N/A</v>
      </c>
      <c r="BZ104" t="e">
        <f t="shared" si="143"/>
        <v>#N/A</v>
      </c>
      <c r="CA104" t="e">
        <f t="shared" si="144"/>
        <v>#N/A</v>
      </c>
      <c r="CB104" t="e">
        <f t="shared" si="145"/>
        <v>#N/A</v>
      </c>
      <c r="CC104" t="e">
        <f t="shared" si="146"/>
        <v>#N/A</v>
      </c>
      <c r="CD104" t="e">
        <f t="shared" si="147"/>
        <v>#N/A</v>
      </c>
      <c r="CE104" t="e">
        <f t="shared" si="148"/>
        <v>#N/A</v>
      </c>
      <c r="CF104" t="e">
        <f t="shared" si="149"/>
        <v>#N/A</v>
      </c>
      <c r="CG104" t="e">
        <f t="shared" si="150"/>
        <v>#N/A</v>
      </c>
      <c r="CI104" t="e">
        <f>AP39</f>
        <v>#N/A</v>
      </c>
      <c r="CJ104" t="e">
        <f>AQ39</f>
        <v>#N/A</v>
      </c>
      <c r="CK104">
        <f>IF(ISNUMBER(CI104),IFERROR(MAX(0,AR39-CI104),0),0)</f>
        <v>0</v>
      </c>
      <c r="CL104">
        <f>IF(ISNUMBER(CI104),IFERROR(MAX(0,CI104-AR39),0),0)</f>
        <v>0</v>
      </c>
      <c r="CM104">
        <f>IF(ISNUMBER(CJ104),IFERROR(MAX(0,AS39-CJ104),0),0)</f>
        <v>0</v>
      </c>
      <c r="CN104">
        <f>IF(ISNUMBER(CJ104),IFERROR(MAX(0,CJ104-AS39),0),0)</f>
        <v>0</v>
      </c>
      <c r="CP104" t="e">
        <f>BX39</f>
        <v>#N/A</v>
      </c>
      <c r="CQ104" t="e">
        <f>BY39</f>
        <v>#N/A</v>
      </c>
      <c r="CR104">
        <f>IF(ISNUMBER(CP104),IFERROR(MAX(0,BZ39-CP104),0),0)</f>
        <v>0</v>
      </c>
      <c r="CS104">
        <f>IF(ISNUMBER(CP104),IFERROR(MAX(0,CP104-BZ39),0),0)</f>
        <v>0</v>
      </c>
      <c r="CT104">
        <f>IF(ISNUMBER(CQ104),IFERROR(MAX(0,CA39-CQ104),0),0)</f>
        <v>0</v>
      </c>
      <c r="CU104">
        <f>IF(ISNUMBER(CQ104),IFERROR(MAX(0,CQ104-CA39),0),0)</f>
        <v>0</v>
      </c>
    </row>
    <row r="105" spans="1:99" x14ac:dyDescent="0.3">
      <c r="A105">
        <v>99</v>
      </c>
      <c r="B105">
        <f>IF(A105&lt;=$B$2,IF(INDEX(Gantt!$A$7:$A$119,A105)&lt;&gt;"",1,0),0)</f>
        <v>0</v>
      </c>
      <c r="C105" t="e">
        <f>IF(B105=1,INDEX(Gantt!$C$7:$C$119,A105),NA())</f>
        <v>#N/A</v>
      </c>
      <c r="D105" t="e">
        <f>IF(B105=1,INDEX(Gantt!$D$7:$D$119,A105)+1,NA())</f>
        <v>#N/A</v>
      </c>
      <c r="E105">
        <f>IF(B105=1,INDEX(Gantt!$BN$7:$BN$119,A105),0)</f>
        <v>0</v>
      </c>
      <c r="F105">
        <f>IF(B105=1,N(INDEX(Gantt!$F$7:$F$119,A105)),0)</f>
        <v>0</v>
      </c>
      <c r="G105">
        <f t="shared" si="151"/>
        <v>0</v>
      </c>
      <c r="H105" t="e">
        <f t="shared" si="152"/>
        <v>#N/A</v>
      </c>
      <c r="I105" t="e">
        <f t="shared" si="153"/>
        <v>#N/A</v>
      </c>
      <c r="J105" t="e">
        <f t="shared" si="154"/>
        <v>#N/A</v>
      </c>
      <c r="K105" t="e">
        <f t="shared" si="155"/>
        <v>#N/A</v>
      </c>
      <c r="L105" t="e">
        <f t="shared" si="156"/>
        <v>#N/A</v>
      </c>
      <c r="M105" t="e">
        <f t="shared" si="157"/>
        <v>#N/A</v>
      </c>
      <c r="N105" t="e">
        <f t="shared" si="158"/>
        <v>#N/A</v>
      </c>
      <c r="O105" t="e">
        <f t="shared" si="159"/>
        <v>#N/A</v>
      </c>
      <c r="P105" t="e">
        <f t="shared" si="160"/>
        <v>#N/A</v>
      </c>
      <c r="Q105" t="str">
        <f>IF(B105=1,INDEX(Gantt!$A$7:$A$119,A105)&amp;"   "&amp;INDEX(Gantt!$B$7:$B$119,A105),"")</f>
        <v/>
      </c>
      <c r="R105" t="e">
        <f t="shared" si="161"/>
        <v>#N/A</v>
      </c>
      <c r="S105">
        <f t="shared" si="162"/>
        <v>0</v>
      </c>
      <c r="T105">
        <f t="shared" si="163"/>
        <v>0</v>
      </c>
      <c r="U105">
        <v>99</v>
      </c>
      <c r="V105">
        <f t="shared" si="95"/>
        <v>25</v>
      </c>
      <c r="W105">
        <f t="shared" si="96"/>
        <v>3</v>
      </c>
      <c r="X105">
        <f t="shared" si="97"/>
        <v>0</v>
      </c>
      <c r="Y105">
        <f>IF(X105&lt;&gt;1,9999,CHOOSE(W105,INDEX(Gantt!$BQ$7:$BQ$119,V105),INDEX(Gantt!$BR$7:$BR$119,V105),INDEX(Gantt!$BT$7:$BT$119,V105),INDEX(Gantt!$BU$7:$BU$119,V105)))</f>
        <v>9999</v>
      </c>
      <c r="Z105">
        <f t="shared" si="98"/>
        <v>0</v>
      </c>
      <c r="AA105" t="e">
        <f t="shared" si="99"/>
        <v>#N/A</v>
      </c>
      <c r="AB105" t="e">
        <f t="shared" si="100"/>
        <v>#N/A</v>
      </c>
      <c r="AC105" t="e">
        <f t="shared" si="101"/>
        <v>#N/A</v>
      </c>
      <c r="AD105" t="e">
        <f t="shared" si="102"/>
        <v>#N/A</v>
      </c>
      <c r="AE105" t="e">
        <f t="shared" si="103"/>
        <v>#N/A</v>
      </c>
      <c r="AF105" t="e">
        <f t="shared" si="104"/>
        <v>#N/A</v>
      </c>
      <c r="AG105" t="e">
        <f t="shared" si="105"/>
        <v>#N/A</v>
      </c>
      <c r="AH105" t="e">
        <f t="shared" si="106"/>
        <v>#N/A</v>
      </c>
      <c r="AI105" t="e">
        <f t="shared" si="107"/>
        <v>#N/A</v>
      </c>
      <c r="AJ105" t="e">
        <f t="shared" si="108"/>
        <v>#N/A</v>
      </c>
      <c r="AK105" t="e">
        <f t="shared" si="109"/>
        <v>#N/A</v>
      </c>
      <c r="AL105" t="e">
        <f t="shared" si="110"/>
        <v>#N/A</v>
      </c>
      <c r="AM105" t="e">
        <f t="shared" si="111"/>
        <v>#N/A</v>
      </c>
      <c r="AN105" t="e">
        <f t="shared" si="112"/>
        <v>#N/A</v>
      </c>
      <c r="AO105" t="e">
        <f t="shared" si="113"/>
        <v>#N/A</v>
      </c>
      <c r="AP105" t="e">
        <f t="shared" si="114"/>
        <v>#N/A</v>
      </c>
      <c r="AQ105" t="e">
        <f t="shared" si="115"/>
        <v>#N/A</v>
      </c>
      <c r="AR105" t="e">
        <f t="shared" si="116"/>
        <v>#N/A</v>
      </c>
      <c r="AS105" t="e">
        <f t="shared" si="117"/>
        <v>#N/A</v>
      </c>
      <c r="AT105" t="e">
        <f t="shared" si="118"/>
        <v>#N/A</v>
      </c>
      <c r="AU105" t="e">
        <f t="shared" si="119"/>
        <v>#N/A</v>
      </c>
      <c r="AV105" t="e">
        <f t="shared" si="120"/>
        <v>#N/A</v>
      </c>
      <c r="AW105" t="e">
        <f t="shared" si="121"/>
        <v>#N/A</v>
      </c>
      <c r="AX105" t="e">
        <f t="shared" si="122"/>
        <v>#N/A</v>
      </c>
      <c r="AY105" t="e">
        <f t="shared" si="123"/>
        <v>#N/A</v>
      </c>
      <c r="BE105" t="e">
        <f>IF(Z105=1,IF(INDEX($C$7:$C$126,V105)&gt;=Gantt!$BF$6,NA(),MATCH(INDEX($C$7:$C$126,V105),Gantt!$J$6:$BE$6,1)),NA())</f>
        <v>#N/A</v>
      </c>
      <c r="BF105" t="e">
        <f>IF(Z105=1,IF((INDEX($D$7:$D$126,AA105)-1)&gt;=Gantt!$BF$6,NA(),IF((INDEX($D$7:$D$126,AA105)-1)&lt;Gantt!$J$6,0,MATCH((INDEX($D$7:$D$126,AA105)-1),Gantt!$J$6:$BE$6,1))),NA())</f>
        <v>#N/A</v>
      </c>
      <c r="BG105" t="e">
        <f t="shared" si="124"/>
        <v>#N/A</v>
      </c>
      <c r="BH105" t="e">
        <f t="shared" si="125"/>
        <v>#N/A</v>
      </c>
      <c r="BI105" t="e">
        <f t="shared" si="126"/>
        <v>#N/A</v>
      </c>
      <c r="BJ105" t="e">
        <f t="shared" si="127"/>
        <v>#N/A</v>
      </c>
      <c r="BK105" t="e">
        <f t="shared" si="128"/>
        <v>#N/A</v>
      </c>
      <c r="BL105" t="e">
        <f t="shared" si="129"/>
        <v>#N/A</v>
      </c>
      <c r="BM105" t="e">
        <f t="shared" si="130"/>
        <v>#N/A</v>
      </c>
      <c r="BN105" t="e">
        <f t="shared" si="131"/>
        <v>#N/A</v>
      </c>
      <c r="BO105" t="e">
        <f t="shared" si="132"/>
        <v>#N/A</v>
      </c>
      <c r="BP105" t="e">
        <f t="shared" si="133"/>
        <v>#N/A</v>
      </c>
      <c r="BQ105" t="e">
        <f t="shared" si="134"/>
        <v>#N/A</v>
      </c>
      <c r="BR105" t="e">
        <f t="shared" si="135"/>
        <v>#N/A</v>
      </c>
      <c r="BS105" t="e">
        <f t="shared" si="136"/>
        <v>#N/A</v>
      </c>
      <c r="BT105" t="e">
        <f t="shared" si="137"/>
        <v>#N/A</v>
      </c>
      <c r="BU105" t="e">
        <f t="shared" si="138"/>
        <v>#N/A</v>
      </c>
      <c r="BV105" t="e">
        <f t="shared" si="139"/>
        <v>#N/A</v>
      </c>
      <c r="BW105" t="e">
        <f t="shared" si="140"/>
        <v>#N/A</v>
      </c>
      <c r="BX105" t="e">
        <f t="shared" si="141"/>
        <v>#N/A</v>
      </c>
      <c r="BY105" t="e">
        <f t="shared" si="142"/>
        <v>#N/A</v>
      </c>
      <c r="BZ105" t="e">
        <f t="shared" si="143"/>
        <v>#N/A</v>
      </c>
      <c r="CA105" t="e">
        <f t="shared" si="144"/>
        <v>#N/A</v>
      </c>
      <c r="CB105" t="e">
        <f t="shared" si="145"/>
        <v>#N/A</v>
      </c>
      <c r="CC105" t="e">
        <f t="shared" si="146"/>
        <v>#N/A</v>
      </c>
      <c r="CD105" t="e">
        <f t="shared" si="147"/>
        <v>#N/A</v>
      </c>
      <c r="CE105" t="e">
        <f t="shared" si="148"/>
        <v>#N/A</v>
      </c>
      <c r="CF105" t="e">
        <f t="shared" si="149"/>
        <v>#N/A</v>
      </c>
      <c r="CG105" t="e">
        <f t="shared" si="150"/>
        <v>#N/A</v>
      </c>
      <c r="CI105" t="e">
        <f>AT39</f>
        <v>#N/A</v>
      </c>
      <c r="CJ105" t="e">
        <f>AU39</f>
        <v>#N/A</v>
      </c>
      <c r="CK105">
        <f>IF(ISNUMBER(CI105),IFERROR(MAX(0,AV39-CI105),0),0)</f>
        <v>0</v>
      </c>
      <c r="CL105">
        <f>IF(ISNUMBER(CI105),IFERROR(MAX(0,CI105-AV39),0),0)</f>
        <v>0</v>
      </c>
      <c r="CM105">
        <f>IF(ISNUMBER(CJ105),IFERROR(MAX(0,AW39-CJ105),0),0)</f>
        <v>0</v>
      </c>
      <c r="CN105">
        <f>IF(ISNUMBER(CJ105),IFERROR(MAX(0,CJ105-AW39),0),0)</f>
        <v>0</v>
      </c>
      <c r="CP105" t="e">
        <f>CB39</f>
        <v>#N/A</v>
      </c>
      <c r="CQ105" t="e">
        <f>CC39</f>
        <v>#N/A</v>
      </c>
      <c r="CR105">
        <f>IF(ISNUMBER(CP105),IFERROR(MAX(0,CD39-CP105),0),0)</f>
        <v>0</v>
      </c>
      <c r="CS105">
        <f>IF(ISNUMBER(CP105),IFERROR(MAX(0,CP105-CD39),0),0)</f>
        <v>0</v>
      </c>
      <c r="CT105">
        <f>IF(ISNUMBER(CQ105),IFERROR(MAX(0,CE39-CQ105),0),0)</f>
        <v>0</v>
      </c>
      <c r="CU105">
        <f>IF(ISNUMBER(CQ105),IFERROR(MAX(0,CQ105-CE39),0),0)</f>
        <v>0</v>
      </c>
    </row>
    <row r="106" spans="1:99" x14ac:dyDescent="0.3">
      <c r="A106">
        <v>100</v>
      </c>
      <c r="B106">
        <f>IF(A106&lt;=$B$2,IF(INDEX(Gantt!$A$7:$A$119,A106)&lt;&gt;"",1,0),0)</f>
        <v>0</v>
      </c>
      <c r="C106" t="e">
        <f>IF(B106=1,INDEX(Gantt!$C$7:$C$119,A106),NA())</f>
        <v>#N/A</v>
      </c>
      <c r="D106" t="e">
        <f>IF(B106=1,INDEX(Gantt!$D$7:$D$119,A106)+1,NA())</f>
        <v>#N/A</v>
      </c>
      <c r="E106">
        <f>IF(B106=1,INDEX(Gantt!$BN$7:$BN$119,A106),0)</f>
        <v>0</v>
      </c>
      <c r="F106">
        <f>IF(B106=1,N(INDEX(Gantt!$F$7:$F$119,A106)),0)</f>
        <v>0</v>
      </c>
      <c r="G106">
        <f t="shared" si="151"/>
        <v>0</v>
      </c>
      <c r="H106" t="e">
        <f t="shared" si="152"/>
        <v>#N/A</v>
      </c>
      <c r="I106" t="e">
        <f t="shared" si="153"/>
        <v>#N/A</v>
      </c>
      <c r="J106" t="e">
        <f t="shared" si="154"/>
        <v>#N/A</v>
      </c>
      <c r="K106" t="e">
        <f t="shared" si="155"/>
        <v>#N/A</v>
      </c>
      <c r="L106" t="e">
        <f t="shared" si="156"/>
        <v>#N/A</v>
      </c>
      <c r="M106" t="e">
        <f t="shared" si="157"/>
        <v>#N/A</v>
      </c>
      <c r="N106" t="e">
        <f t="shared" si="158"/>
        <v>#N/A</v>
      </c>
      <c r="O106" t="e">
        <f t="shared" si="159"/>
        <v>#N/A</v>
      </c>
      <c r="P106" t="e">
        <f t="shared" si="160"/>
        <v>#N/A</v>
      </c>
      <c r="Q106" t="str">
        <f>IF(B106=1,INDEX(Gantt!$A$7:$A$119,A106)&amp;"   "&amp;INDEX(Gantt!$B$7:$B$119,A106),"")</f>
        <v/>
      </c>
      <c r="R106" t="e">
        <f t="shared" si="161"/>
        <v>#N/A</v>
      </c>
      <c r="S106">
        <f t="shared" si="162"/>
        <v>0</v>
      </c>
      <c r="T106">
        <f t="shared" si="163"/>
        <v>0</v>
      </c>
      <c r="U106">
        <v>100</v>
      </c>
      <c r="V106">
        <f t="shared" si="95"/>
        <v>25</v>
      </c>
      <c r="W106">
        <f t="shared" si="96"/>
        <v>4</v>
      </c>
      <c r="X106">
        <f t="shared" si="97"/>
        <v>0</v>
      </c>
      <c r="Y106">
        <f>IF(X106&lt;&gt;1,9999,CHOOSE(W106,INDEX(Gantt!$BQ$7:$BQ$119,V106),INDEX(Gantt!$BR$7:$BR$119,V106),INDEX(Gantt!$BT$7:$BT$119,V106),INDEX(Gantt!$BU$7:$BU$119,V106)))</f>
        <v>9999</v>
      </c>
      <c r="Z106">
        <f t="shared" si="98"/>
        <v>0</v>
      </c>
      <c r="AA106" t="e">
        <f t="shared" si="99"/>
        <v>#N/A</v>
      </c>
      <c r="AB106" t="e">
        <f t="shared" si="100"/>
        <v>#N/A</v>
      </c>
      <c r="AC106" t="e">
        <f t="shared" si="101"/>
        <v>#N/A</v>
      </c>
      <c r="AD106" t="e">
        <f t="shared" si="102"/>
        <v>#N/A</v>
      </c>
      <c r="AE106" t="e">
        <f t="shared" si="103"/>
        <v>#N/A</v>
      </c>
      <c r="AF106" t="e">
        <f t="shared" si="104"/>
        <v>#N/A</v>
      </c>
      <c r="AG106" t="e">
        <f t="shared" si="105"/>
        <v>#N/A</v>
      </c>
      <c r="AH106" t="e">
        <f t="shared" si="106"/>
        <v>#N/A</v>
      </c>
      <c r="AI106" t="e">
        <f t="shared" si="107"/>
        <v>#N/A</v>
      </c>
      <c r="AJ106" t="e">
        <f t="shared" si="108"/>
        <v>#N/A</v>
      </c>
      <c r="AK106" t="e">
        <f t="shared" si="109"/>
        <v>#N/A</v>
      </c>
      <c r="AL106" t="e">
        <f t="shared" si="110"/>
        <v>#N/A</v>
      </c>
      <c r="AM106" t="e">
        <f t="shared" si="111"/>
        <v>#N/A</v>
      </c>
      <c r="AN106" t="e">
        <f t="shared" si="112"/>
        <v>#N/A</v>
      </c>
      <c r="AO106" t="e">
        <f t="shared" si="113"/>
        <v>#N/A</v>
      </c>
      <c r="AP106" t="e">
        <f t="shared" si="114"/>
        <v>#N/A</v>
      </c>
      <c r="AQ106" t="e">
        <f t="shared" si="115"/>
        <v>#N/A</v>
      </c>
      <c r="AR106" t="e">
        <f t="shared" si="116"/>
        <v>#N/A</v>
      </c>
      <c r="AS106" t="e">
        <f t="shared" si="117"/>
        <v>#N/A</v>
      </c>
      <c r="AT106" t="e">
        <f t="shared" si="118"/>
        <v>#N/A</v>
      </c>
      <c r="AU106" t="e">
        <f t="shared" si="119"/>
        <v>#N/A</v>
      </c>
      <c r="AV106" t="e">
        <f t="shared" si="120"/>
        <v>#N/A</v>
      </c>
      <c r="AW106" t="e">
        <f t="shared" si="121"/>
        <v>#N/A</v>
      </c>
      <c r="AX106" t="e">
        <f t="shared" si="122"/>
        <v>#N/A</v>
      </c>
      <c r="AY106" t="e">
        <f t="shared" si="123"/>
        <v>#N/A</v>
      </c>
      <c r="BE106" t="e">
        <f>IF(Z106=1,IF(INDEX($C$7:$C$126,V106)&gt;=Gantt!$BF$6,NA(),MATCH(INDEX($C$7:$C$126,V106),Gantt!$J$6:$BE$6,1)),NA())</f>
        <v>#N/A</v>
      </c>
      <c r="BF106" t="e">
        <f>IF(Z106=1,IF((INDEX($D$7:$D$126,AA106)-1)&gt;=Gantt!$BF$6,NA(),IF((INDEX($D$7:$D$126,AA106)-1)&lt;Gantt!$J$6,0,MATCH((INDEX($D$7:$D$126,AA106)-1),Gantt!$J$6:$BE$6,1))),NA())</f>
        <v>#N/A</v>
      </c>
      <c r="BG106" t="e">
        <f t="shared" si="124"/>
        <v>#N/A</v>
      </c>
      <c r="BH106" t="e">
        <f t="shared" si="125"/>
        <v>#N/A</v>
      </c>
      <c r="BI106" t="e">
        <f t="shared" si="126"/>
        <v>#N/A</v>
      </c>
      <c r="BJ106" t="e">
        <f t="shared" si="127"/>
        <v>#N/A</v>
      </c>
      <c r="BK106" t="e">
        <f t="shared" si="128"/>
        <v>#N/A</v>
      </c>
      <c r="BL106" t="e">
        <f t="shared" si="129"/>
        <v>#N/A</v>
      </c>
      <c r="BM106" t="e">
        <f t="shared" si="130"/>
        <v>#N/A</v>
      </c>
      <c r="BN106" t="e">
        <f t="shared" si="131"/>
        <v>#N/A</v>
      </c>
      <c r="BO106" t="e">
        <f t="shared" si="132"/>
        <v>#N/A</v>
      </c>
      <c r="BP106" t="e">
        <f t="shared" si="133"/>
        <v>#N/A</v>
      </c>
      <c r="BQ106" t="e">
        <f t="shared" si="134"/>
        <v>#N/A</v>
      </c>
      <c r="BR106" t="e">
        <f t="shared" si="135"/>
        <v>#N/A</v>
      </c>
      <c r="BS106" t="e">
        <f t="shared" si="136"/>
        <v>#N/A</v>
      </c>
      <c r="BT106" t="e">
        <f t="shared" si="137"/>
        <v>#N/A</v>
      </c>
      <c r="BU106" t="e">
        <f t="shared" si="138"/>
        <v>#N/A</v>
      </c>
      <c r="BV106" t="e">
        <f t="shared" si="139"/>
        <v>#N/A</v>
      </c>
      <c r="BW106" t="e">
        <f t="shared" si="140"/>
        <v>#N/A</v>
      </c>
      <c r="BX106" t="e">
        <f t="shared" si="141"/>
        <v>#N/A</v>
      </c>
      <c r="BY106" t="e">
        <f t="shared" si="142"/>
        <v>#N/A</v>
      </c>
      <c r="BZ106" t="e">
        <f t="shared" si="143"/>
        <v>#N/A</v>
      </c>
      <c r="CA106" t="e">
        <f t="shared" si="144"/>
        <v>#N/A</v>
      </c>
      <c r="CB106" t="e">
        <f t="shared" si="145"/>
        <v>#N/A</v>
      </c>
      <c r="CC106" t="e">
        <f t="shared" si="146"/>
        <v>#N/A</v>
      </c>
      <c r="CD106" t="e">
        <f t="shared" si="147"/>
        <v>#N/A</v>
      </c>
      <c r="CE106" t="e">
        <f t="shared" si="148"/>
        <v>#N/A</v>
      </c>
      <c r="CF106" t="e">
        <f t="shared" si="149"/>
        <v>#N/A</v>
      </c>
      <c r="CG106" t="e">
        <f t="shared" si="150"/>
        <v>#N/A</v>
      </c>
      <c r="CI106" t="e">
        <f>AL40</f>
        <v>#N/A</v>
      </c>
      <c r="CJ106" t="e">
        <f>AM40</f>
        <v>#N/A</v>
      </c>
      <c r="CK106">
        <f>IF(ISNUMBER(CI106),IFERROR(MAX(0,AN40-CI106),0),0)</f>
        <v>0</v>
      </c>
      <c r="CL106">
        <f>IF(ISNUMBER(CI106),IFERROR(MAX(0,CI106-AN40),0),0)</f>
        <v>0</v>
      </c>
      <c r="CM106">
        <f>IF(ISNUMBER(CJ106),IFERROR(MAX(0,AO40-CJ106),0),0)</f>
        <v>0</v>
      </c>
      <c r="CN106">
        <f>IF(ISNUMBER(CJ106),IFERROR(MAX(0,CJ106-AO40),0),0)</f>
        <v>0</v>
      </c>
      <c r="CP106" t="e">
        <f>BT40</f>
        <v>#N/A</v>
      </c>
      <c r="CQ106" t="e">
        <f>BU40</f>
        <v>#N/A</v>
      </c>
      <c r="CR106">
        <f>IF(ISNUMBER(CP106),IFERROR(MAX(0,BV40-CP106),0),0)</f>
        <v>0</v>
      </c>
      <c r="CS106">
        <f>IF(ISNUMBER(CP106),IFERROR(MAX(0,CP106-BV40),0),0)</f>
        <v>0</v>
      </c>
      <c r="CT106">
        <f>IF(ISNUMBER(CQ106),IFERROR(MAX(0,BW40-CQ106),0),0)</f>
        <v>0</v>
      </c>
      <c r="CU106">
        <f>IF(ISNUMBER(CQ106),IFERROR(MAX(0,CQ106-BW40),0),0)</f>
        <v>0</v>
      </c>
    </row>
    <row r="107" spans="1:99" x14ac:dyDescent="0.3">
      <c r="A107">
        <v>101</v>
      </c>
      <c r="B107">
        <f>IF(A107&lt;=$B$2,IF(INDEX(Gantt!$A$7:$A$119,A107)&lt;&gt;"",1,0),0)</f>
        <v>0</v>
      </c>
      <c r="C107" t="e">
        <f>IF(B107=1,INDEX(Gantt!$C$7:$C$119,A107),NA())</f>
        <v>#N/A</v>
      </c>
      <c r="D107" t="e">
        <f>IF(B107=1,INDEX(Gantt!$D$7:$D$119,A107)+1,NA())</f>
        <v>#N/A</v>
      </c>
      <c r="E107">
        <f>IF(B107=1,INDEX(Gantt!$BN$7:$BN$119,A107),0)</f>
        <v>0</v>
      </c>
      <c r="F107">
        <f>IF(B107=1,N(INDEX(Gantt!$F$7:$F$119,A107)),0)</f>
        <v>0</v>
      </c>
      <c r="G107">
        <f t="shared" si="151"/>
        <v>0</v>
      </c>
      <c r="H107" t="e">
        <f t="shared" si="152"/>
        <v>#N/A</v>
      </c>
      <c r="I107" t="e">
        <f t="shared" si="153"/>
        <v>#N/A</v>
      </c>
      <c r="J107" t="e">
        <f t="shared" si="154"/>
        <v>#N/A</v>
      </c>
      <c r="K107" t="e">
        <f t="shared" si="155"/>
        <v>#N/A</v>
      </c>
      <c r="L107" t="e">
        <f t="shared" si="156"/>
        <v>#N/A</v>
      </c>
      <c r="M107" t="e">
        <f t="shared" si="157"/>
        <v>#N/A</v>
      </c>
      <c r="N107" t="e">
        <f t="shared" si="158"/>
        <v>#N/A</v>
      </c>
      <c r="O107" t="e">
        <f t="shared" si="159"/>
        <v>#N/A</v>
      </c>
      <c r="P107" t="e">
        <f t="shared" si="160"/>
        <v>#N/A</v>
      </c>
      <c r="Q107" t="str">
        <f>IF(B107=1,INDEX(Gantt!$A$7:$A$119,A107)&amp;"   "&amp;INDEX(Gantt!$B$7:$B$119,A107),"")</f>
        <v/>
      </c>
      <c r="R107" t="e">
        <f t="shared" si="161"/>
        <v>#N/A</v>
      </c>
      <c r="S107">
        <f t="shared" si="162"/>
        <v>0</v>
      </c>
      <c r="T107">
        <f t="shared" si="163"/>
        <v>0</v>
      </c>
      <c r="U107">
        <v>101</v>
      </c>
      <c r="V107">
        <f t="shared" si="95"/>
        <v>26</v>
      </c>
      <c r="W107">
        <f t="shared" si="96"/>
        <v>1</v>
      </c>
      <c r="X107">
        <f t="shared" si="97"/>
        <v>0</v>
      </c>
      <c r="Y107">
        <f>IF(X107&lt;&gt;1,9999,CHOOSE(W107,INDEX(Gantt!$BQ$7:$BQ$119,V107),INDEX(Gantt!$BR$7:$BR$119,V107),INDEX(Gantt!$BT$7:$BT$119,V107),INDEX(Gantt!$BU$7:$BU$119,V107)))</f>
        <v>9999</v>
      </c>
      <c r="Z107">
        <f t="shared" si="98"/>
        <v>0</v>
      </c>
      <c r="AA107" t="e">
        <f t="shared" si="99"/>
        <v>#N/A</v>
      </c>
      <c r="AB107" t="e">
        <f t="shared" si="100"/>
        <v>#N/A</v>
      </c>
      <c r="AC107" t="e">
        <f t="shared" si="101"/>
        <v>#N/A</v>
      </c>
      <c r="AD107" t="e">
        <f t="shared" si="102"/>
        <v>#N/A</v>
      </c>
      <c r="AE107" t="e">
        <f t="shared" si="103"/>
        <v>#N/A</v>
      </c>
      <c r="AF107" t="e">
        <f t="shared" si="104"/>
        <v>#N/A</v>
      </c>
      <c r="AG107" t="e">
        <f t="shared" si="105"/>
        <v>#N/A</v>
      </c>
      <c r="AH107" t="e">
        <f t="shared" si="106"/>
        <v>#N/A</v>
      </c>
      <c r="AI107" t="e">
        <f t="shared" si="107"/>
        <v>#N/A</v>
      </c>
      <c r="AJ107" t="e">
        <f t="shared" si="108"/>
        <v>#N/A</v>
      </c>
      <c r="AK107" t="e">
        <f t="shared" si="109"/>
        <v>#N/A</v>
      </c>
      <c r="AL107" t="e">
        <f t="shared" si="110"/>
        <v>#N/A</v>
      </c>
      <c r="AM107" t="e">
        <f t="shared" si="111"/>
        <v>#N/A</v>
      </c>
      <c r="AN107" t="e">
        <f t="shared" si="112"/>
        <v>#N/A</v>
      </c>
      <c r="AO107" t="e">
        <f t="shared" si="113"/>
        <v>#N/A</v>
      </c>
      <c r="AP107" t="e">
        <f t="shared" si="114"/>
        <v>#N/A</v>
      </c>
      <c r="AQ107" t="e">
        <f t="shared" si="115"/>
        <v>#N/A</v>
      </c>
      <c r="AR107" t="e">
        <f t="shared" si="116"/>
        <v>#N/A</v>
      </c>
      <c r="AS107" t="e">
        <f t="shared" si="117"/>
        <v>#N/A</v>
      </c>
      <c r="AT107" t="e">
        <f t="shared" si="118"/>
        <v>#N/A</v>
      </c>
      <c r="AU107" t="e">
        <f t="shared" si="119"/>
        <v>#N/A</v>
      </c>
      <c r="AV107" t="e">
        <f t="shared" si="120"/>
        <v>#N/A</v>
      </c>
      <c r="AW107" t="e">
        <f t="shared" si="121"/>
        <v>#N/A</v>
      </c>
      <c r="AX107" t="e">
        <f t="shared" si="122"/>
        <v>#N/A</v>
      </c>
      <c r="AY107" t="e">
        <f t="shared" si="123"/>
        <v>#N/A</v>
      </c>
      <c r="BE107" t="e">
        <f>IF(Z107=1,IF(INDEX($C$7:$C$126,V107)&gt;=Gantt!$BF$6,NA(),MATCH(INDEX($C$7:$C$126,V107),Gantt!$J$6:$BE$6,1)),NA())</f>
        <v>#N/A</v>
      </c>
      <c r="BF107" t="e">
        <f>IF(Z107=1,IF((INDEX($D$7:$D$126,AA107)-1)&gt;=Gantt!$BF$6,NA(),IF((INDEX($D$7:$D$126,AA107)-1)&lt;Gantt!$J$6,0,MATCH((INDEX($D$7:$D$126,AA107)-1),Gantt!$J$6:$BE$6,1))),NA())</f>
        <v>#N/A</v>
      </c>
      <c r="BG107" t="e">
        <f t="shared" si="124"/>
        <v>#N/A</v>
      </c>
      <c r="BH107" t="e">
        <f t="shared" si="125"/>
        <v>#N/A</v>
      </c>
      <c r="BI107" t="e">
        <f t="shared" si="126"/>
        <v>#N/A</v>
      </c>
      <c r="BJ107" t="e">
        <f t="shared" si="127"/>
        <v>#N/A</v>
      </c>
      <c r="BK107" t="e">
        <f t="shared" si="128"/>
        <v>#N/A</v>
      </c>
      <c r="BL107" t="e">
        <f t="shared" si="129"/>
        <v>#N/A</v>
      </c>
      <c r="BM107" t="e">
        <f t="shared" si="130"/>
        <v>#N/A</v>
      </c>
      <c r="BN107" t="e">
        <f t="shared" si="131"/>
        <v>#N/A</v>
      </c>
      <c r="BO107" t="e">
        <f t="shared" si="132"/>
        <v>#N/A</v>
      </c>
      <c r="BP107" t="e">
        <f t="shared" si="133"/>
        <v>#N/A</v>
      </c>
      <c r="BQ107" t="e">
        <f t="shared" si="134"/>
        <v>#N/A</v>
      </c>
      <c r="BR107" t="e">
        <f t="shared" si="135"/>
        <v>#N/A</v>
      </c>
      <c r="BS107" t="e">
        <f t="shared" si="136"/>
        <v>#N/A</v>
      </c>
      <c r="BT107" t="e">
        <f t="shared" si="137"/>
        <v>#N/A</v>
      </c>
      <c r="BU107" t="e">
        <f t="shared" si="138"/>
        <v>#N/A</v>
      </c>
      <c r="BV107" t="e">
        <f t="shared" si="139"/>
        <v>#N/A</v>
      </c>
      <c r="BW107" t="e">
        <f t="shared" si="140"/>
        <v>#N/A</v>
      </c>
      <c r="BX107" t="e">
        <f t="shared" si="141"/>
        <v>#N/A</v>
      </c>
      <c r="BY107" t="e">
        <f t="shared" si="142"/>
        <v>#N/A</v>
      </c>
      <c r="BZ107" t="e">
        <f t="shared" si="143"/>
        <v>#N/A</v>
      </c>
      <c r="CA107" t="e">
        <f t="shared" si="144"/>
        <v>#N/A</v>
      </c>
      <c r="CB107" t="e">
        <f t="shared" si="145"/>
        <v>#N/A</v>
      </c>
      <c r="CC107" t="e">
        <f t="shared" si="146"/>
        <v>#N/A</v>
      </c>
      <c r="CD107" t="e">
        <f t="shared" si="147"/>
        <v>#N/A</v>
      </c>
      <c r="CE107" t="e">
        <f t="shared" si="148"/>
        <v>#N/A</v>
      </c>
      <c r="CF107" t="e">
        <f t="shared" si="149"/>
        <v>#N/A</v>
      </c>
      <c r="CG107" t="e">
        <f t="shared" si="150"/>
        <v>#N/A</v>
      </c>
      <c r="CI107" t="e">
        <f>AP40</f>
        <v>#N/A</v>
      </c>
      <c r="CJ107" t="e">
        <f>AQ40</f>
        <v>#N/A</v>
      </c>
      <c r="CK107">
        <f>IF(ISNUMBER(CI107),IFERROR(MAX(0,AR40-CI107),0),0)</f>
        <v>0</v>
      </c>
      <c r="CL107">
        <f>IF(ISNUMBER(CI107),IFERROR(MAX(0,CI107-AR40),0),0)</f>
        <v>0</v>
      </c>
      <c r="CM107">
        <f>IF(ISNUMBER(CJ107),IFERROR(MAX(0,AS40-CJ107),0),0)</f>
        <v>0</v>
      </c>
      <c r="CN107">
        <f>IF(ISNUMBER(CJ107),IFERROR(MAX(0,CJ107-AS40),0),0)</f>
        <v>0</v>
      </c>
      <c r="CP107" t="e">
        <f>BX40</f>
        <v>#N/A</v>
      </c>
      <c r="CQ107" t="e">
        <f>BY40</f>
        <v>#N/A</v>
      </c>
      <c r="CR107">
        <f>IF(ISNUMBER(CP107),IFERROR(MAX(0,BZ40-CP107),0),0)</f>
        <v>0</v>
      </c>
      <c r="CS107">
        <f>IF(ISNUMBER(CP107),IFERROR(MAX(0,CP107-BZ40),0),0)</f>
        <v>0</v>
      </c>
      <c r="CT107">
        <f>IF(ISNUMBER(CQ107),IFERROR(MAX(0,CA40-CQ107),0),0)</f>
        <v>0</v>
      </c>
      <c r="CU107">
        <f>IF(ISNUMBER(CQ107),IFERROR(MAX(0,CQ107-CA40),0),0)</f>
        <v>0</v>
      </c>
    </row>
    <row r="108" spans="1:99" x14ac:dyDescent="0.3">
      <c r="A108">
        <v>102</v>
      </c>
      <c r="B108">
        <f>IF(A108&lt;=$B$2,IF(INDEX(Gantt!$A$7:$A$119,A108)&lt;&gt;"",1,0),0)</f>
        <v>0</v>
      </c>
      <c r="C108" t="e">
        <f>IF(B108=1,INDEX(Gantt!$C$7:$C$119,A108),NA())</f>
        <v>#N/A</v>
      </c>
      <c r="D108" t="e">
        <f>IF(B108=1,INDEX(Gantt!$D$7:$D$119,A108)+1,NA())</f>
        <v>#N/A</v>
      </c>
      <c r="E108">
        <f>IF(B108=1,INDEX(Gantt!$BN$7:$BN$119,A108),0)</f>
        <v>0</v>
      </c>
      <c r="F108">
        <f>IF(B108=1,N(INDEX(Gantt!$F$7:$F$119,A108)),0)</f>
        <v>0</v>
      </c>
      <c r="G108">
        <f t="shared" si="151"/>
        <v>0</v>
      </c>
      <c r="H108" t="e">
        <f t="shared" si="152"/>
        <v>#N/A</v>
      </c>
      <c r="I108" t="e">
        <f t="shared" si="153"/>
        <v>#N/A</v>
      </c>
      <c r="J108" t="e">
        <f t="shared" si="154"/>
        <v>#N/A</v>
      </c>
      <c r="K108" t="e">
        <f t="shared" si="155"/>
        <v>#N/A</v>
      </c>
      <c r="L108" t="e">
        <f t="shared" si="156"/>
        <v>#N/A</v>
      </c>
      <c r="M108" t="e">
        <f t="shared" si="157"/>
        <v>#N/A</v>
      </c>
      <c r="N108" t="e">
        <f t="shared" si="158"/>
        <v>#N/A</v>
      </c>
      <c r="O108" t="e">
        <f t="shared" si="159"/>
        <v>#N/A</v>
      </c>
      <c r="P108" t="e">
        <f t="shared" si="160"/>
        <v>#N/A</v>
      </c>
      <c r="Q108" t="str">
        <f>IF(B108=1,INDEX(Gantt!$A$7:$A$119,A108)&amp;"   "&amp;INDEX(Gantt!$B$7:$B$119,A108),"")</f>
        <v/>
      </c>
      <c r="R108" t="e">
        <f t="shared" si="161"/>
        <v>#N/A</v>
      </c>
      <c r="S108">
        <f t="shared" si="162"/>
        <v>0</v>
      </c>
      <c r="T108">
        <f t="shared" si="163"/>
        <v>0</v>
      </c>
      <c r="U108">
        <v>102</v>
      </c>
      <c r="V108">
        <f t="shared" si="95"/>
        <v>26</v>
      </c>
      <c r="W108">
        <f t="shared" si="96"/>
        <v>2</v>
      </c>
      <c r="X108">
        <f t="shared" si="97"/>
        <v>0</v>
      </c>
      <c r="Y108">
        <f>IF(X108&lt;&gt;1,9999,CHOOSE(W108,INDEX(Gantt!$BQ$7:$BQ$119,V108),INDEX(Gantt!$BR$7:$BR$119,V108),INDEX(Gantt!$BT$7:$BT$119,V108),INDEX(Gantt!$BU$7:$BU$119,V108)))</f>
        <v>9999</v>
      </c>
      <c r="Z108">
        <f t="shared" si="98"/>
        <v>0</v>
      </c>
      <c r="AA108" t="e">
        <f t="shared" si="99"/>
        <v>#N/A</v>
      </c>
      <c r="AB108" t="e">
        <f t="shared" si="100"/>
        <v>#N/A</v>
      </c>
      <c r="AC108" t="e">
        <f t="shared" si="101"/>
        <v>#N/A</v>
      </c>
      <c r="AD108" t="e">
        <f t="shared" si="102"/>
        <v>#N/A</v>
      </c>
      <c r="AE108" t="e">
        <f t="shared" si="103"/>
        <v>#N/A</v>
      </c>
      <c r="AF108" t="e">
        <f t="shared" si="104"/>
        <v>#N/A</v>
      </c>
      <c r="AG108" t="e">
        <f t="shared" si="105"/>
        <v>#N/A</v>
      </c>
      <c r="AH108" t="e">
        <f t="shared" si="106"/>
        <v>#N/A</v>
      </c>
      <c r="AI108" t="e">
        <f t="shared" si="107"/>
        <v>#N/A</v>
      </c>
      <c r="AJ108" t="e">
        <f t="shared" si="108"/>
        <v>#N/A</v>
      </c>
      <c r="AK108" t="e">
        <f t="shared" si="109"/>
        <v>#N/A</v>
      </c>
      <c r="AL108" t="e">
        <f t="shared" si="110"/>
        <v>#N/A</v>
      </c>
      <c r="AM108" t="e">
        <f t="shared" si="111"/>
        <v>#N/A</v>
      </c>
      <c r="AN108" t="e">
        <f t="shared" si="112"/>
        <v>#N/A</v>
      </c>
      <c r="AO108" t="e">
        <f t="shared" si="113"/>
        <v>#N/A</v>
      </c>
      <c r="AP108" t="e">
        <f t="shared" si="114"/>
        <v>#N/A</v>
      </c>
      <c r="AQ108" t="e">
        <f t="shared" si="115"/>
        <v>#N/A</v>
      </c>
      <c r="AR108" t="e">
        <f t="shared" si="116"/>
        <v>#N/A</v>
      </c>
      <c r="AS108" t="e">
        <f t="shared" si="117"/>
        <v>#N/A</v>
      </c>
      <c r="AT108" t="e">
        <f t="shared" si="118"/>
        <v>#N/A</v>
      </c>
      <c r="AU108" t="e">
        <f t="shared" si="119"/>
        <v>#N/A</v>
      </c>
      <c r="AV108" t="e">
        <f t="shared" si="120"/>
        <v>#N/A</v>
      </c>
      <c r="AW108" t="e">
        <f t="shared" si="121"/>
        <v>#N/A</v>
      </c>
      <c r="AX108" t="e">
        <f t="shared" si="122"/>
        <v>#N/A</v>
      </c>
      <c r="AY108" t="e">
        <f t="shared" si="123"/>
        <v>#N/A</v>
      </c>
      <c r="BE108" t="e">
        <f>IF(Z108=1,IF(INDEX($C$7:$C$126,V108)&gt;=Gantt!$BF$6,NA(),MATCH(INDEX($C$7:$C$126,V108),Gantt!$J$6:$BE$6,1)),NA())</f>
        <v>#N/A</v>
      </c>
      <c r="BF108" t="e">
        <f>IF(Z108=1,IF((INDEX($D$7:$D$126,AA108)-1)&gt;=Gantt!$BF$6,NA(),IF((INDEX($D$7:$D$126,AA108)-1)&lt;Gantt!$J$6,0,MATCH((INDEX($D$7:$D$126,AA108)-1),Gantt!$J$6:$BE$6,1))),NA())</f>
        <v>#N/A</v>
      </c>
      <c r="BG108" t="e">
        <f t="shared" si="124"/>
        <v>#N/A</v>
      </c>
      <c r="BH108" t="e">
        <f t="shared" si="125"/>
        <v>#N/A</v>
      </c>
      <c r="BI108" t="e">
        <f t="shared" si="126"/>
        <v>#N/A</v>
      </c>
      <c r="BJ108" t="e">
        <f t="shared" si="127"/>
        <v>#N/A</v>
      </c>
      <c r="BK108" t="e">
        <f t="shared" si="128"/>
        <v>#N/A</v>
      </c>
      <c r="BL108" t="e">
        <f t="shared" si="129"/>
        <v>#N/A</v>
      </c>
      <c r="BM108" t="e">
        <f t="shared" si="130"/>
        <v>#N/A</v>
      </c>
      <c r="BN108" t="e">
        <f t="shared" si="131"/>
        <v>#N/A</v>
      </c>
      <c r="BO108" t="e">
        <f t="shared" si="132"/>
        <v>#N/A</v>
      </c>
      <c r="BP108" t="e">
        <f t="shared" si="133"/>
        <v>#N/A</v>
      </c>
      <c r="BQ108" t="e">
        <f t="shared" si="134"/>
        <v>#N/A</v>
      </c>
      <c r="BR108" t="e">
        <f t="shared" si="135"/>
        <v>#N/A</v>
      </c>
      <c r="BS108" t="e">
        <f t="shared" si="136"/>
        <v>#N/A</v>
      </c>
      <c r="BT108" t="e">
        <f t="shared" si="137"/>
        <v>#N/A</v>
      </c>
      <c r="BU108" t="e">
        <f t="shared" si="138"/>
        <v>#N/A</v>
      </c>
      <c r="BV108" t="e">
        <f t="shared" si="139"/>
        <v>#N/A</v>
      </c>
      <c r="BW108" t="e">
        <f t="shared" si="140"/>
        <v>#N/A</v>
      </c>
      <c r="BX108" t="e">
        <f t="shared" si="141"/>
        <v>#N/A</v>
      </c>
      <c r="BY108" t="e">
        <f t="shared" si="142"/>
        <v>#N/A</v>
      </c>
      <c r="BZ108" t="e">
        <f t="shared" si="143"/>
        <v>#N/A</v>
      </c>
      <c r="CA108" t="e">
        <f t="shared" si="144"/>
        <v>#N/A</v>
      </c>
      <c r="CB108" t="e">
        <f t="shared" si="145"/>
        <v>#N/A</v>
      </c>
      <c r="CC108" t="e">
        <f t="shared" si="146"/>
        <v>#N/A</v>
      </c>
      <c r="CD108" t="e">
        <f t="shared" si="147"/>
        <v>#N/A</v>
      </c>
      <c r="CE108" t="e">
        <f t="shared" si="148"/>
        <v>#N/A</v>
      </c>
      <c r="CF108" t="e">
        <f t="shared" si="149"/>
        <v>#N/A</v>
      </c>
      <c r="CG108" t="e">
        <f t="shared" si="150"/>
        <v>#N/A</v>
      </c>
      <c r="CI108" t="e">
        <f>AT40</f>
        <v>#N/A</v>
      </c>
      <c r="CJ108" t="e">
        <f>AU40</f>
        <v>#N/A</v>
      </c>
      <c r="CK108">
        <f>IF(ISNUMBER(CI108),IFERROR(MAX(0,AV40-CI108),0),0)</f>
        <v>0</v>
      </c>
      <c r="CL108">
        <f>IF(ISNUMBER(CI108),IFERROR(MAX(0,CI108-AV40),0),0)</f>
        <v>0</v>
      </c>
      <c r="CM108">
        <f>IF(ISNUMBER(CJ108),IFERROR(MAX(0,AW40-CJ108),0),0)</f>
        <v>0</v>
      </c>
      <c r="CN108">
        <f>IF(ISNUMBER(CJ108),IFERROR(MAX(0,CJ108-AW40),0),0)</f>
        <v>0</v>
      </c>
      <c r="CP108" t="e">
        <f>CB40</f>
        <v>#N/A</v>
      </c>
      <c r="CQ108" t="e">
        <f>CC40</f>
        <v>#N/A</v>
      </c>
      <c r="CR108">
        <f>IF(ISNUMBER(CP108),IFERROR(MAX(0,CD40-CP108),0),0)</f>
        <v>0</v>
      </c>
      <c r="CS108">
        <f>IF(ISNUMBER(CP108),IFERROR(MAX(0,CP108-CD40),0),0)</f>
        <v>0</v>
      </c>
      <c r="CT108">
        <f>IF(ISNUMBER(CQ108),IFERROR(MAX(0,CE40-CQ108),0),0)</f>
        <v>0</v>
      </c>
      <c r="CU108">
        <f>IF(ISNUMBER(CQ108),IFERROR(MAX(0,CQ108-CE40),0),0)</f>
        <v>0</v>
      </c>
    </row>
    <row r="109" spans="1:99" x14ac:dyDescent="0.3">
      <c r="A109">
        <v>103</v>
      </c>
      <c r="B109">
        <f>IF(A109&lt;=$B$2,IF(INDEX(Gantt!$A$7:$A$119,A109)&lt;&gt;"",1,0),0)</f>
        <v>0</v>
      </c>
      <c r="C109" t="e">
        <f>IF(B109=1,INDEX(Gantt!$C$7:$C$119,A109),NA())</f>
        <v>#N/A</v>
      </c>
      <c r="D109" t="e">
        <f>IF(B109=1,INDEX(Gantt!$D$7:$D$119,A109)+1,NA())</f>
        <v>#N/A</v>
      </c>
      <c r="E109">
        <f>IF(B109=1,INDEX(Gantt!$BN$7:$BN$119,A109),0)</f>
        <v>0</v>
      </c>
      <c r="F109">
        <f>IF(B109=1,N(INDEX(Gantt!$F$7:$F$119,A109)),0)</f>
        <v>0</v>
      </c>
      <c r="G109">
        <f t="shared" si="151"/>
        <v>0</v>
      </c>
      <c r="H109" t="e">
        <f t="shared" si="152"/>
        <v>#N/A</v>
      </c>
      <c r="I109" t="e">
        <f t="shared" si="153"/>
        <v>#N/A</v>
      </c>
      <c r="J109" t="e">
        <f t="shared" si="154"/>
        <v>#N/A</v>
      </c>
      <c r="K109" t="e">
        <f t="shared" si="155"/>
        <v>#N/A</v>
      </c>
      <c r="L109" t="e">
        <f t="shared" si="156"/>
        <v>#N/A</v>
      </c>
      <c r="M109" t="e">
        <f t="shared" si="157"/>
        <v>#N/A</v>
      </c>
      <c r="N109" t="e">
        <f t="shared" si="158"/>
        <v>#N/A</v>
      </c>
      <c r="O109" t="e">
        <f t="shared" si="159"/>
        <v>#N/A</v>
      </c>
      <c r="P109" t="e">
        <f t="shared" si="160"/>
        <v>#N/A</v>
      </c>
      <c r="Q109" t="str">
        <f>IF(B109=1,INDEX(Gantt!$A$7:$A$119,A109)&amp;"   "&amp;INDEX(Gantt!$B$7:$B$119,A109),"")</f>
        <v/>
      </c>
      <c r="R109" t="e">
        <f t="shared" si="161"/>
        <v>#N/A</v>
      </c>
      <c r="S109">
        <f t="shared" si="162"/>
        <v>0</v>
      </c>
      <c r="T109">
        <f t="shared" si="163"/>
        <v>0</v>
      </c>
      <c r="U109">
        <v>103</v>
      </c>
      <c r="V109">
        <f t="shared" si="95"/>
        <v>26</v>
      </c>
      <c r="W109">
        <f t="shared" si="96"/>
        <v>3</v>
      </c>
      <c r="X109">
        <f t="shared" si="97"/>
        <v>0</v>
      </c>
      <c r="Y109">
        <f>IF(X109&lt;&gt;1,9999,CHOOSE(W109,INDEX(Gantt!$BQ$7:$BQ$119,V109),INDEX(Gantt!$BR$7:$BR$119,V109),INDEX(Gantt!$BT$7:$BT$119,V109),INDEX(Gantt!$BU$7:$BU$119,V109)))</f>
        <v>9999</v>
      </c>
      <c r="Z109">
        <f t="shared" si="98"/>
        <v>0</v>
      </c>
      <c r="AA109" t="e">
        <f t="shared" si="99"/>
        <v>#N/A</v>
      </c>
      <c r="AB109" t="e">
        <f t="shared" si="100"/>
        <v>#N/A</v>
      </c>
      <c r="AC109" t="e">
        <f t="shared" si="101"/>
        <v>#N/A</v>
      </c>
      <c r="AD109" t="e">
        <f t="shared" si="102"/>
        <v>#N/A</v>
      </c>
      <c r="AE109" t="e">
        <f t="shared" si="103"/>
        <v>#N/A</v>
      </c>
      <c r="AF109" t="e">
        <f t="shared" si="104"/>
        <v>#N/A</v>
      </c>
      <c r="AG109" t="e">
        <f t="shared" si="105"/>
        <v>#N/A</v>
      </c>
      <c r="AH109" t="e">
        <f t="shared" si="106"/>
        <v>#N/A</v>
      </c>
      <c r="AI109" t="e">
        <f t="shared" si="107"/>
        <v>#N/A</v>
      </c>
      <c r="AJ109" t="e">
        <f t="shared" si="108"/>
        <v>#N/A</v>
      </c>
      <c r="AK109" t="e">
        <f t="shared" si="109"/>
        <v>#N/A</v>
      </c>
      <c r="AL109" t="e">
        <f t="shared" si="110"/>
        <v>#N/A</v>
      </c>
      <c r="AM109" t="e">
        <f t="shared" si="111"/>
        <v>#N/A</v>
      </c>
      <c r="AN109" t="e">
        <f t="shared" si="112"/>
        <v>#N/A</v>
      </c>
      <c r="AO109" t="e">
        <f t="shared" si="113"/>
        <v>#N/A</v>
      </c>
      <c r="AP109" t="e">
        <f t="shared" si="114"/>
        <v>#N/A</v>
      </c>
      <c r="AQ109" t="e">
        <f t="shared" si="115"/>
        <v>#N/A</v>
      </c>
      <c r="AR109" t="e">
        <f t="shared" si="116"/>
        <v>#N/A</v>
      </c>
      <c r="AS109" t="e">
        <f t="shared" si="117"/>
        <v>#N/A</v>
      </c>
      <c r="AT109" t="e">
        <f t="shared" si="118"/>
        <v>#N/A</v>
      </c>
      <c r="AU109" t="e">
        <f t="shared" si="119"/>
        <v>#N/A</v>
      </c>
      <c r="AV109" t="e">
        <f t="shared" si="120"/>
        <v>#N/A</v>
      </c>
      <c r="AW109" t="e">
        <f t="shared" si="121"/>
        <v>#N/A</v>
      </c>
      <c r="AX109" t="e">
        <f t="shared" si="122"/>
        <v>#N/A</v>
      </c>
      <c r="AY109" t="e">
        <f t="shared" si="123"/>
        <v>#N/A</v>
      </c>
      <c r="BE109" t="e">
        <f>IF(Z109=1,IF(INDEX($C$7:$C$126,V109)&gt;=Gantt!$BF$6,NA(),MATCH(INDEX($C$7:$C$126,V109),Gantt!$J$6:$BE$6,1)),NA())</f>
        <v>#N/A</v>
      </c>
      <c r="BF109" t="e">
        <f>IF(Z109=1,IF((INDEX($D$7:$D$126,AA109)-1)&gt;=Gantt!$BF$6,NA(),IF((INDEX($D$7:$D$126,AA109)-1)&lt;Gantt!$J$6,0,MATCH((INDEX($D$7:$D$126,AA109)-1),Gantt!$J$6:$BE$6,1))),NA())</f>
        <v>#N/A</v>
      </c>
      <c r="BG109" t="e">
        <f t="shared" si="124"/>
        <v>#N/A</v>
      </c>
      <c r="BH109" t="e">
        <f t="shared" si="125"/>
        <v>#N/A</v>
      </c>
      <c r="BI109" t="e">
        <f t="shared" si="126"/>
        <v>#N/A</v>
      </c>
      <c r="BJ109" t="e">
        <f t="shared" si="127"/>
        <v>#N/A</v>
      </c>
      <c r="BK109" t="e">
        <f t="shared" si="128"/>
        <v>#N/A</v>
      </c>
      <c r="BL109" t="e">
        <f t="shared" si="129"/>
        <v>#N/A</v>
      </c>
      <c r="BM109" t="e">
        <f t="shared" si="130"/>
        <v>#N/A</v>
      </c>
      <c r="BN109" t="e">
        <f t="shared" si="131"/>
        <v>#N/A</v>
      </c>
      <c r="BO109" t="e">
        <f t="shared" si="132"/>
        <v>#N/A</v>
      </c>
      <c r="BP109" t="e">
        <f t="shared" si="133"/>
        <v>#N/A</v>
      </c>
      <c r="BQ109" t="e">
        <f t="shared" si="134"/>
        <v>#N/A</v>
      </c>
      <c r="BR109" t="e">
        <f t="shared" si="135"/>
        <v>#N/A</v>
      </c>
      <c r="BS109" t="e">
        <f t="shared" si="136"/>
        <v>#N/A</v>
      </c>
      <c r="BT109" t="e">
        <f t="shared" si="137"/>
        <v>#N/A</v>
      </c>
      <c r="BU109" t="e">
        <f t="shared" si="138"/>
        <v>#N/A</v>
      </c>
      <c r="BV109" t="e">
        <f t="shared" si="139"/>
        <v>#N/A</v>
      </c>
      <c r="BW109" t="e">
        <f t="shared" si="140"/>
        <v>#N/A</v>
      </c>
      <c r="BX109" t="e">
        <f t="shared" si="141"/>
        <v>#N/A</v>
      </c>
      <c r="BY109" t="e">
        <f t="shared" si="142"/>
        <v>#N/A</v>
      </c>
      <c r="BZ109" t="e">
        <f t="shared" si="143"/>
        <v>#N/A</v>
      </c>
      <c r="CA109" t="e">
        <f t="shared" si="144"/>
        <v>#N/A</v>
      </c>
      <c r="CB109" t="e">
        <f t="shared" si="145"/>
        <v>#N/A</v>
      </c>
      <c r="CC109" t="e">
        <f t="shared" si="146"/>
        <v>#N/A</v>
      </c>
      <c r="CD109" t="e">
        <f t="shared" si="147"/>
        <v>#N/A</v>
      </c>
      <c r="CE109" t="e">
        <f t="shared" si="148"/>
        <v>#N/A</v>
      </c>
      <c r="CF109" t="e">
        <f t="shared" si="149"/>
        <v>#N/A</v>
      </c>
      <c r="CG109" t="e">
        <f t="shared" si="150"/>
        <v>#N/A</v>
      </c>
      <c r="CI109" t="e">
        <f>AL41</f>
        <v>#N/A</v>
      </c>
      <c r="CJ109" t="e">
        <f>AM41</f>
        <v>#N/A</v>
      </c>
      <c r="CK109">
        <f>IF(ISNUMBER(CI109),IFERROR(MAX(0,AN41-CI109),0),0)</f>
        <v>0</v>
      </c>
      <c r="CL109">
        <f>IF(ISNUMBER(CI109),IFERROR(MAX(0,CI109-AN41),0),0)</f>
        <v>0</v>
      </c>
      <c r="CM109">
        <f>IF(ISNUMBER(CJ109),IFERROR(MAX(0,AO41-CJ109),0),0)</f>
        <v>0</v>
      </c>
      <c r="CN109">
        <f>IF(ISNUMBER(CJ109),IFERROR(MAX(0,CJ109-AO41),0),0)</f>
        <v>0</v>
      </c>
      <c r="CP109" t="e">
        <f>BT41</f>
        <v>#N/A</v>
      </c>
      <c r="CQ109" t="e">
        <f>BU41</f>
        <v>#N/A</v>
      </c>
      <c r="CR109">
        <f>IF(ISNUMBER(CP109),IFERROR(MAX(0,BV41-CP109),0),0)</f>
        <v>0</v>
      </c>
      <c r="CS109">
        <f>IF(ISNUMBER(CP109),IFERROR(MAX(0,CP109-BV41),0),0)</f>
        <v>0</v>
      </c>
      <c r="CT109">
        <f>IF(ISNUMBER(CQ109),IFERROR(MAX(0,BW41-CQ109),0),0)</f>
        <v>0</v>
      </c>
      <c r="CU109">
        <f>IF(ISNUMBER(CQ109),IFERROR(MAX(0,CQ109-BW41),0),0)</f>
        <v>0</v>
      </c>
    </row>
    <row r="110" spans="1:99" x14ac:dyDescent="0.3">
      <c r="A110">
        <v>104</v>
      </c>
      <c r="B110">
        <f>IF(A110&lt;=$B$2,IF(INDEX(Gantt!$A$7:$A$119,A110)&lt;&gt;"",1,0),0)</f>
        <v>0</v>
      </c>
      <c r="C110" t="e">
        <f>IF(B110=1,INDEX(Gantt!$C$7:$C$119,A110),NA())</f>
        <v>#N/A</v>
      </c>
      <c r="D110" t="e">
        <f>IF(B110=1,INDEX(Gantt!$D$7:$D$119,A110)+1,NA())</f>
        <v>#N/A</v>
      </c>
      <c r="E110">
        <f>IF(B110=1,INDEX(Gantt!$BN$7:$BN$119,A110),0)</f>
        <v>0</v>
      </c>
      <c r="F110">
        <f>IF(B110=1,N(INDEX(Gantt!$F$7:$F$119,A110)),0)</f>
        <v>0</v>
      </c>
      <c r="G110">
        <f t="shared" si="151"/>
        <v>0</v>
      </c>
      <c r="H110" t="e">
        <f t="shared" si="152"/>
        <v>#N/A</v>
      </c>
      <c r="I110" t="e">
        <f t="shared" si="153"/>
        <v>#N/A</v>
      </c>
      <c r="J110" t="e">
        <f t="shared" si="154"/>
        <v>#N/A</v>
      </c>
      <c r="K110" t="e">
        <f t="shared" si="155"/>
        <v>#N/A</v>
      </c>
      <c r="L110" t="e">
        <f t="shared" si="156"/>
        <v>#N/A</v>
      </c>
      <c r="M110" t="e">
        <f t="shared" si="157"/>
        <v>#N/A</v>
      </c>
      <c r="N110" t="e">
        <f t="shared" si="158"/>
        <v>#N/A</v>
      </c>
      <c r="O110" t="e">
        <f t="shared" si="159"/>
        <v>#N/A</v>
      </c>
      <c r="P110" t="e">
        <f t="shared" si="160"/>
        <v>#N/A</v>
      </c>
      <c r="Q110" t="str">
        <f>IF(B110=1,INDEX(Gantt!$A$7:$A$119,A110)&amp;"   "&amp;INDEX(Gantt!$B$7:$B$119,A110),"")</f>
        <v/>
      </c>
      <c r="R110" t="e">
        <f t="shared" si="161"/>
        <v>#N/A</v>
      </c>
      <c r="S110">
        <f t="shared" si="162"/>
        <v>0</v>
      </c>
      <c r="T110">
        <f t="shared" si="163"/>
        <v>0</v>
      </c>
      <c r="U110">
        <v>104</v>
      </c>
      <c r="V110">
        <f t="shared" si="95"/>
        <v>26</v>
      </c>
      <c r="W110">
        <f t="shared" si="96"/>
        <v>4</v>
      </c>
      <c r="X110">
        <f t="shared" si="97"/>
        <v>0</v>
      </c>
      <c r="Y110">
        <f>IF(X110&lt;&gt;1,9999,CHOOSE(W110,INDEX(Gantt!$BQ$7:$BQ$119,V110),INDEX(Gantt!$BR$7:$BR$119,V110),INDEX(Gantt!$BT$7:$BT$119,V110),INDEX(Gantt!$BU$7:$BU$119,V110)))</f>
        <v>9999</v>
      </c>
      <c r="Z110">
        <f t="shared" si="98"/>
        <v>0</v>
      </c>
      <c r="AA110" t="e">
        <f t="shared" si="99"/>
        <v>#N/A</v>
      </c>
      <c r="AB110" t="e">
        <f t="shared" si="100"/>
        <v>#N/A</v>
      </c>
      <c r="AC110" t="e">
        <f t="shared" si="101"/>
        <v>#N/A</v>
      </c>
      <c r="AD110" t="e">
        <f t="shared" si="102"/>
        <v>#N/A</v>
      </c>
      <c r="AE110" t="e">
        <f t="shared" si="103"/>
        <v>#N/A</v>
      </c>
      <c r="AF110" t="e">
        <f t="shared" si="104"/>
        <v>#N/A</v>
      </c>
      <c r="AG110" t="e">
        <f t="shared" si="105"/>
        <v>#N/A</v>
      </c>
      <c r="AH110" t="e">
        <f t="shared" si="106"/>
        <v>#N/A</v>
      </c>
      <c r="AI110" t="e">
        <f t="shared" si="107"/>
        <v>#N/A</v>
      </c>
      <c r="AJ110" t="e">
        <f t="shared" si="108"/>
        <v>#N/A</v>
      </c>
      <c r="AK110" t="e">
        <f t="shared" si="109"/>
        <v>#N/A</v>
      </c>
      <c r="AL110" t="e">
        <f t="shared" si="110"/>
        <v>#N/A</v>
      </c>
      <c r="AM110" t="e">
        <f t="shared" si="111"/>
        <v>#N/A</v>
      </c>
      <c r="AN110" t="e">
        <f t="shared" si="112"/>
        <v>#N/A</v>
      </c>
      <c r="AO110" t="e">
        <f t="shared" si="113"/>
        <v>#N/A</v>
      </c>
      <c r="AP110" t="e">
        <f t="shared" si="114"/>
        <v>#N/A</v>
      </c>
      <c r="AQ110" t="e">
        <f t="shared" si="115"/>
        <v>#N/A</v>
      </c>
      <c r="AR110" t="e">
        <f t="shared" si="116"/>
        <v>#N/A</v>
      </c>
      <c r="AS110" t="e">
        <f t="shared" si="117"/>
        <v>#N/A</v>
      </c>
      <c r="AT110" t="e">
        <f t="shared" si="118"/>
        <v>#N/A</v>
      </c>
      <c r="AU110" t="e">
        <f t="shared" si="119"/>
        <v>#N/A</v>
      </c>
      <c r="AV110" t="e">
        <f t="shared" si="120"/>
        <v>#N/A</v>
      </c>
      <c r="AW110" t="e">
        <f t="shared" si="121"/>
        <v>#N/A</v>
      </c>
      <c r="AX110" t="e">
        <f t="shared" si="122"/>
        <v>#N/A</v>
      </c>
      <c r="AY110" t="e">
        <f t="shared" si="123"/>
        <v>#N/A</v>
      </c>
      <c r="BE110" t="e">
        <f>IF(Z110=1,IF(INDEX($C$7:$C$126,V110)&gt;=Gantt!$BF$6,NA(),MATCH(INDEX($C$7:$C$126,V110),Gantt!$J$6:$BE$6,1)),NA())</f>
        <v>#N/A</v>
      </c>
      <c r="BF110" t="e">
        <f>IF(Z110=1,IF((INDEX($D$7:$D$126,AA110)-1)&gt;=Gantt!$BF$6,NA(),IF((INDEX($D$7:$D$126,AA110)-1)&lt;Gantt!$J$6,0,MATCH((INDEX($D$7:$D$126,AA110)-1),Gantt!$J$6:$BE$6,1))),NA())</f>
        <v>#N/A</v>
      </c>
      <c r="BG110" t="e">
        <f t="shared" si="124"/>
        <v>#N/A</v>
      </c>
      <c r="BH110" t="e">
        <f t="shared" si="125"/>
        <v>#N/A</v>
      </c>
      <c r="BI110" t="e">
        <f t="shared" si="126"/>
        <v>#N/A</v>
      </c>
      <c r="BJ110" t="e">
        <f t="shared" si="127"/>
        <v>#N/A</v>
      </c>
      <c r="BK110" t="e">
        <f t="shared" si="128"/>
        <v>#N/A</v>
      </c>
      <c r="BL110" t="e">
        <f t="shared" si="129"/>
        <v>#N/A</v>
      </c>
      <c r="BM110" t="e">
        <f t="shared" si="130"/>
        <v>#N/A</v>
      </c>
      <c r="BN110" t="e">
        <f t="shared" si="131"/>
        <v>#N/A</v>
      </c>
      <c r="BO110" t="e">
        <f t="shared" si="132"/>
        <v>#N/A</v>
      </c>
      <c r="BP110" t="e">
        <f t="shared" si="133"/>
        <v>#N/A</v>
      </c>
      <c r="BQ110" t="e">
        <f t="shared" si="134"/>
        <v>#N/A</v>
      </c>
      <c r="BR110" t="e">
        <f t="shared" si="135"/>
        <v>#N/A</v>
      </c>
      <c r="BS110" t="e">
        <f t="shared" si="136"/>
        <v>#N/A</v>
      </c>
      <c r="BT110" t="e">
        <f t="shared" si="137"/>
        <v>#N/A</v>
      </c>
      <c r="BU110" t="e">
        <f t="shared" si="138"/>
        <v>#N/A</v>
      </c>
      <c r="BV110" t="e">
        <f t="shared" si="139"/>
        <v>#N/A</v>
      </c>
      <c r="BW110" t="e">
        <f t="shared" si="140"/>
        <v>#N/A</v>
      </c>
      <c r="BX110" t="e">
        <f t="shared" si="141"/>
        <v>#N/A</v>
      </c>
      <c r="BY110" t="e">
        <f t="shared" si="142"/>
        <v>#N/A</v>
      </c>
      <c r="BZ110" t="e">
        <f t="shared" si="143"/>
        <v>#N/A</v>
      </c>
      <c r="CA110" t="e">
        <f t="shared" si="144"/>
        <v>#N/A</v>
      </c>
      <c r="CB110" t="e">
        <f t="shared" si="145"/>
        <v>#N/A</v>
      </c>
      <c r="CC110" t="e">
        <f t="shared" si="146"/>
        <v>#N/A</v>
      </c>
      <c r="CD110" t="e">
        <f t="shared" si="147"/>
        <v>#N/A</v>
      </c>
      <c r="CE110" t="e">
        <f t="shared" si="148"/>
        <v>#N/A</v>
      </c>
      <c r="CF110" t="e">
        <f t="shared" si="149"/>
        <v>#N/A</v>
      </c>
      <c r="CG110" t="e">
        <f t="shared" si="150"/>
        <v>#N/A</v>
      </c>
      <c r="CI110" t="e">
        <f>AP41</f>
        <v>#N/A</v>
      </c>
      <c r="CJ110" t="e">
        <f>AQ41</f>
        <v>#N/A</v>
      </c>
      <c r="CK110">
        <f>IF(ISNUMBER(CI110),IFERROR(MAX(0,AR41-CI110),0),0)</f>
        <v>0</v>
      </c>
      <c r="CL110">
        <f>IF(ISNUMBER(CI110),IFERROR(MAX(0,CI110-AR41),0),0)</f>
        <v>0</v>
      </c>
      <c r="CM110">
        <f>IF(ISNUMBER(CJ110),IFERROR(MAX(0,AS41-CJ110),0),0)</f>
        <v>0</v>
      </c>
      <c r="CN110">
        <f>IF(ISNUMBER(CJ110),IFERROR(MAX(0,CJ110-AS41),0),0)</f>
        <v>0</v>
      </c>
      <c r="CP110" t="e">
        <f>BX41</f>
        <v>#N/A</v>
      </c>
      <c r="CQ110" t="e">
        <f>BY41</f>
        <v>#N/A</v>
      </c>
      <c r="CR110">
        <f>IF(ISNUMBER(CP110),IFERROR(MAX(0,BZ41-CP110),0),0)</f>
        <v>0</v>
      </c>
      <c r="CS110">
        <f>IF(ISNUMBER(CP110),IFERROR(MAX(0,CP110-BZ41),0),0)</f>
        <v>0</v>
      </c>
      <c r="CT110">
        <f>IF(ISNUMBER(CQ110),IFERROR(MAX(0,CA41-CQ110),0),0)</f>
        <v>0</v>
      </c>
      <c r="CU110">
        <f>IF(ISNUMBER(CQ110),IFERROR(MAX(0,CQ110-CA41),0),0)</f>
        <v>0</v>
      </c>
    </row>
    <row r="111" spans="1:99" x14ac:dyDescent="0.3">
      <c r="A111">
        <v>105</v>
      </c>
      <c r="B111">
        <f>IF(A111&lt;=$B$2,IF(INDEX(Gantt!$A$7:$A$119,A111)&lt;&gt;"",1,0),0)</f>
        <v>0</v>
      </c>
      <c r="C111" t="e">
        <f>IF(B111=1,INDEX(Gantt!$C$7:$C$119,A111),NA())</f>
        <v>#N/A</v>
      </c>
      <c r="D111" t="e">
        <f>IF(B111=1,INDEX(Gantt!$D$7:$D$119,A111)+1,NA())</f>
        <v>#N/A</v>
      </c>
      <c r="E111">
        <f>IF(B111=1,INDEX(Gantt!$BN$7:$BN$119,A111),0)</f>
        <v>0</v>
      </c>
      <c r="F111">
        <f>IF(B111=1,N(INDEX(Gantt!$F$7:$F$119,A111)),0)</f>
        <v>0</v>
      </c>
      <c r="G111">
        <f t="shared" si="151"/>
        <v>0</v>
      </c>
      <c r="H111" t="e">
        <f t="shared" si="152"/>
        <v>#N/A</v>
      </c>
      <c r="I111" t="e">
        <f t="shared" si="153"/>
        <v>#N/A</v>
      </c>
      <c r="J111" t="e">
        <f t="shared" si="154"/>
        <v>#N/A</v>
      </c>
      <c r="K111" t="e">
        <f t="shared" si="155"/>
        <v>#N/A</v>
      </c>
      <c r="L111" t="e">
        <f t="shared" si="156"/>
        <v>#N/A</v>
      </c>
      <c r="M111" t="e">
        <f t="shared" si="157"/>
        <v>#N/A</v>
      </c>
      <c r="N111" t="e">
        <f t="shared" si="158"/>
        <v>#N/A</v>
      </c>
      <c r="O111" t="e">
        <f t="shared" si="159"/>
        <v>#N/A</v>
      </c>
      <c r="P111" t="e">
        <f t="shared" si="160"/>
        <v>#N/A</v>
      </c>
      <c r="Q111" t="str">
        <f>IF(B111=1,INDEX(Gantt!$A$7:$A$119,A111)&amp;"   "&amp;INDEX(Gantt!$B$7:$B$119,A111),"")</f>
        <v/>
      </c>
      <c r="R111" t="e">
        <f t="shared" si="161"/>
        <v>#N/A</v>
      </c>
      <c r="S111">
        <f t="shared" si="162"/>
        <v>0</v>
      </c>
      <c r="T111">
        <f t="shared" si="163"/>
        <v>0</v>
      </c>
      <c r="U111">
        <v>105</v>
      </c>
      <c r="V111">
        <f t="shared" si="95"/>
        <v>27</v>
      </c>
      <c r="W111">
        <f t="shared" si="96"/>
        <v>1</v>
      </c>
      <c r="X111">
        <f t="shared" si="97"/>
        <v>0</v>
      </c>
      <c r="Y111">
        <f>IF(X111&lt;&gt;1,9999,CHOOSE(W111,INDEX(Gantt!$BQ$7:$BQ$119,V111),INDEX(Gantt!$BR$7:$BR$119,V111),INDEX(Gantt!$BT$7:$BT$119,V111),INDEX(Gantt!$BU$7:$BU$119,V111)))</f>
        <v>9999</v>
      </c>
      <c r="Z111">
        <f t="shared" si="98"/>
        <v>0</v>
      </c>
      <c r="AA111" t="e">
        <f t="shared" si="99"/>
        <v>#N/A</v>
      </c>
      <c r="AB111" t="e">
        <f t="shared" si="100"/>
        <v>#N/A</v>
      </c>
      <c r="AC111" t="e">
        <f t="shared" si="101"/>
        <v>#N/A</v>
      </c>
      <c r="AD111" t="e">
        <f t="shared" si="102"/>
        <v>#N/A</v>
      </c>
      <c r="AE111" t="e">
        <f t="shared" si="103"/>
        <v>#N/A</v>
      </c>
      <c r="AF111" t="e">
        <f t="shared" si="104"/>
        <v>#N/A</v>
      </c>
      <c r="AG111" t="e">
        <f t="shared" si="105"/>
        <v>#N/A</v>
      </c>
      <c r="AH111" t="e">
        <f t="shared" si="106"/>
        <v>#N/A</v>
      </c>
      <c r="AI111" t="e">
        <f t="shared" si="107"/>
        <v>#N/A</v>
      </c>
      <c r="AJ111" t="e">
        <f t="shared" si="108"/>
        <v>#N/A</v>
      </c>
      <c r="AK111" t="e">
        <f t="shared" si="109"/>
        <v>#N/A</v>
      </c>
      <c r="AL111" t="e">
        <f t="shared" si="110"/>
        <v>#N/A</v>
      </c>
      <c r="AM111" t="e">
        <f t="shared" si="111"/>
        <v>#N/A</v>
      </c>
      <c r="AN111" t="e">
        <f t="shared" si="112"/>
        <v>#N/A</v>
      </c>
      <c r="AO111" t="e">
        <f t="shared" si="113"/>
        <v>#N/A</v>
      </c>
      <c r="AP111" t="e">
        <f t="shared" si="114"/>
        <v>#N/A</v>
      </c>
      <c r="AQ111" t="e">
        <f t="shared" si="115"/>
        <v>#N/A</v>
      </c>
      <c r="AR111" t="e">
        <f t="shared" si="116"/>
        <v>#N/A</v>
      </c>
      <c r="AS111" t="e">
        <f t="shared" si="117"/>
        <v>#N/A</v>
      </c>
      <c r="AT111" t="e">
        <f t="shared" si="118"/>
        <v>#N/A</v>
      </c>
      <c r="AU111" t="e">
        <f t="shared" si="119"/>
        <v>#N/A</v>
      </c>
      <c r="AV111" t="e">
        <f t="shared" si="120"/>
        <v>#N/A</v>
      </c>
      <c r="AW111" t="e">
        <f t="shared" si="121"/>
        <v>#N/A</v>
      </c>
      <c r="AX111" t="e">
        <f t="shared" si="122"/>
        <v>#N/A</v>
      </c>
      <c r="AY111" t="e">
        <f t="shared" si="123"/>
        <v>#N/A</v>
      </c>
      <c r="BE111" t="e">
        <f>IF(Z111=1,IF(INDEX($C$7:$C$126,V111)&gt;=Gantt!$BF$6,NA(),MATCH(INDEX($C$7:$C$126,V111),Gantt!$J$6:$BE$6,1)),NA())</f>
        <v>#N/A</v>
      </c>
      <c r="BF111" t="e">
        <f>IF(Z111=1,IF((INDEX($D$7:$D$126,AA111)-1)&gt;=Gantt!$BF$6,NA(),IF((INDEX($D$7:$D$126,AA111)-1)&lt;Gantt!$J$6,0,MATCH((INDEX($D$7:$D$126,AA111)-1),Gantt!$J$6:$BE$6,1))),NA())</f>
        <v>#N/A</v>
      </c>
      <c r="BG111" t="e">
        <f t="shared" si="124"/>
        <v>#N/A</v>
      </c>
      <c r="BH111" t="e">
        <f t="shared" si="125"/>
        <v>#N/A</v>
      </c>
      <c r="BI111" t="e">
        <f t="shared" si="126"/>
        <v>#N/A</v>
      </c>
      <c r="BJ111" t="e">
        <f t="shared" si="127"/>
        <v>#N/A</v>
      </c>
      <c r="BK111" t="e">
        <f t="shared" si="128"/>
        <v>#N/A</v>
      </c>
      <c r="BL111" t="e">
        <f t="shared" si="129"/>
        <v>#N/A</v>
      </c>
      <c r="BM111" t="e">
        <f t="shared" si="130"/>
        <v>#N/A</v>
      </c>
      <c r="BN111" t="e">
        <f t="shared" si="131"/>
        <v>#N/A</v>
      </c>
      <c r="BO111" t="e">
        <f t="shared" si="132"/>
        <v>#N/A</v>
      </c>
      <c r="BP111" t="e">
        <f t="shared" si="133"/>
        <v>#N/A</v>
      </c>
      <c r="BQ111" t="e">
        <f t="shared" si="134"/>
        <v>#N/A</v>
      </c>
      <c r="BR111" t="e">
        <f t="shared" si="135"/>
        <v>#N/A</v>
      </c>
      <c r="BS111" t="e">
        <f t="shared" si="136"/>
        <v>#N/A</v>
      </c>
      <c r="BT111" t="e">
        <f t="shared" si="137"/>
        <v>#N/A</v>
      </c>
      <c r="BU111" t="e">
        <f t="shared" si="138"/>
        <v>#N/A</v>
      </c>
      <c r="BV111" t="e">
        <f t="shared" si="139"/>
        <v>#N/A</v>
      </c>
      <c r="BW111" t="e">
        <f t="shared" si="140"/>
        <v>#N/A</v>
      </c>
      <c r="BX111" t="e">
        <f t="shared" si="141"/>
        <v>#N/A</v>
      </c>
      <c r="BY111" t="e">
        <f t="shared" si="142"/>
        <v>#N/A</v>
      </c>
      <c r="BZ111" t="e">
        <f t="shared" si="143"/>
        <v>#N/A</v>
      </c>
      <c r="CA111" t="e">
        <f t="shared" si="144"/>
        <v>#N/A</v>
      </c>
      <c r="CB111" t="e">
        <f t="shared" si="145"/>
        <v>#N/A</v>
      </c>
      <c r="CC111" t="e">
        <f t="shared" si="146"/>
        <v>#N/A</v>
      </c>
      <c r="CD111" t="e">
        <f t="shared" si="147"/>
        <v>#N/A</v>
      </c>
      <c r="CE111" t="e">
        <f t="shared" si="148"/>
        <v>#N/A</v>
      </c>
      <c r="CF111" t="e">
        <f t="shared" si="149"/>
        <v>#N/A</v>
      </c>
      <c r="CG111" t="e">
        <f t="shared" si="150"/>
        <v>#N/A</v>
      </c>
      <c r="CI111" t="e">
        <f>AT41</f>
        <v>#N/A</v>
      </c>
      <c r="CJ111" t="e">
        <f>AU41</f>
        <v>#N/A</v>
      </c>
      <c r="CK111">
        <f>IF(ISNUMBER(CI111),IFERROR(MAX(0,AV41-CI111),0),0)</f>
        <v>0</v>
      </c>
      <c r="CL111">
        <f>IF(ISNUMBER(CI111),IFERROR(MAX(0,CI111-AV41),0),0)</f>
        <v>0</v>
      </c>
      <c r="CM111">
        <f>IF(ISNUMBER(CJ111),IFERROR(MAX(0,AW41-CJ111),0),0)</f>
        <v>0</v>
      </c>
      <c r="CN111">
        <f>IF(ISNUMBER(CJ111),IFERROR(MAX(0,CJ111-AW41),0),0)</f>
        <v>0</v>
      </c>
      <c r="CP111" t="e">
        <f>CB41</f>
        <v>#N/A</v>
      </c>
      <c r="CQ111" t="e">
        <f>CC41</f>
        <v>#N/A</v>
      </c>
      <c r="CR111">
        <f>IF(ISNUMBER(CP111),IFERROR(MAX(0,CD41-CP111),0),0)</f>
        <v>0</v>
      </c>
      <c r="CS111">
        <f>IF(ISNUMBER(CP111),IFERROR(MAX(0,CP111-CD41),0),0)</f>
        <v>0</v>
      </c>
      <c r="CT111">
        <f>IF(ISNUMBER(CQ111),IFERROR(MAX(0,CE41-CQ111),0),0)</f>
        <v>0</v>
      </c>
      <c r="CU111">
        <f>IF(ISNUMBER(CQ111),IFERROR(MAX(0,CQ111-CE41),0),0)</f>
        <v>0</v>
      </c>
    </row>
    <row r="112" spans="1:99" x14ac:dyDescent="0.3">
      <c r="A112">
        <v>106</v>
      </c>
      <c r="B112">
        <f>IF(A112&lt;=$B$2,IF(INDEX(Gantt!$A$7:$A$119,A112)&lt;&gt;"",1,0),0)</f>
        <v>0</v>
      </c>
      <c r="C112" t="e">
        <f>IF(B112=1,INDEX(Gantt!$C$7:$C$119,A112),NA())</f>
        <v>#N/A</v>
      </c>
      <c r="D112" t="e">
        <f>IF(B112=1,INDEX(Gantt!$D$7:$D$119,A112)+1,NA())</f>
        <v>#N/A</v>
      </c>
      <c r="E112">
        <f>IF(B112=1,INDEX(Gantt!$BN$7:$BN$119,A112),0)</f>
        <v>0</v>
      </c>
      <c r="F112">
        <f>IF(B112=1,N(INDEX(Gantt!$F$7:$F$119,A112)),0)</f>
        <v>0</v>
      </c>
      <c r="G112">
        <f t="shared" si="151"/>
        <v>0</v>
      </c>
      <c r="H112" t="e">
        <f t="shared" si="152"/>
        <v>#N/A</v>
      </c>
      <c r="I112" t="e">
        <f t="shared" si="153"/>
        <v>#N/A</v>
      </c>
      <c r="J112" t="e">
        <f t="shared" si="154"/>
        <v>#N/A</v>
      </c>
      <c r="K112" t="e">
        <f t="shared" si="155"/>
        <v>#N/A</v>
      </c>
      <c r="L112" t="e">
        <f t="shared" si="156"/>
        <v>#N/A</v>
      </c>
      <c r="M112" t="e">
        <f t="shared" si="157"/>
        <v>#N/A</v>
      </c>
      <c r="N112" t="e">
        <f t="shared" si="158"/>
        <v>#N/A</v>
      </c>
      <c r="O112" t="e">
        <f t="shared" si="159"/>
        <v>#N/A</v>
      </c>
      <c r="P112" t="e">
        <f t="shared" si="160"/>
        <v>#N/A</v>
      </c>
      <c r="Q112" t="str">
        <f>IF(B112=1,INDEX(Gantt!$A$7:$A$119,A112)&amp;"   "&amp;INDEX(Gantt!$B$7:$B$119,A112),"")</f>
        <v/>
      </c>
      <c r="R112" t="e">
        <f t="shared" si="161"/>
        <v>#N/A</v>
      </c>
      <c r="S112">
        <f t="shared" si="162"/>
        <v>0</v>
      </c>
      <c r="T112">
        <f t="shared" si="163"/>
        <v>0</v>
      </c>
      <c r="U112">
        <v>106</v>
      </c>
      <c r="V112">
        <f t="shared" si="95"/>
        <v>27</v>
      </c>
      <c r="W112">
        <f t="shared" si="96"/>
        <v>2</v>
      </c>
      <c r="X112">
        <f t="shared" si="97"/>
        <v>0</v>
      </c>
      <c r="Y112">
        <f>IF(X112&lt;&gt;1,9999,CHOOSE(W112,INDEX(Gantt!$BQ$7:$BQ$119,V112),INDEX(Gantt!$BR$7:$BR$119,V112),INDEX(Gantt!$BT$7:$BT$119,V112),INDEX(Gantt!$BU$7:$BU$119,V112)))</f>
        <v>9999</v>
      </c>
      <c r="Z112">
        <f t="shared" si="98"/>
        <v>0</v>
      </c>
      <c r="AA112" t="e">
        <f t="shared" si="99"/>
        <v>#N/A</v>
      </c>
      <c r="AB112" t="e">
        <f t="shared" si="100"/>
        <v>#N/A</v>
      </c>
      <c r="AC112" t="e">
        <f t="shared" si="101"/>
        <v>#N/A</v>
      </c>
      <c r="AD112" t="e">
        <f t="shared" si="102"/>
        <v>#N/A</v>
      </c>
      <c r="AE112" t="e">
        <f t="shared" si="103"/>
        <v>#N/A</v>
      </c>
      <c r="AF112" t="e">
        <f t="shared" si="104"/>
        <v>#N/A</v>
      </c>
      <c r="AG112" t="e">
        <f t="shared" si="105"/>
        <v>#N/A</v>
      </c>
      <c r="AH112" t="e">
        <f t="shared" si="106"/>
        <v>#N/A</v>
      </c>
      <c r="AI112" t="e">
        <f t="shared" si="107"/>
        <v>#N/A</v>
      </c>
      <c r="AJ112" t="e">
        <f t="shared" si="108"/>
        <v>#N/A</v>
      </c>
      <c r="AK112" t="e">
        <f t="shared" si="109"/>
        <v>#N/A</v>
      </c>
      <c r="AL112" t="e">
        <f t="shared" si="110"/>
        <v>#N/A</v>
      </c>
      <c r="AM112" t="e">
        <f t="shared" si="111"/>
        <v>#N/A</v>
      </c>
      <c r="AN112" t="e">
        <f t="shared" si="112"/>
        <v>#N/A</v>
      </c>
      <c r="AO112" t="e">
        <f t="shared" si="113"/>
        <v>#N/A</v>
      </c>
      <c r="AP112" t="e">
        <f t="shared" si="114"/>
        <v>#N/A</v>
      </c>
      <c r="AQ112" t="e">
        <f t="shared" si="115"/>
        <v>#N/A</v>
      </c>
      <c r="AR112" t="e">
        <f t="shared" si="116"/>
        <v>#N/A</v>
      </c>
      <c r="AS112" t="e">
        <f t="shared" si="117"/>
        <v>#N/A</v>
      </c>
      <c r="AT112" t="e">
        <f t="shared" si="118"/>
        <v>#N/A</v>
      </c>
      <c r="AU112" t="e">
        <f t="shared" si="119"/>
        <v>#N/A</v>
      </c>
      <c r="AV112" t="e">
        <f t="shared" si="120"/>
        <v>#N/A</v>
      </c>
      <c r="AW112" t="e">
        <f t="shared" si="121"/>
        <v>#N/A</v>
      </c>
      <c r="AX112" t="e">
        <f t="shared" si="122"/>
        <v>#N/A</v>
      </c>
      <c r="AY112" t="e">
        <f t="shared" si="123"/>
        <v>#N/A</v>
      </c>
      <c r="BE112" t="e">
        <f>IF(Z112=1,IF(INDEX($C$7:$C$126,V112)&gt;=Gantt!$BF$6,NA(),MATCH(INDEX($C$7:$C$126,V112),Gantt!$J$6:$BE$6,1)),NA())</f>
        <v>#N/A</v>
      </c>
      <c r="BF112" t="e">
        <f>IF(Z112=1,IF((INDEX($D$7:$D$126,AA112)-1)&gt;=Gantt!$BF$6,NA(),IF((INDEX($D$7:$D$126,AA112)-1)&lt;Gantt!$J$6,0,MATCH((INDEX($D$7:$D$126,AA112)-1),Gantt!$J$6:$BE$6,1))),NA())</f>
        <v>#N/A</v>
      </c>
      <c r="BG112" t="e">
        <f t="shared" si="124"/>
        <v>#N/A</v>
      </c>
      <c r="BH112" t="e">
        <f t="shared" si="125"/>
        <v>#N/A</v>
      </c>
      <c r="BI112" t="e">
        <f t="shared" si="126"/>
        <v>#N/A</v>
      </c>
      <c r="BJ112" t="e">
        <f t="shared" si="127"/>
        <v>#N/A</v>
      </c>
      <c r="BK112" t="e">
        <f t="shared" si="128"/>
        <v>#N/A</v>
      </c>
      <c r="BL112" t="e">
        <f t="shared" si="129"/>
        <v>#N/A</v>
      </c>
      <c r="BM112" t="e">
        <f t="shared" si="130"/>
        <v>#N/A</v>
      </c>
      <c r="BN112" t="e">
        <f t="shared" si="131"/>
        <v>#N/A</v>
      </c>
      <c r="BO112" t="e">
        <f t="shared" si="132"/>
        <v>#N/A</v>
      </c>
      <c r="BP112" t="e">
        <f t="shared" si="133"/>
        <v>#N/A</v>
      </c>
      <c r="BQ112" t="e">
        <f t="shared" si="134"/>
        <v>#N/A</v>
      </c>
      <c r="BR112" t="e">
        <f t="shared" si="135"/>
        <v>#N/A</v>
      </c>
      <c r="BS112" t="e">
        <f t="shared" si="136"/>
        <v>#N/A</v>
      </c>
      <c r="BT112" t="e">
        <f t="shared" si="137"/>
        <v>#N/A</v>
      </c>
      <c r="BU112" t="e">
        <f t="shared" si="138"/>
        <v>#N/A</v>
      </c>
      <c r="BV112" t="e">
        <f t="shared" si="139"/>
        <v>#N/A</v>
      </c>
      <c r="BW112" t="e">
        <f t="shared" si="140"/>
        <v>#N/A</v>
      </c>
      <c r="BX112" t="e">
        <f t="shared" si="141"/>
        <v>#N/A</v>
      </c>
      <c r="BY112" t="e">
        <f t="shared" si="142"/>
        <v>#N/A</v>
      </c>
      <c r="BZ112" t="e">
        <f t="shared" si="143"/>
        <v>#N/A</v>
      </c>
      <c r="CA112" t="e">
        <f t="shared" si="144"/>
        <v>#N/A</v>
      </c>
      <c r="CB112" t="e">
        <f t="shared" si="145"/>
        <v>#N/A</v>
      </c>
      <c r="CC112" t="e">
        <f t="shared" si="146"/>
        <v>#N/A</v>
      </c>
      <c r="CD112" t="e">
        <f t="shared" si="147"/>
        <v>#N/A</v>
      </c>
      <c r="CE112" t="e">
        <f t="shared" si="148"/>
        <v>#N/A</v>
      </c>
      <c r="CF112" t="e">
        <f t="shared" si="149"/>
        <v>#N/A</v>
      </c>
      <c r="CG112" t="e">
        <f t="shared" si="150"/>
        <v>#N/A</v>
      </c>
      <c r="CI112" t="e">
        <f>AL42</f>
        <v>#N/A</v>
      </c>
      <c r="CJ112" t="e">
        <f>AM42</f>
        <v>#N/A</v>
      </c>
      <c r="CK112">
        <f>IF(ISNUMBER(CI112),IFERROR(MAX(0,AN42-CI112),0),0)</f>
        <v>0</v>
      </c>
      <c r="CL112">
        <f>IF(ISNUMBER(CI112),IFERROR(MAX(0,CI112-AN42),0),0)</f>
        <v>0</v>
      </c>
      <c r="CM112">
        <f>IF(ISNUMBER(CJ112),IFERROR(MAX(0,AO42-CJ112),0),0)</f>
        <v>0</v>
      </c>
      <c r="CN112">
        <f>IF(ISNUMBER(CJ112),IFERROR(MAX(0,CJ112-AO42),0),0)</f>
        <v>0</v>
      </c>
      <c r="CP112" t="e">
        <f>BT42</f>
        <v>#N/A</v>
      </c>
      <c r="CQ112" t="e">
        <f>BU42</f>
        <v>#N/A</v>
      </c>
      <c r="CR112">
        <f>IF(ISNUMBER(CP112),IFERROR(MAX(0,BV42-CP112),0),0)</f>
        <v>0</v>
      </c>
      <c r="CS112">
        <f>IF(ISNUMBER(CP112),IFERROR(MAX(0,CP112-BV42),0),0)</f>
        <v>0</v>
      </c>
      <c r="CT112">
        <f>IF(ISNUMBER(CQ112),IFERROR(MAX(0,BW42-CQ112),0),0)</f>
        <v>0</v>
      </c>
      <c r="CU112">
        <f>IF(ISNUMBER(CQ112),IFERROR(MAX(0,CQ112-BW42),0),0)</f>
        <v>0</v>
      </c>
    </row>
    <row r="113" spans="1:99" x14ac:dyDescent="0.3">
      <c r="A113">
        <v>107</v>
      </c>
      <c r="B113">
        <f>IF(A113&lt;=$B$2,IF(INDEX(Gantt!$A$7:$A$119,A113)&lt;&gt;"",1,0),0)</f>
        <v>0</v>
      </c>
      <c r="C113" t="e">
        <f>IF(B113=1,INDEX(Gantt!$C$7:$C$119,A113),NA())</f>
        <v>#N/A</v>
      </c>
      <c r="D113" t="e">
        <f>IF(B113=1,INDEX(Gantt!$D$7:$D$119,A113)+1,NA())</f>
        <v>#N/A</v>
      </c>
      <c r="E113">
        <f>IF(B113=1,INDEX(Gantt!$BN$7:$BN$119,A113),0)</f>
        <v>0</v>
      </c>
      <c r="F113">
        <f>IF(B113=1,N(INDEX(Gantt!$F$7:$F$119,A113)),0)</f>
        <v>0</v>
      </c>
      <c r="G113">
        <f t="shared" si="151"/>
        <v>0</v>
      </c>
      <c r="H113" t="e">
        <f t="shared" si="152"/>
        <v>#N/A</v>
      </c>
      <c r="I113" t="e">
        <f t="shared" si="153"/>
        <v>#N/A</v>
      </c>
      <c r="J113" t="e">
        <f t="shared" si="154"/>
        <v>#N/A</v>
      </c>
      <c r="K113" t="e">
        <f t="shared" si="155"/>
        <v>#N/A</v>
      </c>
      <c r="L113" t="e">
        <f t="shared" si="156"/>
        <v>#N/A</v>
      </c>
      <c r="M113" t="e">
        <f t="shared" si="157"/>
        <v>#N/A</v>
      </c>
      <c r="N113" t="e">
        <f t="shared" si="158"/>
        <v>#N/A</v>
      </c>
      <c r="O113" t="e">
        <f t="shared" si="159"/>
        <v>#N/A</v>
      </c>
      <c r="P113" t="e">
        <f t="shared" si="160"/>
        <v>#N/A</v>
      </c>
      <c r="Q113" t="str">
        <f>IF(B113=1,INDEX(Gantt!$A$7:$A$119,A113)&amp;"   "&amp;INDEX(Gantt!$B$7:$B$119,A113),"")</f>
        <v/>
      </c>
      <c r="R113" t="e">
        <f t="shared" si="161"/>
        <v>#N/A</v>
      </c>
      <c r="S113">
        <f t="shared" si="162"/>
        <v>0</v>
      </c>
      <c r="T113">
        <f t="shared" si="163"/>
        <v>0</v>
      </c>
      <c r="U113">
        <v>107</v>
      </c>
      <c r="V113">
        <f t="shared" si="95"/>
        <v>27</v>
      </c>
      <c r="W113">
        <f t="shared" si="96"/>
        <v>3</v>
      </c>
      <c r="X113">
        <f t="shared" si="97"/>
        <v>0</v>
      </c>
      <c r="Y113">
        <f>IF(X113&lt;&gt;1,9999,CHOOSE(W113,INDEX(Gantt!$BQ$7:$BQ$119,V113),INDEX(Gantt!$BR$7:$BR$119,V113),INDEX(Gantt!$BT$7:$BT$119,V113),INDEX(Gantt!$BU$7:$BU$119,V113)))</f>
        <v>9999</v>
      </c>
      <c r="Z113">
        <f t="shared" si="98"/>
        <v>0</v>
      </c>
      <c r="AA113" t="e">
        <f t="shared" si="99"/>
        <v>#N/A</v>
      </c>
      <c r="AB113" t="e">
        <f t="shared" si="100"/>
        <v>#N/A</v>
      </c>
      <c r="AC113" t="e">
        <f t="shared" si="101"/>
        <v>#N/A</v>
      </c>
      <c r="AD113" t="e">
        <f t="shared" si="102"/>
        <v>#N/A</v>
      </c>
      <c r="AE113" t="e">
        <f t="shared" si="103"/>
        <v>#N/A</v>
      </c>
      <c r="AF113" t="e">
        <f t="shared" si="104"/>
        <v>#N/A</v>
      </c>
      <c r="AG113" t="e">
        <f t="shared" si="105"/>
        <v>#N/A</v>
      </c>
      <c r="AH113" t="e">
        <f t="shared" si="106"/>
        <v>#N/A</v>
      </c>
      <c r="AI113" t="e">
        <f t="shared" si="107"/>
        <v>#N/A</v>
      </c>
      <c r="AJ113" t="e">
        <f t="shared" si="108"/>
        <v>#N/A</v>
      </c>
      <c r="AK113" t="e">
        <f t="shared" si="109"/>
        <v>#N/A</v>
      </c>
      <c r="AL113" t="e">
        <f t="shared" si="110"/>
        <v>#N/A</v>
      </c>
      <c r="AM113" t="e">
        <f t="shared" si="111"/>
        <v>#N/A</v>
      </c>
      <c r="AN113" t="e">
        <f t="shared" si="112"/>
        <v>#N/A</v>
      </c>
      <c r="AO113" t="e">
        <f t="shared" si="113"/>
        <v>#N/A</v>
      </c>
      <c r="AP113" t="e">
        <f t="shared" si="114"/>
        <v>#N/A</v>
      </c>
      <c r="AQ113" t="e">
        <f t="shared" si="115"/>
        <v>#N/A</v>
      </c>
      <c r="AR113" t="e">
        <f t="shared" si="116"/>
        <v>#N/A</v>
      </c>
      <c r="AS113" t="e">
        <f t="shared" si="117"/>
        <v>#N/A</v>
      </c>
      <c r="AT113" t="e">
        <f t="shared" si="118"/>
        <v>#N/A</v>
      </c>
      <c r="AU113" t="e">
        <f t="shared" si="119"/>
        <v>#N/A</v>
      </c>
      <c r="AV113" t="e">
        <f t="shared" si="120"/>
        <v>#N/A</v>
      </c>
      <c r="AW113" t="e">
        <f t="shared" si="121"/>
        <v>#N/A</v>
      </c>
      <c r="AX113" t="e">
        <f t="shared" si="122"/>
        <v>#N/A</v>
      </c>
      <c r="AY113" t="e">
        <f t="shared" si="123"/>
        <v>#N/A</v>
      </c>
      <c r="BE113" t="e">
        <f>IF(Z113=1,IF(INDEX($C$7:$C$126,V113)&gt;=Gantt!$BF$6,NA(),MATCH(INDEX($C$7:$C$126,V113),Gantt!$J$6:$BE$6,1)),NA())</f>
        <v>#N/A</v>
      </c>
      <c r="BF113" t="e">
        <f>IF(Z113=1,IF((INDEX($D$7:$D$126,AA113)-1)&gt;=Gantt!$BF$6,NA(),IF((INDEX($D$7:$D$126,AA113)-1)&lt;Gantt!$J$6,0,MATCH((INDEX($D$7:$D$126,AA113)-1),Gantt!$J$6:$BE$6,1))),NA())</f>
        <v>#N/A</v>
      </c>
      <c r="BG113" t="e">
        <f t="shared" si="124"/>
        <v>#N/A</v>
      </c>
      <c r="BH113" t="e">
        <f t="shared" si="125"/>
        <v>#N/A</v>
      </c>
      <c r="BI113" t="e">
        <f t="shared" si="126"/>
        <v>#N/A</v>
      </c>
      <c r="BJ113" t="e">
        <f t="shared" si="127"/>
        <v>#N/A</v>
      </c>
      <c r="BK113" t="e">
        <f t="shared" si="128"/>
        <v>#N/A</v>
      </c>
      <c r="BL113" t="e">
        <f t="shared" si="129"/>
        <v>#N/A</v>
      </c>
      <c r="BM113" t="e">
        <f t="shared" si="130"/>
        <v>#N/A</v>
      </c>
      <c r="BN113" t="e">
        <f t="shared" si="131"/>
        <v>#N/A</v>
      </c>
      <c r="BO113" t="e">
        <f t="shared" si="132"/>
        <v>#N/A</v>
      </c>
      <c r="BP113" t="e">
        <f t="shared" si="133"/>
        <v>#N/A</v>
      </c>
      <c r="BQ113" t="e">
        <f t="shared" si="134"/>
        <v>#N/A</v>
      </c>
      <c r="BR113" t="e">
        <f t="shared" si="135"/>
        <v>#N/A</v>
      </c>
      <c r="BS113" t="e">
        <f t="shared" si="136"/>
        <v>#N/A</v>
      </c>
      <c r="BT113" t="e">
        <f t="shared" si="137"/>
        <v>#N/A</v>
      </c>
      <c r="BU113" t="e">
        <f t="shared" si="138"/>
        <v>#N/A</v>
      </c>
      <c r="BV113" t="e">
        <f t="shared" si="139"/>
        <v>#N/A</v>
      </c>
      <c r="BW113" t="e">
        <f t="shared" si="140"/>
        <v>#N/A</v>
      </c>
      <c r="BX113" t="e">
        <f t="shared" si="141"/>
        <v>#N/A</v>
      </c>
      <c r="BY113" t="e">
        <f t="shared" si="142"/>
        <v>#N/A</v>
      </c>
      <c r="BZ113" t="e">
        <f t="shared" si="143"/>
        <v>#N/A</v>
      </c>
      <c r="CA113" t="e">
        <f t="shared" si="144"/>
        <v>#N/A</v>
      </c>
      <c r="CB113" t="e">
        <f t="shared" si="145"/>
        <v>#N/A</v>
      </c>
      <c r="CC113" t="e">
        <f t="shared" si="146"/>
        <v>#N/A</v>
      </c>
      <c r="CD113" t="e">
        <f t="shared" si="147"/>
        <v>#N/A</v>
      </c>
      <c r="CE113" t="e">
        <f t="shared" si="148"/>
        <v>#N/A</v>
      </c>
      <c r="CF113" t="e">
        <f t="shared" si="149"/>
        <v>#N/A</v>
      </c>
      <c r="CG113" t="e">
        <f t="shared" si="150"/>
        <v>#N/A</v>
      </c>
      <c r="CI113" t="e">
        <f>AP42</f>
        <v>#N/A</v>
      </c>
      <c r="CJ113" t="e">
        <f>AQ42</f>
        <v>#N/A</v>
      </c>
      <c r="CK113">
        <f>IF(ISNUMBER(CI113),IFERROR(MAX(0,AR42-CI113),0),0)</f>
        <v>0</v>
      </c>
      <c r="CL113">
        <f>IF(ISNUMBER(CI113),IFERROR(MAX(0,CI113-AR42),0),0)</f>
        <v>0</v>
      </c>
      <c r="CM113">
        <f>IF(ISNUMBER(CJ113),IFERROR(MAX(0,AS42-CJ113),0),0)</f>
        <v>0</v>
      </c>
      <c r="CN113">
        <f>IF(ISNUMBER(CJ113),IFERROR(MAX(0,CJ113-AS42),0),0)</f>
        <v>0</v>
      </c>
      <c r="CP113" t="e">
        <f>BX42</f>
        <v>#N/A</v>
      </c>
      <c r="CQ113" t="e">
        <f>BY42</f>
        <v>#N/A</v>
      </c>
      <c r="CR113">
        <f>IF(ISNUMBER(CP113),IFERROR(MAX(0,BZ42-CP113),0),0)</f>
        <v>0</v>
      </c>
      <c r="CS113">
        <f>IF(ISNUMBER(CP113),IFERROR(MAX(0,CP113-BZ42),0),0)</f>
        <v>0</v>
      </c>
      <c r="CT113">
        <f>IF(ISNUMBER(CQ113),IFERROR(MAX(0,CA42-CQ113),0),0)</f>
        <v>0</v>
      </c>
      <c r="CU113">
        <f>IF(ISNUMBER(CQ113),IFERROR(MAX(0,CQ113-CA42),0),0)</f>
        <v>0</v>
      </c>
    </row>
    <row r="114" spans="1:99" x14ac:dyDescent="0.3">
      <c r="A114">
        <v>108</v>
      </c>
      <c r="B114">
        <f>IF(A114&lt;=$B$2,IF(INDEX(Gantt!$A$7:$A$119,A114)&lt;&gt;"",1,0),0)</f>
        <v>0</v>
      </c>
      <c r="C114" t="e">
        <f>IF(B114=1,INDEX(Gantt!$C$7:$C$119,A114),NA())</f>
        <v>#N/A</v>
      </c>
      <c r="D114" t="e">
        <f>IF(B114=1,INDEX(Gantt!$D$7:$D$119,A114)+1,NA())</f>
        <v>#N/A</v>
      </c>
      <c r="E114">
        <f>IF(B114=1,INDEX(Gantt!$BN$7:$BN$119,A114),0)</f>
        <v>0</v>
      </c>
      <c r="F114">
        <f>IF(B114=1,N(INDEX(Gantt!$F$7:$F$119,A114)),0)</f>
        <v>0</v>
      </c>
      <c r="G114">
        <f t="shared" si="151"/>
        <v>0</v>
      </c>
      <c r="H114" t="e">
        <f t="shared" si="152"/>
        <v>#N/A</v>
      </c>
      <c r="I114" t="e">
        <f t="shared" si="153"/>
        <v>#N/A</v>
      </c>
      <c r="J114" t="e">
        <f t="shared" si="154"/>
        <v>#N/A</v>
      </c>
      <c r="K114" t="e">
        <f t="shared" si="155"/>
        <v>#N/A</v>
      </c>
      <c r="L114" t="e">
        <f t="shared" si="156"/>
        <v>#N/A</v>
      </c>
      <c r="M114" t="e">
        <f t="shared" si="157"/>
        <v>#N/A</v>
      </c>
      <c r="N114" t="e">
        <f t="shared" si="158"/>
        <v>#N/A</v>
      </c>
      <c r="O114" t="e">
        <f t="shared" si="159"/>
        <v>#N/A</v>
      </c>
      <c r="P114" t="e">
        <f t="shared" si="160"/>
        <v>#N/A</v>
      </c>
      <c r="Q114" t="str">
        <f>IF(B114=1,INDEX(Gantt!$A$7:$A$119,A114)&amp;"   "&amp;INDEX(Gantt!$B$7:$B$119,A114),"")</f>
        <v/>
      </c>
      <c r="R114" t="e">
        <f t="shared" si="161"/>
        <v>#N/A</v>
      </c>
      <c r="S114">
        <f t="shared" si="162"/>
        <v>0</v>
      </c>
      <c r="T114">
        <f t="shared" si="163"/>
        <v>0</v>
      </c>
      <c r="U114">
        <v>108</v>
      </c>
      <c r="V114">
        <f t="shared" si="95"/>
        <v>27</v>
      </c>
      <c r="W114">
        <f t="shared" si="96"/>
        <v>4</v>
      </c>
      <c r="X114">
        <f t="shared" si="97"/>
        <v>0</v>
      </c>
      <c r="Y114">
        <f>IF(X114&lt;&gt;1,9999,CHOOSE(W114,INDEX(Gantt!$BQ$7:$BQ$119,V114),INDEX(Gantt!$BR$7:$BR$119,V114),INDEX(Gantt!$BT$7:$BT$119,V114),INDEX(Gantt!$BU$7:$BU$119,V114)))</f>
        <v>9999</v>
      </c>
      <c r="Z114">
        <f t="shared" si="98"/>
        <v>0</v>
      </c>
      <c r="AA114" t="e">
        <f t="shared" si="99"/>
        <v>#N/A</v>
      </c>
      <c r="AB114" t="e">
        <f t="shared" si="100"/>
        <v>#N/A</v>
      </c>
      <c r="AC114" t="e">
        <f t="shared" si="101"/>
        <v>#N/A</v>
      </c>
      <c r="AD114" t="e">
        <f t="shared" si="102"/>
        <v>#N/A</v>
      </c>
      <c r="AE114" t="e">
        <f t="shared" si="103"/>
        <v>#N/A</v>
      </c>
      <c r="AF114" t="e">
        <f t="shared" si="104"/>
        <v>#N/A</v>
      </c>
      <c r="AG114" t="e">
        <f t="shared" si="105"/>
        <v>#N/A</v>
      </c>
      <c r="AH114" t="e">
        <f t="shared" si="106"/>
        <v>#N/A</v>
      </c>
      <c r="AI114" t="e">
        <f t="shared" si="107"/>
        <v>#N/A</v>
      </c>
      <c r="AJ114" t="e">
        <f t="shared" si="108"/>
        <v>#N/A</v>
      </c>
      <c r="AK114" t="e">
        <f t="shared" si="109"/>
        <v>#N/A</v>
      </c>
      <c r="AL114" t="e">
        <f t="shared" si="110"/>
        <v>#N/A</v>
      </c>
      <c r="AM114" t="e">
        <f t="shared" si="111"/>
        <v>#N/A</v>
      </c>
      <c r="AN114" t="e">
        <f t="shared" si="112"/>
        <v>#N/A</v>
      </c>
      <c r="AO114" t="e">
        <f t="shared" si="113"/>
        <v>#N/A</v>
      </c>
      <c r="AP114" t="e">
        <f t="shared" si="114"/>
        <v>#N/A</v>
      </c>
      <c r="AQ114" t="e">
        <f t="shared" si="115"/>
        <v>#N/A</v>
      </c>
      <c r="AR114" t="e">
        <f t="shared" si="116"/>
        <v>#N/A</v>
      </c>
      <c r="AS114" t="e">
        <f t="shared" si="117"/>
        <v>#N/A</v>
      </c>
      <c r="AT114" t="e">
        <f t="shared" si="118"/>
        <v>#N/A</v>
      </c>
      <c r="AU114" t="e">
        <f t="shared" si="119"/>
        <v>#N/A</v>
      </c>
      <c r="AV114" t="e">
        <f t="shared" si="120"/>
        <v>#N/A</v>
      </c>
      <c r="AW114" t="e">
        <f t="shared" si="121"/>
        <v>#N/A</v>
      </c>
      <c r="AX114" t="e">
        <f t="shared" si="122"/>
        <v>#N/A</v>
      </c>
      <c r="AY114" t="e">
        <f t="shared" si="123"/>
        <v>#N/A</v>
      </c>
      <c r="BE114" t="e">
        <f>IF(Z114=1,IF(INDEX($C$7:$C$126,V114)&gt;=Gantt!$BF$6,NA(),MATCH(INDEX($C$7:$C$126,V114),Gantt!$J$6:$BE$6,1)),NA())</f>
        <v>#N/A</v>
      </c>
      <c r="BF114" t="e">
        <f>IF(Z114=1,IF((INDEX($D$7:$D$126,AA114)-1)&gt;=Gantt!$BF$6,NA(),IF((INDEX($D$7:$D$126,AA114)-1)&lt;Gantt!$J$6,0,MATCH((INDEX($D$7:$D$126,AA114)-1),Gantt!$J$6:$BE$6,1))),NA())</f>
        <v>#N/A</v>
      </c>
      <c r="BG114" t="e">
        <f t="shared" si="124"/>
        <v>#N/A</v>
      </c>
      <c r="BH114" t="e">
        <f t="shared" si="125"/>
        <v>#N/A</v>
      </c>
      <c r="BI114" t="e">
        <f t="shared" si="126"/>
        <v>#N/A</v>
      </c>
      <c r="BJ114" t="e">
        <f t="shared" si="127"/>
        <v>#N/A</v>
      </c>
      <c r="BK114" t="e">
        <f t="shared" si="128"/>
        <v>#N/A</v>
      </c>
      <c r="BL114" t="e">
        <f t="shared" si="129"/>
        <v>#N/A</v>
      </c>
      <c r="BM114" t="e">
        <f t="shared" si="130"/>
        <v>#N/A</v>
      </c>
      <c r="BN114" t="e">
        <f t="shared" si="131"/>
        <v>#N/A</v>
      </c>
      <c r="BO114" t="e">
        <f t="shared" si="132"/>
        <v>#N/A</v>
      </c>
      <c r="BP114" t="e">
        <f t="shared" si="133"/>
        <v>#N/A</v>
      </c>
      <c r="BQ114" t="e">
        <f t="shared" si="134"/>
        <v>#N/A</v>
      </c>
      <c r="BR114" t="e">
        <f t="shared" si="135"/>
        <v>#N/A</v>
      </c>
      <c r="BS114" t="e">
        <f t="shared" si="136"/>
        <v>#N/A</v>
      </c>
      <c r="BT114" t="e">
        <f t="shared" si="137"/>
        <v>#N/A</v>
      </c>
      <c r="BU114" t="e">
        <f t="shared" si="138"/>
        <v>#N/A</v>
      </c>
      <c r="BV114" t="e">
        <f t="shared" si="139"/>
        <v>#N/A</v>
      </c>
      <c r="BW114" t="e">
        <f t="shared" si="140"/>
        <v>#N/A</v>
      </c>
      <c r="BX114" t="e">
        <f t="shared" si="141"/>
        <v>#N/A</v>
      </c>
      <c r="BY114" t="e">
        <f t="shared" si="142"/>
        <v>#N/A</v>
      </c>
      <c r="BZ114" t="e">
        <f t="shared" si="143"/>
        <v>#N/A</v>
      </c>
      <c r="CA114" t="e">
        <f t="shared" si="144"/>
        <v>#N/A</v>
      </c>
      <c r="CB114" t="e">
        <f t="shared" si="145"/>
        <v>#N/A</v>
      </c>
      <c r="CC114" t="e">
        <f t="shared" si="146"/>
        <v>#N/A</v>
      </c>
      <c r="CD114" t="e">
        <f t="shared" si="147"/>
        <v>#N/A</v>
      </c>
      <c r="CE114" t="e">
        <f t="shared" si="148"/>
        <v>#N/A</v>
      </c>
      <c r="CF114" t="e">
        <f t="shared" si="149"/>
        <v>#N/A</v>
      </c>
      <c r="CG114" t="e">
        <f t="shared" si="150"/>
        <v>#N/A</v>
      </c>
      <c r="CI114" t="e">
        <f>AT42</f>
        <v>#N/A</v>
      </c>
      <c r="CJ114" t="e">
        <f>AU42</f>
        <v>#N/A</v>
      </c>
      <c r="CK114">
        <f>IF(ISNUMBER(CI114),IFERROR(MAX(0,AV42-CI114),0),0)</f>
        <v>0</v>
      </c>
      <c r="CL114">
        <f>IF(ISNUMBER(CI114),IFERROR(MAX(0,CI114-AV42),0),0)</f>
        <v>0</v>
      </c>
      <c r="CM114">
        <f>IF(ISNUMBER(CJ114),IFERROR(MAX(0,AW42-CJ114),0),0)</f>
        <v>0</v>
      </c>
      <c r="CN114">
        <f>IF(ISNUMBER(CJ114),IFERROR(MAX(0,CJ114-AW42),0),0)</f>
        <v>0</v>
      </c>
      <c r="CP114" t="e">
        <f>CB42</f>
        <v>#N/A</v>
      </c>
      <c r="CQ114" t="e">
        <f>CC42</f>
        <v>#N/A</v>
      </c>
      <c r="CR114">
        <f>IF(ISNUMBER(CP114),IFERROR(MAX(0,CD42-CP114),0),0)</f>
        <v>0</v>
      </c>
      <c r="CS114">
        <f>IF(ISNUMBER(CP114),IFERROR(MAX(0,CP114-CD42),0),0)</f>
        <v>0</v>
      </c>
      <c r="CT114">
        <f>IF(ISNUMBER(CQ114),IFERROR(MAX(0,CE42-CQ114),0),0)</f>
        <v>0</v>
      </c>
      <c r="CU114">
        <f>IF(ISNUMBER(CQ114),IFERROR(MAX(0,CQ114-CE42),0),0)</f>
        <v>0</v>
      </c>
    </row>
    <row r="115" spans="1:99" x14ac:dyDescent="0.3">
      <c r="A115">
        <v>109</v>
      </c>
      <c r="B115">
        <f>IF(A115&lt;=$B$2,IF(INDEX(Gantt!$A$7:$A$119,A115)&lt;&gt;"",1,0),0)</f>
        <v>0</v>
      </c>
      <c r="C115" t="e">
        <f>IF(B115=1,INDEX(Gantt!$C$7:$C$119,A115),NA())</f>
        <v>#N/A</v>
      </c>
      <c r="D115" t="e">
        <f>IF(B115=1,INDEX(Gantt!$D$7:$D$119,A115)+1,NA())</f>
        <v>#N/A</v>
      </c>
      <c r="E115">
        <f>IF(B115=1,INDEX(Gantt!$BN$7:$BN$119,A115),0)</f>
        <v>0</v>
      </c>
      <c r="F115">
        <f>IF(B115=1,N(INDEX(Gantt!$F$7:$F$119,A115)),0)</f>
        <v>0</v>
      </c>
      <c r="G115">
        <f t="shared" si="151"/>
        <v>0</v>
      </c>
      <c r="H115" t="e">
        <f t="shared" si="152"/>
        <v>#N/A</v>
      </c>
      <c r="I115" t="e">
        <f t="shared" si="153"/>
        <v>#N/A</v>
      </c>
      <c r="J115" t="e">
        <f t="shared" si="154"/>
        <v>#N/A</v>
      </c>
      <c r="K115" t="e">
        <f t="shared" si="155"/>
        <v>#N/A</v>
      </c>
      <c r="L115" t="e">
        <f t="shared" si="156"/>
        <v>#N/A</v>
      </c>
      <c r="M115" t="e">
        <f t="shared" si="157"/>
        <v>#N/A</v>
      </c>
      <c r="N115" t="e">
        <f t="shared" si="158"/>
        <v>#N/A</v>
      </c>
      <c r="O115" t="e">
        <f t="shared" si="159"/>
        <v>#N/A</v>
      </c>
      <c r="P115" t="e">
        <f t="shared" si="160"/>
        <v>#N/A</v>
      </c>
      <c r="Q115" t="str">
        <f>IF(B115=1,INDEX(Gantt!$A$7:$A$119,A115)&amp;"   "&amp;INDEX(Gantt!$B$7:$B$119,A115),"")</f>
        <v/>
      </c>
      <c r="R115" t="e">
        <f t="shared" si="161"/>
        <v>#N/A</v>
      </c>
      <c r="S115">
        <f t="shared" si="162"/>
        <v>0</v>
      </c>
      <c r="T115">
        <f t="shared" si="163"/>
        <v>0</v>
      </c>
      <c r="U115">
        <v>109</v>
      </c>
      <c r="V115">
        <f t="shared" si="95"/>
        <v>28</v>
      </c>
      <c r="W115">
        <f t="shared" si="96"/>
        <v>1</v>
      </c>
      <c r="X115">
        <f t="shared" si="97"/>
        <v>0</v>
      </c>
      <c r="Y115">
        <f>IF(X115&lt;&gt;1,9999,CHOOSE(W115,INDEX(Gantt!$BQ$7:$BQ$119,V115),INDEX(Gantt!$BR$7:$BR$119,V115),INDEX(Gantt!$BT$7:$BT$119,V115),INDEX(Gantt!$BU$7:$BU$119,V115)))</f>
        <v>9999</v>
      </c>
      <c r="Z115">
        <f t="shared" si="98"/>
        <v>0</v>
      </c>
      <c r="AA115" t="e">
        <f t="shared" si="99"/>
        <v>#N/A</v>
      </c>
      <c r="AB115" t="e">
        <f t="shared" si="100"/>
        <v>#N/A</v>
      </c>
      <c r="AC115" t="e">
        <f t="shared" si="101"/>
        <v>#N/A</v>
      </c>
      <c r="AD115" t="e">
        <f t="shared" si="102"/>
        <v>#N/A</v>
      </c>
      <c r="AE115" t="e">
        <f t="shared" si="103"/>
        <v>#N/A</v>
      </c>
      <c r="AF115" t="e">
        <f t="shared" si="104"/>
        <v>#N/A</v>
      </c>
      <c r="AG115" t="e">
        <f t="shared" si="105"/>
        <v>#N/A</v>
      </c>
      <c r="AH115" t="e">
        <f t="shared" si="106"/>
        <v>#N/A</v>
      </c>
      <c r="AI115" t="e">
        <f t="shared" si="107"/>
        <v>#N/A</v>
      </c>
      <c r="AJ115" t="e">
        <f t="shared" si="108"/>
        <v>#N/A</v>
      </c>
      <c r="AK115" t="e">
        <f t="shared" si="109"/>
        <v>#N/A</v>
      </c>
      <c r="AL115" t="e">
        <f t="shared" si="110"/>
        <v>#N/A</v>
      </c>
      <c r="AM115" t="e">
        <f t="shared" si="111"/>
        <v>#N/A</v>
      </c>
      <c r="AN115" t="e">
        <f t="shared" si="112"/>
        <v>#N/A</v>
      </c>
      <c r="AO115" t="e">
        <f t="shared" si="113"/>
        <v>#N/A</v>
      </c>
      <c r="AP115" t="e">
        <f t="shared" si="114"/>
        <v>#N/A</v>
      </c>
      <c r="AQ115" t="e">
        <f t="shared" si="115"/>
        <v>#N/A</v>
      </c>
      <c r="AR115" t="e">
        <f t="shared" si="116"/>
        <v>#N/A</v>
      </c>
      <c r="AS115" t="e">
        <f t="shared" si="117"/>
        <v>#N/A</v>
      </c>
      <c r="AT115" t="e">
        <f t="shared" si="118"/>
        <v>#N/A</v>
      </c>
      <c r="AU115" t="e">
        <f t="shared" si="119"/>
        <v>#N/A</v>
      </c>
      <c r="AV115" t="e">
        <f t="shared" si="120"/>
        <v>#N/A</v>
      </c>
      <c r="AW115" t="e">
        <f t="shared" si="121"/>
        <v>#N/A</v>
      </c>
      <c r="AX115" t="e">
        <f t="shared" si="122"/>
        <v>#N/A</v>
      </c>
      <c r="AY115" t="e">
        <f t="shared" si="123"/>
        <v>#N/A</v>
      </c>
      <c r="BE115" t="e">
        <f>IF(Z115=1,IF(INDEX($C$7:$C$126,V115)&gt;=Gantt!$BF$6,NA(),MATCH(INDEX($C$7:$C$126,V115),Gantt!$J$6:$BE$6,1)),NA())</f>
        <v>#N/A</v>
      </c>
      <c r="BF115" t="e">
        <f>IF(Z115=1,IF((INDEX($D$7:$D$126,AA115)-1)&gt;=Gantt!$BF$6,NA(),IF((INDEX($D$7:$D$126,AA115)-1)&lt;Gantt!$J$6,0,MATCH((INDEX($D$7:$D$126,AA115)-1),Gantt!$J$6:$BE$6,1))),NA())</f>
        <v>#N/A</v>
      </c>
      <c r="BG115" t="e">
        <f t="shared" si="124"/>
        <v>#N/A</v>
      </c>
      <c r="BH115" t="e">
        <f t="shared" si="125"/>
        <v>#N/A</v>
      </c>
      <c r="BI115" t="e">
        <f t="shared" si="126"/>
        <v>#N/A</v>
      </c>
      <c r="BJ115" t="e">
        <f t="shared" si="127"/>
        <v>#N/A</v>
      </c>
      <c r="BK115" t="e">
        <f t="shared" si="128"/>
        <v>#N/A</v>
      </c>
      <c r="BL115" t="e">
        <f t="shared" si="129"/>
        <v>#N/A</v>
      </c>
      <c r="BM115" t="e">
        <f t="shared" si="130"/>
        <v>#N/A</v>
      </c>
      <c r="BN115" t="e">
        <f t="shared" si="131"/>
        <v>#N/A</v>
      </c>
      <c r="BO115" t="e">
        <f t="shared" si="132"/>
        <v>#N/A</v>
      </c>
      <c r="BP115" t="e">
        <f t="shared" si="133"/>
        <v>#N/A</v>
      </c>
      <c r="BQ115" t="e">
        <f t="shared" si="134"/>
        <v>#N/A</v>
      </c>
      <c r="BR115" t="e">
        <f t="shared" si="135"/>
        <v>#N/A</v>
      </c>
      <c r="BS115" t="e">
        <f t="shared" si="136"/>
        <v>#N/A</v>
      </c>
      <c r="BT115" t="e">
        <f t="shared" si="137"/>
        <v>#N/A</v>
      </c>
      <c r="BU115" t="e">
        <f t="shared" si="138"/>
        <v>#N/A</v>
      </c>
      <c r="BV115" t="e">
        <f t="shared" si="139"/>
        <v>#N/A</v>
      </c>
      <c r="BW115" t="e">
        <f t="shared" si="140"/>
        <v>#N/A</v>
      </c>
      <c r="BX115" t="e">
        <f t="shared" si="141"/>
        <v>#N/A</v>
      </c>
      <c r="BY115" t="e">
        <f t="shared" si="142"/>
        <v>#N/A</v>
      </c>
      <c r="BZ115" t="e">
        <f t="shared" si="143"/>
        <v>#N/A</v>
      </c>
      <c r="CA115" t="e">
        <f t="shared" si="144"/>
        <v>#N/A</v>
      </c>
      <c r="CB115" t="e">
        <f t="shared" si="145"/>
        <v>#N/A</v>
      </c>
      <c r="CC115" t="e">
        <f t="shared" si="146"/>
        <v>#N/A</v>
      </c>
      <c r="CD115" t="e">
        <f t="shared" si="147"/>
        <v>#N/A</v>
      </c>
      <c r="CE115" t="e">
        <f t="shared" si="148"/>
        <v>#N/A</v>
      </c>
      <c r="CF115" t="e">
        <f t="shared" si="149"/>
        <v>#N/A</v>
      </c>
      <c r="CG115" t="e">
        <f t="shared" si="150"/>
        <v>#N/A</v>
      </c>
      <c r="CI115" t="e">
        <f>AL43</f>
        <v>#N/A</v>
      </c>
      <c r="CJ115" t="e">
        <f>AM43</f>
        <v>#N/A</v>
      </c>
      <c r="CK115">
        <f>IF(ISNUMBER(CI115),IFERROR(MAX(0,AN43-CI115),0),0)</f>
        <v>0</v>
      </c>
      <c r="CL115">
        <f>IF(ISNUMBER(CI115),IFERROR(MAX(0,CI115-AN43),0),0)</f>
        <v>0</v>
      </c>
      <c r="CM115">
        <f>IF(ISNUMBER(CJ115),IFERROR(MAX(0,AO43-CJ115),0),0)</f>
        <v>0</v>
      </c>
      <c r="CN115">
        <f>IF(ISNUMBER(CJ115),IFERROR(MAX(0,CJ115-AO43),0),0)</f>
        <v>0</v>
      </c>
      <c r="CP115" t="e">
        <f>BT43</f>
        <v>#N/A</v>
      </c>
      <c r="CQ115" t="e">
        <f>BU43</f>
        <v>#N/A</v>
      </c>
      <c r="CR115">
        <f>IF(ISNUMBER(CP115),IFERROR(MAX(0,BV43-CP115),0),0)</f>
        <v>0</v>
      </c>
      <c r="CS115">
        <f>IF(ISNUMBER(CP115),IFERROR(MAX(0,CP115-BV43),0),0)</f>
        <v>0</v>
      </c>
      <c r="CT115">
        <f>IF(ISNUMBER(CQ115),IFERROR(MAX(0,BW43-CQ115),0),0)</f>
        <v>0</v>
      </c>
      <c r="CU115">
        <f>IF(ISNUMBER(CQ115),IFERROR(MAX(0,CQ115-BW43),0),0)</f>
        <v>0</v>
      </c>
    </row>
    <row r="116" spans="1:99" x14ac:dyDescent="0.3">
      <c r="A116">
        <v>110</v>
      </c>
      <c r="B116">
        <f>IF(A116&lt;=$B$2,IF(INDEX(Gantt!$A$7:$A$119,A116)&lt;&gt;"",1,0),0)</f>
        <v>0</v>
      </c>
      <c r="C116" t="e">
        <f>IF(B116=1,INDEX(Gantt!$C$7:$C$119,A116),NA())</f>
        <v>#N/A</v>
      </c>
      <c r="D116" t="e">
        <f>IF(B116=1,INDEX(Gantt!$D$7:$D$119,A116)+1,NA())</f>
        <v>#N/A</v>
      </c>
      <c r="E116">
        <f>IF(B116=1,INDEX(Gantt!$BN$7:$BN$119,A116),0)</f>
        <v>0</v>
      </c>
      <c r="F116">
        <f>IF(B116=1,N(INDEX(Gantt!$F$7:$F$119,A116)),0)</f>
        <v>0</v>
      </c>
      <c r="G116">
        <f t="shared" si="151"/>
        <v>0</v>
      </c>
      <c r="H116" t="e">
        <f t="shared" si="152"/>
        <v>#N/A</v>
      </c>
      <c r="I116" t="e">
        <f t="shared" si="153"/>
        <v>#N/A</v>
      </c>
      <c r="J116" t="e">
        <f t="shared" si="154"/>
        <v>#N/A</v>
      </c>
      <c r="K116" t="e">
        <f t="shared" si="155"/>
        <v>#N/A</v>
      </c>
      <c r="L116" t="e">
        <f t="shared" si="156"/>
        <v>#N/A</v>
      </c>
      <c r="M116" t="e">
        <f t="shared" si="157"/>
        <v>#N/A</v>
      </c>
      <c r="N116" t="e">
        <f t="shared" si="158"/>
        <v>#N/A</v>
      </c>
      <c r="O116" t="e">
        <f t="shared" si="159"/>
        <v>#N/A</v>
      </c>
      <c r="P116" t="e">
        <f t="shared" si="160"/>
        <v>#N/A</v>
      </c>
      <c r="Q116" t="str">
        <f>IF(B116=1,INDEX(Gantt!$A$7:$A$119,A116)&amp;"   "&amp;INDEX(Gantt!$B$7:$B$119,A116),"")</f>
        <v/>
      </c>
      <c r="R116" t="e">
        <f t="shared" si="161"/>
        <v>#N/A</v>
      </c>
      <c r="S116">
        <f t="shared" si="162"/>
        <v>0</v>
      </c>
      <c r="T116">
        <f t="shared" si="163"/>
        <v>0</v>
      </c>
      <c r="U116">
        <v>110</v>
      </c>
      <c r="V116">
        <f t="shared" si="95"/>
        <v>28</v>
      </c>
      <c r="W116">
        <f t="shared" si="96"/>
        <v>2</v>
      </c>
      <c r="X116">
        <f t="shared" si="97"/>
        <v>0</v>
      </c>
      <c r="Y116">
        <f>IF(X116&lt;&gt;1,9999,CHOOSE(W116,INDEX(Gantt!$BQ$7:$BQ$119,V116),INDEX(Gantt!$BR$7:$BR$119,V116),INDEX(Gantt!$BT$7:$BT$119,V116),INDEX(Gantt!$BU$7:$BU$119,V116)))</f>
        <v>9999</v>
      </c>
      <c r="Z116">
        <f t="shared" si="98"/>
        <v>0</v>
      </c>
      <c r="AA116" t="e">
        <f t="shared" si="99"/>
        <v>#N/A</v>
      </c>
      <c r="AB116" t="e">
        <f t="shared" si="100"/>
        <v>#N/A</v>
      </c>
      <c r="AC116" t="e">
        <f t="shared" si="101"/>
        <v>#N/A</v>
      </c>
      <c r="AD116" t="e">
        <f t="shared" si="102"/>
        <v>#N/A</v>
      </c>
      <c r="AE116" t="e">
        <f t="shared" si="103"/>
        <v>#N/A</v>
      </c>
      <c r="AF116" t="e">
        <f t="shared" si="104"/>
        <v>#N/A</v>
      </c>
      <c r="AG116" t="e">
        <f t="shared" si="105"/>
        <v>#N/A</v>
      </c>
      <c r="AH116" t="e">
        <f t="shared" si="106"/>
        <v>#N/A</v>
      </c>
      <c r="AI116" t="e">
        <f t="shared" si="107"/>
        <v>#N/A</v>
      </c>
      <c r="AJ116" t="e">
        <f t="shared" si="108"/>
        <v>#N/A</v>
      </c>
      <c r="AK116" t="e">
        <f t="shared" si="109"/>
        <v>#N/A</v>
      </c>
      <c r="AL116" t="e">
        <f t="shared" si="110"/>
        <v>#N/A</v>
      </c>
      <c r="AM116" t="e">
        <f t="shared" si="111"/>
        <v>#N/A</v>
      </c>
      <c r="AN116" t="e">
        <f t="shared" si="112"/>
        <v>#N/A</v>
      </c>
      <c r="AO116" t="e">
        <f t="shared" si="113"/>
        <v>#N/A</v>
      </c>
      <c r="AP116" t="e">
        <f t="shared" si="114"/>
        <v>#N/A</v>
      </c>
      <c r="AQ116" t="e">
        <f t="shared" si="115"/>
        <v>#N/A</v>
      </c>
      <c r="AR116" t="e">
        <f t="shared" si="116"/>
        <v>#N/A</v>
      </c>
      <c r="AS116" t="e">
        <f t="shared" si="117"/>
        <v>#N/A</v>
      </c>
      <c r="AT116" t="e">
        <f t="shared" si="118"/>
        <v>#N/A</v>
      </c>
      <c r="AU116" t="e">
        <f t="shared" si="119"/>
        <v>#N/A</v>
      </c>
      <c r="AV116" t="e">
        <f t="shared" si="120"/>
        <v>#N/A</v>
      </c>
      <c r="AW116" t="e">
        <f t="shared" si="121"/>
        <v>#N/A</v>
      </c>
      <c r="AX116" t="e">
        <f t="shared" si="122"/>
        <v>#N/A</v>
      </c>
      <c r="AY116" t="e">
        <f t="shared" si="123"/>
        <v>#N/A</v>
      </c>
      <c r="BE116" t="e">
        <f>IF(Z116=1,IF(INDEX($C$7:$C$126,V116)&gt;=Gantt!$BF$6,NA(),MATCH(INDEX($C$7:$C$126,V116),Gantt!$J$6:$BE$6,1)),NA())</f>
        <v>#N/A</v>
      </c>
      <c r="BF116" t="e">
        <f>IF(Z116=1,IF((INDEX($D$7:$D$126,AA116)-1)&gt;=Gantt!$BF$6,NA(),IF((INDEX($D$7:$D$126,AA116)-1)&lt;Gantt!$J$6,0,MATCH((INDEX($D$7:$D$126,AA116)-1),Gantt!$J$6:$BE$6,1))),NA())</f>
        <v>#N/A</v>
      </c>
      <c r="BG116" t="e">
        <f t="shared" si="124"/>
        <v>#N/A</v>
      </c>
      <c r="BH116" t="e">
        <f t="shared" si="125"/>
        <v>#N/A</v>
      </c>
      <c r="BI116" t="e">
        <f t="shared" si="126"/>
        <v>#N/A</v>
      </c>
      <c r="BJ116" t="e">
        <f t="shared" si="127"/>
        <v>#N/A</v>
      </c>
      <c r="BK116" t="e">
        <f t="shared" si="128"/>
        <v>#N/A</v>
      </c>
      <c r="BL116" t="e">
        <f t="shared" si="129"/>
        <v>#N/A</v>
      </c>
      <c r="BM116" t="e">
        <f t="shared" si="130"/>
        <v>#N/A</v>
      </c>
      <c r="BN116" t="e">
        <f t="shared" si="131"/>
        <v>#N/A</v>
      </c>
      <c r="BO116" t="e">
        <f t="shared" si="132"/>
        <v>#N/A</v>
      </c>
      <c r="BP116" t="e">
        <f t="shared" si="133"/>
        <v>#N/A</v>
      </c>
      <c r="BQ116" t="e">
        <f t="shared" si="134"/>
        <v>#N/A</v>
      </c>
      <c r="BR116" t="e">
        <f t="shared" si="135"/>
        <v>#N/A</v>
      </c>
      <c r="BS116" t="e">
        <f t="shared" si="136"/>
        <v>#N/A</v>
      </c>
      <c r="BT116" t="e">
        <f t="shared" si="137"/>
        <v>#N/A</v>
      </c>
      <c r="BU116" t="e">
        <f t="shared" si="138"/>
        <v>#N/A</v>
      </c>
      <c r="BV116" t="e">
        <f t="shared" si="139"/>
        <v>#N/A</v>
      </c>
      <c r="BW116" t="e">
        <f t="shared" si="140"/>
        <v>#N/A</v>
      </c>
      <c r="BX116" t="e">
        <f t="shared" si="141"/>
        <v>#N/A</v>
      </c>
      <c r="BY116" t="e">
        <f t="shared" si="142"/>
        <v>#N/A</v>
      </c>
      <c r="BZ116" t="e">
        <f t="shared" si="143"/>
        <v>#N/A</v>
      </c>
      <c r="CA116" t="e">
        <f t="shared" si="144"/>
        <v>#N/A</v>
      </c>
      <c r="CB116" t="e">
        <f t="shared" si="145"/>
        <v>#N/A</v>
      </c>
      <c r="CC116" t="e">
        <f t="shared" si="146"/>
        <v>#N/A</v>
      </c>
      <c r="CD116" t="e">
        <f t="shared" si="147"/>
        <v>#N/A</v>
      </c>
      <c r="CE116" t="e">
        <f t="shared" si="148"/>
        <v>#N/A</v>
      </c>
      <c r="CF116" t="e">
        <f t="shared" si="149"/>
        <v>#N/A</v>
      </c>
      <c r="CG116" t="e">
        <f t="shared" si="150"/>
        <v>#N/A</v>
      </c>
      <c r="CI116" t="e">
        <f>AP43</f>
        <v>#N/A</v>
      </c>
      <c r="CJ116" t="e">
        <f>AQ43</f>
        <v>#N/A</v>
      </c>
      <c r="CK116">
        <f>IF(ISNUMBER(CI116),IFERROR(MAX(0,AR43-CI116),0),0)</f>
        <v>0</v>
      </c>
      <c r="CL116">
        <f>IF(ISNUMBER(CI116),IFERROR(MAX(0,CI116-AR43),0),0)</f>
        <v>0</v>
      </c>
      <c r="CM116">
        <f>IF(ISNUMBER(CJ116),IFERROR(MAX(0,AS43-CJ116),0),0)</f>
        <v>0</v>
      </c>
      <c r="CN116">
        <f>IF(ISNUMBER(CJ116),IFERROR(MAX(0,CJ116-AS43),0),0)</f>
        <v>0</v>
      </c>
      <c r="CP116" t="e">
        <f>BX43</f>
        <v>#N/A</v>
      </c>
      <c r="CQ116" t="e">
        <f>BY43</f>
        <v>#N/A</v>
      </c>
      <c r="CR116">
        <f>IF(ISNUMBER(CP116),IFERROR(MAX(0,BZ43-CP116),0),0)</f>
        <v>0</v>
      </c>
      <c r="CS116">
        <f>IF(ISNUMBER(CP116),IFERROR(MAX(0,CP116-BZ43),0),0)</f>
        <v>0</v>
      </c>
      <c r="CT116">
        <f>IF(ISNUMBER(CQ116),IFERROR(MAX(0,CA43-CQ116),0),0)</f>
        <v>0</v>
      </c>
      <c r="CU116">
        <f>IF(ISNUMBER(CQ116),IFERROR(MAX(0,CQ116-CA43),0),0)</f>
        <v>0</v>
      </c>
    </row>
    <row r="117" spans="1:99" x14ac:dyDescent="0.3">
      <c r="A117">
        <v>111</v>
      </c>
      <c r="B117">
        <f>IF(A117&lt;=$B$2,IF(INDEX(Gantt!$A$7:$A$119,A117)&lt;&gt;"",1,0),0)</f>
        <v>0</v>
      </c>
      <c r="C117" t="e">
        <f>IF(B117=1,INDEX(Gantt!$C$7:$C$119,A117),NA())</f>
        <v>#N/A</v>
      </c>
      <c r="D117" t="e">
        <f>IF(B117=1,INDEX(Gantt!$D$7:$D$119,A117)+1,NA())</f>
        <v>#N/A</v>
      </c>
      <c r="E117">
        <f>IF(B117=1,INDEX(Gantt!$BN$7:$BN$119,A117),0)</f>
        <v>0</v>
      </c>
      <c r="F117">
        <f>IF(B117=1,N(INDEX(Gantt!$F$7:$F$119,A117)),0)</f>
        <v>0</v>
      </c>
      <c r="G117">
        <f t="shared" si="151"/>
        <v>0</v>
      </c>
      <c r="H117" t="e">
        <f t="shared" si="152"/>
        <v>#N/A</v>
      </c>
      <c r="I117" t="e">
        <f t="shared" si="153"/>
        <v>#N/A</v>
      </c>
      <c r="J117" t="e">
        <f t="shared" si="154"/>
        <v>#N/A</v>
      </c>
      <c r="K117" t="e">
        <f t="shared" si="155"/>
        <v>#N/A</v>
      </c>
      <c r="L117" t="e">
        <f t="shared" si="156"/>
        <v>#N/A</v>
      </c>
      <c r="M117" t="e">
        <f t="shared" si="157"/>
        <v>#N/A</v>
      </c>
      <c r="N117" t="e">
        <f t="shared" si="158"/>
        <v>#N/A</v>
      </c>
      <c r="O117" t="e">
        <f t="shared" si="159"/>
        <v>#N/A</v>
      </c>
      <c r="P117" t="e">
        <f t="shared" si="160"/>
        <v>#N/A</v>
      </c>
      <c r="Q117" t="str">
        <f>IF(B117=1,INDEX(Gantt!$A$7:$A$119,A117)&amp;"   "&amp;INDEX(Gantt!$B$7:$B$119,A117),"")</f>
        <v/>
      </c>
      <c r="R117" t="e">
        <f t="shared" si="161"/>
        <v>#N/A</v>
      </c>
      <c r="S117">
        <f t="shared" si="162"/>
        <v>0</v>
      </c>
      <c r="T117">
        <f t="shared" si="163"/>
        <v>0</v>
      </c>
      <c r="U117">
        <v>111</v>
      </c>
      <c r="V117">
        <f t="shared" si="95"/>
        <v>28</v>
      </c>
      <c r="W117">
        <f t="shared" si="96"/>
        <v>3</v>
      </c>
      <c r="X117">
        <f t="shared" si="97"/>
        <v>0</v>
      </c>
      <c r="Y117">
        <f>IF(X117&lt;&gt;1,9999,CHOOSE(W117,INDEX(Gantt!$BQ$7:$BQ$119,V117),INDEX(Gantt!$BR$7:$BR$119,V117),INDEX(Gantt!$BT$7:$BT$119,V117),INDEX(Gantt!$BU$7:$BU$119,V117)))</f>
        <v>9999</v>
      </c>
      <c r="Z117">
        <f t="shared" si="98"/>
        <v>0</v>
      </c>
      <c r="AA117" t="e">
        <f t="shared" si="99"/>
        <v>#N/A</v>
      </c>
      <c r="AB117" t="e">
        <f t="shared" si="100"/>
        <v>#N/A</v>
      </c>
      <c r="AC117" t="e">
        <f t="shared" si="101"/>
        <v>#N/A</v>
      </c>
      <c r="AD117" t="e">
        <f t="shared" si="102"/>
        <v>#N/A</v>
      </c>
      <c r="AE117" t="e">
        <f t="shared" si="103"/>
        <v>#N/A</v>
      </c>
      <c r="AF117" t="e">
        <f t="shared" si="104"/>
        <v>#N/A</v>
      </c>
      <c r="AG117" t="e">
        <f t="shared" si="105"/>
        <v>#N/A</v>
      </c>
      <c r="AH117" t="e">
        <f t="shared" si="106"/>
        <v>#N/A</v>
      </c>
      <c r="AI117" t="e">
        <f t="shared" si="107"/>
        <v>#N/A</v>
      </c>
      <c r="AJ117" t="e">
        <f t="shared" si="108"/>
        <v>#N/A</v>
      </c>
      <c r="AK117" t="e">
        <f t="shared" si="109"/>
        <v>#N/A</v>
      </c>
      <c r="AL117" t="e">
        <f t="shared" si="110"/>
        <v>#N/A</v>
      </c>
      <c r="AM117" t="e">
        <f t="shared" si="111"/>
        <v>#N/A</v>
      </c>
      <c r="AN117" t="e">
        <f t="shared" si="112"/>
        <v>#N/A</v>
      </c>
      <c r="AO117" t="e">
        <f t="shared" si="113"/>
        <v>#N/A</v>
      </c>
      <c r="AP117" t="e">
        <f t="shared" si="114"/>
        <v>#N/A</v>
      </c>
      <c r="AQ117" t="e">
        <f t="shared" si="115"/>
        <v>#N/A</v>
      </c>
      <c r="AR117" t="e">
        <f t="shared" si="116"/>
        <v>#N/A</v>
      </c>
      <c r="AS117" t="e">
        <f t="shared" si="117"/>
        <v>#N/A</v>
      </c>
      <c r="AT117" t="e">
        <f t="shared" si="118"/>
        <v>#N/A</v>
      </c>
      <c r="AU117" t="e">
        <f t="shared" si="119"/>
        <v>#N/A</v>
      </c>
      <c r="AV117" t="e">
        <f t="shared" si="120"/>
        <v>#N/A</v>
      </c>
      <c r="AW117" t="e">
        <f t="shared" si="121"/>
        <v>#N/A</v>
      </c>
      <c r="AX117" t="e">
        <f t="shared" si="122"/>
        <v>#N/A</v>
      </c>
      <c r="AY117" t="e">
        <f t="shared" si="123"/>
        <v>#N/A</v>
      </c>
      <c r="BE117" t="e">
        <f>IF(Z117=1,IF(INDEX($C$7:$C$126,V117)&gt;=Gantt!$BF$6,NA(),MATCH(INDEX($C$7:$C$126,V117),Gantt!$J$6:$BE$6,1)),NA())</f>
        <v>#N/A</v>
      </c>
      <c r="BF117" t="e">
        <f>IF(Z117=1,IF((INDEX($D$7:$D$126,AA117)-1)&gt;=Gantt!$BF$6,NA(),IF((INDEX($D$7:$D$126,AA117)-1)&lt;Gantt!$J$6,0,MATCH((INDEX($D$7:$D$126,AA117)-1),Gantt!$J$6:$BE$6,1))),NA())</f>
        <v>#N/A</v>
      </c>
      <c r="BG117" t="e">
        <f t="shared" si="124"/>
        <v>#N/A</v>
      </c>
      <c r="BH117" t="e">
        <f t="shared" si="125"/>
        <v>#N/A</v>
      </c>
      <c r="BI117" t="e">
        <f t="shared" si="126"/>
        <v>#N/A</v>
      </c>
      <c r="BJ117" t="e">
        <f t="shared" si="127"/>
        <v>#N/A</v>
      </c>
      <c r="BK117" t="e">
        <f t="shared" si="128"/>
        <v>#N/A</v>
      </c>
      <c r="BL117" t="e">
        <f t="shared" si="129"/>
        <v>#N/A</v>
      </c>
      <c r="BM117" t="e">
        <f t="shared" si="130"/>
        <v>#N/A</v>
      </c>
      <c r="BN117" t="e">
        <f t="shared" si="131"/>
        <v>#N/A</v>
      </c>
      <c r="BO117" t="e">
        <f t="shared" si="132"/>
        <v>#N/A</v>
      </c>
      <c r="BP117" t="e">
        <f t="shared" si="133"/>
        <v>#N/A</v>
      </c>
      <c r="BQ117" t="e">
        <f t="shared" si="134"/>
        <v>#N/A</v>
      </c>
      <c r="BR117" t="e">
        <f t="shared" si="135"/>
        <v>#N/A</v>
      </c>
      <c r="BS117" t="e">
        <f t="shared" si="136"/>
        <v>#N/A</v>
      </c>
      <c r="BT117" t="e">
        <f t="shared" si="137"/>
        <v>#N/A</v>
      </c>
      <c r="BU117" t="e">
        <f t="shared" si="138"/>
        <v>#N/A</v>
      </c>
      <c r="BV117" t="e">
        <f t="shared" si="139"/>
        <v>#N/A</v>
      </c>
      <c r="BW117" t="e">
        <f t="shared" si="140"/>
        <v>#N/A</v>
      </c>
      <c r="BX117" t="e">
        <f t="shared" si="141"/>
        <v>#N/A</v>
      </c>
      <c r="BY117" t="e">
        <f t="shared" si="142"/>
        <v>#N/A</v>
      </c>
      <c r="BZ117" t="e">
        <f t="shared" si="143"/>
        <v>#N/A</v>
      </c>
      <c r="CA117" t="e">
        <f t="shared" si="144"/>
        <v>#N/A</v>
      </c>
      <c r="CB117" t="e">
        <f t="shared" si="145"/>
        <v>#N/A</v>
      </c>
      <c r="CC117" t="e">
        <f t="shared" si="146"/>
        <v>#N/A</v>
      </c>
      <c r="CD117" t="e">
        <f t="shared" si="147"/>
        <v>#N/A</v>
      </c>
      <c r="CE117" t="e">
        <f t="shared" si="148"/>
        <v>#N/A</v>
      </c>
      <c r="CF117" t="e">
        <f t="shared" si="149"/>
        <v>#N/A</v>
      </c>
      <c r="CG117" t="e">
        <f t="shared" si="150"/>
        <v>#N/A</v>
      </c>
      <c r="CI117" t="e">
        <f>AT43</f>
        <v>#N/A</v>
      </c>
      <c r="CJ117" t="e">
        <f>AU43</f>
        <v>#N/A</v>
      </c>
      <c r="CK117">
        <f>IF(ISNUMBER(CI117),IFERROR(MAX(0,AV43-CI117),0),0)</f>
        <v>0</v>
      </c>
      <c r="CL117">
        <f>IF(ISNUMBER(CI117),IFERROR(MAX(0,CI117-AV43),0),0)</f>
        <v>0</v>
      </c>
      <c r="CM117">
        <f>IF(ISNUMBER(CJ117),IFERROR(MAX(0,AW43-CJ117),0),0)</f>
        <v>0</v>
      </c>
      <c r="CN117">
        <f>IF(ISNUMBER(CJ117),IFERROR(MAX(0,CJ117-AW43),0),0)</f>
        <v>0</v>
      </c>
      <c r="CP117" t="e">
        <f>CB43</f>
        <v>#N/A</v>
      </c>
      <c r="CQ117" t="e">
        <f>CC43</f>
        <v>#N/A</v>
      </c>
      <c r="CR117">
        <f>IF(ISNUMBER(CP117),IFERROR(MAX(0,CD43-CP117),0),0)</f>
        <v>0</v>
      </c>
      <c r="CS117">
        <f>IF(ISNUMBER(CP117),IFERROR(MAX(0,CP117-CD43),0),0)</f>
        <v>0</v>
      </c>
      <c r="CT117">
        <f>IF(ISNUMBER(CQ117),IFERROR(MAX(0,CE43-CQ117),0),0)</f>
        <v>0</v>
      </c>
      <c r="CU117">
        <f>IF(ISNUMBER(CQ117),IFERROR(MAX(0,CQ117-CE43),0),0)</f>
        <v>0</v>
      </c>
    </row>
    <row r="118" spans="1:99" x14ac:dyDescent="0.3">
      <c r="A118">
        <v>112</v>
      </c>
      <c r="B118">
        <f>IF(A118&lt;=$B$2,IF(INDEX(Gantt!$A$7:$A$119,A118)&lt;&gt;"",1,0),0)</f>
        <v>0</v>
      </c>
      <c r="C118" t="e">
        <f>IF(B118=1,INDEX(Gantt!$C$7:$C$119,A118),NA())</f>
        <v>#N/A</v>
      </c>
      <c r="D118" t="e">
        <f>IF(B118=1,INDEX(Gantt!$D$7:$D$119,A118)+1,NA())</f>
        <v>#N/A</v>
      </c>
      <c r="E118">
        <f>IF(B118=1,INDEX(Gantt!$BN$7:$BN$119,A118),0)</f>
        <v>0</v>
      </c>
      <c r="F118">
        <f>IF(B118=1,N(INDEX(Gantt!$F$7:$F$119,A118)),0)</f>
        <v>0</v>
      </c>
      <c r="G118">
        <f t="shared" si="151"/>
        <v>0</v>
      </c>
      <c r="H118" t="e">
        <f t="shared" si="152"/>
        <v>#N/A</v>
      </c>
      <c r="I118" t="e">
        <f t="shared" si="153"/>
        <v>#N/A</v>
      </c>
      <c r="J118" t="e">
        <f t="shared" si="154"/>
        <v>#N/A</v>
      </c>
      <c r="K118" t="e">
        <f t="shared" si="155"/>
        <v>#N/A</v>
      </c>
      <c r="L118" t="e">
        <f t="shared" si="156"/>
        <v>#N/A</v>
      </c>
      <c r="M118" t="e">
        <f t="shared" si="157"/>
        <v>#N/A</v>
      </c>
      <c r="N118" t="e">
        <f t="shared" si="158"/>
        <v>#N/A</v>
      </c>
      <c r="O118" t="e">
        <f t="shared" si="159"/>
        <v>#N/A</v>
      </c>
      <c r="P118" t="e">
        <f t="shared" si="160"/>
        <v>#N/A</v>
      </c>
      <c r="Q118" t="str">
        <f>IF(B118=1,INDEX(Gantt!$A$7:$A$119,A118)&amp;"   "&amp;INDEX(Gantt!$B$7:$B$119,A118),"")</f>
        <v/>
      </c>
      <c r="R118" t="e">
        <f t="shared" si="161"/>
        <v>#N/A</v>
      </c>
      <c r="S118">
        <f t="shared" si="162"/>
        <v>0</v>
      </c>
      <c r="T118">
        <f t="shared" si="163"/>
        <v>0</v>
      </c>
      <c r="U118">
        <v>112</v>
      </c>
      <c r="V118">
        <f t="shared" si="95"/>
        <v>28</v>
      </c>
      <c r="W118">
        <f t="shared" si="96"/>
        <v>4</v>
      </c>
      <c r="X118">
        <f t="shared" si="97"/>
        <v>0</v>
      </c>
      <c r="Y118">
        <f>IF(X118&lt;&gt;1,9999,CHOOSE(W118,INDEX(Gantt!$BQ$7:$BQ$119,V118),INDEX(Gantt!$BR$7:$BR$119,V118),INDEX(Gantt!$BT$7:$BT$119,V118),INDEX(Gantt!$BU$7:$BU$119,V118)))</f>
        <v>9999</v>
      </c>
      <c r="Z118">
        <f t="shared" si="98"/>
        <v>0</v>
      </c>
      <c r="AA118" t="e">
        <f t="shared" si="99"/>
        <v>#N/A</v>
      </c>
      <c r="AB118" t="e">
        <f t="shared" si="100"/>
        <v>#N/A</v>
      </c>
      <c r="AC118" t="e">
        <f t="shared" si="101"/>
        <v>#N/A</v>
      </c>
      <c r="AD118" t="e">
        <f t="shared" si="102"/>
        <v>#N/A</v>
      </c>
      <c r="AE118" t="e">
        <f t="shared" si="103"/>
        <v>#N/A</v>
      </c>
      <c r="AF118" t="e">
        <f t="shared" si="104"/>
        <v>#N/A</v>
      </c>
      <c r="AG118" t="e">
        <f t="shared" si="105"/>
        <v>#N/A</v>
      </c>
      <c r="AH118" t="e">
        <f t="shared" si="106"/>
        <v>#N/A</v>
      </c>
      <c r="AI118" t="e">
        <f t="shared" si="107"/>
        <v>#N/A</v>
      </c>
      <c r="AJ118" t="e">
        <f t="shared" si="108"/>
        <v>#N/A</v>
      </c>
      <c r="AK118" t="e">
        <f t="shared" si="109"/>
        <v>#N/A</v>
      </c>
      <c r="AL118" t="e">
        <f t="shared" si="110"/>
        <v>#N/A</v>
      </c>
      <c r="AM118" t="e">
        <f t="shared" si="111"/>
        <v>#N/A</v>
      </c>
      <c r="AN118" t="e">
        <f t="shared" si="112"/>
        <v>#N/A</v>
      </c>
      <c r="AO118" t="e">
        <f t="shared" si="113"/>
        <v>#N/A</v>
      </c>
      <c r="AP118" t="e">
        <f t="shared" si="114"/>
        <v>#N/A</v>
      </c>
      <c r="AQ118" t="e">
        <f t="shared" si="115"/>
        <v>#N/A</v>
      </c>
      <c r="AR118" t="e">
        <f t="shared" si="116"/>
        <v>#N/A</v>
      </c>
      <c r="AS118" t="e">
        <f t="shared" si="117"/>
        <v>#N/A</v>
      </c>
      <c r="AT118" t="e">
        <f t="shared" si="118"/>
        <v>#N/A</v>
      </c>
      <c r="AU118" t="e">
        <f t="shared" si="119"/>
        <v>#N/A</v>
      </c>
      <c r="AV118" t="e">
        <f t="shared" si="120"/>
        <v>#N/A</v>
      </c>
      <c r="AW118" t="e">
        <f t="shared" si="121"/>
        <v>#N/A</v>
      </c>
      <c r="AX118" t="e">
        <f t="shared" si="122"/>
        <v>#N/A</v>
      </c>
      <c r="AY118" t="e">
        <f t="shared" si="123"/>
        <v>#N/A</v>
      </c>
      <c r="BE118" t="e">
        <f>IF(Z118=1,IF(INDEX($C$7:$C$126,V118)&gt;=Gantt!$BF$6,NA(),MATCH(INDEX($C$7:$C$126,V118),Gantt!$J$6:$BE$6,1)),NA())</f>
        <v>#N/A</v>
      </c>
      <c r="BF118" t="e">
        <f>IF(Z118=1,IF((INDEX($D$7:$D$126,AA118)-1)&gt;=Gantt!$BF$6,NA(),IF((INDEX($D$7:$D$126,AA118)-1)&lt;Gantt!$J$6,0,MATCH((INDEX($D$7:$D$126,AA118)-1),Gantt!$J$6:$BE$6,1))),NA())</f>
        <v>#N/A</v>
      </c>
      <c r="BG118" t="e">
        <f t="shared" si="124"/>
        <v>#N/A</v>
      </c>
      <c r="BH118" t="e">
        <f t="shared" si="125"/>
        <v>#N/A</v>
      </c>
      <c r="BI118" t="e">
        <f t="shared" si="126"/>
        <v>#N/A</v>
      </c>
      <c r="BJ118" t="e">
        <f t="shared" si="127"/>
        <v>#N/A</v>
      </c>
      <c r="BK118" t="e">
        <f t="shared" si="128"/>
        <v>#N/A</v>
      </c>
      <c r="BL118" t="e">
        <f t="shared" si="129"/>
        <v>#N/A</v>
      </c>
      <c r="BM118" t="e">
        <f t="shared" si="130"/>
        <v>#N/A</v>
      </c>
      <c r="BN118" t="e">
        <f t="shared" si="131"/>
        <v>#N/A</v>
      </c>
      <c r="BO118" t="e">
        <f t="shared" si="132"/>
        <v>#N/A</v>
      </c>
      <c r="BP118" t="e">
        <f t="shared" si="133"/>
        <v>#N/A</v>
      </c>
      <c r="BQ118" t="e">
        <f t="shared" si="134"/>
        <v>#N/A</v>
      </c>
      <c r="BR118" t="e">
        <f t="shared" si="135"/>
        <v>#N/A</v>
      </c>
      <c r="BS118" t="e">
        <f t="shared" si="136"/>
        <v>#N/A</v>
      </c>
      <c r="BT118" t="e">
        <f t="shared" si="137"/>
        <v>#N/A</v>
      </c>
      <c r="BU118" t="e">
        <f t="shared" si="138"/>
        <v>#N/A</v>
      </c>
      <c r="BV118" t="e">
        <f t="shared" si="139"/>
        <v>#N/A</v>
      </c>
      <c r="BW118" t="e">
        <f t="shared" si="140"/>
        <v>#N/A</v>
      </c>
      <c r="BX118" t="e">
        <f t="shared" si="141"/>
        <v>#N/A</v>
      </c>
      <c r="BY118" t="e">
        <f t="shared" si="142"/>
        <v>#N/A</v>
      </c>
      <c r="BZ118" t="e">
        <f t="shared" si="143"/>
        <v>#N/A</v>
      </c>
      <c r="CA118" t="e">
        <f t="shared" si="144"/>
        <v>#N/A</v>
      </c>
      <c r="CB118" t="e">
        <f t="shared" si="145"/>
        <v>#N/A</v>
      </c>
      <c r="CC118" t="e">
        <f t="shared" si="146"/>
        <v>#N/A</v>
      </c>
      <c r="CD118" t="e">
        <f t="shared" si="147"/>
        <v>#N/A</v>
      </c>
      <c r="CE118" t="e">
        <f t="shared" si="148"/>
        <v>#N/A</v>
      </c>
      <c r="CF118" t="e">
        <f t="shared" si="149"/>
        <v>#N/A</v>
      </c>
      <c r="CG118" t="e">
        <f t="shared" si="150"/>
        <v>#N/A</v>
      </c>
      <c r="CI118" t="e">
        <f>AL44</f>
        <v>#N/A</v>
      </c>
      <c r="CJ118" t="e">
        <f>AM44</f>
        <v>#N/A</v>
      </c>
      <c r="CK118">
        <f>IF(ISNUMBER(CI118),IFERROR(MAX(0,AN44-CI118),0),0)</f>
        <v>0</v>
      </c>
      <c r="CL118">
        <f>IF(ISNUMBER(CI118),IFERROR(MAX(0,CI118-AN44),0),0)</f>
        <v>0</v>
      </c>
      <c r="CM118">
        <f>IF(ISNUMBER(CJ118),IFERROR(MAX(0,AO44-CJ118),0),0)</f>
        <v>0</v>
      </c>
      <c r="CN118">
        <f>IF(ISNUMBER(CJ118),IFERROR(MAX(0,CJ118-AO44),0),0)</f>
        <v>0</v>
      </c>
      <c r="CP118" t="e">
        <f>BT44</f>
        <v>#N/A</v>
      </c>
      <c r="CQ118" t="e">
        <f>BU44</f>
        <v>#N/A</v>
      </c>
      <c r="CR118">
        <f>IF(ISNUMBER(CP118),IFERROR(MAX(0,BV44-CP118),0),0)</f>
        <v>0</v>
      </c>
      <c r="CS118">
        <f>IF(ISNUMBER(CP118),IFERROR(MAX(0,CP118-BV44),0),0)</f>
        <v>0</v>
      </c>
      <c r="CT118">
        <f>IF(ISNUMBER(CQ118),IFERROR(MAX(0,BW44-CQ118),0),0)</f>
        <v>0</v>
      </c>
      <c r="CU118">
        <f>IF(ISNUMBER(CQ118),IFERROR(MAX(0,CQ118-BW44),0),0)</f>
        <v>0</v>
      </c>
    </row>
    <row r="119" spans="1:99" x14ac:dyDescent="0.3">
      <c r="A119">
        <v>113</v>
      </c>
      <c r="B119">
        <f>IF(A119&lt;=$B$2,IF(INDEX(Gantt!$A$7:$A$119,A119)&lt;&gt;"",1,0),0)</f>
        <v>0</v>
      </c>
      <c r="C119" t="e">
        <f>IF(B119=1,INDEX(Gantt!$C$7:$C$119,A119),NA())</f>
        <v>#N/A</v>
      </c>
      <c r="D119" t="e">
        <f>IF(B119=1,INDEX(Gantt!$D$7:$D$119,A119)+1,NA())</f>
        <v>#N/A</v>
      </c>
      <c r="E119">
        <f>IF(B119=1,INDEX(Gantt!$BN$7:$BN$119,A119),0)</f>
        <v>0</v>
      </c>
      <c r="F119">
        <f>IF(B119=1,N(INDEX(Gantt!$F$7:$F$119,A119)),0)</f>
        <v>0</v>
      </c>
      <c r="G119">
        <f t="shared" si="151"/>
        <v>0</v>
      </c>
      <c r="H119" t="e">
        <f t="shared" si="152"/>
        <v>#N/A</v>
      </c>
      <c r="I119" t="e">
        <f t="shared" si="153"/>
        <v>#N/A</v>
      </c>
      <c r="J119" t="e">
        <f t="shared" si="154"/>
        <v>#N/A</v>
      </c>
      <c r="K119" t="e">
        <f t="shared" si="155"/>
        <v>#N/A</v>
      </c>
      <c r="L119" t="e">
        <f t="shared" si="156"/>
        <v>#N/A</v>
      </c>
      <c r="M119" t="e">
        <f t="shared" si="157"/>
        <v>#N/A</v>
      </c>
      <c r="N119" t="e">
        <f t="shared" si="158"/>
        <v>#N/A</v>
      </c>
      <c r="O119" t="e">
        <f t="shared" si="159"/>
        <v>#N/A</v>
      </c>
      <c r="P119" t="e">
        <f t="shared" si="160"/>
        <v>#N/A</v>
      </c>
      <c r="Q119" t="str">
        <f>IF(B119=1,INDEX(Gantt!$A$7:$A$119,A119)&amp;"   "&amp;INDEX(Gantt!$B$7:$B$119,A119),"")</f>
        <v/>
      </c>
      <c r="R119" t="e">
        <f t="shared" si="161"/>
        <v>#N/A</v>
      </c>
      <c r="S119">
        <f t="shared" si="162"/>
        <v>0</v>
      </c>
      <c r="T119">
        <f t="shared" si="163"/>
        <v>0</v>
      </c>
      <c r="U119">
        <v>113</v>
      </c>
      <c r="V119">
        <f t="shared" si="95"/>
        <v>29</v>
      </c>
      <c r="W119">
        <f t="shared" si="96"/>
        <v>1</v>
      </c>
      <c r="X119">
        <f t="shared" si="97"/>
        <v>0</v>
      </c>
      <c r="Y119">
        <f>IF(X119&lt;&gt;1,9999,CHOOSE(W119,INDEX(Gantt!$BQ$7:$BQ$119,V119),INDEX(Gantt!$BR$7:$BR$119,V119),INDEX(Gantt!$BT$7:$BT$119,V119),INDEX(Gantt!$BU$7:$BU$119,V119)))</f>
        <v>9999</v>
      </c>
      <c r="Z119">
        <f t="shared" si="98"/>
        <v>0</v>
      </c>
      <c r="AA119" t="e">
        <f t="shared" si="99"/>
        <v>#N/A</v>
      </c>
      <c r="AB119" t="e">
        <f t="shared" si="100"/>
        <v>#N/A</v>
      </c>
      <c r="AC119" t="e">
        <f t="shared" si="101"/>
        <v>#N/A</v>
      </c>
      <c r="AD119" t="e">
        <f t="shared" si="102"/>
        <v>#N/A</v>
      </c>
      <c r="AE119" t="e">
        <f t="shared" si="103"/>
        <v>#N/A</v>
      </c>
      <c r="AF119" t="e">
        <f t="shared" si="104"/>
        <v>#N/A</v>
      </c>
      <c r="AG119" t="e">
        <f t="shared" si="105"/>
        <v>#N/A</v>
      </c>
      <c r="AH119" t="e">
        <f t="shared" si="106"/>
        <v>#N/A</v>
      </c>
      <c r="AI119" t="e">
        <f t="shared" si="107"/>
        <v>#N/A</v>
      </c>
      <c r="AJ119" t="e">
        <f t="shared" si="108"/>
        <v>#N/A</v>
      </c>
      <c r="AK119" t="e">
        <f t="shared" si="109"/>
        <v>#N/A</v>
      </c>
      <c r="AL119" t="e">
        <f t="shared" si="110"/>
        <v>#N/A</v>
      </c>
      <c r="AM119" t="e">
        <f t="shared" si="111"/>
        <v>#N/A</v>
      </c>
      <c r="AN119" t="e">
        <f t="shared" si="112"/>
        <v>#N/A</v>
      </c>
      <c r="AO119" t="e">
        <f t="shared" si="113"/>
        <v>#N/A</v>
      </c>
      <c r="AP119" t="e">
        <f t="shared" si="114"/>
        <v>#N/A</v>
      </c>
      <c r="AQ119" t="e">
        <f t="shared" si="115"/>
        <v>#N/A</v>
      </c>
      <c r="AR119" t="e">
        <f t="shared" si="116"/>
        <v>#N/A</v>
      </c>
      <c r="AS119" t="e">
        <f t="shared" si="117"/>
        <v>#N/A</v>
      </c>
      <c r="AT119" t="e">
        <f t="shared" si="118"/>
        <v>#N/A</v>
      </c>
      <c r="AU119" t="e">
        <f t="shared" si="119"/>
        <v>#N/A</v>
      </c>
      <c r="AV119" t="e">
        <f t="shared" si="120"/>
        <v>#N/A</v>
      </c>
      <c r="AW119" t="e">
        <f t="shared" si="121"/>
        <v>#N/A</v>
      </c>
      <c r="AX119" t="e">
        <f t="shared" si="122"/>
        <v>#N/A</v>
      </c>
      <c r="AY119" t="e">
        <f t="shared" si="123"/>
        <v>#N/A</v>
      </c>
      <c r="BE119" t="e">
        <f>IF(Z119=1,IF(INDEX($C$7:$C$126,V119)&gt;=Gantt!$BF$6,NA(),MATCH(INDEX($C$7:$C$126,V119),Gantt!$J$6:$BE$6,1)),NA())</f>
        <v>#N/A</v>
      </c>
      <c r="BF119" t="e">
        <f>IF(Z119=1,IF((INDEX($D$7:$D$126,AA119)-1)&gt;=Gantt!$BF$6,NA(),IF((INDEX($D$7:$D$126,AA119)-1)&lt;Gantt!$J$6,0,MATCH((INDEX($D$7:$D$126,AA119)-1),Gantt!$J$6:$BE$6,1))),NA())</f>
        <v>#N/A</v>
      </c>
      <c r="BG119" t="e">
        <f t="shared" si="124"/>
        <v>#N/A</v>
      </c>
      <c r="BH119" t="e">
        <f t="shared" si="125"/>
        <v>#N/A</v>
      </c>
      <c r="BI119" t="e">
        <f t="shared" si="126"/>
        <v>#N/A</v>
      </c>
      <c r="BJ119" t="e">
        <f t="shared" si="127"/>
        <v>#N/A</v>
      </c>
      <c r="BK119" t="e">
        <f t="shared" si="128"/>
        <v>#N/A</v>
      </c>
      <c r="BL119" t="e">
        <f t="shared" si="129"/>
        <v>#N/A</v>
      </c>
      <c r="BM119" t="e">
        <f t="shared" si="130"/>
        <v>#N/A</v>
      </c>
      <c r="BN119" t="e">
        <f t="shared" si="131"/>
        <v>#N/A</v>
      </c>
      <c r="BO119" t="e">
        <f t="shared" si="132"/>
        <v>#N/A</v>
      </c>
      <c r="BP119" t="e">
        <f t="shared" si="133"/>
        <v>#N/A</v>
      </c>
      <c r="BQ119" t="e">
        <f t="shared" si="134"/>
        <v>#N/A</v>
      </c>
      <c r="BR119" t="e">
        <f t="shared" si="135"/>
        <v>#N/A</v>
      </c>
      <c r="BS119" t="e">
        <f t="shared" si="136"/>
        <v>#N/A</v>
      </c>
      <c r="BT119" t="e">
        <f t="shared" si="137"/>
        <v>#N/A</v>
      </c>
      <c r="BU119" t="e">
        <f t="shared" si="138"/>
        <v>#N/A</v>
      </c>
      <c r="BV119" t="e">
        <f t="shared" si="139"/>
        <v>#N/A</v>
      </c>
      <c r="BW119" t="e">
        <f t="shared" si="140"/>
        <v>#N/A</v>
      </c>
      <c r="BX119" t="e">
        <f t="shared" si="141"/>
        <v>#N/A</v>
      </c>
      <c r="BY119" t="e">
        <f t="shared" si="142"/>
        <v>#N/A</v>
      </c>
      <c r="BZ119" t="e">
        <f t="shared" si="143"/>
        <v>#N/A</v>
      </c>
      <c r="CA119" t="e">
        <f t="shared" si="144"/>
        <v>#N/A</v>
      </c>
      <c r="CB119" t="e">
        <f t="shared" si="145"/>
        <v>#N/A</v>
      </c>
      <c r="CC119" t="e">
        <f t="shared" si="146"/>
        <v>#N/A</v>
      </c>
      <c r="CD119" t="e">
        <f t="shared" si="147"/>
        <v>#N/A</v>
      </c>
      <c r="CE119" t="e">
        <f t="shared" si="148"/>
        <v>#N/A</v>
      </c>
      <c r="CF119" t="e">
        <f t="shared" si="149"/>
        <v>#N/A</v>
      </c>
      <c r="CG119" t="e">
        <f t="shared" si="150"/>
        <v>#N/A</v>
      </c>
      <c r="CI119" t="e">
        <f>AP44</f>
        <v>#N/A</v>
      </c>
      <c r="CJ119" t="e">
        <f>AQ44</f>
        <v>#N/A</v>
      </c>
      <c r="CK119">
        <f>IF(ISNUMBER(CI119),IFERROR(MAX(0,AR44-CI119),0),0)</f>
        <v>0</v>
      </c>
      <c r="CL119">
        <f>IF(ISNUMBER(CI119),IFERROR(MAX(0,CI119-AR44),0),0)</f>
        <v>0</v>
      </c>
      <c r="CM119">
        <f>IF(ISNUMBER(CJ119),IFERROR(MAX(0,AS44-CJ119),0),0)</f>
        <v>0</v>
      </c>
      <c r="CN119">
        <f>IF(ISNUMBER(CJ119),IFERROR(MAX(0,CJ119-AS44),0),0)</f>
        <v>0</v>
      </c>
      <c r="CP119" t="e">
        <f>BX44</f>
        <v>#N/A</v>
      </c>
      <c r="CQ119" t="e">
        <f>BY44</f>
        <v>#N/A</v>
      </c>
      <c r="CR119">
        <f>IF(ISNUMBER(CP119),IFERROR(MAX(0,BZ44-CP119),0),0)</f>
        <v>0</v>
      </c>
      <c r="CS119">
        <f>IF(ISNUMBER(CP119),IFERROR(MAX(0,CP119-BZ44),0),0)</f>
        <v>0</v>
      </c>
      <c r="CT119">
        <f>IF(ISNUMBER(CQ119),IFERROR(MAX(0,CA44-CQ119),0),0)</f>
        <v>0</v>
      </c>
      <c r="CU119">
        <f>IF(ISNUMBER(CQ119),IFERROR(MAX(0,CQ119-CA44),0),0)</f>
        <v>0</v>
      </c>
    </row>
    <row r="120" spans="1:99" x14ac:dyDescent="0.3">
      <c r="A120">
        <v>114</v>
      </c>
      <c r="B120">
        <f>IF(A120&lt;=$B$2,IF(INDEX(Gantt!$A$7:$A$119,A120)&lt;&gt;"",1,0),0)</f>
        <v>0</v>
      </c>
      <c r="C120" t="e">
        <f>IF(B120=1,INDEX(Gantt!$C$7:$C$119,A120),NA())</f>
        <v>#N/A</v>
      </c>
      <c r="D120" t="e">
        <f>IF(B120=1,INDEX(Gantt!$D$7:$D$119,A120)+1,NA())</f>
        <v>#N/A</v>
      </c>
      <c r="E120">
        <f>IF(B120=1,INDEX(Gantt!$BN$7:$BN$119,A120),0)</f>
        <v>0</v>
      </c>
      <c r="F120">
        <f>IF(B120=1,N(INDEX(Gantt!$F$7:$F$119,A120)),0)</f>
        <v>0</v>
      </c>
      <c r="G120">
        <f t="shared" si="151"/>
        <v>0</v>
      </c>
      <c r="H120" t="e">
        <f t="shared" si="152"/>
        <v>#N/A</v>
      </c>
      <c r="I120" t="e">
        <f t="shared" si="153"/>
        <v>#N/A</v>
      </c>
      <c r="J120" t="e">
        <f t="shared" si="154"/>
        <v>#N/A</v>
      </c>
      <c r="K120" t="e">
        <f t="shared" si="155"/>
        <v>#N/A</v>
      </c>
      <c r="L120" t="e">
        <f t="shared" si="156"/>
        <v>#N/A</v>
      </c>
      <c r="M120" t="e">
        <f t="shared" si="157"/>
        <v>#N/A</v>
      </c>
      <c r="N120" t="e">
        <f t="shared" si="158"/>
        <v>#N/A</v>
      </c>
      <c r="O120" t="e">
        <f t="shared" si="159"/>
        <v>#N/A</v>
      </c>
      <c r="P120" t="e">
        <f t="shared" si="160"/>
        <v>#N/A</v>
      </c>
      <c r="Q120" t="str">
        <f>IF(B120=1,INDEX(Gantt!$A$7:$A$119,A120)&amp;"   "&amp;INDEX(Gantt!$B$7:$B$119,A120),"")</f>
        <v/>
      </c>
      <c r="R120" t="e">
        <f t="shared" si="161"/>
        <v>#N/A</v>
      </c>
      <c r="S120">
        <f t="shared" si="162"/>
        <v>0</v>
      </c>
      <c r="T120">
        <f t="shared" si="163"/>
        <v>0</v>
      </c>
      <c r="U120">
        <v>114</v>
      </c>
      <c r="V120">
        <f t="shared" si="95"/>
        <v>29</v>
      </c>
      <c r="W120">
        <f t="shared" si="96"/>
        <v>2</v>
      </c>
      <c r="X120">
        <f t="shared" si="97"/>
        <v>0</v>
      </c>
      <c r="Y120">
        <f>IF(X120&lt;&gt;1,9999,CHOOSE(W120,INDEX(Gantt!$BQ$7:$BQ$119,V120),INDEX(Gantt!$BR$7:$BR$119,V120),INDEX(Gantt!$BT$7:$BT$119,V120),INDEX(Gantt!$BU$7:$BU$119,V120)))</f>
        <v>9999</v>
      </c>
      <c r="Z120">
        <f t="shared" si="98"/>
        <v>0</v>
      </c>
      <c r="AA120" t="e">
        <f t="shared" si="99"/>
        <v>#N/A</v>
      </c>
      <c r="AB120" t="e">
        <f t="shared" si="100"/>
        <v>#N/A</v>
      </c>
      <c r="AC120" t="e">
        <f t="shared" si="101"/>
        <v>#N/A</v>
      </c>
      <c r="AD120" t="e">
        <f t="shared" si="102"/>
        <v>#N/A</v>
      </c>
      <c r="AE120" t="e">
        <f t="shared" si="103"/>
        <v>#N/A</v>
      </c>
      <c r="AF120" t="e">
        <f t="shared" si="104"/>
        <v>#N/A</v>
      </c>
      <c r="AG120" t="e">
        <f t="shared" si="105"/>
        <v>#N/A</v>
      </c>
      <c r="AH120" t="e">
        <f t="shared" si="106"/>
        <v>#N/A</v>
      </c>
      <c r="AI120" t="e">
        <f t="shared" si="107"/>
        <v>#N/A</v>
      </c>
      <c r="AJ120" t="e">
        <f t="shared" si="108"/>
        <v>#N/A</v>
      </c>
      <c r="AK120" t="e">
        <f t="shared" si="109"/>
        <v>#N/A</v>
      </c>
      <c r="AL120" t="e">
        <f t="shared" si="110"/>
        <v>#N/A</v>
      </c>
      <c r="AM120" t="e">
        <f t="shared" si="111"/>
        <v>#N/A</v>
      </c>
      <c r="AN120" t="e">
        <f t="shared" si="112"/>
        <v>#N/A</v>
      </c>
      <c r="AO120" t="e">
        <f t="shared" si="113"/>
        <v>#N/A</v>
      </c>
      <c r="AP120" t="e">
        <f t="shared" si="114"/>
        <v>#N/A</v>
      </c>
      <c r="AQ120" t="e">
        <f t="shared" si="115"/>
        <v>#N/A</v>
      </c>
      <c r="AR120" t="e">
        <f t="shared" si="116"/>
        <v>#N/A</v>
      </c>
      <c r="AS120" t="e">
        <f t="shared" si="117"/>
        <v>#N/A</v>
      </c>
      <c r="AT120" t="e">
        <f t="shared" si="118"/>
        <v>#N/A</v>
      </c>
      <c r="AU120" t="e">
        <f t="shared" si="119"/>
        <v>#N/A</v>
      </c>
      <c r="AV120" t="e">
        <f t="shared" si="120"/>
        <v>#N/A</v>
      </c>
      <c r="AW120" t="e">
        <f t="shared" si="121"/>
        <v>#N/A</v>
      </c>
      <c r="AX120" t="e">
        <f t="shared" si="122"/>
        <v>#N/A</v>
      </c>
      <c r="AY120" t="e">
        <f t="shared" si="123"/>
        <v>#N/A</v>
      </c>
      <c r="BE120" t="e">
        <f>IF(Z120=1,IF(INDEX($C$7:$C$126,V120)&gt;=Gantt!$BF$6,NA(),MATCH(INDEX($C$7:$C$126,V120),Gantt!$J$6:$BE$6,1)),NA())</f>
        <v>#N/A</v>
      </c>
      <c r="BF120" t="e">
        <f>IF(Z120=1,IF((INDEX($D$7:$D$126,AA120)-1)&gt;=Gantt!$BF$6,NA(),IF((INDEX($D$7:$D$126,AA120)-1)&lt;Gantt!$J$6,0,MATCH((INDEX($D$7:$D$126,AA120)-1),Gantt!$J$6:$BE$6,1))),NA())</f>
        <v>#N/A</v>
      </c>
      <c r="BG120" t="e">
        <f t="shared" si="124"/>
        <v>#N/A</v>
      </c>
      <c r="BH120" t="e">
        <f t="shared" si="125"/>
        <v>#N/A</v>
      </c>
      <c r="BI120" t="e">
        <f t="shared" si="126"/>
        <v>#N/A</v>
      </c>
      <c r="BJ120" t="e">
        <f t="shared" si="127"/>
        <v>#N/A</v>
      </c>
      <c r="BK120" t="e">
        <f t="shared" si="128"/>
        <v>#N/A</v>
      </c>
      <c r="BL120" t="e">
        <f t="shared" si="129"/>
        <v>#N/A</v>
      </c>
      <c r="BM120" t="e">
        <f t="shared" si="130"/>
        <v>#N/A</v>
      </c>
      <c r="BN120" t="e">
        <f t="shared" si="131"/>
        <v>#N/A</v>
      </c>
      <c r="BO120" t="e">
        <f t="shared" si="132"/>
        <v>#N/A</v>
      </c>
      <c r="BP120" t="e">
        <f t="shared" si="133"/>
        <v>#N/A</v>
      </c>
      <c r="BQ120" t="e">
        <f t="shared" si="134"/>
        <v>#N/A</v>
      </c>
      <c r="BR120" t="e">
        <f t="shared" si="135"/>
        <v>#N/A</v>
      </c>
      <c r="BS120" t="e">
        <f t="shared" si="136"/>
        <v>#N/A</v>
      </c>
      <c r="BT120" t="e">
        <f t="shared" si="137"/>
        <v>#N/A</v>
      </c>
      <c r="BU120" t="e">
        <f t="shared" si="138"/>
        <v>#N/A</v>
      </c>
      <c r="BV120" t="e">
        <f t="shared" si="139"/>
        <v>#N/A</v>
      </c>
      <c r="BW120" t="e">
        <f t="shared" si="140"/>
        <v>#N/A</v>
      </c>
      <c r="BX120" t="e">
        <f t="shared" si="141"/>
        <v>#N/A</v>
      </c>
      <c r="BY120" t="e">
        <f t="shared" si="142"/>
        <v>#N/A</v>
      </c>
      <c r="BZ120" t="e">
        <f t="shared" si="143"/>
        <v>#N/A</v>
      </c>
      <c r="CA120" t="e">
        <f t="shared" si="144"/>
        <v>#N/A</v>
      </c>
      <c r="CB120" t="e">
        <f t="shared" si="145"/>
        <v>#N/A</v>
      </c>
      <c r="CC120" t="e">
        <f t="shared" si="146"/>
        <v>#N/A</v>
      </c>
      <c r="CD120" t="e">
        <f t="shared" si="147"/>
        <v>#N/A</v>
      </c>
      <c r="CE120" t="e">
        <f t="shared" si="148"/>
        <v>#N/A</v>
      </c>
      <c r="CF120" t="e">
        <f t="shared" si="149"/>
        <v>#N/A</v>
      </c>
      <c r="CG120" t="e">
        <f t="shared" si="150"/>
        <v>#N/A</v>
      </c>
      <c r="CI120" t="e">
        <f>AT44</f>
        <v>#N/A</v>
      </c>
      <c r="CJ120" t="e">
        <f>AU44</f>
        <v>#N/A</v>
      </c>
      <c r="CK120">
        <f>IF(ISNUMBER(CI120),IFERROR(MAX(0,AV44-CI120),0),0)</f>
        <v>0</v>
      </c>
      <c r="CL120">
        <f>IF(ISNUMBER(CI120),IFERROR(MAX(0,CI120-AV44),0),0)</f>
        <v>0</v>
      </c>
      <c r="CM120">
        <f>IF(ISNUMBER(CJ120),IFERROR(MAX(0,AW44-CJ120),0),0)</f>
        <v>0</v>
      </c>
      <c r="CN120">
        <f>IF(ISNUMBER(CJ120),IFERROR(MAX(0,CJ120-AW44),0),0)</f>
        <v>0</v>
      </c>
      <c r="CP120" t="e">
        <f>CB44</f>
        <v>#N/A</v>
      </c>
      <c r="CQ120" t="e">
        <f>CC44</f>
        <v>#N/A</v>
      </c>
      <c r="CR120">
        <f>IF(ISNUMBER(CP120),IFERROR(MAX(0,CD44-CP120),0),0)</f>
        <v>0</v>
      </c>
      <c r="CS120">
        <f>IF(ISNUMBER(CP120),IFERROR(MAX(0,CP120-CD44),0),0)</f>
        <v>0</v>
      </c>
      <c r="CT120">
        <f>IF(ISNUMBER(CQ120),IFERROR(MAX(0,CE44-CQ120),0),0)</f>
        <v>0</v>
      </c>
      <c r="CU120">
        <f>IF(ISNUMBER(CQ120),IFERROR(MAX(0,CQ120-CE44),0),0)</f>
        <v>0</v>
      </c>
    </row>
    <row r="121" spans="1:99" x14ac:dyDescent="0.3">
      <c r="A121">
        <v>115</v>
      </c>
      <c r="B121">
        <f>IF(A121&lt;=$B$2,IF(INDEX(Gantt!$A$7:$A$119,A121)&lt;&gt;"",1,0),0)</f>
        <v>0</v>
      </c>
      <c r="C121" t="e">
        <f>IF(B121=1,INDEX(Gantt!$C$7:$C$119,A121),NA())</f>
        <v>#N/A</v>
      </c>
      <c r="D121" t="e">
        <f>IF(B121=1,INDEX(Gantt!$D$7:$D$119,A121)+1,NA())</f>
        <v>#N/A</v>
      </c>
      <c r="E121">
        <f>IF(B121=1,INDEX(Gantt!$BN$7:$BN$119,A121),0)</f>
        <v>0</v>
      </c>
      <c r="F121">
        <f>IF(B121=1,N(INDEX(Gantt!$F$7:$F$119,A121)),0)</f>
        <v>0</v>
      </c>
      <c r="G121">
        <f t="shared" si="151"/>
        <v>0</v>
      </c>
      <c r="H121" t="e">
        <f t="shared" si="152"/>
        <v>#N/A</v>
      </c>
      <c r="I121" t="e">
        <f t="shared" si="153"/>
        <v>#N/A</v>
      </c>
      <c r="J121" t="e">
        <f t="shared" si="154"/>
        <v>#N/A</v>
      </c>
      <c r="K121" t="e">
        <f t="shared" si="155"/>
        <v>#N/A</v>
      </c>
      <c r="L121" t="e">
        <f t="shared" si="156"/>
        <v>#N/A</v>
      </c>
      <c r="M121" t="e">
        <f t="shared" si="157"/>
        <v>#N/A</v>
      </c>
      <c r="N121" t="e">
        <f t="shared" si="158"/>
        <v>#N/A</v>
      </c>
      <c r="O121" t="e">
        <f t="shared" si="159"/>
        <v>#N/A</v>
      </c>
      <c r="P121" t="e">
        <f t="shared" si="160"/>
        <v>#N/A</v>
      </c>
      <c r="Q121" t="str">
        <f>IF(B121=1,INDEX(Gantt!$A$7:$A$119,A121)&amp;"   "&amp;INDEX(Gantt!$B$7:$B$119,A121),"")</f>
        <v/>
      </c>
      <c r="R121" t="e">
        <f t="shared" si="161"/>
        <v>#N/A</v>
      </c>
      <c r="S121">
        <f t="shared" si="162"/>
        <v>0</v>
      </c>
      <c r="T121">
        <f t="shared" si="163"/>
        <v>0</v>
      </c>
      <c r="U121">
        <v>115</v>
      </c>
      <c r="V121">
        <f t="shared" si="95"/>
        <v>29</v>
      </c>
      <c r="W121">
        <f t="shared" si="96"/>
        <v>3</v>
      </c>
      <c r="X121">
        <f t="shared" si="97"/>
        <v>0</v>
      </c>
      <c r="Y121">
        <f>IF(X121&lt;&gt;1,9999,CHOOSE(W121,INDEX(Gantt!$BQ$7:$BQ$119,V121),INDEX(Gantt!$BR$7:$BR$119,V121),INDEX(Gantt!$BT$7:$BT$119,V121),INDEX(Gantt!$BU$7:$BU$119,V121)))</f>
        <v>9999</v>
      </c>
      <c r="Z121">
        <f t="shared" si="98"/>
        <v>0</v>
      </c>
      <c r="AA121" t="e">
        <f t="shared" si="99"/>
        <v>#N/A</v>
      </c>
      <c r="AB121" t="e">
        <f t="shared" si="100"/>
        <v>#N/A</v>
      </c>
      <c r="AC121" t="e">
        <f t="shared" si="101"/>
        <v>#N/A</v>
      </c>
      <c r="AD121" t="e">
        <f t="shared" si="102"/>
        <v>#N/A</v>
      </c>
      <c r="AE121" t="e">
        <f t="shared" si="103"/>
        <v>#N/A</v>
      </c>
      <c r="AF121" t="e">
        <f t="shared" si="104"/>
        <v>#N/A</v>
      </c>
      <c r="AG121" t="e">
        <f t="shared" si="105"/>
        <v>#N/A</v>
      </c>
      <c r="AH121" t="e">
        <f t="shared" si="106"/>
        <v>#N/A</v>
      </c>
      <c r="AI121" t="e">
        <f t="shared" si="107"/>
        <v>#N/A</v>
      </c>
      <c r="AJ121" t="e">
        <f t="shared" si="108"/>
        <v>#N/A</v>
      </c>
      <c r="AK121" t="e">
        <f t="shared" si="109"/>
        <v>#N/A</v>
      </c>
      <c r="AL121" t="e">
        <f t="shared" si="110"/>
        <v>#N/A</v>
      </c>
      <c r="AM121" t="e">
        <f t="shared" si="111"/>
        <v>#N/A</v>
      </c>
      <c r="AN121" t="e">
        <f t="shared" si="112"/>
        <v>#N/A</v>
      </c>
      <c r="AO121" t="e">
        <f t="shared" si="113"/>
        <v>#N/A</v>
      </c>
      <c r="AP121" t="e">
        <f t="shared" si="114"/>
        <v>#N/A</v>
      </c>
      <c r="AQ121" t="e">
        <f t="shared" si="115"/>
        <v>#N/A</v>
      </c>
      <c r="AR121" t="e">
        <f t="shared" si="116"/>
        <v>#N/A</v>
      </c>
      <c r="AS121" t="e">
        <f t="shared" si="117"/>
        <v>#N/A</v>
      </c>
      <c r="AT121" t="e">
        <f t="shared" si="118"/>
        <v>#N/A</v>
      </c>
      <c r="AU121" t="e">
        <f t="shared" si="119"/>
        <v>#N/A</v>
      </c>
      <c r="AV121" t="e">
        <f t="shared" si="120"/>
        <v>#N/A</v>
      </c>
      <c r="AW121" t="e">
        <f t="shared" si="121"/>
        <v>#N/A</v>
      </c>
      <c r="AX121" t="e">
        <f t="shared" si="122"/>
        <v>#N/A</v>
      </c>
      <c r="AY121" t="e">
        <f t="shared" si="123"/>
        <v>#N/A</v>
      </c>
      <c r="BE121" t="e">
        <f>IF(Z121=1,IF(INDEX($C$7:$C$126,V121)&gt;=Gantt!$BF$6,NA(),MATCH(INDEX($C$7:$C$126,V121),Gantt!$J$6:$BE$6,1)),NA())</f>
        <v>#N/A</v>
      </c>
      <c r="BF121" t="e">
        <f>IF(Z121=1,IF((INDEX($D$7:$D$126,AA121)-1)&gt;=Gantt!$BF$6,NA(),IF((INDEX($D$7:$D$126,AA121)-1)&lt;Gantt!$J$6,0,MATCH((INDEX($D$7:$D$126,AA121)-1),Gantt!$J$6:$BE$6,1))),NA())</f>
        <v>#N/A</v>
      </c>
      <c r="BG121" t="e">
        <f t="shared" si="124"/>
        <v>#N/A</v>
      </c>
      <c r="BH121" t="e">
        <f t="shared" si="125"/>
        <v>#N/A</v>
      </c>
      <c r="BI121" t="e">
        <f t="shared" si="126"/>
        <v>#N/A</v>
      </c>
      <c r="BJ121" t="e">
        <f t="shared" si="127"/>
        <v>#N/A</v>
      </c>
      <c r="BK121" t="e">
        <f t="shared" si="128"/>
        <v>#N/A</v>
      </c>
      <c r="BL121" t="e">
        <f t="shared" si="129"/>
        <v>#N/A</v>
      </c>
      <c r="BM121" t="e">
        <f t="shared" si="130"/>
        <v>#N/A</v>
      </c>
      <c r="BN121" t="e">
        <f t="shared" si="131"/>
        <v>#N/A</v>
      </c>
      <c r="BO121" t="e">
        <f t="shared" si="132"/>
        <v>#N/A</v>
      </c>
      <c r="BP121" t="e">
        <f t="shared" si="133"/>
        <v>#N/A</v>
      </c>
      <c r="BQ121" t="e">
        <f t="shared" si="134"/>
        <v>#N/A</v>
      </c>
      <c r="BR121" t="e">
        <f t="shared" si="135"/>
        <v>#N/A</v>
      </c>
      <c r="BS121" t="e">
        <f t="shared" si="136"/>
        <v>#N/A</v>
      </c>
      <c r="BT121" t="e">
        <f t="shared" si="137"/>
        <v>#N/A</v>
      </c>
      <c r="BU121" t="e">
        <f t="shared" si="138"/>
        <v>#N/A</v>
      </c>
      <c r="BV121" t="e">
        <f t="shared" si="139"/>
        <v>#N/A</v>
      </c>
      <c r="BW121" t="e">
        <f t="shared" si="140"/>
        <v>#N/A</v>
      </c>
      <c r="BX121" t="e">
        <f t="shared" si="141"/>
        <v>#N/A</v>
      </c>
      <c r="BY121" t="e">
        <f t="shared" si="142"/>
        <v>#N/A</v>
      </c>
      <c r="BZ121" t="e">
        <f t="shared" si="143"/>
        <v>#N/A</v>
      </c>
      <c r="CA121" t="e">
        <f t="shared" si="144"/>
        <v>#N/A</v>
      </c>
      <c r="CB121" t="e">
        <f t="shared" si="145"/>
        <v>#N/A</v>
      </c>
      <c r="CC121" t="e">
        <f t="shared" si="146"/>
        <v>#N/A</v>
      </c>
      <c r="CD121" t="e">
        <f t="shared" si="147"/>
        <v>#N/A</v>
      </c>
      <c r="CE121" t="e">
        <f t="shared" si="148"/>
        <v>#N/A</v>
      </c>
      <c r="CF121" t="e">
        <f t="shared" si="149"/>
        <v>#N/A</v>
      </c>
      <c r="CG121" t="e">
        <f t="shared" si="150"/>
        <v>#N/A</v>
      </c>
      <c r="CI121" t="e">
        <f>AL45</f>
        <v>#N/A</v>
      </c>
      <c r="CJ121" t="e">
        <f>AM45</f>
        <v>#N/A</v>
      </c>
      <c r="CK121">
        <f>IF(ISNUMBER(CI121),IFERROR(MAX(0,AN45-CI121),0),0)</f>
        <v>0</v>
      </c>
      <c r="CL121">
        <f>IF(ISNUMBER(CI121),IFERROR(MAX(0,CI121-AN45),0),0)</f>
        <v>0</v>
      </c>
      <c r="CM121">
        <f>IF(ISNUMBER(CJ121),IFERROR(MAX(0,AO45-CJ121),0),0)</f>
        <v>0</v>
      </c>
      <c r="CN121">
        <f>IF(ISNUMBER(CJ121),IFERROR(MAX(0,CJ121-AO45),0),0)</f>
        <v>0</v>
      </c>
      <c r="CP121" t="e">
        <f>BT45</f>
        <v>#N/A</v>
      </c>
      <c r="CQ121" t="e">
        <f>BU45</f>
        <v>#N/A</v>
      </c>
      <c r="CR121">
        <f>IF(ISNUMBER(CP121),IFERROR(MAX(0,BV45-CP121),0),0)</f>
        <v>0</v>
      </c>
      <c r="CS121">
        <f>IF(ISNUMBER(CP121),IFERROR(MAX(0,CP121-BV45),0),0)</f>
        <v>0</v>
      </c>
      <c r="CT121">
        <f>IF(ISNUMBER(CQ121),IFERROR(MAX(0,BW45-CQ121),0),0)</f>
        <v>0</v>
      </c>
      <c r="CU121">
        <f>IF(ISNUMBER(CQ121),IFERROR(MAX(0,CQ121-BW45),0),0)</f>
        <v>0</v>
      </c>
    </row>
    <row r="122" spans="1:99" x14ac:dyDescent="0.3">
      <c r="A122">
        <v>116</v>
      </c>
      <c r="B122">
        <f>IF(A122&lt;=$B$2,IF(INDEX(Gantt!$A$7:$A$119,A122)&lt;&gt;"",1,0),0)</f>
        <v>0</v>
      </c>
      <c r="C122" t="e">
        <f>IF(B122=1,INDEX(Gantt!$C$7:$C$119,A122),NA())</f>
        <v>#N/A</v>
      </c>
      <c r="D122" t="e">
        <f>IF(B122=1,INDEX(Gantt!$D$7:$D$119,A122)+1,NA())</f>
        <v>#N/A</v>
      </c>
      <c r="E122">
        <f>IF(B122=1,INDEX(Gantt!$BN$7:$BN$119,A122),0)</f>
        <v>0</v>
      </c>
      <c r="F122">
        <f>IF(B122=1,N(INDEX(Gantt!$F$7:$F$119,A122)),0)</f>
        <v>0</v>
      </c>
      <c r="G122">
        <f t="shared" si="151"/>
        <v>0</v>
      </c>
      <c r="H122" t="e">
        <f t="shared" si="152"/>
        <v>#N/A</v>
      </c>
      <c r="I122" t="e">
        <f t="shared" si="153"/>
        <v>#N/A</v>
      </c>
      <c r="J122" t="e">
        <f t="shared" si="154"/>
        <v>#N/A</v>
      </c>
      <c r="K122" t="e">
        <f t="shared" si="155"/>
        <v>#N/A</v>
      </c>
      <c r="L122" t="e">
        <f t="shared" si="156"/>
        <v>#N/A</v>
      </c>
      <c r="M122" t="e">
        <f t="shared" si="157"/>
        <v>#N/A</v>
      </c>
      <c r="N122" t="e">
        <f t="shared" si="158"/>
        <v>#N/A</v>
      </c>
      <c r="O122" t="e">
        <f t="shared" si="159"/>
        <v>#N/A</v>
      </c>
      <c r="P122" t="e">
        <f t="shared" si="160"/>
        <v>#N/A</v>
      </c>
      <c r="Q122" t="str">
        <f>IF(B122=1,INDEX(Gantt!$A$7:$A$119,A122)&amp;"   "&amp;INDEX(Gantt!$B$7:$B$119,A122),"")</f>
        <v/>
      </c>
      <c r="R122" t="e">
        <f t="shared" si="161"/>
        <v>#N/A</v>
      </c>
      <c r="S122">
        <f t="shared" si="162"/>
        <v>0</v>
      </c>
      <c r="T122">
        <f t="shared" si="163"/>
        <v>0</v>
      </c>
      <c r="U122">
        <v>116</v>
      </c>
      <c r="V122">
        <f t="shared" si="95"/>
        <v>29</v>
      </c>
      <c r="W122">
        <f t="shared" si="96"/>
        <v>4</v>
      </c>
      <c r="X122">
        <f t="shared" si="97"/>
        <v>0</v>
      </c>
      <c r="Y122">
        <f>IF(X122&lt;&gt;1,9999,CHOOSE(W122,INDEX(Gantt!$BQ$7:$BQ$119,V122),INDEX(Gantt!$BR$7:$BR$119,V122),INDEX(Gantt!$BT$7:$BT$119,V122),INDEX(Gantt!$BU$7:$BU$119,V122)))</f>
        <v>9999</v>
      </c>
      <c r="Z122">
        <f t="shared" si="98"/>
        <v>0</v>
      </c>
      <c r="AA122" t="e">
        <f t="shared" si="99"/>
        <v>#N/A</v>
      </c>
      <c r="AB122" t="e">
        <f t="shared" si="100"/>
        <v>#N/A</v>
      </c>
      <c r="AC122" t="e">
        <f t="shared" si="101"/>
        <v>#N/A</v>
      </c>
      <c r="AD122" t="e">
        <f t="shared" si="102"/>
        <v>#N/A</v>
      </c>
      <c r="AE122" t="e">
        <f t="shared" si="103"/>
        <v>#N/A</v>
      </c>
      <c r="AF122" t="e">
        <f t="shared" si="104"/>
        <v>#N/A</v>
      </c>
      <c r="AG122" t="e">
        <f t="shared" si="105"/>
        <v>#N/A</v>
      </c>
      <c r="AH122" t="e">
        <f t="shared" si="106"/>
        <v>#N/A</v>
      </c>
      <c r="AI122" t="e">
        <f t="shared" si="107"/>
        <v>#N/A</v>
      </c>
      <c r="AJ122" t="e">
        <f t="shared" si="108"/>
        <v>#N/A</v>
      </c>
      <c r="AK122" t="e">
        <f t="shared" si="109"/>
        <v>#N/A</v>
      </c>
      <c r="AL122" t="e">
        <f t="shared" si="110"/>
        <v>#N/A</v>
      </c>
      <c r="AM122" t="e">
        <f t="shared" si="111"/>
        <v>#N/A</v>
      </c>
      <c r="AN122" t="e">
        <f t="shared" si="112"/>
        <v>#N/A</v>
      </c>
      <c r="AO122" t="e">
        <f t="shared" si="113"/>
        <v>#N/A</v>
      </c>
      <c r="AP122" t="e">
        <f t="shared" si="114"/>
        <v>#N/A</v>
      </c>
      <c r="AQ122" t="e">
        <f t="shared" si="115"/>
        <v>#N/A</v>
      </c>
      <c r="AR122" t="e">
        <f t="shared" si="116"/>
        <v>#N/A</v>
      </c>
      <c r="AS122" t="e">
        <f t="shared" si="117"/>
        <v>#N/A</v>
      </c>
      <c r="AT122" t="e">
        <f t="shared" si="118"/>
        <v>#N/A</v>
      </c>
      <c r="AU122" t="e">
        <f t="shared" si="119"/>
        <v>#N/A</v>
      </c>
      <c r="AV122" t="e">
        <f t="shared" si="120"/>
        <v>#N/A</v>
      </c>
      <c r="AW122" t="e">
        <f t="shared" si="121"/>
        <v>#N/A</v>
      </c>
      <c r="AX122" t="e">
        <f t="shared" si="122"/>
        <v>#N/A</v>
      </c>
      <c r="AY122" t="e">
        <f t="shared" si="123"/>
        <v>#N/A</v>
      </c>
      <c r="BE122" t="e">
        <f>IF(Z122=1,IF(INDEX($C$7:$C$126,V122)&gt;=Gantt!$BF$6,NA(),MATCH(INDEX($C$7:$C$126,V122),Gantt!$J$6:$BE$6,1)),NA())</f>
        <v>#N/A</v>
      </c>
      <c r="BF122" t="e">
        <f>IF(Z122=1,IF((INDEX($D$7:$D$126,AA122)-1)&gt;=Gantt!$BF$6,NA(),IF((INDEX($D$7:$D$126,AA122)-1)&lt;Gantt!$J$6,0,MATCH((INDEX($D$7:$D$126,AA122)-1),Gantt!$J$6:$BE$6,1))),NA())</f>
        <v>#N/A</v>
      </c>
      <c r="BG122" t="e">
        <f t="shared" si="124"/>
        <v>#N/A</v>
      </c>
      <c r="BH122" t="e">
        <f t="shared" si="125"/>
        <v>#N/A</v>
      </c>
      <c r="BI122" t="e">
        <f t="shared" si="126"/>
        <v>#N/A</v>
      </c>
      <c r="BJ122" t="e">
        <f t="shared" si="127"/>
        <v>#N/A</v>
      </c>
      <c r="BK122" t="e">
        <f t="shared" si="128"/>
        <v>#N/A</v>
      </c>
      <c r="BL122" t="e">
        <f t="shared" si="129"/>
        <v>#N/A</v>
      </c>
      <c r="BM122" t="e">
        <f t="shared" si="130"/>
        <v>#N/A</v>
      </c>
      <c r="BN122" t="e">
        <f t="shared" si="131"/>
        <v>#N/A</v>
      </c>
      <c r="BO122" t="e">
        <f t="shared" si="132"/>
        <v>#N/A</v>
      </c>
      <c r="BP122" t="e">
        <f t="shared" si="133"/>
        <v>#N/A</v>
      </c>
      <c r="BQ122" t="e">
        <f t="shared" si="134"/>
        <v>#N/A</v>
      </c>
      <c r="BR122" t="e">
        <f t="shared" si="135"/>
        <v>#N/A</v>
      </c>
      <c r="BS122" t="e">
        <f t="shared" si="136"/>
        <v>#N/A</v>
      </c>
      <c r="BT122" t="e">
        <f t="shared" si="137"/>
        <v>#N/A</v>
      </c>
      <c r="BU122" t="e">
        <f t="shared" si="138"/>
        <v>#N/A</v>
      </c>
      <c r="BV122" t="e">
        <f t="shared" si="139"/>
        <v>#N/A</v>
      </c>
      <c r="BW122" t="e">
        <f t="shared" si="140"/>
        <v>#N/A</v>
      </c>
      <c r="BX122" t="e">
        <f t="shared" si="141"/>
        <v>#N/A</v>
      </c>
      <c r="BY122" t="e">
        <f t="shared" si="142"/>
        <v>#N/A</v>
      </c>
      <c r="BZ122" t="e">
        <f t="shared" si="143"/>
        <v>#N/A</v>
      </c>
      <c r="CA122" t="e">
        <f t="shared" si="144"/>
        <v>#N/A</v>
      </c>
      <c r="CB122" t="e">
        <f t="shared" si="145"/>
        <v>#N/A</v>
      </c>
      <c r="CC122" t="e">
        <f t="shared" si="146"/>
        <v>#N/A</v>
      </c>
      <c r="CD122" t="e">
        <f t="shared" si="147"/>
        <v>#N/A</v>
      </c>
      <c r="CE122" t="e">
        <f t="shared" si="148"/>
        <v>#N/A</v>
      </c>
      <c r="CF122" t="e">
        <f t="shared" si="149"/>
        <v>#N/A</v>
      </c>
      <c r="CG122" t="e">
        <f t="shared" si="150"/>
        <v>#N/A</v>
      </c>
      <c r="CI122" t="e">
        <f>AP45</f>
        <v>#N/A</v>
      </c>
      <c r="CJ122" t="e">
        <f>AQ45</f>
        <v>#N/A</v>
      </c>
      <c r="CK122">
        <f>IF(ISNUMBER(CI122),IFERROR(MAX(0,AR45-CI122),0),0)</f>
        <v>0</v>
      </c>
      <c r="CL122">
        <f>IF(ISNUMBER(CI122),IFERROR(MAX(0,CI122-AR45),0),0)</f>
        <v>0</v>
      </c>
      <c r="CM122">
        <f>IF(ISNUMBER(CJ122),IFERROR(MAX(0,AS45-CJ122),0),0)</f>
        <v>0</v>
      </c>
      <c r="CN122">
        <f>IF(ISNUMBER(CJ122),IFERROR(MAX(0,CJ122-AS45),0),0)</f>
        <v>0</v>
      </c>
      <c r="CP122" t="e">
        <f>BX45</f>
        <v>#N/A</v>
      </c>
      <c r="CQ122" t="e">
        <f>BY45</f>
        <v>#N/A</v>
      </c>
      <c r="CR122">
        <f>IF(ISNUMBER(CP122),IFERROR(MAX(0,BZ45-CP122),0),0)</f>
        <v>0</v>
      </c>
      <c r="CS122">
        <f>IF(ISNUMBER(CP122),IFERROR(MAX(0,CP122-BZ45),0),0)</f>
        <v>0</v>
      </c>
      <c r="CT122">
        <f>IF(ISNUMBER(CQ122),IFERROR(MAX(0,CA45-CQ122),0),0)</f>
        <v>0</v>
      </c>
      <c r="CU122">
        <f>IF(ISNUMBER(CQ122),IFERROR(MAX(0,CQ122-CA45),0),0)</f>
        <v>0</v>
      </c>
    </row>
    <row r="123" spans="1:99" x14ac:dyDescent="0.3">
      <c r="A123">
        <v>117</v>
      </c>
      <c r="B123">
        <f>IF(A123&lt;=$B$2,IF(INDEX(Gantt!$A$7:$A$119,A123)&lt;&gt;"",1,0),0)</f>
        <v>0</v>
      </c>
      <c r="C123" t="e">
        <f>IF(B123=1,INDEX(Gantt!$C$7:$C$119,A123),NA())</f>
        <v>#N/A</v>
      </c>
      <c r="D123" t="e">
        <f>IF(B123=1,INDEX(Gantt!$D$7:$D$119,A123)+1,NA())</f>
        <v>#N/A</v>
      </c>
      <c r="E123">
        <f>IF(B123=1,INDEX(Gantt!$BN$7:$BN$119,A123),0)</f>
        <v>0</v>
      </c>
      <c r="F123">
        <f>IF(B123=1,N(INDEX(Gantt!$F$7:$F$119,A123)),0)</f>
        <v>0</v>
      </c>
      <c r="G123">
        <f t="shared" si="151"/>
        <v>0</v>
      </c>
      <c r="H123" t="e">
        <f t="shared" si="152"/>
        <v>#N/A</v>
      </c>
      <c r="I123" t="e">
        <f t="shared" si="153"/>
        <v>#N/A</v>
      </c>
      <c r="J123" t="e">
        <f t="shared" si="154"/>
        <v>#N/A</v>
      </c>
      <c r="K123" t="e">
        <f t="shared" si="155"/>
        <v>#N/A</v>
      </c>
      <c r="L123" t="e">
        <f t="shared" si="156"/>
        <v>#N/A</v>
      </c>
      <c r="M123" t="e">
        <f t="shared" si="157"/>
        <v>#N/A</v>
      </c>
      <c r="N123" t="e">
        <f t="shared" si="158"/>
        <v>#N/A</v>
      </c>
      <c r="O123" t="e">
        <f t="shared" si="159"/>
        <v>#N/A</v>
      </c>
      <c r="P123" t="e">
        <f t="shared" si="160"/>
        <v>#N/A</v>
      </c>
      <c r="Q123" t="str">
        <f>IF(B123=1,INDEX(Gantt!$A$7:$A$119,A123)&amp;"   "&amp;INDEX(Gantt!$B$7:$B$119,A123),"")</f>
        <v/>
      </c>
      <c r="R123" t="e">
        <f t="shared" si="161"/>
        <v>#N/A</v>
      </c>
      <c r="S123">
        <f t="shared" si="162"/>
        <v>0</v>
      </c>
      <c r="T123">
        <f t="shared" si="163"/>
        <v>0</v>
      </c>
      <c r="U123">
        <v>117</v>
      </c>
      <c r="V123">
        <f t="shared" si="95"/>
        <v>30</v>
      </c>
      <c r="W123">
        <f t="shared" si="96"/>
        <v>1</v>
      </c>
      <c r="X123">
        <f t="shared" si="97"/>
        <v>0</v>
      </c>
      <c r="Y123">
        <f>IF(X123&lt;&gt;1,9999,CHOOSE(W123,INDEX(Gantt!$BQ$7:$BQ$119,V123),INDEX(Gantt!$BR$7:$BR$119,V123),INDEX(Gantt!$BT$7:$BT$119,V123),INDEX(Gantt!$BU$7:$BU$119,V123)))</f>
        <v>9999</v>
      </c>
      <c r="Z123">
        <f t="shared" si="98"/>
        <v>0</v>
      </c>
      <c r="AA123" t="e">
        <f t="shared" si="99"/>
        <v>#N/A</v>
      </c>
      <c r="AB123" t="e">
        <f t="shared" si="100"/>
        <v>#N/A</v>
      </c>
      <c r="AC123" t="e">
        <f t="shared" si="101"/>
        <v>#N/A</v>
      </c>
      <c r="AD123" t="e">
        <f t="shared" si="102"/>
        <v>#N/A</v>
      </c>
      <c r="AE123" t="e">
        <f t="shared" si="103"/>
        <v>#N/A</v>
      </c>
      <c r="AF123" t="e">
        <f t="shared" si="104"/>
        <v>#N/A</v>
      </c>
      <c r="AG123" t="e">
        <f t="shared" si="105"/>
        <v>#N/A</v>
      </c>
      <c r="AH123" t="e">
        <f t="shared" si="106"/>
        <v>#N/A</v>
      </c>
      <c r="AI123" t="e">
        <f t="shared" si="107"/>
        <v>#N/A</v>
      </c>
      <c r="AJ123" t="e">
        <f t="shared" si="108"/>
        <v>#N/A</v>
      </c>
      <c r="AK123" t="e">
        <f t="shared" si="109"/>
        <v>#N/A</v>
      </c>
      <c r="AL123" t="e">
        <f t="shared" si="110"/>
        <v>#N/A</v>
      </c>
      <c r="AM123" t="e">
        <f t="shared" si="111"/>
        <v>#N/A</v>
      </c>
      <c r="AN123" t="e">
        <f t="shared" si="112"/>
        <v>#N/A</v>
      </c>
      <c r="AO123" t="e">
        <f t="shared" si="113"/>
        <v>#N/A</v>
      </c>
      <c r="AP123" t="e">
        <f t="shared" si="114"/>
        <v>#N/A</v>
      </c>
      <c r="AQ123" t="e">
        <f t="shared" si="115"/>
        <v>#N/A</v>
      </c>
      <c r="AR123" t="e">
        <f t="shared" si="116"/>
        <v>#N/A</v>
      </c>
      <c r="AS123" t="e">
        <f t="shared" si="117"/>
        <v>#N/A</v>
      </c>
      <c r="AT123" t="e">
        <f t="shared" si="118"/>
        <v>#N/A</v>
      </c>
      <c r="AU123" t="e">
        <f t="shared" si="119"/>
        <v>#N/A</v>
      </c>
      <c r="AV123" t="e">
        <f t="shared" si="120"/>
        <v>#N/A</v>
      </c>
      <c r="AW123" t="e">
        <f t="shared" si="121"/>
        <v>#N/A</v>
      </c>
      <c r="AX123" t="e">
        <f t="shared" si="122"/>
        <v>#N/A</v>
      </c>
      <c r="AY123" t="e">
        <f t="shared" si="123"/>
        <v>#N/A</v>
      </c>
      <c r="BE123" t="e">
        <f>IF(Z123=1,IF(INDEX($C$7:$C$126,V123)&gt;=Gantt!$BF$6,NA(),MATCH(INDEX($C$7:$C$126,V123),Gantt!$J$6:$BE$6,1)),NA())</f>
        <v>#N/A</v>
      </c>
      <c r="BF123" t="e">
        <f>IF(Z123=1,IF((INDEX($D$7:$D$126,AA123)-1)&gt;=Gantt!$BF$6,NA(),IF((INDEX($D$7:$D$126,AA123)-1)&lt;Gantt!$J$6,0,MATCH((INDEX($D$7:$D$126,AA123)-1),Gantt!$J$6:$BE$6,1))),NA())</f>
        <v>#N/A</v>
      </c>
      <c r="BG123" t="e">
        <f t="shared" si="124"/>
        <v>#N/A</v>
      </c>
      <c r="BH123" t="e">
        <f t="shared" si="125"/>
        <v>#N/A</v>
      </c>
      <c r="BI123" t="e">
        <f t="shared" si="126"/>
        <v>#N/A</v>
      </c>
      <c r="BJ123" t="e">
        <f t="shared" si="127"/>
        <v>#N/A</v>
      </c>
      <c r="BK123" t="e">
        <f t="shared" si="128"/>
        <v>#N/A</v>
      </c>
      <c r="BL123" t="e">
        <f t="shared" si="129"/>
        <v>#N/A</v>
      </c>
      <c r="BM123" t="e">
        <f t="shared" si="130"/>
        <v>#N/A</v>
      </c>
      <c r="BN123" t="e">
        <f t="shared" si="131"/>
        <v>#N/A</v>
      </c>
      <c r="BO123" t="e">
        <f t="shared" si="132"/>
        <v>#N/A</v>
      </c>
      <c r="BP123" t="e">
        <f t="shared" si="133"/>
        <v>#N/A</v>
      </c>
      <c r="BQ123" t="e">
        <f t="shared" si="134"/>
        <v>#N/A</v>
      </c>
      <c r="BR123" t="e">
        <f t="shared" si="135"/>
        <v>#N/A</v>
      </c>
      <c r="BS123" t="e">
        <f t="shared" si="136"/>
        <v>#N/A</v>
      </c>
      <c r="BT123" t="e">
        <f t="shared" si="137"/>
        <v>#N/A</v>
      </c>
      <c r="BU123" t="e">
        <f t="shared" si="138"/>
        <v>#N/A</v>
      </c>
      <c r="BV123" t="e">
        <f t="shared" si="139"/>
        <v>#N/A</v>
      </c>
      <c r="BW123" t="e">
        <f t="shared" si="140"/>
        <v>#N/A</v>
      </c>
      <c r="BX123" t="e">
        <f t="shared" si="141"/>
        <v>#N/A</v>
      </c>
      <c r="BY123" t="e">
        <f t="shared" si="142"/>
        <v>#N/A</v>
      </c>
      <c r="BZ123" t="e">
        <f t="shared" si="143"/>
        <v>#N/A</v>
      </c>
      <c r="CA123" t="e">
        <f t="shared" si="144"/>
        <v>#N/A</v>
      </c>
      <c r="CB123" t="e">
        <f t="shared" si="145"/>
        <v>#N/A</v>
      </c>
      <c r="CC123" t="e">
        <f t="shared" si="146"/>
        <v>#N/A</v>
      </c>
      <c r="CD123" t="e">
        <f t="shared" si="147"/>
        <v>#N/A</v>
      </c>
      <c r="CE123" t="e">
        <f t="shared" si="148"/>
        <v>#N/A</v>
      </c>
      <c r="CF123" t="e">
        <f t="shared" si="149"/>
        <v>#N/A</v>
      </c>
      <c r="CG123" t="e">
        <f t="shared" si="150"/>
        <v>#N/A</v>
      </c>
      <c r="CI123" t="e">
        <f>AT45</f>
        <v>#N/A</v>
      </c>
      <c r="CJ123" t="e">
        <f>AU45</f>
        <v>#N/A</v>
      </c>
      <c r="CK123">
        <f>IF(ISNUMBER(CI123),IFERROR(MAX(0,AV45-CI123),0),0)</f>
        <v>0</v>
      </c>
      <c r="CL123">
        <f>IF(ISNUMBER(CI123),IFERROR(MAX(0,CI123-AV45),0),0)</f>
        <v>0</v>
      </c>
      <c r="CM123">
        <f>IF(ISNUMBER(CJ123),IFERROR(MAX(0,AW45-CJ123),0),0)</f>
        <v>0</v>
      </c>
      <c r="CN123">
        <f>IF(ISNUMBER(CJ123),IFERROR(MAX(0,CJ123-AW45),0),0)</f>
        <v>0</v>
      </c>
      <c r="CP123" t="e">
        <f>CB45</f>
        <v>#N/A</v>
      </c>
      <c r="CQ123" t="e">
        <f>CC45</f>
        <v>#N/A</v>
      </c>
      <c r="CR123">
        <f>IF(ISNUMBER(CP123),IFERROR(MAX(0,CD45-CP123),0),0)</f>
        <v>0</v>
      </c>
      <c r="CS123">
        <f>IF(ISNUMBER(CP123),IFERROR(MAX(0,CP123-CD45),0),0)</f>
        <v>0</v>
      </c>
      <c r="CT123">
        <f>IF(ISNUMBER(CQ123),IFERROR(MAX(0,CE45-CQ123),0),0)</f>
        <v>0</v>
      </c>
      <c r="CU123">
        <f>IF(ISNUMBER(CQ123),IFERROR(MAX(0,CQ123-CE45),0),0)</f>
        <v>0</v>
      </c>
    </row>
    <row r="124" spans="1:99" x14ac:dyDescent="0.3">
      <c r="A124">
        <v>118</v>
      </c>
      <c r="B124">
        <f>IF(A124&lt;=$B$2,IF(INDEX(Gantt!$A$7:$A$119,A124)&lt;&gt;"",1,0),0)</f>
        <v>0</v>
      </c>
      <c r="C124" t="e">
        <f>IF(B124=1,INDEX(Gantt!$C$7:$C$119,A124),NA())</f>
        <v>#N/A</v>
      </c>
      <c r="D124" t="e">
        <f>IF(B124=1,INDEX(Gantt!$D$7:$D$119,A124)+1,NA())</f>
        <v>#N/A</v>
      </c>
      <c r="E124">
        <f>IF(B124=1,INDEX(Gantt!$BN$7:$BN$119,A124),0)</f>
        <v>0</v>
      </c>
      <c r="F124">
        <f>IF(B124=1,N(INDEX(Gantt!$F$7:$F$119,A124)),0)</f>
        <v>0</v>
      </c>
      <c r="G124">
        <f t="shared" si="151"/>
        <v>0</v>
      </c>
      <c r="H124" t="e">
        <f t="shared" si="152"/>
        <v>#N/A</v>
      </c>
      <c r="I124" t="e">
        <f t="shared" si="153"/>
        <v>#N/A</v>
      </c>
      <c r="J124" t="e">
        <f t="shared" si="154"/>
        <v>#N/A</v>
      </c>
      <c r="K124" t="e">
        <f t="shared" si="155"/>
        <v>#N/A</v>
      </c>
      <c r="L124" t="e">
        <f t="shared" si="156"/>
        <v>#N/A</v>
      </c>
      <c r="M124" t="e">
        <f t="shared" si="157"/>
        <v>#N/A</v>
      </c>
      <c r="N124" t="e">
        <f t="shared" si="158"/>
        <v>#N/A</v>
      </c>
      <c r="O124" t="e">
        <f t="shared" si="159"/>
        <v>#N/A</v>
      </c>
      <c r="P124" t="e">
        <f t="shared" si="160"/>
        <v>#N/A</v>
      </c>
      <c r="Q124" t="str">
        <f>IF(B124=1,INDEX(Gantt!$A$7:$A$119,A124)&amp;"   "&amp;INDEX(Gantt!$B$7:$B$119,A124),"")</f>
        <v/>
      </c>
      <c r="R124" t="e">
        <f t="shared" si="161"/>
        <v>#N/A</v>
      </c>
      <c r="S124">
        <f t="shared" si="162"/>
        <v>0</v>
      </c>
      <c r="T124">
        <f t="shared" si="163"/>
        <v>0</v>
      </c>
      <c r="U124">
        <v>118</v>
      </c>
      <c r="V124">
        <f t="shared" si="95"/>
        <v>30</v>
      </c>
      <c r="W124">
        <f t="shared" si="96"/>
        <v>2</v>
      </c>
      <c r="X124">
        <f t="shared" si="97"/>
        <v>0</v>
      </c>
      <c r="Y124">
        <f>IF(X124&lt;&gt;1,9999,CHOOSE(W124,INDEX(Gantt!$BQ$7:$BQ$119,V124),INDEX(Gantt!$BR$7:$BR$119,V124),INDEX(Gantt!$BT$7:$BT$119,V124),INDEX(Gantt!$BU$7:$BU$119,V124)))</f>
        <v>9999</v>
      </c>
      <c r="Z124">
        <f t="shared" si="98"/>
        <v>0</v>
      </c>
      <c r="AA124" t="e">
        <f t="shared" si="99"/>
        <v>#N/A</v>
      </c>
      <c r="AB124" t="e">
        <f t="shared" si="100"/>
        <v>#N/A</v>
      </c>
      <c r="AC124" t="e">
        <f t="shared" si="101"/>
        <v>#N/A</v>
      </c>
      <c r="AD124" t="e">
        <f t="shared" si="102"/>
        <v>#N/A</v>
      </c>
      <c r="AE124" t="e">
        <f t="shared" si="103"/>
        <v>#N/A</v>
      </c>
      <c r="AF124" t="e">
        <f t="shared" si="104"/>
        <v>#N/A</v>
      </c>
      <c r="AG124" t="e">
        <f t="shared" si="105"/>
        <v>#N/A</v>
      </c>
      <c r="AH124" t="e">
        <f t="shared" si="106"/>
        <v>#N/A</v>
      </c>
      <c r="AI124" t="e">
        <f t="shared" si="107"/>
        <v>#N/A</v>
      </c>
      <c r="AJ124" t="e">
        <f t="shared" si="108"/>
        <v>#N/A</v>
      </c>
      <c r="AK124" t="e">
        <f t="shared" si="109"/>
        <v>#N/A</v>
      </c>
      <c r="AL124" t="e">
        <f t="shared" si="110"/>
        <v>#N/A</v>
      </c>
      <c r="AM124" t="e">
        <f t="shared" si="111"/>
        <v>#N/A</v>
      </c>
      <c r="AN124" t="e">
        <f t="shared" si="112"/>
        <v>#N/A</v>
      </c>
      <c r="AO124" t="e">
        <f t="shared" si="113"/>
        <v>#N/A</v>
      </c>
      <c r="AP124" t="e">
        <f t="shared" si="114"/>
        <v>#N/A</v>
      </c>
      <c r="AQ124" t="e">
        <f t="shared" si="115"/>
        <v>#N/A</v>
      </c>
      <c r="AR124" t="e">
        <f t="shared" si="116"/>
        <v>#N/A</v>
      </c>
      <c r="AS124" t="e">
        <f t="shared" si="117"/>
        <v>#N/A</v>
      </c>
      <c r="AT124" t="e">
        <f t="shared" si="118"/>
        <v>#N/A</v>
      </c>
      <c r="AU124" t="e">
        <f t="shared" si="119"/>
        <v>#N/A</v>
      </c>
      <c r="AV124" t="e">
        <f t="shared" si="120"/>
        <v>#N/A</v>
      </c>
      <c r="AW124" t="e">
        <f t="shared" si="121"/>
        <v>#N/A</v>
      </c>
      <c r="AX124" t="e">
        <f t="shared" si="122"/>
        <v>#N/A</v>
      </c>
      <c r="AY124" t="e">
        <f t="shared" si="123"/>
        <v>#N/A</v>
      </c>
      <c r="BE124" t="e">
        <f>IF(Z124=1,IF(INDEX($C$7:$C$126,V124)&gt;=Gantt!$BF$6,NA(),MATCH(INDEX($C$7:$C$126,V124),Gantt!$J$6:$BE$6,1)),NA())</f>
        <v>#N/A</v>
      </c>
      <c r="BF124" t="e">
        <f>IF(Z124=1,IF((INDEX($D$7:$D$126,AA124)-1)&gt;=Gantt!$BF$6,NA(),IF((INDEX($D$7:$D$126,AA124)-1)&lt;Gantt!$J$6,0,MATCH((INDEX($D$7:$D$126,AA124)-1),Gantt!$J$6:$BE$6,1))),NA())</f>
        <v>#N/A</v>
      </c>
      <c r="BG124" t="e">
        <f t="shared" si="124"/>
        <v>#N/A</v>
      </c>
      <c r="BH124" t="e">
        <f t="shared" si="125"/>
        <v>#N/A</v>
      </c>
      <c r="BI124" t="e">
        <f t="shared" si="126"/>
        <v>#N/A</v>
      </c>
      <c r="BJ124" t="e">
        <f t="shared" si="127"/>
        <v>#N/A</v>
      </c>
      <c r="BK124" t="e">
        <f t="shared" si="128"/>
        <v>#N/A</v>
      </c>
      <c r="BL124" t="e">
        <f t="shared" si="129"/>
        <v>#N/A</v>
      </c>
      <c r="BM124" t="e">
        <f t="shared" si="130"/>
        <v>#N/A</v>
      </c>
      <c r="BN124" t="e">
        <f t="shared" si="131"/>
        <v>#N/A</v>
      </c>
      <c r="BO124" t="e">
        <f t="shared" si="132"/>
        <v>#N/A</v>
      </c>
      <c r="BP124" t="e">
        <f t="shared" si="133"/>
        <v>#N/A</v>
      </c>
      <c r="BQ124" t="e">
        <f t="shared" si="134"/>
        <v>#N/A</v>
      </c>
      <c r="BR124" t="e">
        <f t="shared" si="135"/>
        <v>#N/A</v>
      </c>
      <c r="BS124" t="e">
        <f t="shared" si="136"/>
        <v>#N/A</v>
      </c>
      <c r="BT124" t="e">
        <f t="shared" si="137"/>
        <v>#N/A</v>
      </c>
      <c r="BU124" t="e">
        <f t="shared" si="138"/>
        <v>#N/A</v>
      </c>
      <c r="BV124" t="e">
        <f t="shared" si="139"/>
        <v>#N/A</v>
      </c>
      <c r="BW124" t="e">
        <f t="shared" si="140"/>
        <v>#N/A</v>
      </c>
      <c r="BX124" t="e">
        <f t="shared" si="141"/>
        <v>#N/A</v>
      </c>
      <c r="BY124" t="e">
        <f t="shared" si="142"/>
        <v>#N/A</v>
      </c>
      <c r="BZ124" t="e">
        <f t="shared" si="143"/>
        <v>#N/A</v>
      </c>
      <c r="CA124" t="e">
        <f t="shared" si="144"/>
        <v>#N/A</v>
      </c>
      <c r="CB124" t="e">
        <f t="shared" si="145"/>
        <v>#N/A</v>
      </c>
      <c r="CC124" t="e">
        <f t="shared" si="146"/>
        <v>#N/A</v>
      </c>
      <c r="CD124" t="e">
        <f t="shared" si="147"/>
        <v>#N/A</v>
      </c>
      <c r="CE124" t="e">
        <f t="shared" si="148"/>
        <v>#N/A</v>
      </c>
      <c r="CF124" t="e">
        <f t="shared" si="149"/>
        <v>#N/A</v>
      </c>
      <c r="CG124" t="e">
        <f t="shared" si="150"/>
        <v>#N/A</v>
      </c>
      <c r="CI124" t="e">
        <f>AL46</f>
        <v>#N/A</v>
      </c>
      <c r="CJ124" t="e">
        <f>AM46</f>
        <v>#N/A</v>
      </c>
      <c r="CK124">
        <f>IF(ISNUMBER(CI124),IFERROR(MAX(0,AN46-CI124),0),0)</f>
        <v>0</v>
      </c>
      <c r="CL124">
        <f>IF(ISNUMBER(CI124),IFERROR(MAX(0,CI124-AN46),0),0)</f>
        <v>0</v>
      </c>
      <c r="CM124">
        <f>IF(ISNUMBER(CJ124),IFERROR(MAX(0,AO46-CJ124),0),0)</f>
        <v>0</v>
      </c>
      <c r="CN124">
        <f>IF(ISNUMBER(CJ124),IFERROR(MAX(0,CJ124-AO46),0),0)</f>
        <v>0</v>
      </c>
      <c r="CP124" t="e">
        <f>BT46</f>
        <v>#N/A</v>
      </c>
      <c r="CQ124" t="e">
        <f>BU46</f>
        <v>#N/A</v>
      </c>
      <c r="CR124">
        <f>IF(ISNUMBER(CP124),IFERROR(MAX(0,BV46-CP124),0),0)</f>
        <v>0</v>
      </c>
      <c r="CS124">
        <f>IF(ISNUMBER(CP124),IFERROR(MAX(0,CP124-BV46),0),0)</f>
        <v>0</v>
      </c>
      <c r="CT124">
        <f>IF(ISNUMBER(CQ124),IFERROR(MAX(0,BW46-CQ124),0),0)</f>
        <v>0</v>
      </c>
      <c r="CU124">
        <f>IF(ISNUMBER(CQ124),IFERROR(MAX(0,CQ124-BW46),0),0)</f>
        <v>0</v>
      </c>
    </row>
    <row r="125" spans="1:99" x14ac:dyDescent="0.3">
      <c r="A125">
        <v>119</v>
      </c>
      <c r="B125">
        <f>IF(A125&lt;=$B$2,IF(INDEX(Gantt!$A$7:$A$119,A125)&lt;&gt;"",1,0),0)</f>
        <v>0</v>
      </c>
      <c r="C125" t="e">
        <f>IF(B125=1,INDEX(Gantt!$C$7:$C$119,A125),NA())</f>
        <v>#N/A</v>
      </c>
      <c r="D125" t="e">
        <f>IF(B125=1,INDEX(Gantt!$D$7:$D$119,A125)+1,NA())</f>
        <v>#N/A</v>
      </c>
      <c r="E125">
        <f>IF(B125=1,INDEX(Gantt!$BN$7:$BN$119,A125),0)</f>
        <v>0</v>
      </c>
      <c r="F125">
        <f>IF(B125=1,N(INDEX(Gantt!$F$7:$F$119,A125)),0)</f>
        <v>0</v>
      </c>
      <c r="G125">
        <f t="shared" si="151"/>
        <v>0</v>
      </c>
      <c r="H125" t="e">
        <f t="shared" si="152"/>
        <v>#N/A</v>
      </c>
      <c r="I125" t="e">
        <f t="shared" si="153"/>
        <v>#N/A</v>
      </c>
      <c r="J125" t="e">
        <f t="shared" si="154"/>
        <v>#N/A</v>
      </c>
      <c r="K125" t="e">
        <f t="shared" si="155"/>
        <v>#N/A</v>
      </c>
      <c r="L125" t="e">
        <f t="shared" si="156"/>
        <v>#N/A</v>
      </c>
      <c r="M125" t="e">
        <f t="shared" si="157"/>
        <v>#N/A</v>
      </c>
      <c r="N125" t="e">
        <f t="shared" si="158"/>
        <v>#N/A</v>
      </c>
      <c r="O125" t="e">
        <f t="shared" si="159"/>
        <v>#N/A</v>
      </c>
      <c r="P125" t="e">
        <f t="shared" si="160"/>
        <v>#N/A</v>
      </c>
      <c r="Q125" t="str">
        <f>IF(B125=1,INDEX(Gantt!$A$7:$A$119,A125)&amp;"   "&amp;INDEX(Gantt!$B$7:$B$119,A125),"")</f>
        <v/>
      </c>
      <c r="R125" t="e">
        <f t="shared" si="161"/>
        <v>#N/A</v>
      </c>
      <c r="S125">
        <f t="shared" si="162"/>
        <v>0</v>
      </c>
      <c r="T125">
        <f t="shared" si="163"/>
        <v>0</v>
      </c>
      <c r="U125">
        <v>119</v>
      </c>
      <c r="V125">
        <f t="shared" si="95"/>
        <v>30</v>
      </c>
      <c r="W125">
        <f t="shared" si="96"/>
        <v>3</v>
      </c>
      <c r="X125">
        <f t="shared" si="97"/>
        <v>0</v>
      </c>
      <c r="Y125">
        <f>IF(X125&lt;&gt;1,9999,CHOOSE(W125,INDEX(Gantt!$BQ$7:$BQ$119,V125),INDEX(Gantt!$BR$7:$BR$119,V125),INDEX(Gantt!$BT$7:$BT$119,V125),INDEX(Gantt!$BU$7:$BU$119,V125)))</f>
        <v>9999</v>
      </c>
      <c r="Z125">
        <f t="shared" si="98"/>
        <v>0</v>
      </c>
      <c r="AA125" t="e">
        <f t="shared" si="99"/>
        <v>#N/A</v>
      </c>
      <c r="AB125" t="e">
        <f t="shared" si="100"/>
        <v>#N/A</v>
      </c>
      <c r="AC125" t="e">
        <f t="shared" si="101"/>
        <v>#N/A</v>
      </c>
      <c r="AD125" t="e">
        <f t="shared" si="102"/>
        <v>#N/A</v>
      </c>
      <c r="AE125" t="e">
        <f t="shared" si="103"/>
        <v>#N/A</v>
      </c>
      <c r="AF125" t="e">
        <f t="shared" si="104"/>
        <v>#N/A</v>
      </c>
      <c r="AG125" t="e">
        <f t="shared" si="105"/>
        <v>#N/A</v>
      </c>
      <c r="AH125" t="e">
        <f t="shared" si="106"/>
        <v>#N/A</v>
      </c>
      <c r="AI125" t="e">
        <f t="shared" si="107"/>
        <v>#N/A</v>
      </c>
      <c r="AJ125" t="e">
        <f t="shared" si="108"/>
        <v>#N/A</v>
      </c>
      <c r="AK125" t="e">
        <f t="shared" si="109"/>
        <v>#N/A</v>
      </c>
      <c r="AL125" t="e">
        <f t="shared" si="110"/>
        <v>#N/A</v>
      </c>
      <c r="AM125" t="e">
        <f t="shared" si="111"/>
        <v>#N/A</v>
      </c>
      <c r="AN125" t="e">
        <f t="shared" si="112"/>
        <v>#N/A</v>
      </c>
      <c r="AO125" t="e">
        <f t="shared" si="113"/>
        <v>#N/A</v>
      </c>
      <c r="AP125" t="e">
        <f t="shared" si="114"/>
        <v>#N/A</v>
      </c>
      <c r="AQ125" t="e">
        <f t="shared" si="115"/>
        <v>#N/A</v>
      </c>
      <c r="AR125" t="e">
        <f t="shared" si="116"/>
        <v>#N/A</v>
      </c>
      <c r="AS125" t="e">
        <f t="shared" si="117"/>
        <v>#N/A</v>
      </c>
      <c r="AT125" t="e">
        <f t="shared" si="118"/>
        <v>#N/A</v>
      </c>
      <c r="AU125" t="e">
        <f t="shared" si="119"/>
        <v>#N/A</v>
      </c>
      <c r="AV125" t="e">
        <f t="shared" si="120"/>
        <v>#N/A</v>
      </c>
      <c r="AW125" t="e">
        <f t="shared" si="121"/>
        <v>#N/A</v>
      </c>
      <c r="AX125" t="e">
        <f t="shared" si="122"/>
        <v>#N/A</v>
      </c>
      <c r="AY125" t="e">
        <f t="shared" si="123"/>
        <v>#N/A</v>
      </c>
      <c r="BE125" t="e">
        <f>IF(Z125=1,IF(INDEX($C$7:$C$126,V125)&gt;=Gantt!$BF$6,NA(),MATCH(INDEX($C$7:$C$126,V125),Gantt!$J$6:$BE$6,1)),NA())</f>
        <v>#N/A</v>
      </c>
      <c r="BF125" t="e">
        <f>IF(Z125=1,IF((INDEX($D$7:$D$126,AA125)-1)&gt;=Gantt!$BF$6,NA(),IF((INDEX($D$7:$D$126,AA125)-1)&lt;Gantt!$J$6,0,MATCH((INDEX($D$7:$D$126,AA125)-1),Gantt!$J$6:$BE$6,1))),NA())</f>
        <v>#N/A</v>
      </c>
      <c r="BG125" t="e">
        <f t="shared" si="124"/>
        <v>#N/A</v>
      </c>
      <c r="BH125" t="e">
        <f t="shared" si="125"/>
        <v>#N/A</v>
      </c>
      <c r="BI125" t="e">
        <f t="shared" si="126"/>
        <v>#N/A</v>
      </c>
      <c r="BJ125" t="e">
        <f t="shared" si="127"/>
        <v>#N/A</v>
      </c>
      <c r="BK125" t="e">
        <f t="shared" si="128"/>
        <v>#N/A</v>
      </c>
      <c r="BL125" t="e">
        <f t="shared" si="129"/>
        <v>#N/A</v>
      </c>
      <c r="BM125" t="e">
        <f t="shared" si="130"/>
        <v>#N/A</v>
      </c>
      <c r="BN125" t="e">
        <f t="shared" si="131"/>
        <v>#N/A</v>
      </c>
      <c r="BO125" t="e">
        <f t="shared" si="132"/>
        <v>#N/A</v>
      </c>
      <c r="BP125" t="e">
        <f t="shared" si="133"/>
        <v>#N/A</v>
      </c>
      <c r="BQ125" t="e">
        <f t="shared" si="134"/>
        <v>#N/A</v>
      </c>
      <c r="BR125" t="e">
        <f t="shared" si="135"/>
        <v>#N/A</v>
      </c>
      <c r="BS125" t="e">
        <f t="shared" si="136"/>
        <v>#N/A</v>
      </c>
      <c r="BT125" t="e">
        <f t="shared" si="137"/>
        <v>#N/A</v>
      </c>
      <c r="BU125" t="e">
        <f t="shared" si="138"/>
        <v>#N/A</v>
      </c>
      <c r="BV125" t="e">
        <f t="shared" si="139"/>
        <v>#N/A</v>
      </c>
      <c r="BW125" t="e">
        <f t="shared" si="140"/>
        <v>#N/A</v>
      </c>
      <c r="BX125" t="e">
        <f t="shared" si="141"/>
        <v>#N/A</v>
      </c>
      <c r="BY125" t="e">
        <f t="shared" si="142"/>
        <v>#N/A</v>
      </c>
      <c r="BZ125" t="e">
        <f t="shared" si="143"/>
        <v>#N/A</v>
      </c>
      <c r="CA125" t="e">
        <f t="shared" si="144"/>
        <v>#N/A</v>
      </c>
      <c r="CB125" t="e">
        <f t="shared" si="145"/>
        <v>#N/A</v>
      </c>
      <c r="CC125" t="e">
        <f t="shared" si="146"/>
        <v>#N/A</v>
      </c>
      <c r="CD125" t="e">
        <f t="shared" si="147"/>
        <v>#N/A</v>
      </c>
      <c r="CE125" t="e">
        <f t="shared" si="148"/>
        <v>#N/A</v>
      </c>
      <c r="CF125" t="e">
        <f t="shared" si="149"/>
        <v>#N/A</v>
      </c>
      <c r="CG125" t="e">
        <f t="shared" si="150"/>
        <v>#N/A</v>
      </c>
      <c r="CI125" t="e">
        <f>AP46</f>
        <v>#N/A</v>
      </c>
      <c r="CJ125" t="e">
        <f>AQ46</f>
        <v>#N/A</v>
      </c>
      <c r="CK125">
        <f>IF(ISNUMBER(CI125),IFERROR(MAX(0,AR46-CI125),0),0)</f>
        <v>0</v>
      </c>
      <c r="CL125">
        <f>IF(ISNUMBER(CI125),IFERROR(MAX(0,CI125-AR46),0),0)</f>
        <v>0</v>
      </c>
      <c r="CM125">
        <f>IF(ISNUMBER(CJ125),IFERROR(MAX(0,AS46-CJ125),0),0)</f>
        <v>0</v>
      </c>
      <c r="CN125">
        <f>IF(ISNUMBER(CJ125),IFERROR(MAX(0,CJ125-AS46),0),0)</f>
        <v>0</v>
      </c>
      <c r="CP125" t="e">
        <f>BX46</f>
        <v>#N/A</v>
      </c>
      <c r="CQ125" t="e">
        <f>BY46</f>
        <v>#N/A</v>
      </c>
      <c r="CR125">
        <f>IF(ISNUMBER(CP125),IFERROR(MAX(0,BZ46-CP125),0),0)</f>
        <v>0</v>
      </c>
      <c r="CS125">
        <f>IF(ISNUMBER(CP125),IFERROR(MAX(0,CP125-BZ46),0),0)</f>
        <v>0</v>
      </c>
      <c r="CT125">
        <f>IF(ISNUMBER(CQ125),IFERROR(MAX(0,CA46-CQ125),0),0)</f>
        <v>0</v>
      </c>
      <c r="CU125">
        <f>IF(ISNUMBER(CQ125),IFERROR(MAX(0,CQ125-CA46),0),0)</f>
        <v>0</v>
      </c>
    </row>
    <row r="126" spans="1:99" x14ac:dyDescent="0.3">
      <c r="A126">
        <v>120</v>
      </c>
      <c r="B126">
        <f>IF(A126&lt;=$B$2,IF(INDEX(Gantt!$A$7:$A$119,A126)&lt;&gt;"",1,0),0)</f>
        <v>0</v>
      </c>
      <c r="C126" t="e">
        <f>IF(B126=1,INDEX(Gantt!$C$7:$C$119,A126),NA())</f>
        <v>#N/A</v>
      </c>
      <c r="D126" t="e">
        <f>IF(B126=1,INDEX(Gantt!$D$7:$D$119,A126)+1,NA())</f>
        <v>#N/A</v>
      </c>
      <c r="E126">
        <f>IF(B126=1,INDEX(Gantt!$BN$7:$BN$119,A126),0)</f>
        <v>0</v>
      </c>
      <c r="F126">
        <f>IF(B126=1,N(INDEX(Gantt!$F$7:$F$119,A126)),0)</f>
        <v>0</v>
      </c>
      <c r="G126">
        <f t="shared" si="151"/>
        <v>0</v>
      </c>
      <c r="H126" t="e">
        <f t="shared" si="152"/>
        <v>#N/A</v>
      </c>
      <c r="I126" t="e">
        <f t="shared" si="153"/>
        <v>#N/A</v>
      </c>
      <c r="J126" t="e">
        <f t="shared" si="154"/>
        <v>#N/A</v>
      </c>
      <c r="K126" t="e">
        <f t="shared" si="155"/>
        <v>#N/A</v>
      </c>
      <c r="L126" t="e">
        <f t="shared" si="156"/>
        <v>#N/A</v>
      </c>
      <c r="M126" t="e">
        <f t="shared" si="157"/>
        <v>#N/A</v>
      </c>
      <c r="N126" t="e">
        <f t="shared" si="158"/>
        <v>#N/A</v>
      </c>
      <c r="O126" t="e">
        <f t="shared" si="159"/>
        <v>#N/A</v>
      </c>
      <c r="P126" t="e">
        <f t="shared" si="160"/>
        <v>#N/A</v>
      </c>
      <c r="Q126" t="str">
        <f>IF(B126=1,INDEX(Gantt!$A$7:$A$119,A126)&amp;"   "&amp;INDEX(Gantt!$B$7:$B$119,A126),"")</f>
        <v/>
      </c>
      <c r="R126" t="e">
        <f t="shared" si="161"/>
        <v>#N/A</v>
      </c>
      <c r="S126">
        <f t="shared" si="162"/>
        <v>0</v>
      </c>
      <c r="T126">
        <f t="shared" si="163"/>
        <v>0</v>
      </c>
      <c r="U126">
        <v>120</v>
      </c>
      <c r="V126">
        <f t="shared" si="95"/>
        <v>30</v>
      </c>
      <c r="W126">
        <f t="shared" si="96"/>
        <v>4</v>
      </c>
      <c r="X126">
        <f t="shared" si="97"/>
        <v>0</v>
      </c>
      <c r="Y126">
        <f>IF(X126&lt;&gt;1,9999,CHOOSE(W126,INDEX(Gantt!$BQ$7:$BQ$119,V126),INDEX(Gantt!$BR$7:$BR$119,V126),INDEX(Gantt!$BT$7:$BT$119,V126),INDEX(Gantt!$BU$7:$BU$119,V126)))</f>
        <v>9999</v>
      </c>
      <c r="Z126">
        <f t="shared" si="98"/>
        <v>0</v>
      </c>
      <c r="AA126" t="e">
        <f t="shared" si="99"/>
        <v>#N/A</v>
      </c>
      <c r="AB126" t="e">
        <f t="shared" si="100"/>
        <v>#N/A</v>
      </c>
      <c r="AC126" t="e">
        <f t="shared" si="101"/>
        <v>#N/A</v>
      </c>
      <c r="AD126" t="e">
        <f t="shared" si="102"/>
        <v>#N/A</v>
      </c>
      <c r="AE126" t="e">
        <f t="shared" si="103"/>
        <v>#N/A</v>
      </c>
      <c r="AF126" t="e">
        <f t="shared" si="104"/>
        <v>#N/A</v>
      </c>
      <c r="AG126" t="e">
        <f t="shared" si="105"/>
        <v>#N/A</v>
      </c>
      <c r="AH126" t="e">
        <f t="shared" si="106"/>
        <v>#N/A</v>
      </c>
      <c r="AI126" t="e">
        <f t="shared" si="107"/>
        <v>#N/A</v>
      </c>
      <c r="AJ126" t="e">
        <f t="shared" si="108"/>
        <v>#N/A</v>
      </c>
      <c r="AK126" t="e">
        <f t="shared" si="109"/>
        <v>#N/A</v>
      </c>
      <c r="AL126" t="e">
        <f t="shared" si="110"/>
        <v>#N/A</v>
      </c>
      <c r="AM126" t="e">
        <f t="shared" si="111"/>
        <v>#N/A</v>
      </c>
      <c r="AN126" t="e">
        <f t="shared" si="112"/>
        <v>#N/A</v>
      </c>
      <c r="AO126" t="e">
        <f t="shared" si="113"/>
        <v>#N/A</v>
      </c>
      <c r="AP126" t="e">
        <f t="shared" si="114"/>
        <v>#N/A</v>
      </c>
      <c r="AQ126" t="e">
        <f t="shared" si="115"/>
        <v>#N/A</v>
      </c>
      <c r="AR126" t="e">
        <f t="shared" si="116"/>
        <v>#N/A</v>
      </c>
      <c r="AS126" t="e">
        <f t="shared" si="117"/>
        <v>#N/A</v>
      </c>
      <c r="AT126" t="e">
        <f t="shared" si="118"/>
        <v>#N/A</v>
      </c>
      <c r="AU126" t="e">
        <f t="shared" si="119"/>
        <v>#N/A</v>
      </c>
      <c r="AV126" t="e">
        <f t="shared" si="120"/>
        <v>#N/A</v>
      </c>
      <c r="AW126" t="e">
        <f t="shared" si="121"/>
        <v>#N/A</v>
      </c>
      <c r="AX126" t="e">
        <f t="shared" si="122"/>
        <v>#N/A</v>
      </c>
      <c r="AY126" t="e">
        <f t="shared" si="123"/>
        <v>#N/A</v>
      </c>
      <c r="BE126" t="e">
        <f>IF(Z126=1,IF(INDEX($C$7:$C$126,V126)&gt;=Gantt!$BF$6,NA(),MATCH(INDEX($C$7:$C$126,V126),Gantt!$J$6:$BE$6,1)),NA())</f>
        <v>#N/A</v>
      </c>
      <c r="BF126" t="e">
        <f>IF(Z126=1,IF((INDEX($D$7:$D$126,AA126)-1)&gt;=Gantt!$BF$6,NA(),IF((INDEX($D$7:$D$126,AA126)-1)&lt;Gantt!$J$6,0,MATCH((INDEX($D$7:$D$126,AA126)-1),Gantt!$J$6:$BE$6,1))),NA())</f>
        <v>#N/A</v>
      </c>
      <c r="BG126" t="e">
        <f t="shared" si="124"/>
        <v>#N/A</v>
      </c>
      <c r="BH126" t="e">
        <f t="shared" si="125"/>
        <v>#N/A</v>
      </c>
      <c r="BI126" t="e">
        <f t="shared" si="126"/>
        <v>#N/A</v>
      </c>
      <c r="BJ126" t="e">
        <f t="shared" si="127"/>
        <v>#N/A</v>
      </c>
      <c r="BK126" t="e">
        <f t="shared" si="128"/>
        <v>#N/A</v>
      </c>
      <c r="BL126" t="e">
        <f t="shared" si="129"/>
        <v>#N/A</v>
      </c>
      <c r="BM126" t="e">
        <f t="shared" si="130"/>
        <v>#N/A</v>
      </c>
      <c r="BN126" t="e">
        <f t="shared" si="131"/>
        <v>#N/A</v>
      </c>
      <c r="BO126" t="e">
        <f t="shared" si="132"/>
        <v>#N/A</v>
      </c>
      <c r="BP126" t="e">
        <f t="shared" si="133"/>
        <v>#N/A</v>
      </c>
      <c r="BQ126" t="e">
        <f t="shared" si="134"/>
        <v>#N/A</v>
      </c>
      <c r="BR126" t="e">
        <f t="shared" si="135"/>
        <v>#N/A</v>
      </c>
      <c r="BS126" t="e">
        <f t="shared" si="136"/>
        <v>#N/A</v>
      </c>
      <c r="BT126" t="e">
        <f t="shared" si="137"/>
        <v>#N/A</v>
      </c>
      <c r="BU126" t="e">
        <f t="shared" si="138"/>
        <v>#N/A</v>
      </c>
      <c r="BV126" t="e">
        <f t="shared" si="139"/>
        <v>#N/A</v>
      </c>
      <c r="BW126" t="e">
        <f t="shared" si="140"/>
        <v>#N/A</v>
      </c>
      <c r="BX126" t="e">
        <f t="shared" si="141"/>
        <v>#N/A</v>
      </c>
      <c r="BY126" t="e">
        <f t="shared" si="142"/>
        <v>#N/A</v>
      </c>
      <c r="BZ126" t="e">
        <f t="shared" si="143"/>
        <v>#N/A</v>
      </c>
      <c r="CA126" t="e">
        <f t="shared" si="144"/>
        <v>#N/A</v>
      </c>
      <c r="CB126" t="e">
        <f t="shared" si="145"/>
        <v>#N/A</v>
      </c>
      <c r="CC126" t="e">
        <f t="shared" si="146"/>
        <v>#N/A</v>
      </c>
      <c r="CD126" t="e">
        <f t="shared" si="147"/>
        <v>#N/A</v>
      </c>
      <c r="CE126" t="e">
        <f t="shared" si="148"/>
        <v>#N/A</v>
      </c>
      <c r="CF126" t="e">
        <f t="shared" si="149"/>
        <v>#N/A</v>
      </c>
      <c r="CG126" t="e">
        <f t="shared" si="150"/>
        <v>#N/A</v>
      </c>
      <c r="CI126" t="e">
        <f>AT46</f>
        <v>#N/A</v>
      </c>
      <c r="CJ126" t="e">
        <f>AU46</f>
        <v>#N/A</v>
      </c>
      <c r="CK126">
        <f>IF(ISNUMBER(CI126),IFERROR(MAX(0,AV46-CI126),0),0)</f>
        <v>0</v>
      </c>
      <c r="CL126">
        <f>IF(ISNUMBER(CI126),IFERROR(MAX(0,CI126-AV46),0),0)</f>
        <v>0</v>
      </c>
      <c r="CM126">
        <f>IF(ISNUMBER(CJ126),IFERROR(MAX(0,AW46-CJ126),0),0)</f>
        <v>0</v>
      </c>
      <c r="CN126">
        <f>IF(ISNUMBER(CJ126),IFERROR(MAX(0,CJ126-AW46),0),0)</f>
        <v>0</v>
      </c>
      <c r="CP126" t="e">
        <f>CB46</f>
        <v>#N/A</v>
      </c>
      <c r="CQ126" t="e">
        <f>CC46</f>
        <v>#N/A</v>
      </c>
      <c r="CR126">
        <f>IF(ISNUMBER(CP126),IFERROR(MAX(0,CD46-CP126),0),0)</f>
        <v>0</v>
      </c>
      <c r="CS126">
        <f>IF(ISNUMBER(CP126),IFERROR(MAX(0,CP126-CD46),0),0)</f>
        <v>0</v>
      </c>
      <c r="CT126">
        <f>IF(ISNUMBER(CQ126),IFERROR(MAX(0,CE46-CQ126),0),0)</f>
        <v>0</v>
      </c>
      <c r="CU126">
        <f>IF(ISNUMBER(CQ126),IFERROR(MAX(0,CQ126-CE46),0),0)</f>
        <v>0</v>
      </c>
    </row>
    <row r="127" spans="1:99" x14ac:dyDescent="0.3">
      <c r="U127">
        <v>121</v>
      </c>
      <c r="V127">
        <f t="shared" si="95"/>
        <v>31</v>
      </c>
      <c r="W127">
        <f t="shared" si="96"/>
        <v>1</v>
      </c>
      <c r="X127">
        <f t="shared" si="97"/>
        <v>0</v>
      </c>
      <c r="Y127">
        <f>IF(X127&lt;&gt;1,9999,CHOOSE(W127,INDEX(Gantt!$BQ$7:$BQ$119,V127),INDEX(Gantt!$BR$7:$BR$119,V127),INDEX(Gantt!$BT$7:$BT$119,V127),INDEX(Gantt!$BU$7:$BU$119,V127)))</f>
        <v>9999</v>
      </c>
      <c r="Z127">
        <f t="shared" si="98"/>
        <v>0</v>
      </c>
      <c r="AA127" t="e">
        <f t="shared" si="99"/>
        <v>#N/A</v>
      </c>
      <c r="AB127" t="e">
        <f t="shared" si="100"/>
        <v>#N/A</v>
      </c>
      <c r="AC127" t="e">
        <f t="shared" si="101"/>
        <v>#N/A</v>
      </c>
      <c r="AD127" t="e">
        <f t="shared" si="102"/>
        <v>#N/A</v>
      </c>
      <c r="AE127" t="e">
        <f t="shared" si="103"/>
        <v>#N/A</v>
      </c>
      <c r="AF127" t="e">
        <f t="shared" si="104"/>
        <v>#N/A</v>
      </c>
      <c r="AG127" t="e">
        <f t="shared" si="105"/>
        <v>#N/A</v>
      </c>
      <c r="AH127" t="e">
        <f t="shared" si="106"/>
        <v>#N/A</v>
      </c>
      <c r="AI127" t="e">
        <f t="shared" si="107"/>
        <v>#N/A</v>
      </c>
      <c r="AJ127" t="e">
        <f t="shared" si="108"/>
        <v>#N/A</v>
      </c>
      <c r="AK127" t="e">
        <f t="shared" si="109"/>
        <v>#N/A</v>
      </c>
      <c r="AL127" t="e">
        <f t="shared" si="110"/>
        <v>#N/A</v>
      </c>
      <c r="AM127" t="e">
        <f t="shared" si="111"/>
        <v>#N/A</v>
      </c>
      <c r="AN127" t="e">
        <f t="shared" si="112"/>
        <v>#N/A</v>
      </c>
      <c r="AO127" t="e">
        <f t="shared" si="113"/>
        <v>#N/A</v>
      </c>
      <c r="AP127" t="e">
        <f t="shared" si="114"/>
        <v>#N/A</v>
      </c>
      <c r="AQ127" t="e">
        <f t="shared" si="115"/>
        <v>#N/A</v>
      </c>
      <c r="AR127" t="e">
        <f t="shared" si="116"/>
        <v>#N/A</v>
      </c>
      <c r="AS127" t="e">
        <f t="shared" si="117"/>
        <v>#N/A</v>
      </c>
      <c r="AT127" t="e">
        <f t="shared" si="118"/>
        <v>#N/A</v>
      </c>
      <c r="AU127" t="e">
        <f t="shared" si="119"/>
        <v>#N/A</v>
      </c>
      <c r="AV127" t="e">
        <f t="shared" si="120"/>
        <v>#N/A</v>
      </c>
      <c r="AW127" t="e">
        <f t="shared" si="121"/>
        <v>#N/A</v>
      </c>
      <c r="AX127" t="e">
        <f t="shared" si="122"/>
        <v>#N/A</v>
      </c>
      <c r="AY127" t="e">
        <f t="shared" si="123"/>
        <v>#N/A</v>
      </c>
      <c r="BE127" t="e">
        <f>IF(Z127=1,IF(INDEX($C$7:$C$126,V127)&gt;=Gantt!$BF$6,NA(),MATCH(INDEX($C$7:$C$126,V127),Gantt!$J$6:$BE$6,1)),NA())</f>
        <v>#N/A</v>
      </c>
      <c r="BF127" t="e">
        <f>IF(Z127=1,IF((INDEX($D$7:$D$126,AA127)-1)&gt;=Gantt!$BF$6,NA(),IF((INDEX($D$7:$D$126,AA127)-1)&lt;Gantt!$J$6,0,MATCH((INDEX($D$7:$D$126,AA127)-1),Gantt!$J$6:$BE$6,1))),NA())</f>
        <v>#N/A</v>
      </c>
      <c r="BG127" t="e">
        <f t="shared" si="124"/>
        <v>#N/A</v>
      </c>
      <c r="BH127" t="e">
        <f t="shared" si="125"/>
        <v>#N/A</v>
      </c>
      <c r="BI127" t="e">
        <f t="shared" si="126"/>
        <v>#N/A</v>
      </c>
      <c r="BJ127" t="e">
        <f t="shared" si="127"/>
        <v>#N/A</v>
      </c>
      <c r="BK127" t="e">
        <f t="shared" si="128"/>
        <v>#N/A</v>
      </c>
      <c r="BL127" t="e">
        <f t="shared" si="129"/>
        <v>#N/A</v>
      </c>
      <c r="BM127" t="e">
        <f t="shared" si="130"/>
        <v>#N/A</v>
      </c>
      <c r="BN127" t="e">
        <f t="shared" si="131"/>
        <v>#N/A</v>
      </c>
      <c r="BO127" t="e">
        <f t="shared" si="132"/>
        <v>#N/A</v>
      </c>
      <c r="BP127" t="e">
        <f t="shared" si="133"/>
        <v>#N/A</v>
      </c>
      <c r="BQ127" t="e">
        <f t="shared" si="134"/>
        <v>#N/A</v>
      </c>
      <c r="BR127" t="e">
        <f t="shared" si="135"/>
        <v>#N/A</v>
      </c>
      <c r="BS127" t="e">
        <f t="shared" si="136"/>
        <v>#N/A</v>
      </c>
      <c r="BT127" t="e">
        <f t="shared" si="137"/>
        <v>#N/A</v>
      </c>
      <c r="BU127" t="e">
        <f t="shared" si="138"/>
        <v>#N/A</v>
      </c>
      <c r="BV127" t="e">
        <f t="shared" si="139"/>
        <v>#N/A</v>
      </c>
      <c r="BW127" t="e">
        <f t="shared" si="140"/>
        <v>#N/A</v>
      </c>
      <c r="BX127" t="e">
        <f t="shared" si="141"/>
        <v>#N/A</v>
      </c>
      <c r="BY127" t="e">
        <f t="shared" si="142"/>
        <v>#N/A</v>
      </c>
      <c r="BZ127" t="e">
        <f t="shared" si="143"/>
        <v>#N/A</v>
      </c>
      <c r="CA127" t="e">
        <f t="shared" si="144"/>
        <v>#N/A</v>
      </c>
      <c r="CB127" t="e">
        <f t="shared" si="145"/>
        <v>#N/A</v>
      </c>
      <c r="CC127" t="e">
        <f t="shared" si="146"/>
        <v>#N/A</v>
      </c>
      <c r="CD127" t="e">
        <f t="shared" si="147"/>
        <v>#N/A</v>
      </c>
      <c r="CE127" t="e">
        <f t="shared" si="148"/>
        <v>#N/A</v>
      </c>
      <c r="CF127" t="e">
        <f t="shared" si="149"/>
        <v>#N/A</v>
      </c>
      <c r="CG127" t="e">
        <f t="shared" si="150"/>
        <v>#N/A</v>
      </c>
      <c r="CI127" t="e">
        <f>AL47</f>
        <v>#N/A</v>
      </c>
      <c r="CJ127" t="e">
        <f>AM47</f>
        <v>#N/A</v>
      </c>
      <c r="CK127">
        <f>IF(ISNUMBER(CI127),IFERROR(MAX(0,AN47-CI127),0),0)</f>
        <v>0</v>
      </c>
      <c r="CL127">
        <f>IF(ISNUMBER(CI127),IFERROR(MAX(0,CI127-AN47),0),0)</f>
        <v>0</v>
      </c>
      <c r="CM127">
        <f>IF(ISNUMBER(CJ127),IFERROR(MAX(0,AO47-CJ127),0),0)</f>
        <v>0</v>
      </c>
      <c r="CN127">
        <f>IF(ISNUMBER(CJ127),IFERROR(MAX(0,CJ127-AO47),0),0)</f>
        <v>0</v>
      </c>
      <c r="CP127" t="e">
        <f>BT47</f>
        <v>#N/A</v>
      </c>
      <c r="CQ127" t="e">
        <f>BU47</f>
        <v>#N/A</v>
      </c>
      <c r="CR127">
        <f>IF(ISNUMBER(CP127),IFERROR(MAX(0,BV47-CP127),0),0)</f>
        <v>0</v>
      </c>
      <c r="CS127">
        <f>IF(ISNUMBER(CP127),IFERROR(MAX(0,CP127-BV47),0),0)</f>
        <v>0</v>
      </c>
      <c r="CT127">
        <f>IF(ISNUMBER(CQ127),IFERROR(MAX(0,BW47-CQ127),0),0)</f>
        <v>0</v>
      </c>
      <c r="CU127">
        <f>IF(ISNUMBER(CQ127),IFERROR(MAX(0,CQ127-BW47),0),0)</f>
        <v>0</v>
      </c>
    </row>
    <row r="128" spans="1:99" x14ac:dyDescent="0.3">
      <c r="U128">
        <v>122</v>
      </c>
      <c r="V128">
        <f t="shared" si="95"/>
        <v>31</v>
      </c>
      <c r="W128">
        <f t="shared" si="96"/>
        <v>2</v>
      </c>
      <c r="X128">
        <f t="shared" si="97"/>
        <v>0</v>
      </c>
      <c r="Y128">
        <f>IF(X128&lt;&gt;1,9999,CHOOSE(W128,INDEX(Gantt!$BQ$7:$BQ$119,V128),INDEX(Gantt!$BR$7:$BR$119,V128),INDEX(Gantt!$BT$7:$BT$119,V128),INDEX(Gantt!$BU$7:$BU$119,V128)))</f>
        <v>9999</v>
      </c>
      <c r="Z128">
        <f t="shared" si="98"/>
        <v>0</v>
      </c>
      <c r="AA128" t="e">
        <f t="shared" si="99"/>
        <v>#N/A</v>
      </c>
      <c r="AB128" t="e">
        <f t="shared" si="100"/>
        <v>#N/A</v>
      </c>
      <c r="AC128" t="e">
        <f t="shared" si="101"/>
        <v>#N/A</v>
      </c>
      <c r="AD128" t="e">
        <f t="shared" si="102"/>
        <v>#N/A</v>
      </c>
      <c r="AE128" t="e">
        <f t="shared" si="103"/>
        <v>#N/A</v>
      </c>
      <c r="AF128" t="e">
        <f t="shared" si="104"/>
        <v>#N/A</v>
      </c>
      <c r="AG128" t="e">
        <f t="shared" si="105"/>
        <v>#N/A</v>
      </c>
      <c r="AH128" t="e">
        <f t="shared" si="106"/>
        <v>#N/A</v>
      </c>
      <c r="AI128" t="e">
        <f t="shared" si="107"/>
        <v>#N/A</v>
      </c>
      <c r="AJ128" t="e">
        <f t="shared" si="108"/>
        <v>#N/A</v>
      </c>
      <c r="AK128" t="e">
        <f t="shared" si="109"/>
        <v>#N/A</v>
      </c>
      <c r="AL128" t="e">
        <f t="shared" si="110"/>
        <v>#N/A</v>
      </c>
      <c r="AM128" t="e">
        <f t="shared" si="111"/>
        <v>#N/A</v>
      </c>
      <c r="AN128" t="e">
        <f t="shared" si="112"/>
        <v>#N/A</v>
      </c>
      <c r="AO128" t="e">
        <f t="shared" si="113"/>
        <v>#N/A</v>
      </c>
      <c r="AP128" t="e">
        <f t="shared" si="114"/>
        <v>#N/A</v>
      </c>
      <c r="AQ128" t="e">
        <f t="shared" si="115"/>
        <v>#N/A</v>
      </c>
      <c r="AR128" t="e">
        <f t="shared" si="116"/>
        <v>#N/A</v>
      </c>
      <c r="AS128" t="e">
        <f t="shared" si="117"/>
        <v>#N/A</v>
      </c>
      <c r="AT128" t="e">
        <f t="shared" si="118"/>
        <v>#N/A</v>
      </c>
      <c r="AU128" t="e">
        <f t="shared" si="119"/>
        <v>#N/A</v>
      </c>
      <c r="AV128" t="e">
        <f t="shared" si="120"/>
        <v>#N/A</v>
      </c>
      <c r="AW128" t="e">
        <f t="shared" si="121"/>
        <v>#N/A</v>
      </c>
      <c r="AX128" t="e">
        <f t="shared" si="122"/>
        <v>#N/A</v>
      </c>
      <c r="AY128" t="e">
        <f t="shared" si="123"/>
        <v>#N/A</v>
      </c>
      <c r="BE128" t="e">
        <f>IF(Z128=1,IF(INDEX($C$7:$C$126,V128)&gt;=Gantt!$BF$6,NA(),MATCH(INDEX($C$7:$C$126,V128),Gantt!$J$6:$BE$6,1)),NA())</f>
        <v>#N/A</v>
      </c>
      <c r="BF128" t="e">
        <f>IF(Z128=1,IF((INDEX($D$7:$D$126,AA128)-1)&gt;=Gantt!$BF$6,NA(),IF((INDEX($D$7:$D$126,AA128)-1)&lt;Gantt!$J$6,0,MATCH((INDEX($D$7:$D$126,AA128)-1),Gantt!$J$6:$BE$6,1))),NA())</f>
        <v>#N/A</v>
      </c>
      <c r="BG128" t="e">
        <f t="shared" si="124"/>
        <v>#N/A</v>
      </c>
      <c r="BH128" t="e">
        <f t="shared" si="125"/>
        <v>#N/A</v>
      </c>
      <c r="BI128" t="e">
        <f t="shared" si="126"/>
        <v>#N/A</v>
      </c>
      <c r="BJ128" t="e">
        <f t="shared" si="127"/>
        <v>#N/A</v>
      </c>
      <c r="BK128" t="e">
        <f t="shared" si="128"/>
        <v>#N/A</v>
      </c>
      <c r="BL128" t="e">
        <f t="shared" si="129"/>
        <v>#N/A</v>
      </c>
      <c r="BM128" t="e">
        <f t="shared" si="130"/>
        <v>#N/A</v>
      </c>
      <c r="BN128" t="e">
        <f t="shared" si="131"/>
        <v>#N/A</v>
      </c>
      <c r="BO128" t="e">
        <f t="shared" si="132"/>
        <v>#N/A</v>
      </c>
      <c r="BP128" t="e">
        <f t="shared" si="133"/>
        <v>#N/A</v>
      </c>
      <c r="BQ128" t="e">
        <f t="shared" si="134"/>
        <v>#N/A</v>
      </c>
      <c r="BR128" t="e">
        <f t="shared" si="135"/>
        <v>#N/A</v>
      </c>
      <c r="BS128" t="e">
        <f t="shared" si="136"/>
        <v>#N/A</v>
      </c>
      <c r="BT128" t="e">
        <f t="shared" si="137"/>
        <v>#N/A</v>
      </c>
      <c r="BU128" t="e">
        <f t="shared" si="138"/>
        <v>#N/A</v>
      </c>
      <c r="BV128" t="e">
        <f t="shared" si="139"/>
        <v>#N/A</v>
      </c>
      <c r="BW128" t="e">
        <f t="shared" si="140"/>
        <v>#N/A</v>
      </c>
      <c r="BX128" t="e">
        <f t="shared" si="141"/>
        <v>#N/A</v>
      </c>
      <c r="BY128" t="e">
        <f t="shared" si="142"/>
        <v>#N/A</v>
      </c>
      <c r="BZ128" t="e">
        <f t="shared" si="143"/>
        <v>#N/A</v>
      </c>
      <c r="CA128" t="e">
        <f t="shared" si="144"/>
        <v>#N/A</v>
      </c>
      <c r="CB128" t="e">
        <f t="shared" si="145"/>
        <v>#N/A</v>
      </c>
      <c r="CC128" t="e">
        <f t="shared" si="146"/>
        <v>#N/A</v>
      </c>
      <c r="CD128" t="e">
        <f t="shared" si="147"/>
        <v>#N/A</v>
      </c>
      <c r="CE128" t="e">
        <f t="shared" si="148"/>
        <v>#N/A</v>
      </c>
      <c r="CF128" t="e">
        <f t="shared" si="149"/>
        <v>#N/A</v>
      </c>
      <c r="CG128" t="e">
        <f t="shared" si="150"/>
        <v>#N/A</v>
      </c>
      <c r="CI128" t="e">
        <f>AP47</f>
        <v>#N/A</v>
      </c>
      <c r="CJ128" t="e">
        <f>AQ47</f>
        <v>#N/A</v>
      </c>
      <c r="CK128">
        <f>IF(ISNUMBER(CI128),IFERROR(MAX(0,AR47-CI128),0),0)</f>
        <v>0</v>
      </c>
      <c r="CL128">
        <f>IF(ISNUMBER(CI128),IFERROR(MAX(0,CI128-AR47),0),0)</f>
        <v>0</v>
      </c>
      <c r="CM128">
        <f>IF(ISNUMBER(CJ128),IFERROR(MAX(0,AS47-CJ128),0),0)</f>
        <v>0</v>
      </c>
      <c r="CN128">
        <f>IF(ISNUMBER(CJ128),IFERROR(MAX(0,CJ128-AS47),0),0)</f>
        <v>0</v>
      </c>
      <c r="CP128" t="e">
        <f>BX47</f>
        <v>#N/A</v>
      </c>
      <c r="CQ128" t="e">
        <f>BY47</f>
        <v>#N/A</v>
      </c>
      <c r="CR128">
        <f>IF(ISNUMBER(CP128),IFERROR(MAX(0,BZ47-CP128),0),0)</f>
        <v>0</v>
      </c>
      <c r="CS128">
        <f>IF(ISNUMBER(CP128),IFERROR(MAX(0,CP128-BZ47),0),0)</f>
        <v>0</v>
      </c>
      <c r="CT128">
        <f>IF(ISNUMBER(CQ128),IFERROR(MAX(0,CA47-CQ128),0),0)</f>
        <v>0</v>
      </c>
      <c r="CU128">
        <f>IF(ISNUMBER(CQ128),IFERROR(MAX(0,CQ128-CA47),0),0)</f>
        <v>0</v>
      </c>
    </row>
    <row r="129" spans="21:99" x14ac:dyDescent="0.3">
      <c r="U129">
        <v>123</v>
      </c>
      <c r="V129">
        <f t="shared" si="95"/>
        <v>31</v>
      </c>
      <c r="W129">
        <f t="shared" si="96"/>
        <v>3</v>
      </c>
      <c r="X129">
        <f t="shared" si="97"/>
        <v>0</v>
      </c>
      <c r="Y129">
        <f>IF(X129&lt;&gt;1,9999,CHOOSE(W129,INDEX(Gantt!$BQ$7:$BQ$119,V129),INDEX(Gantt!$BR$7:$BR$119,V129),INDEX(Gantt!$BT$7:$BT$119,V129),INDEX(Gantt!$BU$7:$BU$119,V129)))</f>
        <v>9999</v>
      </c>
      <c r="Z129">
        <f t="shared" si="98"/>
        <v>0</v>
      </c>
      <c r="AA129" t="e">
        <f t="shared" si="99"/>
        <v>#N/A</v>
      </c>
      <c r="AB129" t="e">
        <f t="shared" si="100"/>
        <v>#N/A</v>
      </c>
      <c r="AC129" t="e">
        <f t="shared" si="101"/>
        <v>#N/A</v>
      </c>
      <c r="AD129" t="e">
        <f t="shared" si="102"/>
        <v>#N/A</v>
      </c>
      <c r="AE129" t="e">
        <f t="shared" si="103"/>
        <v>#N/A</v>
      </c>
      <c r="AF129" t="e">
        <f t="shared" si="104"/>
        <v>#N/A</v>
      </c>
      <c r="AG129" t="e">
        <f t="shared" si="105"/>
        <v>#N/A</v>
      </c>
      <c r="AH129" t="e">
        <f t="shared" si="106"/>
        <v>#N/A</v>
      </c>
      <c r="AI129" t="e">
        <f t="shared" si="107"/>
        <v>#N/A</v>
      </c>
      <c r="AJ129" t="e">
        <f t="shared" si="108"/>
        <v>#N/A</v>
      </c>
      <c r="AK129" t="e">
        <f t="shared" si="109"/>
        <v>#N/A</v>
      </c>
      <c r="AL129" t="e">
        <f t="shared" si="110"/>
        <v>#N/A</v>
      </c>
      <c r="AM129" t="e">
        <f t="shared" si="111"/>
        <v>#N/A</v>
      </c>
      <c r="AN129" t="e">
        <f t="shared" si="112"/>
        <v>#N/A</v>
      </c>
      <c r="AO129" t="e">
        <f t="shared" si="113"/>
        <v>#N/A</v>
      </c>
      <c r="AP129" t="e">
        <f t="shared" si="114"/>
        <v>#N/A</v>
      </c>
      <c r="AQ129" t="e">
        <f t="shared" si="115"/>
        <v>#N/A</v>
      </c>
      <c r="AR129" t="e">
        <f t="shared" si="116"/>
        <v>#N/A</v>
      </c>
      <c r="AS129" t="e">
        <f t="shared" si="117"/>
        <v>#N/A</v>
      </c>
      <c r="AT129" t="e">
        <f t="shared" si="118"/>
        <v>#N/A</v>
      </c>
      <c r="AU129" t="e">
        <f t="shared" si="119"/>
        <v>#N/A</v>
      </c>
      <c r="AV129" t="e">
        <f t="shared" si="120"/>
        <v>#N/A</v>
      </c>
      <c r="AW129" t="e">
        <f t="shared" si="121"/>
        <v>#N/A</v>
      </c>
      <c r="AX129" t="e">
        <f t="shared" si="122"/>
        <v>#N/A</v>
      </c>
      <c r="AY129" t="e">
        <f t="shared" si="123"/>
        <v>#N/A</v>
      </c>
      <c r="BE129" t="e">
        <f>IF(Z129=1,IF(INDEX($C$7:$C$126,V129)&gt;=Gantt!$BF$6,NA(),MATCH(INDEX($C$7:$C$126,V129),Gantt!$J$6:$BE$6,1)),NA())</f>
        <v>#N/A</v>
      </c>
      <c r="BF129" t="e">
        <f>IF(Z129=1,IF((INDEX($D$7:$D$126,AA129)-1)&gt;=Gantt!$BF$6,NA(),IF((INDEX($D$7:$D$126,AA129)-1)&lt;Gantt!$J$6,0,MATCH((INDEX($D$7:$D$126,AA129)-1),Gantt!$J$6:$BE$6,1))),NA())</f>
        <v>#N/A</v>
      </c>
      <c r="BG129" t="e">
        <f t="shared" si="124"/>
        <v>#N/A</v>
      </c>
      <c r="BH129" t="e">
        <f t="shared" si="125"/>
        <v>#N/A</v>
      </c>
      <c r="BI129" t="e">
        <f t="shared" si="126"/>
        <v>#N/A</v>
      </c>
      <c r="BJ129" t="e">
        <f t="shared" si="127"/>
        <v>#N/A</v>
      </c>
      <c r="BK129" t="e">
        <f t="shared" si="128"/>
        <v>#N/A</v>
      </c>
      <c r="BL129" t="e">
        <f t="shared" si="129"/>
        <v>#N/A</v>
      </c>
      <c r="BM129" t="e">
        <f t="shared" si="130"/>
        <v>#N/A</v>
      </c>
      <c r="BN129" t="e">
        <f t="shared" si="131"/>
        <v>#N/A</v>
      </c>
      <c r="BO129" t="e">
        <f t="shared" si="132"/>
        <v>#N/A</v>
      </c>
      <c r="BP129" t="e">
        <f t="shared" si="133"/>
        <v>#N/A</v>
      </c>
      <c r="BQ129" t="e">
        <f t="shared" si="134"/>
        <v>#N/A</v>
      </c>
      <c r="BR129" t="e">
        <f t="shared" si="135"/>
        <v>#N/A</v>
      </c>
      <c r="BS129" t="e">
        <f t="shared" si="136"/>
        <v>#N/A</v>
      </c>
      <c r="BT129" t="e">
        <f t="shared" si="137"/>
        <v>#N/A</v>
      </c>
      <c r="BU129" t="e">
        <f t="shared" si="138"/>
        <v>#N/A</v>
      </c>
      <c r="BV129" t="e">
        <f t="shared" si="139"/>
        <v>#N/A</v>
      </c>
      <c r="BW129" t="e">
        <f t="shared" si="140"/>
        <v>#N/A</v>
      </c>
      <c r="BX129" t="e">
        <f t="shared" si="141"/>
        <v>#N/A</v>
      </c>
      <c r="BY129" t="e">
        <f t="shared" si="142"/>
        <v>#N/A</v>
      </c>
      <c r="BZ129" t="e">
        <f t="shared" si="143"/>
        <v>#N/A</v>
      </c>
      <c r="CA129" t="e">
        <f t="shared" si="144"/>
        <v>#N/A</v>
      </c>
      <c r="CB129" t="e">
        <f t="shared" si="145"/>
        <v>#N/A</v>
      </c>
      <c r="CC129" t="e">
        <f t="shared" si="146"/>
        <v>#N/A</v>
      </c>
      <c r="CD129" t="e">
        <f t="shared" si="147"/>
        <v>#N/A</v>
      </c>
      <c r="CE129" t="e">
        <f t="shared" si="148"/>
        <v>#N/A</v>
      </c>
      <c r="CF129" t="e">
        <f t="shared" si="149"/>
        <v>#N/A</v>
      </c>
      <c r="CG129" t="e">
        <f t="shared" si="150"/>
        <v>#N/A</v>
      </c>
      <c r="CI129" t="e">
        <f>AT47</f>
        <v>#N/A</v>
      </c>
      <c r="CJ129" t="e">
        <f>AU47</f>
        <v>#N/A</v>
      </c>
      <c r="CK129">
        <f>IF(ISNUMBER(CI129),IFERROR(MAX(0,AV47-CI129),0),0)</f>
        <v>0</v>
      </c>
      <c r="CL129">
        <f>IF(ISNUMBER(CI129),IFERROR(MAX(0,CI129-AV47),0),0)</f>
        <v>0</v>
      </c>
      <c r="CM129">
        <f>IF(ISNUMBER(CJ129),IFERROR(MAX(0,AW47-CJ129),0),0)</f>
        <v>0</v>
      </c>
      <c r="CN129">
        <f>IF(ISNUMBER(CJ129),IFERROR(MAX(0,CJ129-AW47),0),0)</f>
        <v>0</v>
      </c>
      <c r="CP129" t="e">
        <f>CB47</f>
        <v>#N/A</v>
      </c>
      <c r="CQ129" t="e">
        <f>CC47</f>
        <v>#N/A</v>
      </c>
      <c r="CR129">
        <f>IF(ISNUMBER(CP129),IFERROR(MAX(0,CD47-CP129),0),0)</f>
        <v>0</v>
      </c>
      <c r="CS129">
        <f>IF(ISNUMBER(CP129),IFERROR(MAX(0,CP129-CD47),0),0)</f>
        <v>0</v>
      </c>
      <c r="CT129">
        <f>IF(ISNUMBER(CQ129),IFERROR(MAX(0,CE47-CQ129),0),0)</f>
        <v>0</v>
      </c>
      <c r="CU129">
        <f>IF(ISNUMBER(CQ129),IFERROR(MAX(0,CQ129-CE47),0),0)</f>
        <v>0</v>
      </c>
    </row>
    <row r="130" spans="21:99" x14ac:dyDescent="0.3">
      <c r="U130">
        <v>124</v>
      </c>
      <c r="V130">
        <f t="shared" si="95"/>
        <v>31</v>
      </c>
      <c r="W130">
        <f t="shared" si="96"/>
        <v>4</v>
      </c>
      <c r="X130">
        <f t="shared" si="97"/>
        <v>0</v>
      </c>
      <c r="Y130">
        <f>IF(X130&lt;&gt;1,9999,CHOOSE(W130,INDEX(Gantt!$BQ$7:$BQ$119,V130),INDEX(Gantt!$BR$7:$BR$119,V130),INDEX(Gantt!$BT$7:$BT$119,V130),INDEX(Gantt!$BU$7:$BU$119,V130)))</f>
        <v>9999</v>
      </c>
      <c r="Z130">
        <f t="shared" si="98"/>
        <v>0</v>
      </c>
      <c r="AA130" t="e">
        <f t="shared" si="99"/>
        <v>#N/A</v>
      </c>
      <c r="AB130" t="e">
        <f t="shared" si="100"/>
        <v>#N/A</v>
      </c>
      <c r="AC130" t="e">
        <f t="shared" si="101"/>
        <v>#N/A</v>
      </c>
      <c r="AD130" t="e">
        <f t="shared" si="102"/>
        <v>#N/A</v>
      </c>
      <c r="AE130" t="e">
        <f t="shared" si="103"/>
        <v>#N/A</v>
      </c>
      <c r="AF130" t="e">
        <f t="shared" si="104"/>
        <v>#N/A</v>
      </c>
      <c r="AG130" t="e">
        <f t="shared" si="105"/>
        <v>#N/A</v>
      </c>
      <c r="AH130" t="e">
        <f t="shared" si="106"/>
        <v>#N/A</v>
      </c>
      <c r="AI130" t="e">
        <f t="shared" si="107"/>
        <v>#N/A</v>
      </c>
      <c r="AJ130" t="e">
        <f t="shared" si="108"/>
        <v>#N/A</v>
      </c>
      <c r="AK130" t="e">
        <f t="shared" si="109"/>
        <v>#N/A</v>
      </c>
      <c r="AL130" t="e">
        <f t="shared" si="110"/>
        <v>#N/A</v>
      </c>
      <c r="AM130" t="e">
        <f t="shared" si="111"/>
        <v>#N/A</v>
      </c>
      <c r="AN130" t="e">
        <f t="shared" si="112"/>
        <v>#N/A</v>
      </c>
      <c r="AO130" t="e">
        <f t="shared" si="113"/>
        <v>#N/A</v>
      </c>
      <c r="AP130" t="e">
        <f t="shared" si="114"/>
        <v>#N/A</v>
      </c>
      <c r="AQ130" t="e">
        <f t="shared" si="115"/>
        <v>#N/A</v>
      </c>
      <c r="AR130" t="e">
        <f t="shared" si="116"/>
        <v>#N/A</v>
      </c>
      <c r="AS130" t="e">
        <f t="shared" si="117"/>
        <v>#N/A</v>
      </c>
      <c r="AT130" t="e">
        <f t="shared" si="118"/>
        <v>#N/A</v>
      </c>
      <c r="AU130" t="e">
        <f t="shared" si="119"/>
        <v>#N/A</v>
      </c>
      <c r="AV130" t="e">
        <f t="shared" si="120"/>
        <v>#N/A</v>
      </c>
      <c r="AW130" t="e">
        <f t="shared" si="121"/>
        <v>#N/A</v>
      </c>
      <c r="AX130" t="e">
        <f t="shared" si="122"/>
        <v>#N/A</v>
      </c>
      <c r="AY130" t="e">
        <f t="shared" si="123"/>
        <v>#N/A</v>
      </c>
      <c r="BE130" t="e">
        <f>IF(Z130=1,IF(INDEX($C$7:$C$126,V130)&gt;=Gantt!$BF$6,NA(),MATCH(INDEX($C$7:$C$126,V130),Gantt!$J$6:$BE$6,1)),NA())</f>
        <v>#N/A</v>
      </c>
      <c r="BF130" t="e">
        <f>IF(Z130=1,IF((INDEX($D$7:$D$126,AA130)-1)&gt;=Gantt!$BF$6,NA(),IF((INDEX($D$7:$D$126,AA130)-1)&lt;Gantt!$J$6,0,MATCH((INDEX($D$7:$D$126,AA130)-1),Gantt!$J$6:$BE$6,1))),NA())</f>
        <v>#N/A</v>
      </c>
      <c r="BG130" t="e">
        <f t="shared" si="124"/>
        <v>#N/A</v>
      </c>
      <c r="BH130" t="e">
        <f t="shared" si="125"/>
        <v>#N/A</v>
      </c>
      <c r="BI130" t="e">
        <f t="shared" si="126"/>
        <v>#N/A</v>
      </c>
      <c r="BJ130" t="e">
        <f t="shared" si="127"/>
        <v>#N/A</v>
      </c>
      <c r="BK130" t="e">
        <f t="shared" si="128"/>
        <v>#N/A</v>
      </c>
      <c r="BL130" t="e">
        <f t="shared" si="129"/>
        <v>#N/A</v>
      </c>
      <c r="BM130" t="e">
        <f t="shared" si="130"/>
        <v>#N/A</v>
      </c>
      <c r="BN130" t="e">
        <f t="shared" si="131"/>
        <v>#N/A</v>
      </c>
      <c r="BO130" t="e">
        <f t="shared" si="132"/>
        <v>#N/A</v>
      </c>
      <c r="BP130" t="e">
        <f t="shared" si="133"/>
        <v>#N/A</v>
      </c>
      <c r="BQ130" t="e">
        <f t="shared" si="134"/>
        <v>#N/A</v>
      </c>
      <c r="BR130" t="e">
        <f t="shared" si="135"/>
        <v>#N/A</v>
      </c>
      <c r="BS130" t="e">
        <f t="shared" si="136"/>
        <v>#N/A</v>
      </c>
      <c r="BT130" t="e">
        <f t="shared" si="137"/>
        <v>#N/A</v>
      </c>
      <c r="BU130" t="e">
        <f t="shared" si="138"/>
        <v>#N/A</v>
      </c>
      <c r="BV130" t="e">
        <f t="shared" si="139"/>
        <v>#N/A</v>
      </c>
      <c r="BW130" t="e">
        <f t="shared" si="140"/>
        <v>#N/A</v>
      </c>
      <c r="BX130" t="e">
        <f t="shared" si="141"/>
        <v>#N/A</v>
      </c>
      <c r="BY130" t="e">
        <f t="shared" si="142"/>
        <v>#N/A</v>
      </c>
      <c r="BZ130" t="e">
        <f t="shared" si="143"/>
        <v>#N/A</v>
      </c>
      <c r="CA130" t="e">
        <f t="shared" si="144"/>
        <v>#N/A</v>
      </c>
      <c r="CB130" t="e">
        <f t="shared" si="145"/>
        <v>#N/A</v>
      </c>
      <c r="CC130" t="e">
        <f t="shared" si="146"/>
        <v>#N/A</v>
      </c>
      <c r="CD130" t="e">
        <f t="shared" si="147"/>
        <v>#N/A</v>
      </c>
      <c r="CE130" t="e">
        <f t="shared" si="148"/>
        <v>#N/A</v>
      </c>
      <c r="CF130" t="e">
        <f t="shared" si="149"/>
        <v>#N/A</v>
      </c>
      <c r="CG130" t="e">
        <f t="shared" si="150"/>
        <v>#N/A</v>
      </c>
      <c r="CI130" t="e">
        <f>AL48</f>
        <v>#N/A</v>
      </c>
      <c r="CJ130" t="e">
        <f>AM48</f>
        <v>#N/A</v>
      </c>
      <c r="CK130">
        <f>IF(ISNUMBER(CI130),IFERROR(MAX(0,AN48-CI130),0),0)</f>
        <v>0</v>
      </c>
      <c r="CL130">
        <f>IF(ISNUMBER(CI130),IFERROR(MAX(0,CI130-AN48),0),0)</f>
        <v>0</v>
      </c>
      <c r="CM130">
        <f>IF(ISNUMBER(CJ130),IFERROR(MAX(0,AO48-CJ130),0),0)</f>
        <v>0</v>
      </c>
      <c r="CN130">
        <f>IF(ISNUMBER(CJ130),IFERROR(MAX(0,CJ130-AO48),0),0)</f>
        <v>0</v>
      </c>
      <c r="CP130" t="e">
        <f>BT48</f>
        <v>#N/A</v>
      </c>
      <c r="CQ130" t="e">
        <f>BU48</f>
        <v>#N/A</v>
      </c>
      <c r="CR130">
        <f>IF(ISNUMBER(CP130),IFERROR(MAX(0,BV48-CP130),0),0)</f>
        <v>0</v>
      </c>
      <c r="CS130">
        <f>IF(ISNUMBER(CP130),IFERROR(MAX(0,CP130-BV48),0),0)</f>
        <v>0</v>
      </c>
      <c r="CT130">
        <f>IF(ISNUMBER(CQ130),IFERROR(MAX(0,BW48-CQ130),0),0)</f>
        <v>0</v>
      </c>
      <c r="CU130">
        <f>IF(ISNUMBER(CQ130),IFERROR(MAX(0,CQ130-BW48),0),0)</f>
        <v>0</v>
      </c>
    </row>
    <row r="131" spans="21:99" x14ac:dyDescent="0.3">
      <c r="U131">
        <v>125</v>
      </c>
      <c r="V131">
        <f t="shared" si="95"/>
        <v>32</v>
      </c>
      <c r="W131">
        <f t="shared" si="96"/>
        <v>1</v>
      </c>
      <c r="X131">
        <f t="shared" si="97"/>
        <v>0</v>
      </c>
      <c r="Y131">
        <f>IF(X131&lt;&gt;1,9999,CHOOSE(W131,INDEX(Gantt!$BQ$7:$BQ$119,V131),INDEX(Gantt!$BR$7:$BR$119,V131),INDEX(Gantt!$BT$7:$BT$119,V131),INDEX(Gantt!$BU$7:$BU$119,V131)))</f>
        <v>9999</v>
      </c>
      <c r="Z131">
        <f t="shared" si="98"/>
        <v>0</v>
      </c>
      <c r="AA131" t="e">
        <f t="shared" si="99"/>
        <v>#N/A</v>
      </c>
      <c r="AB131" t="e">
        <f t="shared" si="100"/>
        <v>#N/A</v>
      </c>
      <c r="AC131" t="e">
        <f t="shared" si="101"/>
        <v>#N/A</v>
      </c>
      <c r="AD131" t="e">
        <f t="shared" si="102"/>
        <v>#N/A</v>
      </c>
      <c r="AE131" t="e">
        <f t="shared" si="103"/>
        <v>#N/A</v>
      </c>
      <c r="AF131" t="e">
        <f t="shared" si="104"/>
        <v>#N/A</v>
      </c>
      <c r="AG131" t="e">
        <f t="shared" si="105"/>
        <v>#N/A</v>
      </c>
      <c r="AH131" t="e">
        <f t="shared" si="106"/>
        <v>#N/A</v>
      </c>
      <c r="AI131" t="e">
        <f t="shared" si="107"/>
        <v>#N/A</v>
      </c>
      <c r="AJ131" t="e">
        <f t="shared" si="108"/>
        <v>#N/A</v>
      </c>
      <c r="AK131" t="e">
        <f t="shared" si="109"/>
        <v>#N/A</v>
      </c>
      <c r="AL131" t="e">
        <f t="shared" si="110"/>
        <v>#N/A</v>
      </c>
      <c r="AM131" t="e">
        <f t="shared" si="111"/>
        <v>#N/A</v>
      </c>
      <c r="AN131" t="e">
        <f t="shared" si="112"/>
        <v>#N/A</v>
      </c>
      <c r="AO131" t="e">
        <f t="shared" si="113"/>
        <v>#N/A</v>
      </c>
      <c r="AP131" t="e">
        <f t="shared" si="114"/>
        <v>#N/A</v>
      </c>
      <c r="AQ131" t="e">
        <f t="shared" si="115"/>
        <v>#N/A</v>
      </c>
      <c r="AR131" t="e">
        <f t="shared" si="116"/>
        <v>#N/A</v>
      </c>
      <c r="AS131" t="e">
        <f t="shared" si="117"/>
        <v>#N/A</v>
      </c>
      <c r="AT131" t="e">
        <f t="shared" si="118"/>
        <v>#N/A</v>
      </c>
      <c r="AU131" t="e">
        <f t="shared" si="119"/>
        <v>#N/A</v>
      </c>
      <c r="AV131" t="e">
        <f t="shared" si="120"/>
        <v>#N/A</v>
      </c>
      <c r="AW131" t="e">
        <f t="shared" si="121"/>
        <v>#N/A</v>
      </c>
      <c r="AX131" t="e">
        <f t="shared" si="122"/>
        <v>#N/A</v>
      </c>
      <c r="AY131" t="e">
        <f t="shared" si="123"/>
        <v>#N/A</v>
      </c>
      <c r="BE131" t="e">
        <f>IF(Z131=1,IF(INDEX($C$7:$C$126,V131)&gt;=Gantt!$BF$6,NA(),MATCH(INDEX($C$7:$C$126,V131),Gantt!$J$6:$BE$6,1)),NA())</f>
        <v>#N/A</v>
      </c>
      <c r="BF131" t="e">
        <f>IF(Z131=1,IF((INDEX($D$7:$D$126,AA131)-1)&gt;=Gantt!$BF$6,NA(),IF((INDEX($D$7:$D$126,AA131)-1)&lt;Gantt!$J$6,0,MATCH((INDEX($D$7:$D$126,AA131)-1),Gantt!$J$6:$BE$6,1))),NA())</f>
        <v>#N/A</v>
      </c>
      <c r="BG131" t="e">
        <f t="shared" si="124"/>
        <v>#N/A</v>
      </c>
      <c r="BH131" t="e">
        <f t="shared" si="125"/>
        <v>#N/A</v>
      </c>
      <c r="BI131" t="e">
        <f t="shared" si="126"/>
        <v>#N/A</v>
      </c>
      <c r="BJ131" t="e">
        <f t="shared" si="127"/>
        <v>#N/A</v>
      </c>
      <c r="BK131" t="e">
        <f t="shared" si="128"/>
        <v>#N/A</v>
      </c>
      <c r="BL131" t="e">
        <f t="shared" si="129"/>
        <v>#N/A</v>
      </c>
      <c r="BM131" t="e">
        <f t="shared" si="130"/>
        <v>#N/A</v>
      </c>
      <c r="BN131" t="e">
        <f t="shared" si="131"/>
        <v>#N/A</v>
      </c>
      <c r="BO131" t="e">
        <f t="shared" si="132"/>
        <v>#N/A</v>
      </c>
      <c r="BP131" t="e">
        <f t="shared" si="133"/>
        <v>#N/A</v>
      </c>
      <c r="BQ131" t="e">
        <f t="shared" si="134"/>
        <v>#N/A</v>
      </c>
      <c r="BR131" t="e">
        <f t="shared" si="135"/>
        <v>#N/A</v>
      </c>
      <c r="BS131" t="e">
        <f t="shared" si="136"/>
        <v>#N/A</v>
      </c>
      <c r="BT131" t="e">
        <f t="shared" si="137"/>
        <v>#N/A</v>
      </c>
      <c r="BU131" t="e">
        <f t="shared" si="138"/>
        <v>#N/A</v>
      </c>
      <c r="BV131" t="e">
        <f t="shared" si="139"/>
        <v>#N/A</v>
      </c>
      <c r="BW131" t="e">
        <f t="shared" si="140"/>
        <v>#N/A</v>
      </c>
      <c r="BX131" t="e">
        <f t="shared" si="141"/>
        <v>#N/A</v>
      </c>
      <c r="BY131" t="e">
        <f t="shared" si="142"/>
        <v>#N/A</v>
      </c>
      <c r="BZ131" t="e">
        <f t="shared" si="143"/>
        <v>#N/A</v>
      </c>
      <c r="CA131" t="e">
        <f t="shared" si="144"/>
        <v>#N/A</v>
      </c>
      <c r="CB131" t="e">
        <f t="shared" si="145"/>
        <v>#N/A</v>
      </c>
      <c r="CC131" t="e">
        <f t="shared" si="146"/>
        <v>#N/A</v>
      </c>
      <c r="CD131" t="e">
        <f t="shared" si="147"/>
        <v>#N/A</v>
      </c>
      <c r="CE131" t="e">
        <f t="shared" si="148"/>
        <v>#N/A</v>
      </c>
      <c r="CF131" t="e">
        <f t="shared" si="149"/>
        <v>#N/A</v>
      </c>
      <c r="CG131" t="e">
        <f t="shared" si="150"/>
        <v>#N/A</v>
      </c>
      <c r="CI131" t="e">
        <f>AP48</f>
        <v>#N/A</v>
      </c>
      <c r="CJ131" t="e">
        <f>AQ48</f>
        <v>#N/A</v>
      </c>
      <c r="CK131">
        <f>IF(ISNUMBER(CI131),IFERROR(MAX(0,AR48-CI131),0),0)</f>
        <v>0</v>
      </c>
      <c r="CL131">
        <f>IF(ISNUMBER(CI131),IFERROR(MAX(0,CI131-AR48),0),0)</f>
        <v>0</v>
      </c>
      <c r="CM131">
        <f>IF(ISNUMBER(CJ131),IFERROR(MAX(0,AS48-CJ131),0),0)</f>
        <v>0</v>
      </c>
      <c r="CN131">
        <f>IF(ISNUMBER(CJ131),IFERROR(MAX(0,CJ131-AS48),0),0)</f>
        <v>0</v>
      </c>
      <c r="CP131" t="e">
        <f>BX48</f>
        <v>#N/A</v>
      </c>
      <c r="CQ131" t="e">
        <f>BY48</f>
        <v>#N/A</v>
      </c>
      <c r="CR131">
        <f>IF(ISNUMBER(CP131),IFERROR(MAX(0,BZ48-CP131),0),0)</f>
        <v>0</v>
      </c>
      <c r="CS131">
        <f>IF(ISNUMBER(CP131),IFERROR(MAX(0,CP131-BZ48),0),0)</f>
        <v>0</v>
      </c>
      <c r="CT131">
        <f>IF(ISNUMBER(CQ131),IFERROR(MAX(0,CA48-CQ131),0),0)</f>
        <v>0</v>
      </c>
      <c r="CU131">
        <f>IF(ISNUMBER(CQ131),IFERROR(MAX(0,CQ131-CA48),0),0)</f>
        <v>0</v>
      </c>
    </row>
    <row r="132" spans="21:99" x14ac:dyDescent="0.3">
      <c r="U132">
        <v>126</v>
      </c>
      <c r="V132">
        <f t="shared" si="95"/>
        <v>32</v>
      </c>
      <c r="W132">
        <f t="shared" si="96"/>
        <v>2</v>
      </c>
      <c r="X132">
        <f t="shared" si="97"/>
        <v>0</v>
      </c>
      <c r="Y132">
        <f>IF(X132&lt;&gt;1,9999,CHOOSE(W132,INDEX(Gantt!$BQ$7:$BQ$119,V132),INDEX(Gantt!$BR$7:$BR$119,V132),INDEX(Gantt!$BT$7:$BT$119,V132),INDEX(Gantt!$BU$7:$BU$119,V132)))</f>
        <v>9999</v>
      </c>
      <c r="Z132">
        <f t="shared" si="98"/>
        <v>0</v>
      </c>
      <c r="AA132" t="e">
        <f t="shared" si="99"/>
        <v>#N/A</v>
      </c>
      <c r="AB132" t="e">
        <f t="shared" si="100"/>
        <v>#N/A</v>
      </c>
      <c r="AC132" t="e">
        <f t="shared" si="101"/>
        <v>#N/A</v>
      </c>
      <c r="AD132" t="e">
        <f t="shared" si="102"/>
        <v>#N/A</v>
      </c>
      <c r="AE132" t="e">
        <f t="shared" si="103"/>
        <v>#N/A</v>
      </c>
      <c r="AF132" t="e">
        <f t="shared" si="104"/>
        <v>#N/A</v>
      </c>
      <c r="AG132" t="e">
        <f t="shared" si="105"/>
        <v>#N/A</v>
      </c>
      <c r="AH132" t="e">
        <f t="shared" si="106"/>
        <v>#N/A</v>
      </c>
      <c r="AI132" t="e">
        <f t="shared" si="107"/>
        <v>#N/A</v>
      </c>
      <c r="AJ132" t="e">
        <f t="shared" si="108"/>
        <v>#N/A</v>
      </c>
      <c r="AK132" t="e">
        <f t="shared" si="109"/>
        <v>#N/A</v>
      </c>
      <c r="AL132" t="e">
        <f t="shared" si="110"/>
        <v>#N/A</v>
      </c>
      <c r="AM132" t="e">
        <f t="shared" si="111"/>
        <v>#N/A</v>
      </c>
      <c r="AN132" t="e">
        <f t="shared" si="112"/>
        <v>#N/A</v>
      </c>
      <c r="AO132" t="e">
        <f t="shared" si="113"/>
        <v>#N/A</v>
      </c>
      <c r="AP132" t="e">
        <f t="shared" si="114"/>
        <v>#N/A</v>
      </c>
      <c r="AQ132" t="e">
        <f t="shared" si="115"/>
        <v>#N/A</v>
      </c>
      <c r="AR132" t="e">
        <f t="shared" si="116"/>
        <v>#N/A</v>
      </c>
      <c r="AS132" t="e">
        <f t="shared" si="117"/>
        <v>#N/A</v>
      </c>
      <c r="AT132" t="e">
        <f t="shared" si="118"/>
        <v>#N/A</v>
      </c>
      <c r="AU132" t="e">
        <f t="shared" si="119"/>
        <v>#N/A</v>
      </c>
      <c r="AV132" t="e">
        <f t="shared" si="120"/>
        <v>#N/A</v>
      </c>
      <c r="AW132" t="e">
        <f t="shared" si="121"/>
        <v>#N/A</v>
      </c>
      <c r="AX132" t="e">
        <f t="shared" si="122"/>
        <v>#N/A</v>
      </c>
      <c r="AY132" t="e">
        <f t="shared" si="123"/>
        <v>#N/A</v>
      </c>
      <c r="BE132" t="e">
        <f>IF(Z132=1,IF(INDEX($C$7:$C$126,V132)&gt;=Gantt!$BF$6,NA(),MATCH(INDEX($C$7:$C$126,V132),Gantt!$J$6:$BE$6,1)),NA())</f>
        <v>#N/A</v>
      </c>
      <c r="BF132" t="e">
        <f>IF(Z132=1,IF((INDEX($D$7:$D$126,AA132)-1)&gt;=Gantt!$BF$6,NA(),IF((INDEX($D$7:$D$126,AA132)-1)&lt;Gantt!$J$6,0,MATCH((INDEX($D$7:$D$126,AA132)-1),Gantt!$J$6:$BE$6,1))),NA())</f>
        <v>#N/A</v>
      </c>
      <c r="BG132" t="e">
        <f t="shared" si="124"/>
        <v>#N/A</v>
      </c>
      <c r="BH132" t="e">
        <f t="shared" si="125"/>
        <v>#N/A</v>
      </c>
      <c r="BI132" t="e">
        <f t="shared" si="126"/>
        <v>#N/A</v>
      </c>
      <c r="BJ132" t="e">
        <f t="shared" si="127"/>
        <v>#N/A</v>
      </c>
      <c r="BK132" t="e">
        <f t="shared" si="128"/>
        <v>#N/A</v>
      </c>
      <c r="BL132" t="e">
        <f t="shared" si="129"/>
        <v>#N/A</v>
      </c>
      <c r="BM132" t="e">
        <f t="shared" si="130"/>
        <v>#N/A</v>
      </c>
      <c r="BN132" t="e">
        <f t="shared" si="131"/>
        <v>#N/A</v>
      </c>
      <c r="BO132" t="e">
        <f t="shared" si="132"/>
        <v>#N/A</v>
      </c>
      <c r="BP132" t="e">
        <f t="shared" si="133"/>
        <v>#N/A</v>
      </c>
      <c r="BQ132" t="e">
        <f t="shared" si="134"/>
        <v>#N/A</v>
      </c>
      <c r="BR132" t="e">
        <f t="shared" si="135"/>
        <v>#N/A</v>
      </c>
      <c r="BS132" t="e">
        <f t="shared" si="136"/>
        <v>#N/A</v>
      </c>
      <c r="BT132" t="e">
        <f t="shared" si="137"/>
        <v>#N/A</v>
      </c>
      <c r="BU132" t="e">
        <f t="shared" si="138"/>
        <v>#N/A</v>
      </c>
      <c r="BV132" t="e">
        <f t="shared" si="139"/>
        <v>#N/A</v>
      </c>
      <c r="BW132" t="e">
        <f t="shared" si="140"/>
        <v>#N/A</v>
      </c>
      <c r="BX132" t="e">
        <f t="shared" si="141"/>
        <v>#N/A</v>
      </c>
      <c r="BY132" t="e">
        <f t="shared" si="142"/>
        <v>#N/A</v>
      </c>
      <c r="BZ132" t="e">
        <f t="shared" si="143"/>
        <v>#N/A</v>
      </c>
      <c r="CA132" t="e">
        <f t="shared" si="144"/>
        <v>#N/A</v>
      </c>
      <c r="CB132" t="e">
        <f t="shared" si="145"/>
        <v>#N/A</v>
      </c>
      <c r="CC132" t="e">
        <f t="shared" si="146"/>
        <v>#N/A</v>
      </c>
      <c r="CD132" t="e">
        <f t="shared" si="147"/>
        <v>#N/A</v>
      </c>
      <c r="CE132" t="e">
        <f t="shared" si="148"/>
        <v>#N/A</v>
      </c>
      <c r="CF132" t="e">
        <f t="shared" si="149"/>
        <v>#N/A</v>
      </c>
      <c r="CG132" t="e">
        <f t="shared" si="150"/>
        <v>#N/A</v>
      </c>
      <c r="CI132" t="e">
        <f>AT48</f>
        <v>#N/A</v>
      </c>
      <c r="CJ132" t="e">
        <f>AU48</f>
        <v>#N/A</v>
      </c>
      <c r="CK132">
        <f>IF(ISNUMBER(CI132),IFERROR(MAX(0,AV48-CI132),0),0)</f>
        <v>0</v>
      </c>
      <c r="CL132">
        <f>IF(ISNUMBER(CI132),IFERROR(MAX(0,CI132-AV48),0),0)</f>
        <v>0</v>
      </c>
      <c r="CM132">
        <f>IF(ISNUMBER(CJ132),IFERROR(MAX(0,AW48-CJ132),0),0)</f>
        <v>0</v>
      </c>
      <c r="CN132">
        <f>IF(ISNUMBER(CJ132),IFERROR(MAX(0,CJ132-AW48),0),0)</f>
        <v>0</v>
      </c>
      <c r="CP132" t="e">
        <f>CB48</f>
        <v>#N/A</v>
      </c>
      <c r="CQ132" t="e">
        <f>CC48</f>
        <v>#N/A</v>
      </c>
      <c r="CR132">
        <f>IF(ISNUMBER(CP132),IFERROR(MAX(0,CD48-CP132),0),0)</f>
        <v>0</v>
      </c>
      <c r="CS132">
        <f>IF(ISNUMBER(CP132),IFERROR(MAX(0,CP132-CD48),0),0)</f>
        <v>0</v>
      </c>
      <c r="CT132">
        <f>IF(ISNUMBER(CQ132),IFERROR(MAX(0,CE48-CQ132),0),0)</f>
        <v>0</v>
      </c>
      <c r="CU132">
        <f>IF(ISNUMBER(CQ132),IFERROR(MAX(0,CQ132-CE48),0),0)</f>
        <v>0</v>
      </c>
    </row>
    <row r="133" spans="21:99" x14ac:dyDescent="0.3">
      <c r="U133">
        <v>127</v>
      </c>
      <c r="V133">
        <f t="shared" si="95"/>
        <v>32</v>
      </c>
      <c r="W133">
        <f t="shared" si="96"/>
        <v>3</v>
      </c>
      <c r="X133">
        <f t="shared" si="97"/>
        <v>0</v>
      </c>
      <c r="Y133">
        <f>IF(X133&lt;&gt;1,9999,CHOOSE(W133,INDEX(Gantt!$BQ$7:$BQ$119,V133),INDEX(Gantt!$BR$7:$BR$119,V133),INDEX(Gantt!$BT$7:$BT$119,V133),INDEX(Gantt!$BU$7:$BU$119,V133)))</f>
        <v>9999</v>
      </c>
      <c r="Z133">
        <f t="shared" si="98"/>
        <v>0</v>
      </c>
      <c r="AA133" t="e">
        <f t="shared" si="99"/>
        <v>#N/A</v>
      </c>
      <c r="AB133" t="e">
        <f t="shared" si="100"/>
        <v>#N/A</v>
      </c>
      <c r="AC133" t="e">
        <f t="shared" si="101"/>
        <v>#N/A</v>
      </c>
      <c r="AD133" t="e">
        <f t="shared" si="102"/>
        <v>#N/A</v>
      </c>
      <c r="AE133" t="e">
        <f t="shared" si="103"/>
        <v>#N/A</v>
      </c>
      <c r="AF133" t="e">
        <f t="shared" si="104"/>
        <v>#N/A</v>
      </c>
      <c r="AG133" t="e">
        <f t="shared" si="105"/>
        <v>#N/A</v>
      </c>
      <c r="AH133" t="e">
        <f t="shared" si="106"/>
        <v>#N/A</v>
      </c>
      <c r="AI133" t="e">
        <f t="shared" si="107"/>
        <v>#N/A</v>
      </c>
      <c r="AJ133" t="e">
        <f t="shared" si="108"/>
        <v>#N/A</v>
      </c>
      <c r="AK133" t="e">
        <f t="shared" si="109"/>
        <v>#N/A</v>
      </c>
      <c r="AL133" t="e">
        <f t="shared" si="110"/>
        <v>#N/A</v>
      </c>
      <c r="AM133" t="e">
        <f t="shared" si="111"/>
        <v>#N/A</v>
      </c>
      <c r="AN133" t="e">
        <f t="shared" si="112"/>
        <v>#N/A</v>
      </c>
      <c r="AO133" t="e">
        <f t="shared" si="113"/>
        <v>#N/A</v>
      </c>
      <c r="AP133" t="e">
        <f t="shared" si="114"/>
        <v>#N/A</v>
      </c>
      <c r="AQ133" t="e">
        <f t="shared" si="115"/>
        <v>#N/A</v>
      </c>
      <c r="AR133" t="e">
        <f t="shared" si="116"/>
        <v>#N/A</v>
      </c>
      <c r="AS133" t="e">
        <f t="shared" si="117"/>
        <v>#N/A</v>
      </c>
      <c r="AT133" t="e">
        <f t="shared" si="118"/>
        <v>#N/A</v>
      </c>
      <c r="AU133" t="e">
        <f t="shared" si="119"/>
        <v>#N/A</v>
      </c>
      <c r="AV133" t="e">
        <f t="shared" si="120"/>
        <v>#N/A</v>
      </c>
      <c r="AW133" t="e">
        <f t="shared" si="121"/>
        <v>#N/A</v>
      </c>
      <c r="AX133" t="e">
        <f t="shared" si="122"/>
        <v>#N/A</v>
      </c>
      <c r="AY133" t="e">
        <f t="shared" si="123"/>
        <v>#N/A</v>
      </c>
      <c r="BE133" t="e">
        <f>IF(Z133=1,IF(INDEX($C$7:$C$126,V133)&gt;=Gantt!$BF$6,NA(),MATCH(INDEX($C$7:$C$126,V133),Gantt!$J$6:$BE$6,1)),NA())</f>
        <v>#N/A</v>
      </c>
      <c r="BF133" t="e">
        <f>IF(Z133=1,IF((INDEX($D$7:$D$126,AA133)-1)&gt;=Gantt!$BF$6,NA(),IF((INDEX($D$7:$D$126,AA133)-1)&lt;Gantt!$J$6,0,MATCH((INDEX($D$7:$D$126,AA133)-1),Gantt!$J$6:$BE$6,1))),NA())</f>
        <v>#N/A</v>
      </c>
      <c r="BG133" t="e">
        <f t="shared" si="124"/>
        <v>#N/A</v>
      </c>
      <c r="BH133" t="e">
        <f t="shared" si="125"/>
        <v>#N/A</v>
      </c>
      <c r="BI133" t="e">
        <f t="shared" si="126"/>
        <v>#N/A</v>
      </c>
      <c r="BJ133" t="e">
        <f t="shared" si="127"/>
        <v>#N/A</v>
      </c>
      <c r="BK133" t="e">
        <f t="shared" si="128"/>
        <v>#N/A</v>
      </c>
      <c r="BL133" t="e">
        <f t="shared" si="129"/>
        <v>#N/A</v>
      </c>
      <c r="BM133" t="e">
        <f t="shared" si="130"/>
        <v>#N/A</v>
      </c>
      <c r="BN133" t="e">
        <f t="shared" si="131"/>
        <v>#N/A</v>
      </c>
      <c r="BO133" t="e">
        <f t="shared" si="132"/>
        <v>#N/A</v>
      </c>
      <c r="BP133" t="e">
        <f t="shared" si="133"/>
        <v>#N/A</v>
      </c>
      <c r="BQ133" t="e">
        <f t="shared" si="134"/>
        <v>#N/A</v>
      </c>
      <c r="BR133" t="e">
        <f t="shared" si="135"/>
        <v>#N/A</v>
      </c>
      <c r="BS133" t="e">
        <f t="shared" si="136"/>
        <v>#N/A</v>
      </c>
      <c r="BT133" t="e">
        <f t="shared" si="137"/>
        <v>#N/A</v>
      </c>
      <c r="BU133" t="e">
        <f t="shared" si="138"/>
        <v>#N/A</v>
      </c>
      <c r="BV133" t="e">
        <f t="shared" si="139"/>
        <v>#N/A</v>
      </c>
      <c r="BW133" t="e">
        <f t="shared" si="140"/>
        <v>#N/A</v>
      </c>
      <c r="BX133" t="e">
        <f t="shared" si="141"/>
        <v>#N/A</v>
      </c>
      <c r="BY133" t="e">
        <f t="shared" si="142"/>
        <v>#N/A</v>
      </c>
      <c r="BZ133" t="e">
        <f t="shared" si="143"/>
        <v>#N/A</v>
      </c>
      <c r="CA133" t="e">
        <f t="shared" si="144"/>
        <v>#N/A</v>
      </c>
      <c r="CB133" t="e">
        <f t="shared" si="145"/>
        <v>#N/A</v>
      </c>
      <c r="CC133" t="e">
        <f t="shared" si="146"/>
        <v>#N/A</v>
      </c>
      <c r="CD133" t="e">
        <f t="shared" si="147"/>
        <v>#N/A</v>
      </c>
      <c r="CE133" t="e">
        <f t="shared" si="148"/>
        <v>#N/A</v>
      </c>
      <c r="CF133" t="e">
        <f t="shared" si="149"/>
        <v>#N/A</v>
      </c>
      <c r="CG133" t="e">
        <f t="shared" si="150"/>
        <v>#N/A</v>
      </c>
      <c r="CI133" t="e">
        <f>AL49</f>
        <v>#N/A</v>
      </c>
      <c r="CJ133" t="e">
        <f>AM49</f>
        <v>#N/A</v>
      </c>
      <c r="CK133">
        <f>IF(ISNUMBER(CI133),IFERROR(MAX(0,AN49-CI133),0),0)</f>
        <v>0</v>
      </c>
      <c r="CL133">
        <f>IF(ISNUMBER(CI133),IFERROR(MAX(0,CI133-AN49),0),0)</f>
        <v>0</v>
      </c>
      <c r="CM133">
        <f>IF(ISNUMBER(CJ133),IFERROR(MAX(0,AO49-CJ133),0),0)</f>
        <v>0</v>
      </c>
      <c r="CN133">
        <f>IF(ISNUMBER(CJ133),IFERROR(MAX(0,CJ133-AO49),0),0)</f>
        <v>0</v>
      </c>
      <c r="CP133" t="e">
        <f>BT49</f>
        <v>#N/A</v>
      </c>
      <c r="CQ133" t="e">
        <f>BU49</f>
        <v>#N/A</v>
      </c>
      <c r="CR133">
        <f>IF(ISNUMBER(CP133),IFERROR(MAX(0,BV49-CP133),0),0)</f>
        <v>0</v>
      </c>
      <c r="CS133">
        <f>IF(ISNUMBER(CP133),IFERROR(MAX(0,CP133-BV49),0),0)</f>
        <v>0</v>
      </c>
      <c r="CT133">
        <f>IF(ISNUMBER(CQ133),IFERROR(MAX(0,BW49-CQ133),0),0)</f>
        <v>0</v>
      </c>
      <c r="CU133">
        <f>IF(ISNUMBER(CQ133),IFERROR(MAX(0,CQ133-BW49),0),0)</f>
        <v>0</v>
      </c>
    </row>
    <row r="134" spans="21:99" x14ac:dyDescent="0.3">
      <c r="U134">
        <v>128</v>
      </c>
      <c r="V134">
        <f t="shared" si="95"/>
        <v>32</v>
      </c>
      <c r="W134">
        <f t="shared" si="96"/>
        <v>4</v>
      </c>
      <c r="X134">
        <f t="shared" si="97"/>
        <v>0</v>
      </c>
      <c r="Y134">
        <f>IF(X134&lt;&gt;1,9999,CHOOSE(W134,INDEX(Gantt!$BQ$7:$BQ$119,V134),INDEX(Gantt!$BR$7:$BR$119,V134),INDEX(Gantt!$BT$7:$BT$119,V134),INDEX(Gantt!$BU$7:$BU$119,V134)))</f>
        <v>9999</v>
      </c>
      <c r="Z134">
        <f t="shared" si="98"/>
        <v>0</v>
      </c>
      <c r="AA134" t="e">
        <f t="shared" si="99"/>
        <v>#N/A</v>
      </c>
      <c r="AB134" t="e">
        <f t="shared" si="100"/>
        <v>#N/A</v>
      </c>
      <c r="AC134" t="e">
        <f t="shared" si="101"/>
        <v>#N/A</v>
      </c>
      <c r="AD134" t="e">
        <f t="shared" si="102"/>
        <v>#N/A</v>
      </c>
      <c r="AE134" t="e">
        <f t="shared" si="103"/>
        <v>#N/A</v>
      </c>
      <c r="AF134" t="e">
        <f t="shared" si="104"/>
        <v>#N/A</v>
      </c>
      <c r="AG134" t="e">
        <f t="shared" si="105"/>
        <v>#N/A</v>
      </c>
      <c r="AH134" t="e">
        <f t="shared" si="106"/>
        <v>#N/A</v>
      </c>
      <c r="AI134" t="e">
        <f t="shared" si="107"/>
        <v>#N/A</v>
      </c>
      <c r="AJ134" t="e">
        <f t="shared" si="108"/>
        <v>#N/A</v>
      </c>
      <c r="AK134" t="e">
        <f t="shared" si="109"/>
        <v>#N/A</v>
      </c>
      <c r="AL134" t="e">
        <f t="shared" si="110"/>
        <v>#N/A</v>
      </c>
      <c r="AM134" t="e">
        <f t="shared" si="111"/>
        <v>#N/A</v>
      </c>
      <c r="AN134" t="e">
        <f t="shared" si="112"/>
        <v>#N/A</v>
      </c>
      <c r="AO134" t="e">
        <f t="shared" si="113"/>
        <v>#N/A</v>
      </c>
      <c r="AP134" t="e">
        <f t="shared" si="114"/>
        <v>#N/A</v>
      </c>
      <c r="AQ134" t="e">
        <f t="shared" si="115"/>
        <v>#N/A</v>
      </c>
      <c r="AR134" t="e">
        <f t="shared" si="116"/>
        <v>#N/A</v>
      </c>
      <c r="AS134" t="e">
        <f t="shared" si="117"/>
        <v>#N/A</v>
      </c>
      <c r="AT134" t="e">
        <f t="shared" si="118"/>
        <v>#N/A</v>
      </c>
      <c r="AU134" t="e">
        <f t="shared" si="119"/>
        <v>#N/A</v>
      </c>
      <c r="AV134" t="e">
        <f t="shared" si="120"/>
        <v>#N/A</v>
      </c>
      <c r="AW134" t="e">
        <f t="shared" si="121"/>
        <v>#N/A</v>
      </c>
      <c r="AX134" t="e">
        <f t="shared" si="122"/>
        <v>#N/A</v>
      </c>
      <c r="AY134" t="e">
        <f t="shared" si="123"/>
        <v>#N/A</v>
      </c>
      <c r="BE134" t="e">
        <f>IF(Z134=1,IF(INDEX($C$7:$C$126,V134)&gt;=Gantt!$BF$6,NA(),MATCH(INDEX($C$7:$C$126,V134),Gantt!$J$6:$BE$6,1)),NA())</f>
        <v>#N/A</v>
      </c>
      <c r="BF134" t="e">
        <f>IF(Z134=1,IF((INDEX($D$7:$D$126,AA134)-1)&gt;=Gantt!$BF$6,NA(),IF((INDEX($D$7:$D$126,AA134)-1)&lt;Gantt!$J$6,0,MATCH((INDEX($D$7:$D$126,AA134)-1),Gantt!$J$6:$BE$6,1))),NA())</f>
        <v>#N/A</v>
      </c>
      <c r="BG134" t="e">
        <f t="shared" si="124"/>
        <v>#N/A</v>
      </c>
      <c r="BH134" t="e">
        <f t="shared" si="125"/>
        <v>#N/A</v>
      </c>
      <c r="BI134" t="e">
        <f t="shared" si="126"/>
        <v>#N/A</v>
      </c>
      <c r="BJ134" t="e">
        <f t="shared" si="127"/>
        <v>#N/A</v>
      </c>
      <c r="BK134" t="e">
        <f t="shared" si="128"/>
        <v>#N/A</v>
      </c>
      <c r="BL134" t="e">
        <f t="shared" si="129"/>
        <v>#N/A</v>
      </c>
      <c r="BM134" t="e">
        <f t="shared" si="130"/>
        <v>#N/A</v>
      </c>
      <c r="BN134" t="e">
        <f t="shared" si="131"/>
        <v>#N/A</v>
      </c>
      <c r="BO134" t="e">
        <f t="shared" si="132"/>
        <v>#N/A</v>
      </c>
      <c r="BP134" t="e">
        <f t="shared" si="133"/>
        <v>#N/A</v>
      </c>
      <c r="BQ134" t="e">
        <f t="shared" si="134"/>
        <v>#N/A</v>
      </c>
      <c r="BR134" t="e">
        <f t="shared" si="135"/>
        <v>#N/A</v>
      </c>
      <c r="BS134" t="e">
        <f t="shared" si="136"/>
        <v>#N/A</v>
      </c>
      <c r="BT134" t="e">
        <f t="shared" si="137"/>
        <v>#N/A</v>
      </c>
      <c r="BU134" t="e">
        <f t="shared" si="138"/>
        <v>#N/A</v>
      </c>
      <c r="BV134" t="e">
        <f t="shared" si="139"/>
        <v>#N/A</v>
      </c>
      <c r="BW134" t="e">
        <f t="shared" si="140"/>
        <v>#N/A</v>
      </c>
      <c r="BX134" t="e">
        <f t="shared" si="141"/>
        <v>#N/A</v>
      </c>
      <c r="BY134" t="e">
        <f t="shared" si="142"/>
        <v>#N/A</v>
      </c>
      <c r="BZ134" t="e">
        <f t="shared" si="143"/>
        <v>#N/A</v>
      </c>
      <c r="CA134" t="e">
        <f t="shared" si="144"/>
        <v>#N/A</v>
      </c>
      <c r="CB134" t="e">
        <f t="shared" si="145"/>
        <v>#N/A</v>
      </c>
      <c r="CC134" t="e">
        <f t="shared" si="146"/>
        <v>#N/A</v>
      </c>
      <c r="CD134" t="e">
        <f t="shared" si="147"/>
        <v>#N/A</v>
      </c>
      <c r="CE134" t="e">
        <f t="shared" si="148"/>
        <v>#N/A</v>
      </c>
      <c r="CF134" t="e">
        <f t="shared" si="149"/>
        <v>#N/A</v>
      </c>
      <c r="CG134" t="e">
        <f t="shared" si="150"/>
        <v>#N/A</v>
      </c>
      <c r="CI134" t="e">
        <f>AP49</f>
        <v>#N/A</v>
      </c>
      <c r="CJ134" t="e">
        <f>AQ49</f>
        <v>#N/A</v>
      </c>
      <c r="CK134">
        <f>IF(ISNUMBER(CI134),IFERROR(MAX(0,AR49-CI134),0),0)</f>
        <v>0</v>
      </c>
      <c r="CL134">
        <f>IF(ISNUMBER(CI134),IFERROR(MAX(0,CI134-AR49),0),0)</f>
        <v>0</v>
      </c>
      <c r="CM134">
        <f>IF(ISNUMBER(CJ134),IFERROR(MAX(0,AS49-CJ134),0),0)</f>
        <v>0</v>
      </c>
      <c r="CN134">
        <f>IF(ISNUMBER(CJ134),IFERROR(MAX(0,CJ134-AS49),0),0)</f>
        <v>0</v>
      </c>
      <c r="CP134" t="e">
        <f>BX49</f>
        <v>#N/A</v>
      </c>
      <c r="CQ134" t="e">
        <f>BY49</f>
        <v>#N/A</v>
      </c>
      <c r="CR134">
        <f>IF(ISNUMBER(CP134),IFERROR(MAX(0,BZ49-CP134),0),0)</f>
        <v>0</v>
      </c>
      <c r="CS134">
        <f>IF(ISNUMBER(CP134),IFERROR(MAX(0,CP134-BZ49),0),0)</f>
        <v>0</v>
      </c>
      <c r="CT134">
        <f>IF(ISNUMBER(CQ134),IFERROR(MAX(0,CA49-CQ134),0),0)</f>
        <v>0</v>
      </c>
      <c r="CU134">
        <f>IF(ISNUMBER(CQ134),IFERROR(MAX(0,CQ134-CA49),0),0)</f>
        <v>0</v>
      </c>
    </row>
    <row r="135" spans="21:99" x14ac:dyDescent="0.3">
      <c r="U135">
        <v>129</v>
      </c>
      <c r="V135">
        <f t="shared" ref="V135:V198" si="164">INT((U135-1)/4)+1</f>
        <v>33</v>
      </c>
      <c r="W135">
        <f t="shared" ref="W135:W198" si="165">MOD(U135-1,4)+1</f>
        <v>1</v>
      </c>
      <c r="X135">
        <f t="shared" ref="X135:X198" si="166">INDEX($B$7:$B$126,V135)</f>
        <v>0</v>
      </c>
      <c r="Y135">
        <f>IF(X135&lt;&gt;1,9999,CHOOSE(W135,INDEX(Gantt!$BQ$7:$BQ$119,V135),INDEX(Gantt!$BR$7:$BR$119,V135),INDEX(Gantt!$BT$7:$BT$119,V135),INDEX(Gantt!$BU$7:$BU$119,V135)))</f>
        <v>9999</v>
      </c>
      <c r="Z135">
        <f t="shared" ref="Z135:Z198" si="167">IF(AND(Y135&gt;$B$3,Y135&lt;=$B$3+MIN($B$2,120),Y135&lt;&gt;$B$3+V135),1,0)</f>
        <v>0</v>
      </c>
      <c r="AA135" t="e">
        <f t="shared" ref="AA135:AA198" si="168">IF(Z135=1,Y135-$B$3,NA())</f>
        <v>#N/A</v>
      </c>
      <c r="AB135" t="e">
        <f t="shared" ref="AB135:AB198" si="169">IF(Z135=1,INDEX($H$7:$H$126,V135)-IF(INDEX($G$7:$G$126,V135)=1,1,0),NA())</f>
        <v>#N/A</v>
      </c>
      <c r="AC135" t="e">
        <f t="shared" ref="AC135:AC198" si="170">IF(Z135=1,IF(AD135=1,INDEX($H$7:$H$126,AA135)+2,INDEX($D$7:$D$126,AA135)-$B$1),NA())</f>
        <v>#N/A</v>
      </c>
      <c r="AD135" t="e">
        <f t="shared" ref="AD135:AD198" si="171">IF(Z135=1,INDEX($G$7:$G$126,AA135),NA())</f>
        <v>#N/A</v>
      </c>
      <c r="AE135" t="e">
        <f t="shared" ref="AE135:AE198" si="172">IF(Z135=1,IF(AA135&lt;V135,1,-1),NA())</f>
        <v>#N/A</v>
      </c>
      <c r="AF135" t="e">
        <f t="shared" ref="AF135:AF198" si="173">IF(Z135=1,IF(AB135&gt;=AC135,1,2),NA())</f>
        <v>#N/A</v>
      </c>
      <c r="AG135" t="e">
        <f t="shared" ref="AG135:AG198" si="174">IF(Z135=1,IF(AD135=1,INDEX($H$7:$H$126,AA135)+0.5,AC135-MIN(1.5,INDEX($I$7:$I$126,AA135)/2)),NA())</f>
        <v>#N/A</v>
      </c>
      <c r="AH135" t="e">
        <f t="shared" ref="AH135:AH198" si="175">IF(Z135=1,AA135+AE135*IF(AD135=1,0.3,0.22),NA())</f>
        <v>#N/A</v>
      </c>
      <c r="AI135" t="e">
        <f t="shared" ref="AI135:AI198" si="176">IF(Z135=1,AC135+2,NA())</f>
        <v>#N/A</v>
      </c>
      <c r="AJ135" t="e">
        <f t="shared" ref="AJ135:AJ198" si="177">IF(Z135=1,V135-0.5*AE135,NA())</f>
        <v>#N/A</v>
      </c>
      <c r="AK135" t="e">
        <f t="shared" ref="AK135:AK198" si="178">IF(Z135=1,AB135-3,NA())</f>
        <v>#N/A</v>
      </c>
      <c r="AL135" t="e">
        <f t="shared" ref="AL135:AL198" si="179">IF(Z135=1,CHOOSE(AF135+1,0,AG135,AC135),NA())</f>
        <v>#N/A</v>
      </c>
      <c r="AM135" t="e">
        <f t="shared" ref="AM135:AM198" si="180">IF(Z135=1,CHOOSE(AF135+1,V135,V135,AA135),NA())</f>
        <v>#N/A</v>
      </c>
      <c r="AN135" t="e">
        <f t="shared" ref="AN135:AN198" si="181">IF(Z135=1,CHOOSE(AF135+1,AB135-2.5,AB135-2.5,AI135),NA())</f>
        <v>#N/A</v>
      </c>
      <c r="AO135" t="e">
        <f t="shared" ref="AO135:AO198" si="182">IF(Z135=1,CHOOSE(AF135+1,V135,AH135,AA135),NA())</f>
        <v>#N/A</v>
      </c>
      <c r="AP135" t="e">
        <f t="shared" ref="AP135:AP198" si="183">IF(Z135=1,IF(AF135=2,AI135,NA()),NA())</f>
        <v>#N/A</v>
      </c>
      <c r="AQ135" t="e">
        <f t="shared" ref="AQ135:AQ198" si="184">IF(Z135=1,IF(AF135=2,AJ135,NA()),NA())</f>
        <v>#N/A</v>
      </c>
      <c r="AR135" t="e">
        <f t="shared" ref="AR135:AR198" si="185">IF(Z135=1,AK135,NA())</f>
        <v>#N/A</v>
      </c>
      <c r="AS135" t="e">
        <f t="shared" ref="AS135:AS198" si="186">IF(Z135=1,AA135,NA())</f>
        <v>#N/A</v>
      </c>
      <c r="AT135" t="e">
        <f t="shared" ref="AT135:AT198" si="187">IF(Z135=1,IF(AF135=2,AK135,NA()),NA())</f>
        <v>#N/A</v>
      </c>
      <c r="AU135" t="e">
        <f t="shared" ref="AU135:AU198" si="188">IF(Z135=1,IF(AF135=2,V135,NA()),NA())</f>
        <v>#N/A</v>
      </c>
      <c r="AV135" t="e">
        <f t="shared" ref="AV135:AV198" si="189">IF(Z135=1,AB135-2.5,NA())</f>
        <v>#N/A</v>
      </c>
      <c r="AW135" t="e">
        <f t="shared" ref="AW135:AW198" si="190">IF(Z135=1,AJ135,NA())</f>
        <v>#N/A</v>
      </c>
      <c r="AX135" t="e">
        <f t="shared" ref="AX135:AX198" si="191">IF(Z135=1,IF(ISNUMBER(AF135),AB135-3,NA()),NA())</f>
        <v>#N/A</v>
      </c>
      <c r="AY135" t="e">
        <f t="shared" ref="AY135:AY198" si="192">IF(Z135=1,IF(ISNUMBER(AF135),V135,NA()),NA())</f>
        <v>#N/A</v>
      </c>
      <c r="BE135" t="e">
        <f>IF(Z135=1,IF(INDEX($C$7:$C$126,V135)&gt;=Gantt!$BF$6,NA(),MATCH(INDEX($C$7:$C$126,V135),Gantt!$J$6:$BE$6,1)),NA())</f>
        <v>#N/A</v>
      </c>
      <c r="BF135" t="e">
        <f>IF(Z135=1,IF((INDEX($D$7:$D$126,AA135)-1)&gt;=Gantt!$BF$6,NA(),IF((INDEX($D$7:$D$126,AA135)-1)&lt;Gantt!$J$6,0,MATCH((INDEX($D$7:$D$126,AA135)-1),Gantt!$J$6:$BE$6,1))),NA())</f>
        <v>#N/A</v>
      </c>
      <c r="BG135" t="e">
        <f t="shared" ref="BG135:BG198" si="193">IF(Z135=1,INDEX($G$7:$G$126,AA135),NA())</f>
        <v>#N/A</v>
      </c>
      <c r="BH135" t="e">
        <f t="shared" ref="BH135:BH198" si="194">IF(Z135=1,INDEX($G$7:$G$126,V135),NA())</f>
        <v>#N/A</v>
      </c>
      <c r="BI135" t="e">
        <f t="shared" ref="BI135:BI198" si="195">IF(Z135=1,(V135-0.5)/$B$2,NA())</f>
        <v>#N/A</v>
      </c>
      <c r="BJ135" t="e">
        <f t="shared" ref="BJ135:BJ198" si="196">IF(Z135=1,(AA135-0.5)/$B$2,NA())</f>
        <v>#N/A</v>
      </c>
      <c r="BK135" t="e">
        <f t="shared" ref="BK135:BK198" si="197">IF(Z135=1,IF(AA135&lt;V135,1,-1),NA())</f>
        <v>#N/A</v>
      </c>
      <c r="BL135" t="e">
        <f t="shared" ref="BL135:BL198" si="198">IF(Z135=1,IF(BH135=1,(BE135-1)*7+1.5,(BE135-1)*7),NA())</f>
        <v>#N/A</v>
      </c>
      <c r="BM135" t="e">
        <f t="shared" ref="BM135:BM198" si="199">IF(Z135=1,IF(BF135=0,0,IF(BG135=1,(BF135-1)*7+5.5,BF135*7)),NA())</f>
        <v>#N/A</v>
      </c>
      <c r="BN135" t="e">
        <f t="shared" ref="BN135:BN198" si="200">IF(Z135=1,BL135*0+IF(BF135=0,0,IF(BL135&gt;=BM135,1,2)),NA())</f>
        <v>#N/A</v>
      </c>
      <c r="BO135" t="e">
        <f t="shared" ref="BO135:BO198" si="201">IF(Z135=1,IF(BG135=1,(BF135-1)*7+3.5,BM135-3.5),NA())</f>
        <v>#N/A</v>
      </c>
      <c r="BP135" t="e">
        <f t="shared" ref="BP135:BP198" si="202">IF(Z135=1,IF(BG135=1,BJ135+BK135*0.25/$B$2,IF(BK135=1,AA135/$B$2,(AA135-1)/$B$2)),NA())</f>
        <v>#N/A</v>
      </c>
      <c r="BQ135" t="e">
        <f t="shared" ref="BQ135:BQ198" si="203">IF(Z135=1,BM135+2,NA())</f>
        <v>#N/A</v>
      </c>
      <c r="BR135" t="e">
        <f t="shared" ref="BR135:BR198" si="204">IF(Z135=1,IF(BK135=1,(V135-1)/$B$2,V135/$B$2),NA())</f>
        <v>#N/A</v>
      </c>
      <c r="BS135" t="e">
        <f t="shared" ref="BS135:BS198" si="205">IF(Z135=1,BL135-3,NA())</f>
        <v>#N/A</v>
      </c>
      <c r="BT135" t="e">
        <f t="shared" ref="BT135:BT198" si="206">IF(Z135=1,CHOOSE(BN135+1,0,BO135,BM135),NA())</f>
        <v>#N/A</v>
      </c>
      <c r="BU135" t="e">
        <f t="shared" ref="BU135:BU198" si="207">IF(Z135=1,CHOOSE(BN135+1,BI135,BI135,BJ135),NA())</f>
        <v>#N/A</v>
      </c>
      <c r="BV135" t="e">
        <f t="shared" ref="BV135:BV198" si="208">IF(Z135=1,CHOOSE(BN135+1,BL135-2,BL135-2,BQ135),NA())</f>
        <v>#N/A</v>
      </c>
      <c r="BW135" t="e">
        <f t="shared" ref="BW135:BW198" si="209">IF(Z135=1,CHOOSE(BN135+1,BI135,BP135,BJ135),NA())</f>
        <v>#N/A</v>
      </c>
      <c r="BX135" t="e">
        <f t="shared" ref="BX135:BX198" si="210">IF(Z135=1,IF(BN135=2,BQ135,NA()),NA())</f>
        <v>#N/A</v>
      </c>
      <c r="BY135" t="e">
        <f t="shared" ref="BY135:BY198" si="211">IF(Z135=1,IF(BN135=2,BR135,NA()),NA())</f>
        <v>#N/A</v>
      </c>
      <c r="BZ135" t="e">
        <f t="shared" ref="BZ135:BZ198" si="212">IF(Z135=1,BS135,NA())</f>
        <v>#N/A</v>
      </c>
      <c r="CA135" t="e">
        <f t="shared" ref="CA135:CA198" si="213">IF(Z135=1,BJ135,NA())</f>
        <v>#N/A</v>
      </c>
      <c r="CB135" t="e">
        <f t="shared" ref="CB135:CB198" si="214">IF(Z135=1,IF(BN135=2,BS135,NA()),NA())</f>
        <v>#N/A</v>
      </c>
      <c r="CC135" t="e">
        <f t="shared" ref="CC135:CC198" si="215">IF(Z135=1,IF(BN135=2,BI135,NA()),NA())</f>
        <v>#N/A</v>
      </c>
      <c r="CD135" t="e">
        <f t="shared" ref="CD135:CD198" si="216">IF(Z135=1,BL135-2,NA())</f>
        <v>#N/A</v>
      </c>
      <c r="CE135" t="e">
        <f t="shared" ref="CE135:CE198" si="217">IF(Z135=1,BR135,NA())</f>
        <v>#N/A</v>
      </c>
      <c r="CF135" t="e">
        <f t="shared" ref="CF135:CF198" si="218">IF(Z135=1,IF(ISNUMBER(BN135),BL135-2.5,NA()),NA())</f>
        <v>#N/A</v>
      </c>
      <c r="CG135" t="e">
        <f t="shared" ref="CG135:CG198" si="219">IF(Z135=1,IF(ISNUMBER(BN135),BI135,NA()),NA())</f>
        <v>#N/A</v>
      </c>
      <c r="CI135" t="e">
        <f>AT49</f>
        <v>#N/A</v>
      </c>
      <c r="CJ135" t="e">
        <f>AU49</f>
        <v>#N/A</v>
      </c>
      <c r="CK135">
        <f>IF(ISNUMBER(CI135),IFERROR(MAX(0,AV49-CI135),0),0)</f>
        <v>0</v>
      </c>
      <c r="CL135">
        <f>IF(ISNUMBER(CI135),IFERROR(MAX(0,CI135-AV49),0),0)</f>
        <v>0</v>
      </c>
      <c r="CM135">
        <f>IF(ISNUMBER(CJ135),IFERROR(MAX(0,AW49-CJ135),0),0)</f>
        <v>0</v>
      </c>
      <c r="CN135">
        <f>IF(ISNUMBER(CJ135),IFERROR(MAX(0,CJ135-AW49),0),0)</f>
        <v>0</v>
      </c>
      <c r="CP135" t="e">
        <f>CB49</f>
        <v>#N/A</v>
      </c>
      <c r="CQ135" t="e">
        <f>CC49</f>
        <v>#N/A</v>
      </c>
      <c r="CR135">
        <f>IF(ISNUMBER(CP135),IFERROR(MAX(0,CD49-CP135),0),0)</f>
        <v>0</v>
      </c>
      <c r="CS135">
        <f>IF(ISNUMBER(CP135),IFERROR(MAX(0,CP135-CD49),0),0)</f>
        <v>0</v>
      </c>
      <c r="CT135">
        <f>IF(ISNUMBER(CQ135),IFERROR(MAX(0,CE49-CQ135),0),0)</f>
        <v>0</v>
      </c>
      <c r="CU135">
        <f>IF(ISNUMBER(CQ135),IFERROR(MAX(0,CQ135-CE49),0),0)</f>
        <v>0</v>
      </c>
    </row>
    <row r="136" spans="21:99" x14ac:dyDescent="0.3">
      <c r="U136">
        <v>130</v>
      </c>
      <c r="V136">
        <f t="shared" si="164"/>
        <v>33</v>
      </c>
      <c r="W136">
        <f t="shared" si="165"/>
        <v>2</v>
      </c>
      <c r="X136">
        <f t="shared" si="166"/>
        <v>0</v>
      </c>
      <c r="Y136">
        <f>IF(X136&lt;&gt;1,9999,CHOOSE(W136,INDEX(Gantt!$BQ$7:$BQ$119,V136),INDEX(Gantt!$BR$7:$BR$119,V136),INDEX(Gantt!$BT$7:$BT$119,V136),INDEX(Gantt!$BU$7:$BU$119,V136)))</f>
        <v>9999</v>
      </c>
      <c r="Z136">
        <f t="shared" si="167"/>
        <v>0</v>
      </c>
      <c r="AA136" t="e">
        <f t="shared" si="168"/>
        <v>#N/A</v>
      </c>
      <c r="AB136" t="e">
        <f t="shared" si="169"/>
        <v>#N/A</v>
      </c>
      <c r="AC136" t="e">
        <f t="shared" si="170"/>
        <v>#N/A</v>
      </c>
      <c r="AD136" t="e">
        <f t="shared" si="171"/>
        <v>#N/A</v>
      </c>
      <c r="AE136" t="e">
        <f t="shared" si="172"/>
        <v>#N/A</v>
      </c>
      <c r="AF136" t="e">
        <f t="shared" si="173"/>
        <v>#N/A</v>
      </c>
      <c r="AG136" t="e">
        <f t="shared" si="174"/>
        <v>#N/A</v>
      </c>
      <c r="AH136" t="e">
        <f t="shared" si="175"/>
        <v>#N/A</v>
      </c>
      <c r="AI136" t="e">
        <f t="shared" si="176"/>
        <v>#N/A</v>
      </c>
      <c r="AJ136" t="e">
        <f t="shared" si="177"/>
        <v>#N/A</v>
      </c>
      <c r="AK136" t="e">
        <f t="shared" si="178"/>
        <v>#N/A</v>
      </c>
      <c r="AL136" t="e">
        <f t="shared" si="179"/>
        <v>#N/A</v>
      </c>
      <c r="AM136" t="e">
        <f t="shared" si="180"/>
        <v>#N/A</v>
      </c>
      <c r="AN136" t="e">
        <f t="shared" si="181"/>
        <v>#N/A</v>
      </c>
      <c r="AO136" t="e">
        <f t="shared" si="182"/>
        <v>#N/A</v>
      </c>
      <c r="AP136" t="e">
        <f t="shared" si="183"/>
        <v>#N/A</v>
      </c>
      <c r="AQ136" t="e">
        <f t="shared" si="184"/>
        <v>#N/A</v>
      </c>
      <c r="AR136" t="e">
        <f t="shared" si="185"/>
        <v>#N/A</v>
      </c>
      <c r="AS136" t="e">
        <f t="shared" si="186"/>
        <v>#N/A</v>
      </c>
      <c r="AT136" t="e">
        <f t="shared" si="187"/>
        <v>#N/A</v>
      </c>
      <c r="AU136" t="e">
        <f t="shared" si="188"/>
        <v>#N/A</v>
      </c>
      <c r="AV136" t="e">
        <f t="shared" si="189"/>
        <v>#N/A</v>
      </c>
      <c r="AW136" t="e">
        <f t="shared" si="190"/>
        <v>#N/A</v>
      </c>
      <c r="AX136" t="e">
        <f t="shared" si="191"/>
        <v>#N/A</v>
      </c>
      <c r="AY136" t="e">
        <f t="shared" si="192"/>
        <v>#N/A</v>
      </c>
      <c r="BE136" t="e">
        <f>IF(Z136=1,IF(INDEX($C$7:$C$126,V136)&gt;=Gantt!$BF$6,NA(),MATCH(INDEX($C$7:$C$126,V136),Gantt!$J$6:$BE$6,1)),NA())</f>
        <v>#N/A</v>
      </c>
      <c r="BF136" t="e">
        <f>IF(Z136=1,IF((INDEX($D$7:$D$126,AA136)-1)&gt;=Gantt!$BF$6,NA(),IF((INDEX($D$7:$D$126,AA136)-1)&lt;Gantt!$J$6,0,MATCH((INDEX($D$7:$D$126,AA136)-1),Gantt!$J$6:$BE$6,1))),NA())</f>
        <v>#N/A</v>
      </c>
      <c r="BG136" t="e">
        <f t="shared" si="193"/>
        <v>#N/A</v>
      </c>
      <c r="BH136" t="e">
        <f t="shared" si="194"/>
        <v>#N/A</v>
      </c>
      <c r="BI136" t="e">
        <f t="shared" si="195"/>
        <v>#N/A</v>
      </c>
      <c r="BJ136" t="e">
        <f t="shared" si="196"/>
        <v>#N/A</v>
      </c>
      <c r="BK136" t="e">
        <f t="shared" si="197"/>
        <v>#N/A</v>
      </c>
      <c r="BL136" t="e">
        <f t="shared" si="198"/>
        <v>#N/A</v>
      </c>
      <c r="BM136" t="e">
        <f t="shared" si="199"/>
        <v>#N/A</v>
      </c>
      <c r="BN136" t="e">
        <f t="shared" si="200"/>
        <v>#N/A</v>
      </c>
      <c r="BO136" t="e">
        <f t="shared" si="201"/>
        <v>#N/A</v>
      </c>
      <c r="BP136" t="e">
        <f t="shared" si="202"/>
        <v>#N/A</v>
      </c>
      <c r="BQ136" t="e">
        <f t="shared" si="203"/>
        <v>#N/A</v>
      </c>
      <c r="BR136" t="e">
        <f t="shared" si="204"/>
        <v>#N/A</v>
      </c>
      <c r="BS136" t="e">
        <f t="shared" si="205"/>
        <v>#N/A</v>
      </c>
      <c r="BT136" t="e">
        <f t="shared" si="206"/>
        <v>#N/A</v>
      </c>
      <c r="BU136" t="e">
        <f t="shared" si="207"/>
        <v>#N/A</v>
      </c>
      <c r="BV136" t="e">
        <f t="shared" si="208"/>
        <v>#N/A</v>
      </c>
      <c r="BW136" t="e">
        <f t="shared" si="209"/>
        <v>#N/A</v>
      </c>
      <c r="BX136" t="e">
        <f t="shared" si="210"/>
        <v>#N/A</v>
      </c>
      <c r="BY136" t="e">
        <f t="shared" si="211"/>
        <v>#N/A</v>
      </c>
      <c r="BZ136" t="e">
        <f t="shared" si="212"/>
        <v>#N/A</v>
      </c>
      <c r="CA136" t="e">
        <f t="shared" si="213"/>
        <v>#N/A</v>
      </c>
      <c r="CB136" t="e">
        <f t="shared" si="214"/>
        <v>#N/A</v>
      </c>
      <c r="CC136" t="e">
        <f t="shared" si="215"/>
        <v>#N/A</v>
      </c>
      <c r="CD136" t="e">
        <f t="shared" si="216"/>
        <v>#N/A</v>
      </c>
      <c r="CE136" t="e">
        <f t="shared" si="217"/>
        <v>#N/A</v>
      </c>
      <c r="CF136" t="e">
        <f t="shared" si="218"/>
        <v>#N/A</v>
      </c>
      <c r="CG136" t="e">
        <f t="shared" si="219"/>
        <v>#N/A</v>
      </c>
      <c r="CI136" t="e">
        <f>AL50</f>
        <v>#N/A</v>
      </c>
      <c r="CJ136" t="e">
        <f>AM50</f>
        <v>#N/A</v>
      </c>
      <c r="CK136">
        <f>IF(ISNUMBER(CI136),IFERROR(MAX(0,AN50-CI136),0),0)</f>
        <v>0</v>
      </c>
      <c r="CL136">
        <f>IF(ISNUMBER(CI136),IFERROR(MAX(0,CI136-AN50),0),0)</f>
        <v>0</v>
      </c>
      <c r="CM136">
        <f>IF(ISNUMBER(CJ136),IFERROR(MAX(0,AO50-CJ136),0),0)</f>
        <v>0</v>
      </c>
      <c r="CN136">
        <f>IF(ISNUMBER(CJ136),IFERROR(MAX(0,CJ136-AO50),0),0)</f>
        <v>0</v>
      </c>
      <c r="CP136" t="e">
        <f>BT50</f>
        <v>#N/A</v>
      </c>
      <c r="CQ136" t="e">
        <f>BU50</f>
        <v>#N/A</v>
      </c>
      <c r="CR136">
        <f>IF(ISNUMBER(CP136),IFERROR(MAX(0,BV50-CP136),0),0)</f>
        <v>0</v>
      </c>
      <c r="CS136">
        <f>IF(ISNUMBER(CP136),IFERROR(MAX(0,CP136-BV50),0),0)</f>
        <v>0</v>
      </c>
      <c r="CT136">
        <f>IF(ISNUMBER(CQ136),IFERROR(MAX(0,BW50-CQ136),0),0)</f>
        <v>0</v>
      </c>
      <c r="CU136">
        <f>IF(ISNUMBER(CQ136),IFERROR(MAX(0,CQ136-BW50),0),0)</f>
        <v>0</v>
      </c>
    </row>
    <row r="137" spans="21:99" x14ac:dyDescent="0.3">
      <c r="U137">
        <v>131</v>
      </c>
      <c r="V137">
        <f t="shared" si="164"/>
        <v>33</v>
      </c>
      <c r="W137">
        <f t="shared" si="165"/>
        <v>3</v>
      </c>
      <c r="X137">
        <f t="shared" si="166"/>
        <v>0</v>
      </c>
      <c r="Y137">
        <f>IF(X137&lt;&gt;1,9999,CHOOSE(W137,INDEX(Gantt!$BQ$7:$BQ$119,V137),INDEX(Gantt!$BR$7:$BR$119,V137),INDEX(Gantt!$BT$7:$BT$119,V137),INDEX(Gantt!$BU$7:$BU$119,V137)))</f>
        <v>9999</v>
      </c>
      <c r="Z137">
        <f t="shared" si="167"/>
        <v>0</v>
      </c>
      <c r="AA137" t="e">
        <f t="shared" si="168"/>
        <v>#N/A</v>
      </c>
      <c r="AB137" t="e">
        <f t="shared" si="169"/>
        <v>#N/A</v>
      </c>
      <c r="AC137" t="e">
        <f t="shared" si="170"/>
        <v>#N/A</v>
      </c>
      <c r="AD137" t="e">
        <f t="shared" si="171"/>
        <v>#N/A</v>
      </c>
      <c r="AE137" t="e">
        <f t="shared" si="172"/>
        <v>#N/A</v>
      </c>
      <c r="AF137" t="e">
        <f t="shared" si="173"/>
        <v>#N/A</v>
      </c>
      <c r="AG137" t="e">
        <f t="shared" si="174"/>
        <v>#N/A</v>
      </c>
      <c r="AH137" t="e">
        <f t="shared" si="175"/>
        <v>#N/A</v>
      </c>
      <c r="AI137" t="e">
        <f t="shared" si="176"/>
        <v>#N/A</v>
      </c>
      <c r="AJ137" t="e">
        <f t="shared" si="177"/>
        <v>#N/A</v>
      </c>
      <c r="AK137" t="e">
        <f t="shared" si="178"/>
        <v>#N/A</v>
      </c>
      <c r="AL137" t="e">
        <f t="shared" si="179"/>
        <v>#N/A</v>
      </c>
      <c r="AM137" t="e">
        <f t="shared" si="180"/>
        <v>#N/A</v>
      </c>
      <c r="AN137" t="e">
        <f t="shared" si="181"/>
        <v>#N/A</v>
      </c>
      <c r="AO137" t="e">
        <f t="shared" si="182"/>
        <v>#N/A</v>
      </c>
      <c r="AP137" t="e">
        <f t="shared" si="183"/>
        <v>#N/A</v>
      </c>
      <c r="AQ137" t="e">
        <f t="shared" si="184"/>
        <v>#N/A</v>
      </c>
      <c r="AR137" t="e">
        <f t="shared" si="185"/>
        <v>#N/A</v>
      </c>
      <c r="AS137" t="e">
        <f t="shared" si="186"/>
        <v>#N/A</v>
      </c>
      <c r="AT137" t="e">
        <f t="shared" si="187"/>
        <v>#N/A</v>
      </c>
      <c r="AU137" t="e">
        <f t="shared" si="188"/>
        <v>#N/A</v>
      </c>
      <c r="AV137" t="e">
        <f t="shared" si="189"/>
        <v>#N/A</v>
      </c>
      <c r="AW137" t="e">
        <f t="shared" si="190"/>
        <v>#N/A</v>
      </c>
      <c r="AX137" t="e">
        <f t="shared" si="191"/>
        <v>#N/A</v>
      </c>
      <c r="AY137" t="e">
        <f t="shared" si="192"/>
        <v>#N/A</v>
      </c>
      <c r="BE137" t="e">
        <f>IF(Z137=1,IF(INDEX($C$7:$C$126,V137)&gt;=Gantt!$BF$6,NA(),MATCH(INDEX($C$7:$C$126,V137),Gantt!$J$6:$BE$6,1)),NA())</f>
        <v>#N/A</v>
      </c>
      <c r="BF137" t="e">
        <f>IF(Z137=1,IF((INDEX($D$7:$D$126,AA137)-1)&gt;=Gantt!$BF$6,NA(),IF((INDEX($D$7:$D$126,AA137)-1)&lt;Gantt!$J$6,0,MATCH((INDEX($D$7:$D$126,AA137)-1),Gantt!$J$6:$BE$6,1))),NA())</f>
        <v>#N/A</v>
      </c>
      <c r="BG137" t="e">
        <f t="shared" si="193"/>
        <v>#N/A</v>
      </c>
      <c r="BH137" t="e">
        <f t="shared" si="194"/>
        <v>#N/A</v>
      </c>
      <c r="BI137" t="e">
        <f t="shared" si="195"/>
        <v>#N/A</v>
      </c>
      <c r="BJ137" t="e">
        <f t="shared" si="196"/>
        <v>#N/A</v>
      </c>
      <c r="BK137" t="e">
        <f t="shared" si="197"/>
        <v>#N/A</v>
      </c>
      <c r="BL137" t="e">
        <f t="shared" si="198"/>
        <v>#N/A</v>
      </c>
      <c r="BM137" t="e">
        <f t="shared" si="199"/>
        <v>#N/A</v>
      </c>
      <c r="BN137" t="e">
        <f t="shared" si="200"/>
        <v>#N/A</v>
      </c>
      <c r="BO137" t="e">
        <f t="shared" si="201"/>
        <v>#N/A</v>
      </c>
      <c r="BP137" t="e">
        <f t="shared" si="202"/>
        <v>#N/A</v>
      </c>
      <c r="BQ137" t="e">
        <f t="shared" si="203"/>
        <v>#N/A</v>
      </c>
      <c r="BR137" t="e">
        <f t="shared" si="204"/>
        <v>#N/A</v>
      </c>
      <c r="BS137" t="e">
        <f t="shared" si="205"/>
        <v>#N/A</v>
      </c>
      <c r="BT137" t="e">
        <f t="shared" si="206"/>
        <v>#N/A</v>
      </c>
      <c r="BU137" t="e">
        <f t="shared" si="207"/>
        <v>#N/A</v>
      </c>
      <c r="BV137" t="e">
        <f t="shared" si="208"/>
        <v>#N/A</v>
      </c>
      <c r="BW137" t="e">
        <f t="shared" si="209"/>
        <v>#N/A</v>
      </c>
      <c r="BX137" t="e">
        <f t="shared" si="210"/>
        <v>#N/A</v>
      </c>
      <c r="BY137" t="e">
        <f t="shared" si="211"/>
        <v>#N/A</v>
      </c>
      <c r="BZ137" t="e">
        <f t="shared" si="212"/>
        <v>#N/A</v>
      </c>
      <c r="CA137" t="e">
        <f t="shared" si="213"/>
        <v>#N/A</v>
      </c>
      <c r="CB137" t="e">
        <f t="shared" si="214"/>
        <v>#N/A</v>
      </c>
      <c r="CC137" t="e">
        <f t="shared" si="215"/>
        <v>#N/A</v>
      </c>
      <c r="CD137" t="e">
        <f t="shared" si="216"/>
        <v>#N/A</v>
      </c>
      <c r="CE137" t="e">
        <f t="shared" si="217"/>
        <v>#N/A</v>
      </c>
      <c r="CF137" t="e">
        <f t="shared" si="218"/>
        <v>#N/A</v>
      </c>
      <c r="CG137" t="e">
        <f t="shared" si="219"/>
        <v>#N/A</v>
      </c>
      <c r="CI137" t="e">
        <f>AP50</f>
        <v>#N/A</v>
      </c>
      <c r="CJ137" t="e">
        <f>AQ50</f>
        <v>#N/A</v>
      </c>
      <c r="CK137">
        <f>IF(ISNUMBER(CI137),IFERROR(MAX(0,AR50-CI137),0),0)</f>
        <v>0</v>
      </c>
      <c r="CL137">
        <f>IF(ISNUMBER(CI137),IFERROR(MAX(0,CI137-AR50),0),0)</f>
        <v>0</v>
      </c>
      <c r="CM137">
        <f>IF(ISNUMBER(CJ137),IFERROR(MAX(0,AS50-CJ137),0),0)</f>
        <v>0</v>
      </c>
      <c r="CN137">
        <f>IF(ISNUMBER(CJ137),IFERROR(MAX(0,CJ137-AS50),0),0)</f>
        <v>0</v>
      </c>
      <c r="CP137" t="e">
        <f>BX50</f>
        <v>#N/A</v>
      </c>
      <c r="CQ137" t="e">
        <f>BY50</f>
        <v>#N/A</v>
      </c>
      <c r="CR137">
        <f>IF(ISNUMBER(CP137),IFERROR(MAX(0,BZ50-CP137),0),0)</f>
        <v>0</v>
      </c>
      <c r="CS137">
        <f>IF(ISNUMBER(CP137),IFERROR(MAX(0,CP137-BZ50),0),0)</f>
        <v>0</v>
      </c>
      <c r="CT137">
        <f>IF(ISNUMBER(CQ137),IFERROR(MAX(0,CA50-CQ137),0),0)</f>
        <v>0</v>
      </c>
      <c r="CU137">
        <f>IF(ISNUMBER(CQ137),IFERROR(MAX(0,CQ137-CA50),0),0)</f>
        <v>0</v>
      </c>
    </row>
    <row r="138" spans="21:99" x14ac:dyDescent="0.3">
      <c r="U138">
        <v>132</v>
      </c>
      <c r="V138">
        <f t="shared" si="164"/>
        <v>33</v>
      </c>
      <c r="W138">
        <f t="shared" si="165"/>
        <v>4</v>
      </c>
      <c r="X138">
        <f t="shared" si="166"/>
        <v>0</v>
      </c>
      <c r="Y138">
        <f>IF(X138&lt;&gt;1,9999,CHOOSE(W138,INDEX(Gantt!$BQ$7:$BQ$119,V138),INDEX(Gantt!$BR$7:$BR$119,V138),INDEX(Gantt!$BT$7:$BT$119,V138),INDEX(Gantt!$BU$7:$BU$119,V138)))</f>
        <v>9999</v>
      </c>
      <c r="Z138">
        <f t="shared" si="167"/>
        <v>0</v>
      </c>
      <c r="AA138" t="e">
        <f t="shared" si="168"/>
        <v>#N/A</v>
      </c>
      <c r="AB138" t="e">
        <f t="shared" si="169"/>
        <v>#N/A</v>
      </c>
      <c r="AC138" t="e">
        <f t="shared" si="170"/>
        <v>#N/A</v>
      </c>
      <c r="AD138" t="e">
        <f t="shared" si="171"/>
        <v>#N/A</v>
      </c>
      <c r="AE138" t="e">
        <f t="shared" si="172"/>
        <v>#N/A</v>
      </c>
      <c r="AF138" t="e">
        <f t="shared" si="173"/>
        <v>#N/A</v>
      </c>
      <c r="AG138" t="e">
        <f t="shared" si="174"/>
        <v>#N/A</v>
      </c>
      <c r="AH138" t="e">
        <f t="shared" si="175"/>
        <v>#N/A</v>
      </c>
      <c r="AI138" t="e">
        <f t="shared" si="176"/>
        <v>#N/A</v>
      </c>
      <c r="AJ138" t="e">
        <f t="shared" si="177"/>
        <v>#N/A</v>
      </c>
      <c r="AK138" t="e">
        <f t="shared" si="178"/>
        <v>#N/A</v>
      </c>
      <c r="AL138" t="e">
        <f t="shared" si="179"/>
        <v>#N/A</v>
      </c>
      <c r="AM138" t="e">
        <f t="shared" si="180"/>
        <v>#N/A</v>
      </c>
      <c r="AN138" t="e">
        <f t="shared" si="181"/>
        <v>#N/A</v>
      </c>
      <c r="AO138" t="e">
        <f t="shared" si="182"/>
        <v>#N/A</v>
      </c>
      <c r="AP138" t="e">
        <f t="shared" si="183"/>
        <v>#N/A</v>
      </c>
      <c r="AQ138" t="e">
        <f t="shared" si="184"/>
        <v>#N/A</v>
      </c>
      <c r="AR138" t="e">
        <f t="shared" si="185"/>
        <v>#N/A</v>
      </c>
      <c r="AS138" t="e">
        <f t="shared" si="186"/>
        <v>#N/A</v>
      </c>
      <c r="AT138" t="e">
        <f t="shared" si="187"/>
        <v>#N/A</v>
      </c>
      <c r="AU138" t="e">
        <f t="shared" si="188"/>
        <v>#N/A</v>
      </c>
      <c r="AV138" t="e">
        <f t="shared" si="189"/>
        <v>#N/A</v>
      </c>
      <c r="AW138" t="e">
        <f t="shared" si="190"/>
        <v>#N/A</v>
      </c>
      <c r="AX138" t="e">
        <f t="shared" si="191"/>
        <v>#N/A</v>
      </c>
      <c r="AY138" t="e">
        <f t="shared" si="192"/>
        <v>#N/A</v>
      </c>
      <c r="BE138" t="e">
        <f>IF(Z138=1,IF(INDEX($C$7:$C$126,V138)&gt;=Gantt!$BF$6,NA(),MATCH(INDEX($C$7:$C$126,V138),Gantt!$J$6:$BE$6,1)),NA())</f>
        <v>#N/A</v>
      </c>
      <c r="BF138" t="e">
        <f>IF(Z138=1,IF((INDEX($D$7:$D$126,AA138)-1)&gt;=Gantt!$BF$6,NA(),IF((INDEX($D$7:$D$126,AA138)-1)&lt;Gantt!$J$6,0,MATCH((INDEX($D$7:$D$126,AA138)-1),Gantt!$J$6:$BE$6,1))),NA())</f>
        <v>#N/A</v>
      </c>
      <c r="BG138" t="e">
        <f t="shared" si="193"/>
        <v>#N/A</v>
      </c>
      <c r="BH138" t="e">
        <f t="shared" si="194"/>
        <v>#N/A</v>
      </c>
      <c r="BI138" t="e">
        <f t="shared" si="195"/>
        <v>#N/A</v>
      </c>
      <c r="BJ138" t="e">
        <f t="shared" si="196"/>
        <v>#N/A</v>
      </c>
      <c r="BK138" t="e">
        <f t="shared" si="197"/>
        <v>#N/A</v>
      </c>
      <c r="BL138" t="e">
        <f t="shared" si="198"/>
        <v>#N/A</v>
      </c>
      <c r="BM138" t="e">
        <f t="shared" si="199"/>
        <v>#N/A</v>
      </c>
      <c r="BN138" t="e">
        <f t="shared" si="200"/>
        <v>#N/A</v>
      </c>
      <c r="BO138" t="e">
        <f t="shared" si="201"/>
        <v>#N/A</v>
      </c>
      <c r="BP138" t="e">
        <f t="shared" si="202"/>
        <v>#N/A</v>
      </c>
      <c r="BQ138" t="e">
        <f t="shared" si="203"/>
        <v>#N/A</v>
      </c>
      <c r="BR138" t="e">
        <f t="shared" si="204"/>
        <v>#N/A</v>
      </c>
      <c r="BS138" t="e">
        <f t="shared" si="205"/>
        <v>#N/A</v>
      </c>
      <c r="BT138" t="e">
        <f t="shared" si="206"/>
        <v>#N/A</v>
      </c>
      <c r="BU138" t="e">
        <f t="shared" si="207"/>
        <v>#N/A</v>
      </c>
      <c r="BV138" t="e">
        <f t="shared" si="208"/>
        <v>#N/A</v>
      </c>
      <c r="BW138" t="e">
        <f t="shared" si="209"/>
        <v>#N/A</v>
      </c>
      <c r="BX138" t="e">
        <f t="shared" si="210"/>
        <v>#N/A</v>
      </c>
      <c r="BY138" t="e">
        <f t="shared" si="211"/>
        <v>#N/A</v>
      </c>
      <c r="BZ138" t="e">
        <f t="shared" si="212"/>
        <v>#N/A</v>
      </c>
      <c r="CA138" t="e">
        <f t="shared" si="213"/>
        <v>#N/A</v>
      </c>
      <c r="CB138" t="e">
        <f t="shared" si="214"/>
        <v>#N/A</v>
      </c>
      <c r="CC138" t="e">
        <f t="shared" si="215"/>
        <v>#N/A</v>
      </c>
      <c r="CD138" t="e">
        <f t="shared" si="216"/>
        <v>#N/A</v>
      </c>
      <c r="CE138" t="e">
        <f t="shared" si="217"/>
        <v>#N/A</v>
      </c>
      <c r="CF138" t="e">
        <f t="shared" si="218"/>
        <v>#N/A</v>
      </c>
      <c r="CG138" t="e">
        <f t="shared" si="219"/>
        <v>#N/A</v>
      </c>
      <c r="CI138" t="e">
        <f>AT50</f>
        <v>#N/A</v>
      </c>
      <c r="CJ138" t="e">
        <f>AU50</f>
        <v>#N/A</v>
      </c>
      <c r="CK138">
        <f>IF(ISNUMBER(CI138),IFERROR(MAX(0,AV50-CI138),0),0)</f>
        <v>0</v>
      </c>
      <c r="CL138">
        <f>IF(ISNUMBER(CI138),IFERROR(MAX(0,CI138-AV50),0),0)</f>
        <v>0</v>
      </c>
      <c r="CM138">
        <f>IF(ISNUMBER(CJ138),IFERROR(MAX(0,AW50-CJ138),0),0)</f>
        <v>0</v>
      </c>
      <c r="CN138">
        <f>IF(ISNUMBER(CJ138),IFERROR(MAX(0,CJ138-AW50),0),0)</f>
        <v>0</v>
      </c>
      <c r="CP138" t="e">
        <f>CB50</f>
        <v>#N/A</v>
      </c>
      <c r="CQ138" t="e">
        <f>CC50</f>
        <v>#N/A</v>
      </c>
      <c r="CR138">
        <f>IF(ISNUMBER(CP138),IFERROR(MAX(0,CD50-CP138),0),0)</f>
        <v>0</v>
      </c>
      <c r="CS138">
        <f>IF(ISNUMBER(CP138),IFERROR(MAX(0,CP138-CD50),0),0)</f>
        <v>0</v>
      </c>
      <c r="CT138">
        <f>IF(ISNUMBER(CQ138),IFERROR(MAX(0,CE50-CQ138),0),0)</f>
        <v>0</v>
      </c>
      <c r="CU138">
        <f>IF(ISNUMBER(CQ138),IFERROR(MAX(0,CQ138-CE50),0),0)</f>
        <v>0</v>
      </c>
    </row>
    <row r="139" spans="21:99" x14ac:dyDescent="0.3">
      <c r="U139">
        <v>133</v>
      </c>
      <c r="V139">
        <f t="shared" si="164"/>
        <v>34</v>
      </c>
      <c r="W139">
        <f t="shared" si="165"/>
        <v>1</v>
      </c>
      <c r="X139">
        <f t="shared" si="166"/>
        <v>0</v>
      </c>
      <c r="Y139">
        <f>IF(X139&lt;&gt;1,9999,CHOOSE(W139,INDEX(Gantt!$BQ$7:$BQ$119,V139),INDEX(Gantt!$BR$7:$BR$119,V139),INDEX(Gantt!$BT$7:$BT$119,V139),INDEX(Gantt!$BU$7:$BU$119,V139)))</f>
        <v>9999</v>
      </c>
      <c r="Z139">
        <f t="shared" si="167"/>
        <v>0</v>
      </c>
      <c r="AA139" t="e">
        <f t="shared" si="168"/>
        <v>#N/A</v>
      </c>
      <c r="AB139" t="e">
        <f t="shared" si="169"/>
        <v>#N/A</v>
      </c>
      <c r="AC139" t="e">
        <f t="shared" si="170"/>
        <v>#N/A</v>
      </c>
      <c r="AD139" t="e">
        <f t="shared" si="171"/>
        <v>#N/A</v>
      </c>
      <c r="AE139" t="e">
        <f t="shared" si="172"/>
        <v>#N/A</v>
      </c>
      <c r="AF139" t="e">
        <f t="shared" si="173"/>
        <v>#N/A</v>
      </c>
      <c r="AG139" t="e">
        <f t="shared" si="174"/>
        <v>#N/A</v>
      </c>
      <c r="AH139" t="e">
        <f t="shared" si="175"/>
        <v>#N/A</v>
      </c>
      <c r="AI139" t="e">
        <f t="shared" si="176"/>
        <v>#N/A</v>
      </c>
      <c r="AJ139" t="e">
        <f t="shared" si="177"/>
        <v>#N/A</v>
      </c>
      <c r="AK139" t="e">
        <f t="shared" si="178"/>
        <v>#N/A</v>
      </c>
      <c r="AL139" t="e">
        <f t="shared" si="179"/>
        <v>#N/A</v>
      </c>
      <c r="AM139" t="e">
        <f t="shared" si="180"/>
        <v>#N/A</v>
      </c>
      <c r="AN139" t="e">
        <f t="shared" si="181"/>
        <v>#N/A</v>
      </c>
      <c r="AO139" t="e">
        <f t="shared" si="182"/>
        <v>#N/A</v>
      </c>
      <c r="AP139" t="e">
        <f t="shared" si="183"/>
        <v>#N/A</v>
      </c>
      <c r="AQ139" t="e">
        <f t="shared" si="184"/>
        <v>#N/A</v>
      </c>
      <c r="AR139" t="e">
        <f t="shared" si="185"/>
        <v>#N/A</v>
      </c>
      <c r="AS139" t="e">
        <f t="shared" si="186"/>
        <v>#N/A</v>
      </c>
      <c r="AT139" t="e">
        <f t="shared" si="187"/>
        <v>#N/A</v>
      </c>
      <c r="AU139" t="e">
        <f t="shared" si="188"/>
        <v>#N/A</v>
      </c>
      <c r="AV139" t="e">
        <f t="shared" si="189"/>
        <v>#N/A</v>
      </c>
      <c r="AW139" t="e">
        <f t="shared" si="190"/>
        <v>#N/A</v>
      </c>
      <c r="AX139" t="e">
        <f t="shared" si="191"/>
        <v>#N/A</v>
      </c>
      <c r="AY139" t="e">
        <f t="shared" si="192"/>
        <v>#N/A</v>
      </c>
      <c r="BE139" t="e">
        <f>IF(Z139=1,IF(INDEX($C$7:$C$126,V139)&gt;=Gantt!$BF$6,NA(),MATCH(INDEX($C$7:$C$126,V139),Gantt!$J$6:$BE$6,1)),NA())</f>
        <v>#N/A</v>
      </c>
      <c r="BF139" t="e">
        <f>IF(Z139=1,IF((INDEX($D$7:$D$126,AA139)-1)&gt;=Gantt!$BF$6,NA(),IF((INDEX($D$7:$D$126,AA139)-1)&lt;Gantt!$J$6,0,MATCH((INDEX($D$7:$D$126,AA139)-1),Gantt!$J$6:$BE$6,1))),NA())</f>
        <v>#N/A</v>
      </c>
      <c r="BG139" t="e">
        <f t="shared" si="193"/>
        <v>#N/A</v>
      </c>
      <c r="BH139" t="e">
        <f t="shared" si="194"/>
        <v>#N/A</v>
      </c>
      <c r="BI139" t="e">
        <f t="shared" si="195"/>
        <v>#N/A</v>
      </c>
      <c r="BJ139" t="e">
        <f t="shared" si="196"/>
        <v>#N/A</v>
      </c>
      <c r="BK139" t="e">
        <f t="shared" si="197"/>
        <v>#N/A</v>
      </c>
      <c r="BL139" t="e">
        <f t="shared" si="198"/>
        <v>#N/A</v>
      </c>
      <c r="BM139" t="e">
        <f t="shared" si="199"/>
        <v>#N/A</v>
      </c>
      <c r="BN139" t="e">
        <f t="shared" si="200"/>
        <v>#N/A</v>
      </c>
      <c r="BO139" t="e">
        <f t="shared" si="201"/>
        <v>#N/A</v>
      </c>
      <c r="BP139" t="e">
        <f t="shared" si="202"/>
        <v>#N/A</v>
      </c>
      <c r="BQ139" t="e">
        <f t="shared" si="203"/>
        <v>#N/A</v>
      </c>
      <c r="BR139" t="e">
        <f t="shared" si="204"/>
        <v>#N/A</v>
      </c>
      <c r="BS139" t="e">
        <f t="shared" si="205"/>
        <v>#N/A</v>
      </c>
      <c r="BT139" t="e">
        <f t="shared" si="206"/>
        <v>#N/A</v>
      </c>
      <c r="BU139" t="e">
        <f t="shared" si="207"/>
        <v>#N/A</v>
      </c>
      <c r="BV139" t="e">
        <f t="shared" si="208"/>
        <v>#N/A</v>
      </c>
      <c r="BW139" t="e">
        <f t="shared" si="209"/>
        <v>#N/A</v>
      </c>
      <c r="BX139" t="e">
        <f t="shared" si="210"/>
        <v>#N/A</v>
      </c>
      <c r="BY139" t="e">
        <f t="shared" si="211"/>
        <v>#N/A</v>
      </c>
      <c r="BZ139" t="e">
        <f t="shared" si="212"/>
        <v>#N/A</v>
      </c>
      <c r="CA139" t="e">
        <f t="shared" si="213"/>
        <v>#N/A</v>
      </c>
      <c r="CB139" t="e">
        <f t="shared" si="214"/>
        <v>#N/A</v>
      </c>
      <c r="CC139" t="e">
        <f t="shared" si="215"/>
        <v>#N/A</v>
      </c>
      <c r="CD139" t="e">
        <f t="shared" si="216"/>
        <v>#N/A</v>
      </c>
      <c r="CE139" t="e">
        <f t="shared" si="217"/>
        <v>#N/A</v>
      </c>
      <c r="CF139" t="e">
        <f t="shared" si="218"/>
        <v>#N/A</v>
      </c>
      <c r="CG139" t="e">
        <f t="shared" si="219"/>
        <v>#N/A</v>
      </c>
      <c r="CI139" t="e">
        <f>AL51</f>
        <v>#N/A</v>
      </c>
      <c r="CJ139" t="e">
        <f>AM51</f>
        <v>#N/A</v>
      </c>
      <c r="CK139">
        <f>IF(ISNUMBER(CI139),IFERROR(MAX(0,AN51-CI139),0),0)</f>
        <v>0</v>
      </c>
      <c r="CL139">
        <f>IF(ISNUMBER(CI139),IFERROR(MAX(0,CI139-AN51),0),0)</f>
        <v>0</v>
      </c>
      <c r="CM139">
        <f>IF(ISNUMBER(CJ139),IFERROR(MAX(0,AO51-CJ139),0),0)</f>
        <v>0</v>
      </c>
      <c r="CN139">
        <f>IF(ISNUMBER(CJ139),IFERROR(MAX(0,CJ139-AO51),0),0)</f>
        <v>0</v>
      </c>
      <c r="CP139" t="e">
        <f>BT51</f>
        <v>#N/A</v>
      </c>
      <c r="CQ139" t="e">
        <f>BU51</f>
        <v>#N/A</v>
      </c>
      <c r="CR139">
        <f>IF(ISNUMBER(CP139),IFERROR(MAX(0,BV51-CP139),0),0)</f>
        <v>0</v>
      </c>
      <c r="CS139">
        <f>IF(ISNUMBER(CP139),IFERROR(MAX(0,CP139-BV51),0),0)</f>
        <v>0</v>
      </c>
      <c r="CT139">
        <f>IF(ISNUMBER(CQ139),IFERROR(MAX(0,BW51-CQ139),0),0)</f>
        <v>0</v>
      </c>
      <c r="CU139">
        <f>IF(ISNUMBER(CQ139),IFERROR(MAX(0,CQ139-BW51),0),0)</f>
        <v>0</v>
      </c>
    </row>
    <row r="140" spans="21:99" x14ac:dyDescent="0.3">
      <c r="U140">
        <v>134</v>
      </c>
      <c r="V140">
        <f t="shared" si="164"/>
        <v>34</v>
      </c>
      <c r="W140">
        <f t="shared" si="165"/>
        <v>2</v>
      </c>
      <c r="X140">
        <f t="shared" si="166"/>
        <v>0</v>
      </c>
      <c r="Y140">
        <f>IF(X140&lt;&gt;1,9999,CHOOSE(W140,INDEX(Gantt!$BQ$7:$BQ$119,V140),INDEX(Gantt!$BR$7:$BR$119,V140),INDEX(Gantt!$BT$7:$BT$119,V140),INDEX(Gantt!$BU$7:$BU$119,V140)))</f>
        <v>9999</v>
      </c>
      <c r="Z140">
        <f t="shared" si="167"/>
        <v>0</v>
      </c>
      <c r="AA140" t="e">
        <f t="shared" si="168"/>
        <v>#N/A</v>
      </c>
      <c r="AB140" t="e">
        <f t="shared" si="169"/>
        <v>#N/A</v>
      </c>
      <c r="AC140" t="e">
        <f t="shared" si="170"/>
        <v>#N/A</v>
      </c>
      <c r="AD140" t="e">
        <f t="shared" si="171"/>
        <v>#N/A</v>
      </c>
      <c r="AE140" t="e">
        <f t="shared" si="172"/>
        <v>#N/A</v>
      </c>
      <c r="AF140" t="e">
        <f t="shared" si="173"/>
        <v>#N/A</v>
      </c>
      <c r="AG140" t="e">
        <f t="shared" si="174"/>
        <v>#N/A</v>
      </c>
      <c r="AH140" t="e">
        <f t="shared" si="175"/>
        <v>#N/A</v>
      </c>
      <c r="AI140" t="e">
        <f t="shared" si="176"/>
        <v>#N/A</v>
      </c>
      <c r="AJ140" t="e">
        <f t="shared" si="177"/>
        <v>#N/A</v>
      </c>
      <c r="AK140" t="e">
        <f t="shared" si="178"/>
        <v>#N/A</v>
      </c>
      <c r="AL140" t="e">
        <f t="shared" si="179"/>
        <v>#N/A</v>
      </c>
      <c r="AM140" t="e">
        <f t="shared" si="180"/>
        <v>#N/A</v>
      </c>
      <c r="AN140" t="e">
        <f t="shared" si="181"/>
        <v>#N/A</v>
      </c>
      <c r="AO140" t="e">
        <f t="shared" si="182"/>
        <v>#N/A</v>
      </c>
      <c r="AP140" t="e">
        <f t="shared" si="183"/>
        <v>#N/A</v>
      </c>
      <c r="AQ140" t="e">
        <f t="shared" si="184"/>
        <v>#N/A</v>
      </c>
      <c r="AR140" t="e">
        <f t="shared" si="185"/>
        <v>#N/A</v>
      </c>
      <c r="AS140" t="e">
        <f t="shared" si="186"/>
        <v>#N/A</v>
      </c>
      <c r="AT140" t="e">
        <f t="shared" si="187"/>
        <v>#N/A</v>
      </c>
      <c r="AU140" t="e">
        <f t="shared" si="188"/>
        <v>#N/A</v>
      </c>
      <c r="AV140" t="e">
        <f t="shared" si="189"/>
        <v>#N/A</v>
      </c>
      <c r="AW140" t="e">
        <f t="shared" si="190"/>
        <v>#N/A</v>
      </c>
      <c r="AX140" t="e">
        <f t="shared" si="191"/>
        <v>#N/A</v>
      </c>
      <c r="AY140" t="e">
        <f t="shared" si="192"/>
        <v>#N/A</v>
      </c>
      <c r="BE140" t="e">
        <f>IF(Z140=1,IF(INDEX($C$7:$C$126,V140)&gt;=Gantt!$BF$6,NA(),MATCH(INDEX($C$7:$C$126,V140),Gantt!$J$6:$BE$6,1)),NA())</f>
        <v>#N/A</v>
      </c>
      <c r="BF140" t="e">
        <f>IF(Z140=1,IF((INDEX($D$7:$D$126,AA140)-1)&gt;=Gantt!$BF$6,NA(),IF((INDEX($D$7:$D$126,AA140)-1)&lt;Gantt!$J$6,0,MATCH((INDEX($D$7:$D$126,AA140)-1),Gantt!$J$6:$BE$6,1))),NA())</f>
        <v>#N/A</v>
      </c>
      <c r="BG140" t="e">
        <f t="shared" si="193"/>
        <v>#N/A</v>
      </c>
      <c r="BH140" t="e">
        <f t="shared" si="194"/>
        <v>#N/A</v>
      </c>
      <c r="BI140" t="e">
        <f t="shared" si="195"/>
        <v>#N/A</v>
      </c>
      <c r="BJ140" t="e">
        <f t="shared" si="196"/>
        <v>#N/A</v>
      </c>
      <c r="BK140" t="e">
        <f t="shared" si="197"/>
        <v>#N/A</v>
      </c>
      <c r="BL140" t="e">
        <f t="shared" si="198"/>
        <v>#N/A</v>
      </c>
      <c r="BM140" t="e">
        <f t="shared" si="199"/>
        <v>#N/A</v>
      </c>
      <c r="BN140" t="e">
        <f t="shared" si="200"/>
        <v>#N/A</v>
      </c>
      <c r="BO140" t="e">
        <f t="shared" si="201"/>
        <v>#N/A</v>
      </c>
      <c r="BP140" t="e">
        <f t="shared" si="202"/>
        <v>#N/A</v>
      </c>
      <c r="BQ140" t="e">
        <f t="shared" si="203"/>
        <v>#N/A</v>
      </c>
      <c r="BR140" t="e">
        <f t="shared" si="204"/>
        <v>#N/A</v>
      </c>
      <c r="BS140" t="e">
        <f t="shared" si="205"/>
        <v>#N/A</v>
      </c>
      <c r="BT140" t="e">
        <f t="shared" si="206"/>
        <v>#N/A</v>
      </c>
      <c r="BU140" t="e">
        <f t="shared" si="207"/>
        <v>#N/A</v>
      </c>
      <c r="BV140" t="e">
        <f t="shared" si="208"/>
        <v>#N/A</v>
      </c>
      <c r="BW140" t="e">
        <f t="shared" si="209"/>
        <v>#N/A</v>
      </c>
      <c r="BX140" t="e">
        <f t="shared" si="210"/>
        <v>#N/A</v>
      </c>
      <c r="BY140" t="e">
        <f t="shared" si="211"/>
        <v>#N/A</v>
      </c>
      <c r="BZ140" t="e">
        <f t="shared" si="212"/>
        <v>#N/A</v>
      </c>
      <c r="CA140" t="e">
        <f t="shared" si="213"/>
        <v>#N/A</v>
      </c>
      <c r="CB140" t="e">
        <f t="shared" si="214"/>
        <v>#N/A</v>
      </c>
      <c r="CC140" t="e">
        <f t="shared" si="215"/>
        <v>#N/A</v>
      </c>
      <c r="CD140" t="e">
        <f t="shared" si="216"/>
        <v>#N/A</v>
      </c>
      <c r="CE140" t="e">
        <f t="shared" si="217"/>
        <v>#N/A</v>
      </c>
      <c r="CF140" t="e">
        <f t="shared" si="218"/>
        <v>#N/A</v>
      </c>
      <c r="CG140" t="e">
        <f t="shared" si="219"/>
        <v>#N/A</v>
      </c>
      <c r="CI140" t="e">
        <f>AP51</f>
        <v>#N/A</v>
      </c>
      <c r="CJ140" t="e">
        <f>AQ51</f>
        <v>#N/A</v>
      </c>
      <c r="CK140">
        <f>IF(ISNUMBER(CI140),IFERROR(MAX(0,AR51-CI140),0),0)</f>
        <v>0</v>
      </c>
      <c r="CL140">
        <f>IF(ISNUMBER(CI140),IFERROR(MAX(0,CI140-AR51),0),0)</f>
        <v>0</v>
      </c>
      <c r="CM140">
        <f>IF(ISNUMBER(CJ140),IFERROR(MAX(0,AS51-CJ140),0),0)</f>
        <v>0</v>
      </c>
      <c r="CN140">
        <f>IF(ISNUMBER(CJ140),IFERROR(MAX(0,CJ140-AS51),0),0)</f>
        <v>0</v>
      </c>
      <c r="CP140" t="e">
        <f>BX51</f>
        <v>#N/A</v>
      </c>
      <c r="CQ140" t="e">
        <f>BY51</f>
        <v>#N/A</v>
      </c>
      <c r="CR140">
        <f>IF(ISNUMBER(CP140),IFERROR(MAX(0,BZ51-CP140),0),0)</f>
        <v>0</v>
      </c>
      <c r="CS140">
        <f>IF(ISNUMBER(CP140),IFERROR(MAX(0,CP140-BZ51),0),0)</f>
        <v>0</v>
      </c>
      <c r="CT140">
        <f>IF(ISNUMBER(CQ140),IFERROR(MAX(0,CA51-CQ140),0),0)</f>
        <v>0</v>
      </c>
      <c r="CU140">
        <f>IF(ISNUMBER(CQ140),IFERROR(MAX(0,CQ140-CA51),0),0)</f>
        <v>0</v>
      </c>
    </row>
    <row r="141" spans="21:99" x14ac:dyDescent="0.3">
      <c r="U141">
        <v>135</v>
      </c>
      <c r="V141">
        <f t="shared" si="164"/>
        <v>34</v>
      </c>
      <c r="W141">
        <f t="shared" si="165"/>
        <v>3</v>
      </c>
      <c r="X141">
        <f t="shared" si="166"/>
        <v>0</v>
      </c>
      <c r="Y141">
        <f>IF(X141&lt;&gt;1,9999,CHOOSE(W141,INDEX(Gantt!$BQ$7:$BQ$119,V141),INDEX(Gantt!$BR$7:$BR$119,V141),INDEX(Gantt!$BT$7:$BT$119,V141),INDEX(Gantt!$BU$7:$BU$119,V141)))</f>
        <v>9999</v>
      </c>
      <c r="Z141">
        <f t="shared" si="167"/>
        <v>0</v>
      </c>
      <c r="AA141" t="e">
        <f t="shared" si="168"/>
        <v>#N/A</v>
      </c>
      <c r="AB141" t="e">
        <f t="shared" si="169"/>
        <v>#N/A</v>
      </c>
      <c r="AC141" t="e">
        <f t="shared" si="170"/>
        <v>#N/A</v>
      </c>
      <c r="AD141" t="e">
        <f t="shared" si="171"/>
        <v>#N/A</v>
      </c>
      <c r="AE141" t="e">
        <f t="shared" si="172"/>
        <v>#N/A</v>
      </c>
      <c r="AF141" t="e">
        <f t="shared" si="173"/>
        <v>#N/A</v>
      </c>
      <c r="AG141" t="e">
        <f t="shared" si="174"/>
        <v>#N/A</v>
      </c>
      <c r="AH141" t="e">
        <f t="shared" si="175"/>
        <v>#N/A</v>
      </c>
      <c r="AI141" t="e">
        <f t="shared" si="176"/>
        <v>#N/A</v>
      </c>
      <c r="AJ141" t="e">
        <f t="shared" si="177"/>
        <v>#N/A</v>
      </c>
      <c r="AK141" t="e">
        <f t="shared" si="178"/>
        <v>#N/A</v>
      </c>
      <c r="AL141" t="e">
        <f t="shared" si="179"/>
        <v>#N/A</v>
      </c>
      <c r="AM141" t="e">
        <f t="shared" si="180"/>
        <v>#N/A</v>
      </c>
      <c r="AN141" t="e">
        <f t="shared" si="181"/>
        <v>#N/A</v>
      </c>
      <c r="AO141" t="e">
        <f t="shared" si="182"/>
        <v>#N/A</v>
      </c>
      <c r="AP141" t="e">
        <f t="shared" si="183"/>
        <v>#N/A</v>
      </c>
      <c r="AQ141" t="e">
        <f t="shared" si="184"/>
        <v>#N/A</v>
      </c>
      <c r="AR141" t="e">
        <f t="shared" si="185"/>
        <v>#N/A</v>
      </c>
      <c r="AS141" t="e">
        <f t="shared" si="186"/>
        <v>#N/A</v>
      </c>
      <c r="AT141" t="e">
        <f t="shared" si="187"/>
        <v>#N/A</v>
      </c>
      <c r="AU141" t="e">
        <f t="shared" si="188"/>
        <v>#N/A</v>
      </c>
      <c r="AV141" t="e">
        <f t="shared" si="189"/>
        <v>#N/A</v>
      </c>
      <c r="AW141" t="e">
        <f t="shared" si="190"/>
        <v>#N/A</v>
      </c>
      <c r="AX141" t="e">
        <f t="shared" si="191"/>
        <v>#N/A</v>
      </c>
      <c r="AY141" t="e">
        <f t="shared" si="192"/>
        <v>#N/A</v>
      </c>
      <c r="BE141" t="e">
        <f>IF(Z141=1,IF(INDEX($C$7:$C$126,V141)&gt;=Gantt!$BF$6,NA(),MATCH(INDEX($C$7:$C$126,V141),Gantt!$J$6:$BE$6,1)),NA())</f>
        <v>#N/A</v>
      </c>
      <c r="BF141" t="e">
        <f>IF(Z141=1,IF((INDEX($D$7:$D$126,AA141)-1)&gt;=Gantt!$BF$6,NA(),IF((INDEX($D$7:$D$126,AA141)-1)&lt;Gantt!$J$6,0,MATCH((INDEX($D$7:$D$126,AA141)-1),Gantt!$J$6:$BE$6,1))),NA())</f>
        <v>#N/A</v>
      </c>
      <c r="BG141" t="e">
        <f t="shared" si="193"/>
        <v>#N/A</v>
      </c>
      <c r="BH141" t="e">
        <f t="shared" si="194"/>
        <v>#N/A</v>
      </c>
      <c r="BI141" t="e">
        <f t="shared" si="195"/>
        <v>#N/A</v>
      </c>
      <c r="BJ141" t="e">
        <f t="shared" si="196"/>
        <v>#N/A</v>
      </c>
      <c r="BK141" t="e">
        <f t="shared" si="197"/>
        <v>#N/A</v>
      </c>
      <c r="BL141" t="e">
        <f t="shared" si="198"/>
        <v>#N/A</v>
      </c>
      <c r="BM141" t="e">
        <f t="shared" si="199"/>
        <v>#N/A</v>
      </c>
      <c r="BN141" t="e">
        <f t="shared" si="200"/>
        <v>#N/A</v>
      </c>
      <c r="BO141" t="e">
        <f t="shared" si="201"/>
        <v>#N/A</v>
      </c>
      <c r="BP141" t="e">
        <f t="shared" si="202"/>
        <v>#N/A</v>
      </c>
      <c r="BQ141" t="e">
        <f t="shared" si="203"/>
        <v>#N/A</v>
      </c>
      <c r="BR141" t="e">
        <f t="shared" si="204"/>
        <v>#N/A</v>
      </c>
      <c r="BS141" t="e">
        <f t="shared" si="205"/>
        <v>#N/A</v>
      </c>
      <c r="BT141" t="e">
        <f t="shared" si="206"/>
        <v>#N/A</v>
      </c>
      <c r="BU141" t="e">
        <f t="shared" si="207"/>
        <v>#N/A</v>
      </c>
      <c r="BV141" t="e">
        <f t="shared" si="208"/>
        <v>#N/A</v>
      </c>
      <c r="BW141" t="e">
        <f t="shared" si="209"/>
        <v>#N/A</v>
      </c>
      <c r="BX141" t="e">
        <f t="shared" si="210"/>
        <v>#N/A</v>
      </c>
      <c r="BY141" t="e">
        <f t="shared" si="211"/>
        <v>#N/A</v>
      </c>
      <c r="BZ141" t="e">
        <f t="shared" si="212"/>
        <v>#N/A</v>
      </c>
      <c r="CA141" t="e">
        <f t="shared" si="213"/>
        <v>#N/A</v>
      </c>
      <c r="CB141" t="e">
        <f t="shared" si="214"/>
        <v>#N/A</v>
      </c>
      <c r="CC141" t="e">
        <f t="shared" si="215"/>
        <v>#N/A</v>
      </c>
      <c r="CD141" t="e">
        <f t="shared" si="216"/>
        <v>#N/A</v>
      </c>
      <c r="CE141" t="e">
        <f t="shared" si="217"/>
        <v>#N/A</v>
      </c>
      <c r="CF141" t="e">
        <f t="shared" si="218"/>
        <v>#N/A</v>
      </c>
      <c r="CG141" t="e">
        <f t="shared" si="219"/>
        <v>#N/A</v>
      </c>
      <c r="CI141" t="e">
        <f>AT51</f>
        <v>#N/A</v>
      </c>
      <c r="CJ141" t="e">
        <f>AU51</f>
        <v>#N/A</v>
      </c>
      <c r="CK141">
        <f>IF(ISNUMBER(CI141),IFERROR(MAX(0,AV51-CI141),0),0)</f>
        <v>0</v>
      </c>
      <c r="CL141">
        <f>IF(ISNUMBER(CI141),IFERROR(MAX(0,CI141-AV51),0),0)</f>
        <v>0</v>
      </c>
      <c r="CM141">
        <f>IF(ISNUMBER(CJ141),IFERROR(MAX(0,AW51-CJ141),0),0)</f>
        <v>0</v>
      </c>
      <c r="CN141">
        <f>IF(ISNUMBER(CJ141),IFERROR(MAX(0,CJ141-AW51),0),0)</f>
        <v>0</v>
      </c>
      <c r="CP141" t="e">
        <f>CB51</f>
        <v>#N/A</v>
      </c>
      <c r="CQ141" t="e">
        <f>CC51</f>
        <v>#N/A</v>
      </c>
      <c r="CR141">
        <f>IF(ISNUMBER(CP141),IFERROR(MAX(0,CD51-CP141),0),0)</f>
        <v>0</v>
      </c>
      <c r="CS141">
        <f>IF(ISNUMBER(CP141),IFERROR(MAX(0,CP141-CD51),0),0)</f>
        <v>0</v>
      </c>
      <c r="CT141">
        <f>IF(ISNUMBER(CQ141),IFERROR(MAX(0,CE51-CQ141),0),0)</f>
        <v>0</v>
      </c>
      <c r="CU141">
        <f>IF(ISNUMBER(CQ141),IFERROR(MAX(0,CQ141-CE51),0),0)</f>
        <v>0</v>
      </c>
    </row>
    <row r="142" spans="21:99" x14ac:dyDescent="0.3">
      <c r="U142">
        <v>136</v>
      </c>
      <c r="V142">
        <f t="shared" si="164"/>
        <v>34</v>
      </c>
      <c r="W142">
        <f t="shared" si="165"/>
        <v>4</v>
      </c>
      <c r="X142">
        <f t="shared" si="166"/>
        <v>0</v>
      </c>
      <c r="Y142">
        <f>IF(X142&lt;&gt;1,9999,CHOOSE(W142,INDEX(Gantt!$BQ$7:$BQ$119,V142),INDEX(Gantt!$BR$7:$BR$119,V142),INDEX(Gantt!$BT$7:$BT$119,V142),INDEX(Gantt!$BU$7:$BU$119,V142)))</f>
        <v>9999</v>
      </c>
      <c r="Z142">
        <f t="shared" si="167"/>
        <v>0</v>
      </c>
      <c r="AA142" t="e">
        <f t="shared" si="168"/>
        <v>#N/A</v>
      </c>
      <c r="AB142" t="e">
        <f t="shared" si="169"/>
        <v>#N/A</v>
      </c>
      <c r="AC142" t="e">
        <f t="shared" si="170"/>
        <v>#N/A</v>
      </c>
      <c r="AD142" t="e">
        <f t="shared" si="171"/>
        <v>#N/A</v>
      </c>
      <c r="AE142" t="e">
        <f t="shared" si="172"/>
        <v>#N/A</v>
      </c>
      <c r="AF142" t="e">
        <f t="shared" si="173"/>
        <v>#N/A</v>
      </c>
      <c r="AG142" t="e">
        <f t="shared" si="174"/>
        <v>#N/A</v>
      </c>
      <c r="AH142" t="e">
        <f t="shared" si="175"/>
        <v>#N/A</v>
      </c>
      <c r="AI142" t="e">
        <f t="shared" si="176"/>
        <v>#N/A</v>
      </c>
      <c r="AJ142" t="e">
        <f t="shared" si="177"/>
        <v>#N/A</v>
      </c>
      <c r="AK142" t="e">
        <f t="shared" si="178"/>
        <v>#N/A</v>
      </c>
      <c r="AL142" t="e">
        <f t="shared" si="179"/>
        <v>#N/A</v>
      </c>
      <c r="AM142" t="e">
        <f t="shared" si="180"/>
        <v>#N/A</v>
      </c>
      <c r="AN142" t="e">
        <f t="shared" si="181"/>
        <v>#N/A</v>
      </c>
      <c r="AO142" t="e">
        <f t="shared" si="182"/>
        <v>#N/A</v>
      </c>
      <c r="AP142" t="e">
        <f t="shared" si="183"/>
        <v>#N/A</v>
      </c>
      <c r="AQ142" t="e">
        <f t="shared" si="184"/>
        <v>#N/A</v>
      </c>
      <c r="AR142" t="e">
        <f t="shared" si="185"/>
        <v>#N/A</v>
      </c>
      <c r="AS142" t="e">
        <f t="shared" si="186"/>
        <v>#N/A</v>
      </c>
      <c r="AT142" t="e">
        <f t="shared" si="187"/>
        <v>#N/A</v>
      </c>
      <c r="AU142" t="e">
        <f t="shared" si="188"/>
        <v>#N/A</v>
      </c>
      <c r="AV142" t="e">
        <f t="shared" si="189"/>
        <v>#N/A</v>
      </c>
      <c r="AW142" t="e">
        <f t="shared" si="190"/>
        <v>#N/A</v>
      </c>
      <c r="AX142" t="e">
        <f t="shared" si="191"/>
        <v>#N/A</v>
      </c>
      <c r="AY142" t="e">
        <f t="shared" si="192"/>
        <v>#N/A</v>
      </c>
      <c r="BE142" t="e">
        <f>IF(Z142=1,IF(INDEX($C$7:$C$126,V142)&gt;=Gantt!$BF$6,NA(),MATCH(INDEX($C$7:$C$126,V142),Gantt!$J$6:$BE$6,1)),NA())</f>
        <v>#N/A</v>
      </c>
      <c r="BF142" t="e">
        <f>IF(Z142=1,IF((INDEX($D$7:$D$126,AA142)-1)&gt;=Gantt!$BF$6,NA(),IF((INDEX($D$7:$D$126,AA142)-1)&lt;Gantt!$J$6,0,MATCH((INDEX($D$7:$D$126,AA142)-1),Gantt!$J$6:$BE$6,1))),NA())</f>
        <v>#N/A</v>
      </c>
      <c r="BG142" t="e">
        <f t="shared" si="193"/>
        <v>#N/A</v>
      </c>
      <c r="BH142" t="e">
        <f t="shared" si="194"/>
        <v>#N/A</v>
      </c>
      <c r="BI142" t="e">
        <f t="shared" si="195"/>
        <v>#N/A</v>
      </c>
      <c r="BJ142" t="e">
        <f t="shared" si="196"/>
        <v>#N/A</v>
      </c>
      <c r="BK142" t="e">
        <f t="shared" si="197"/>
        <v>#N/A</v>
      </c>
      <c r="BL142" t="e">
        <f t="shared" si="198"/>
        <v>#N/A</v>
      </c>
      <c r="BM142" t="e">
        <f t="shared" si="199"/>
        <v>#N/A</v>
      </c>
      <c r="BN142" t="e">
        <f t="shared" si="200"/>
        <v>#N/A</v>
      </c>
      <c r="BO142" t="e">
        <f t="shared" si="201"/>
        <v>#N/A</v>
      </c>
      <c r="BP142" t="e">
        <f t="shared" si="202"/>
        <v>#N/A</v>
      </c>
      <c r="BQ142" t="e">
        <f t="shared" si="203"/>
        <v>#N/A</v>
      </c>
      <c r="BR142" t="e">
        <f t="shared" si="204"/>
        <v>#N/A</v>
      </c>
      <c r="BS142" t="e">
        <f t="shared" si="205"/>
        <v>#N/A</v>
      </c>
      <c r="BT142" t="e">
        <f t="shared" si="206"/>
        <v>#N/A</v>
      </c>
      <c r="BU142" t="e">
        <f t="shared" si="207"/>
        <v>#N/A</v>
      </c>
      <c r="BV142" t="e">
        <f t="shared" si="208"/>
        <v>#N/A</v>
      </c>
      <c r="BW142" t="e">
        <f t="shared" si="209"/>
        <v>#N/A</v>
      </c>
      <c r="BX142" t="e">
        <f t="shared" si="210"/>
        <v>#N/A</v>
      </c>
      <c r="BY142" t="e">
        <f t="shared" si="211"/>
        <v>#N/A</v>
      </c>
      <c r="BZ142" t="e">
        <f t="shared" si="212"/>
        <v>#N/A</v>
      </c>
      <c r="CA142" t="e">
        <f t="shared" si="213"/>
        <v>#N/A</v>
      </c>
      <c r="CB142" t="e">
        <f t="shared" si="214"/>
        <v>#N/A</v>
      </c>
      <c r="CC142" t="e">
        <f t="shared" si="215"/>
        <v>#N/A</v>
      </c>
      <c r="CD142" t="e">
        <f t="shared" si="216"/>
        <v>#N/A</v>
      </c>
      <c r="CE142" t="e">
        <f t="shared" si="217"/>
        <v>#N/A</v>
      </c>
      <c r="CF142" t="e">
        <f t="shared" si="218"/>
        <v>#N/A</v>
      </c>
      <c r="CG142" t="e">
        <f t="shared" si="219"/>
        <v>#N/A</v>
      </c>
      <c r="CI142" t="e">
        <f>AL52</f>
        <v>#N/A</v>
      </c>
      <c r="CJ142" t="e">
        <f>AM52</f>
        <v>#N/A</v>
      </c>
      <c r="CK142">
        <f>IF(ISNUMBER(CI142),IFERROR(MAX(0,AN52-CI142),0),0)</f>
        <v>0</v>
      </c>
      <c r="CL142">
        <f>IF(ISNUMBER(CI142),IFERROR(MAX(0,CI142-AN52),0),0)</f>
        <v>0</v>
      </c>
      <c r="CM142">
        <f>IF(ISNUMBER(CJ142),IFERROR(MAX(0,AO52-CJ142),0),0)</f>
        <v>0</v>
      </c>
      <c r="CN142">
        <f>IF(ISNUMBER(CJ142),IFERROR(MAX(0,CJ142-AO52),0),0)</f>
        <v>0</v>
      </c>
      <c r="CP142" t="e">
        <f>BT52</f>
        <v>#N/A</v>
      </c>
      <c r="CQ142" t="e">
        <f>BU52</f>
        <v>#N/A</v>
      </c>
      <c r="CR142">
        <f>IF(ISNUMBER(CP142),IFERROR(MAX(0,BV52-CP142),0),0)</f>
        <v>0</v>
      </c>
      <c r="CS142">
        <f>IF(ISNUMBER(CP142),IFERROR(MAX(0,CP142-BV52),0),0)</f>
        <v>0</v>
      </c>
      <c r="CT142">
        <f>IF(ISNUMBER(CQ142),IFERROR(MAX(0,BW52-CQ142),0),0)</f>
        <v>0</v>
      </c>
      <c r="CU142">
        <f>IF(ISNUMBER(CQ142),IFERROR(MAX(0,CQ142-BW52),0),0)</f>
        <v>0</v>
      </c>
    </row>
    <row r="143" spans="21:99" x14ac:dyDescent="0.3">
      <c r="U143">
        <v>137</v>
      </c>
      <c r="V143">
        <f t="shared" si="164"/>
        <v>35</v>
      </c>
      <c r="W143">
        <f t="shared" si="165"/>
        <v>1</v>
      </c>
      <c r="X143">
        <f t="shared" si="166"/>
        <v>0</v>
      </c>
      <c r="Y143">
        <f>IF(X143&lt;&gt;1,9999,CHOOSE(W143,INDEX(Gantt!$BQ$7:$BQ$119,V143),INDEX(Gantt!$BR$7:$BR$119,V143),INDEX(Gantt!$BT$7:$BT$119,V143),INDEX(Gantt!$BU$7:$BU$119,V143)))</f>
        <v>9999</v>
      </c>
      <c r="Z143">
        <f t="shared" si="167"/>
        <v>0</v>
      </c>
      <c r="AA143" t="e">
        <f t="shared" si="168"/>
        <v>#N/A</v>
      </c>
      <c r="AB143" t="e">
        <f t="shared" si="169"/>
        <v>#N/A</v>
      </c>
      <c r="AC143" t="e">
        <f t="shared" si="170"/>
        <v>#N/A</v>
      </c>
      <c r="AD143" t="e">
        <f t="shared" si="171"/>
        <v>#N/A</v>
      </c>
      <c r="AE143" t="e">
        <f t="shared" si="172"/>
        <v>#N/A</v>
      </c>
      <c r="AF143" t="e">
        <f t="shared" si="173"/>
        <v>#N/A</v>
      </c>
      <c r="AG143" t="e">
        <f t="shared" si="174"/>
        <v>#N/A</v>
      </c>
      <c r="AH143" t="e">
        <f t="shared" si="175"/>
        <v>#N/A</v>
      </c>
      <c r="AI143" t="e">
        <f t="shared" si="176"/>
        <v>#N/A</v>
      </c>
      <c r="AJ143" t="e">
        <f t="shared" si="177"/>
        <v>#N/A</v>
      </c>
      <c r="AK143" t="e">
        <f t="shared" si="178"/>
        <v>#N/A</v>
      </c>
      <c r="AL143" t="e">
        <f t="shared" si="179"/>
        <v>#N/A</v>
      </c>
      <c r="AM143" t="e">
        <f t="shared" si="180"/>
        <v>#N/A</v>
      </c>
      <c r="AN143" t="e">
        <f t="shared" si="181"/>
        <v>#N/A</v>
      </c>
      <c r="AO143" t="e">
        <f t="shared" si="182"/>
        <v>#N/A</v>
      </c>
      <c r="AP143" t="e">
        <f t="shared" si="183"/>
        <v>#N/A</v>
      </c>
      <c r="AQ143" t="e">
        <f t="shared" si="184"/>
        <v>#N/A</v>
      </c>
      <c r="AR143" t="e">
        <f t="shared" si="185"/>
        <v>#N/A</v>
      </c>
      <c r="AS143" t="e">
        <f t="shared" si="186"/>
        <v>#N/A</v>
      </c>
      <c r="AT143" t="e">
        <f t="shared" si="187"/>
        <v>#N/A</v>
      </c>
      <c r="AU143" t="e">
        <f t="shared" si="188"/>
        <v>#N/A</v>
      </c>
      <c r="AV143" t="e">
        <f t="shared" si="189"/>
        <v>#N/A</v>
      </c>
      <c r="AW143" t="e">
        <f t="shared" si="190"/>
        <v>#N/A</v>
      </c>
      <c r="AX143" t="e">
        <f t="shared" si="191"/>
        <v>#N/A</v>
      </c>
      <c r="AY143" t="e">
        <f t="shared" si="192"/>
        <v>#N/A</v>
      </c>
      <c r="BE143" t="e">
        <f>IF(Z143=1,IF(INDEX($C$7:$C$126,V143)&gt;=Gantt!$BF$6,NA(),MATCH(INDEX($C$7:$C$126,V143),Gantt!$J$6:$BE$6,1)),NA())</f>
        <v>#N/A</v>
      </c>
      <c r="BF143" t="e">
        <f>IF(Z143=1,IF((INDEX($D$7:$D$126,AA143)-1)&gt;=Gantt!$BF$6,NA(),IF((INDEX($D$7:$D$126,AA143)-1)&lt;Gantt!$J$6,0,MATCH((INDEX($D$7:$D$126,AA143)-1),Gantt!$J$6:$BE$6,1))),NA())</f>
        <v>#N/A</v>
      </c>
      <c r="BG143" t="e">
        <f t="shared" si="193"/>
        <v>#N/A</v>
      </c>
      <c r="BH143" t="e">
        <f t="shared" si="194"/>
        <v>#N/A</v>
      </c>
      <c r="BI143" t="e">
        <f t="shared" si="195"/>
        <v>#N/A</v>
      </c>
      <c r="BJ143" t="e">
        <f t="shared" si="196"/>
        <v>#N/A</v>
      </c>
      <c r="BK143" t="e">
        <f t="shared" si="197"/>
        <v>#N/A</v>
      </c>
      <c r="BL143" t="e">
        <f t="shared" si="198"/>
        <v>#N/A</v>
      </c>
      <c r="BM143" t="e">
        <f t="shared" si="199"/>
        <v>#N/A</v>
      </c>
      <c r="BN143" t="e">
        <f t="shared" si="200"/>
        <v>#N/A</v>
      </c>
      <c r="BO143" t="e">
        <f t="shared" si="201"/>
        <v>#N/A</v>
      </c>
      <c r="BP143" t="e">
        <f t="shared" si="202"/>
        <v>#N/A</v>
      </c>
      <c r="BQ143" t="e">
        <f t="shared" si="203"/>
        <v>#N/A</v>
      </c>
      <c r="BR143" t="e">
        <f t="shared" si="204"/>
        <v>#N/A</v>
      </c>
      <c r="BS143" t="e">
        <f t="shared" si="205"/>
        <v>#N/A</v>
      </c>
      <c r="BT143" t="e">
        <f t="shared" si="206"/>
        <v>#N/A</v>
      </c>
      <c r="BU143" t="e">
        <f t="shared" si="207"/>
        <v>#N/A</v>
      </c>
      <c r="BV143" t="e">
        <f t="shared" si="208"/>
        <v>#N/A</v>
      </c>
      <c r="BW143" t="e">
        <f t="shared" si="209"/>
        <v>#N/A</v>
      </c>
      <c r="BX143" t="e">
        <f t="shared" si="210"/>
        <v>#N/A</v>
      </c>
      <c r="BY143" t="e">
        <f t="shared" si="211"/>
        <v>#N/A</v>
      </c>
      <c r="BZ143" t="e">
        <f t="shared" si="212"/>
        <v>#N/A</v>
      </c>
      <c r="CA143" t="e">
        <f t="shared" si="213"/>
        <v>#N/A</v>
      </c>
      <c r="CB143" t="e">
        <f t="shared" si="214"/>
        <v>#N/A</v>
      </c>
      <c r="CC143" t="e">
        <f t="shared" si="215"/>
        <v>#N/A</v>
      </c>
      <c r="CD143" t="e">
        <f t="shared" si="216"/>
        <v>#N/A</v>
      </c>
      <c r="CE143" t="e">
        <f t="shared" si="217"/>
        <v>#N/A</v>
      </c>
      <c r="CF143" t="e">
        <f t="shared" si="218"/>
        <v>#N/A</v>
      </c>
      <c r="CG143" t="e">
        <f t="shared" si="219"/>
        <v>#N/A</v>
      </c>
      <c r="CI143" t="e">
        <f>AP52</f>
        <v>#N/A</v>
      </c>
      <c r="CJ143" t="e">
        <f>AQ52</f>
        <v>#N/A</v>
      </c>
      <c r="CK143">
        <f>IF(ISNUMBER(CI143),IFERROR(MAX(0,AR52-CI143),0),0)</f>
        <v>0</v>
      </c>
      <c r="CL143">
        <f>IF(ISNUMBER(CI143),IFERROR(MAX(0,CI143-AR52),0),0)</f>
        <v>0</v>
      </c>
      <c r="CM143">
        <f>IF(ISNUMBER(CJ143),IFERROR(MAX(0,AS52-CJ143),0),0)</f>
        <v>0</v>
      </c>
      <c r="CN143">
        <f>IF(ISNUMBER(CJ143),IFERROR(MAX(0,CJ143-AS52),0),0)</f>
        <v>0</v>
      </c>
      <c r="CP143" t="e">
        <f>BX52</f>
        <v>#N/A</v>
      </c>
      <c r="CQ143" t="e">
        <f>BY52</f>
        <v>#N/A</v>
      </c>
      <c r="CR143">
        <f>IF(ISNUMBER(CP143),IFERROR(MAX(0,BZ52-CP143),0),0)</f>
        <v>0</v>
      </c>
      <c r="CS143">
        <f>IF(ISNUMBER(CP143),IFERROR(MAX(0,CP143-BZ52),0),0)</f>
        <v>0</v>
      </c>
      <c r="CT143">
        <f>IF(ISNUMBER(CQ143),IFERROR(MAX(0,CA52-CQ143),0),0)</f>
        <v>0</v>
      </c>
      <c r="CU143">
        <f>IF(ISNUMBER(CQ143),IFERROR(MAX(0,CQ143-CA52),0),0)</f>
        <v>0</v>
      </c>
    </row>
    <row r="144" spans="21:99" x14ac:dyDescent="0.3">
      <c r="U144">
        <v>138</v>
      </c>
      <c r="V144">
        <f t="shared" si="164"/>
        <v>35</v>
      </c>
      <c r="W144">
        <f t="shared" si="165"/>
        <v>2</v>
      </c>
      <c r="X144">
        <f t="shared" si="166"/>
        <v>0</v>
      </c>
      <c r="Y144">
        <f>IF(X144&lt;&gt;1,9999,CHOOSE(W144,INDEX(Gantt!$BQ$7:$BQ$119,V144),INDEX(Gantt!$BR$7:$BR$119,V144),INDEX(Gantt!$BT$7:$BT$119,V144),INDEX(Gantt!$BU$7:$BU$119,V144)))</f>
        <v>9999</v>
      </c>
      <c r="Z144">
        <f t="shared" si="167"/>
        <v>0</v>
      </c>
      <c r="AA144" t="e">
        <f t="shared" si="168"/>
        <v>#N/A</v>
      </c>
      <c r="AB144" t="e">
        <f t="shared" si="169"/>
        <v>#N/A</v>
      </c>
      <c r="AC144" t="e">
        <f t="shared" si="170"/>
        <v>#N/A</v>
      </c>
      <c r="AD144" t="e">
        <f t="shared" si="171"/>
        <v>#N/A</v>
      </c>
      <c r="AE144" t="e">
        <f t="shared" si="172"/>
        <v>#N/A</v>
      </c>
      <c r="AF144" t="e">
        <f t="shared" si="173"/>
        <v>#N/A</v>
      </c>
      <c r="AG144" t="e">
        <f t="shared" si="174"/>
        <v>#N/A</v>
      </c>
      <c r="AH144" t="e">
        <f t="shared" si="175"/>
        <v>#N/A</v>
      </c>
      <c r="AI144" t="e">
        <f t="shared" si="176"/>
        <v>#N/A</v>
      </c>
      <c r="AJ144" t="e">
        <f t="shared" si="177"/>
        <v>#N/A</v>
      </c>
      <c r="AK144" t="e">
        <f t="shared" si="178"/>
        <v>#N/A</v>
      </c>
      <c r="AL144" t="e">
        <f t="shared" si="179"/>
        <v>#N/A</v>
      </c>
      <c r="AM144" t="e">
        <f t="shared" si="180"/>
        <v>#N/A</v>
      </c>
      <c r="AN144" t="e">
        <f t="shared" si="181"/>
        <v>#N/A</v>
      </c>
      <c r="AO144" t="e">
        <f t="shared" si="182"/>
        <v>#N/A</v>
      </c>
      <c r="AP144" t="e">
        <f t="shared" si="183"/>
        <v>#N/A</v>
      </c>
      <c r="AQ144" t="e">
        <f t="shared" si="184"/>
        <v>#N/A</v>
      </c>
      <c r="AR144" t="e">
        <f t="shared" si="185"/>
        <v>#N/A</v>
      </c>
      <c r="AS144" t="e">
        <f t="shared" si="186"/>
        <v>#N/A</v>
      </c>
      <c r="AT144" t="e">
        <f t="shared" si="187"/>
        <v>#N/A</v>
      </c>
      <c r="AU144" t="e">
        <f t="shared" si="188"/>
        <v>#N/A</v>
      </c>
      <c r="AV144" t="e">
        <f t="shared" si="189"/>
        <v>#N/A</v>
      </c>
      <c r="AW144" t="e">
        <f t="shared" si="190"/>
        <v>#N/A</v>
      </c>
      <c r="AX144" t="e">
        <f t="shared" si="191"/>
        <v>#N/A</v>
      </c>
      <c r="AY144" t="e">
        <f t="shared" si="192"/>
        <v>#N/A</v>
      </c>
      <c r="BE144" t="e">
        <f>IF(Z144=1,IF(INDEX($C$7:$C$126,V144)&gt;=Gantt!$BF$6,NA(),MATCH(INDEX($C$7:$C$126,V144),Gantt!$J$6:$BE$6,1)),NA())</f>
        <v>#N/A</v>
      </c>
      <c r="BF144" t="e">
        <f>IF(Z144=1,IF((INDEX($D$7:$D$126,AA144)-1)&gt;=Gantt!$BF$6,NA(),IF((INDEX($D$7:$D$126,AA144)-1)&lt;Gantt!$J$6,0,MATCH((INDEX($D$7:$D$126,AA144)-1),Gantt!$J$6:$BE$6,1))),NA())</f>
        <v>#N/A</v>
      </c>
      <c r="BG144" t="e">
        <f t="shared" si="193"/>
        <v>#N/A</v>
      </c>
      <c r="BH144" t="e">
        <f t="shared" si="194"/>
        <v>#N/A</v>
      </c>
      <c r="BI144" t="e">
        <f t="shared" si="195"/>
        <v>#N/A</v>
      </c>
      <c r="BJ144" t="e">
        <f t="shared" si="196"/>
        <v>#N/A</v>
      </c>
      <c r="BK144" t="e">
        <f t="shared" si="197"/>
        <v>#N/A</v>
      </c>
      <c r="BL144" t="e">
        <f t="shared" si="198"/>
        <v>#N/A</v>
      </c>
      <c r="BM144" t="e">
        <f t="shared" si="199"/>
        <v>#N/A</v>
      </c>
      <c r="BN144" t="e">
        <f t="shared" si="200"/>
        <v>#N/A</v>
      </c>
      <c r="BO144" t="e">
        <f t="shared" si="201"/>
        <v>#N/A</v>
      </c>
      <c r="BP144" t="e">
        <f t="shared" si="202"/>
        <v>#N/A</v>
      </c>
      <c r="BQ144" t="e">
        <f t="shared" si="203"/>
        <v>#N/A</v>
      </c>
      <c r="BR144" t="e">
        <f t="shared" si="204"/>
        <v>#N/A</v>
      </c>
      <c r="BS144" t="e">
        <f t="shared" si="205"/>
        <v>#N/A</v>
      </c>
      <c r="BT144" t="e">
        <f t="shared" si="206"/>
        <v>#N/A</v>
      </c>
      <c r="BU144" t="e">
        <f t="shared" si="207"/>
        <v>#N/A</v>
      </c>
      <c r="BV144" t="e">
        <f t="shared" si="208"/>
        <v>#N/A</v>
      </c>
      <c r="BW144" t="e">
        <f t="shared" si="209"/>
        <v>#N/A</v>
      </c>
      <c r="BX144" t="e">
        <f t="shared" si="210"/>
        <v>#N/A</v>
      </c>
      <c r="BY144" t="e">
        <f t="shared" si="211"/>
        <v>#N/A</v>
      </c>
      <c r="BZ144" t="e">
        <f t="shared" si="212"/>
        <v>#N/A</v>
      </c>
      <c r="CA144" t="e">
        <f t="shared" si="213"/>
        <v>#N/A</v>
      </c>
      <c r="CB144" t="e">
        <f t="shared" si="214"/>
        <v>#N/A</v>
      </c>
      <c r="CC144" t="e">
        <f t="shared" si="215"/>
        <v>#N/A</v>
      </c>
      <c r="CD144" t="e">
        <f t="shared" si="216"/>
        <v>#N/A</v>
      </c>
      <c r="CE144" t="e">
        <f t="shared" si="217"/>
        <v>#N/A</v>
      </c>
      <c r="CF144" t="e">
        <f t="shared" si="218"/>
        <v>#N/A</v>
      </c>
      <c r="CG144" t="e">
        <f t="shared" si="219"/>
        <v>#N/A</v>
      </c>
      <c r="CI144" t="e">
        <f>AT52</f>
        <v>#N/A</v>
      </c>
      <c r="CJ144" t="e">
        <f>AU52</f>
        <v>#N/A</v>
      </c>
      <c r="CK144">
        <f>IF(ISNUMBER(CI144),IFERROR(MAX(0,AV52-CI144),0),0)</f>
        <v>0</v>
      </c>
      <c r="CL144">
        <f>IF(ISNUMBER(CI144),IFERROR(MAX(0,CI144-AV52),0),0)</f>
        <v>0</v>
      </c>
      <c r="CM144">
        <f>IF(ISNUMBER(CJ144),IFERROR(MAX(0,AW52-CJ144),0),0)</f>
        <v>0</v>
      </c>
      <c r="CN144">
        <f>IF(ISNUMBER(CJ144),IFERROR(MAX(0,CJ144-AW52),0),0)</f>
        <v>0</v>
      </c>
      <c r="CP144" t="e">
        <f>CB52</f>
        <v>#N/A</v>
      </c>
      <c r="CQ144" t="e">
        <f>CC52</f>
        <v>#N/A</v>
      </c>
      <c r="CR144">
        <f>IF(ISNUMBER(CP144),IFERROR(MAX(0,CD52-CP144),0),0)</f>
        <v>0</v>
      </c>
      <c r="CS144">
        <f>IF(ISNUMBER(CP144),IFERROR(MAX(0,CP144-CD52),0),0)</f>
        <v>0</v>
      </c>
      <c r="CT144">
        <f>IF(ISNUMBER(CQ144),IFERROR(MAX(0,CE52-CQ144),0),0)</f>
        <v>0</v>
      </c>
      <c r="CU144">
        <f>IF(ISNUMBER(CQ144),IFERROR(MAX(0,CQ144-CE52),0),0)</f>
        <v>0</v>
      </c>
    </row>
    <row r="145" spans="21:99" x14ac:dyDescent="0.3">
      <c r="U145">
        <v>139</v>
      </c>
      <c r="V145">
        <f t="shared" si="164"/>
        <v>35</v>
      </c>
      <c r="W145">
        <f t="shared" si="165"/>
        <v>3</v>
      </c>
      <c r="X145">
        <f t="shared" si="166"/>
        <v>0</v>
      </c>
      <c r="Y145">
        <f>IF(X145&lt;&gt;1,9999,CHOOSE(W145,INDEX(Gantt!$BQ$7:$BQ$119,V145),INDEX(Gantt!$BR$7:$BR$119,V145),INDEX(Gantt!$BT$7:$BT$119,V145),INDEX(Gantt!$BU$7:$BU$119,V145)))</f>
        <v>9999</v>
      </c>
      <c r="Z145">
        <f t="shared" si="167"/>
        <v>0</v>
      </c>
      <c r="AA145" t="e">
        <f t="shared" si="168"/>
        <v>#N/A</v>
      </c>
      <c r="AB145" t="e">
        <f t="shared" si="169"/>
        <v>#N/A</v>
      </c>
      <c r="AC145" t="e">
        <f t="shared" si="170"/>
        <v>#N/A</v>
      </c>
      <c r="AD145" t="e">
        <f t="shared" si="171"/>
        <v>#N/A</v>
      </c>
      <c r="AE145" t="e">
        <f t="shared" si="172"/>
        <v>#N/A</v>
      </c>
      <c r="AF145" t="e">
        <f t="shared" si="173"/>
        <v>#N/A</v>
      </c>
      <c r="AG145" t="e">
        <f t="shared" si="174"/>
        <v>#N/A</v>
      </c>
      <c r="AH145" t="e">
        <f t="shared" si="175"/>
        <v>#N/A</v>
      </c>
      <c r="AI145" t="e">
        <f t="shared" si="176"/>
        <v>#N/A</v>
      </c>
      <c r="AJ145" t="e">
        <f t="shared" si="177"/>
        <v>#N/A</v>
      </c>
      <c r="AK145" t="e">
        <f t="shared" si="178"/>
        <v>#N/A</v>
      </c>
      <c r="AL145" t="e">
        <f t="shared" si="179"/>
        <v>#N/A</v>
      </c>
      <c r="AM145" t="e">
        <f t="shared" si="180"/>
        <v>#N/A</v>
      </c>
      <c r="AN145" t="e">
        <f t="shared" si="181"/>
        <v>#N/A</v>
      </c>
      <c r="AO145" t="e">
        <f t="shared" si="182"/>
        <v>#N/A</v>
      </c>
      <c r="AP145" t="e">
        <f t="shared" si="183"/>
        <v>#N/A</v>
      </c>
      <c r="AQ145" t="e">
        <f t="shared" si="184"/>
        <v>#N/A</v>
      </c>
      <c r="AR145" t="e">
        <f t="shared" si="185"/>
        <v>#N/A</v>
      </c>
      <c r="AS145" t="e">
        <f t="shared" si="186"/>
        <v>#N/A</v>
      </c>
      <c r="AT145" t="e">
        <f t="shared" si="187"/>
        <v>#N/A</v>
      </c>
      <c r="AU145" t="e">
        <f t="shared" si="188"/>
        <v>#N/A</v>
      </c>
      <c r="AV145" t="e">
        <f t="shared" si="189"/>
        <v>#N/A</v>
      </c>
      <c r="AW145" t="e">
        <f t="shared" si="190"/>
        <v>#N/A</v>
      </c>
      <c r="AX145" t="e">
        <f t="shared" si="191"/>
        <v>#N/A</v>
      </c>
      <c r="AY145" t="e">
        <f t="shared" si="192"/>
        <v>#N/A</v>
      </c>
      <c r="BE145" t="e">
        <f>IF(Z145=1,IF(INDEX($C$7:$C$126,V145)&gt;=Gantt!$BF$6,NA(),MATCH(INDEX($C$7:$C$126,V145),Gantt!$J$6:$BE$6,1)),NA())</f>
        <v>#N/A</v>
      </c>
      <c r="BF145" t="e">
        <f>IF(Z145=1,IF((INDEX($D$7:$D$126,AA145)-1)&gt;=Gantt!$BF$6,NA(),IF((INDEX($D$7:$D$126,AA145)-1)&lt;Gantt!$J$6,0,MATCH((INDEX($D$7:$D$126,AA145)-1),Gantt!$J$6:$BE$6,1))),NA())</f>
        <v>#N/A</v>
      </c>
      <c r="BG145" t="e">
        <f t="shared" si="193"/>
        <v>#N/A</v>
      </c>
      <c r="BH145" t="e">
        <f t="shared" si="194"/>
        <v>#N/A</v>
      </c>
      <c r="BI145" t="e">
        <f t="shared" si="195"/>
        <v>#N/A</v>
      </c>
      <c r="BJ145" t="e">
        <f t="shared" si="196"/>
        <v>#N/A</v>
      </c>
      <c r="BK145" t="e">
        <f t="shared" si="197"/>
        <v>#N/A</v>
      </c>
      <c r="BL145" t="e">
        <f t="shared" si="198"/>
        <v>#N/A</v>
      </c>
      <c r="BM145" t="e">
        <f t="shared" si="199"/>
        <v>#N/A</v>
      </c>
      <c r="BN145" t="e">
        <f t="shared" si="200"/>
        <v>#N/A</v>
      </c>
      <c r="BO145" t="e">
        <f t="shared" si="201"/>
        <v>#N/A</v>
      </c>
      <c r="BP145" t="e">
        <f t="shared" si="202"/>
        <v>#N/A</v>
      </c>
      <c r="BQ145" t="e">
        <f t="shared" si="203"/>
        <v>#N/A</v>
      </c>
      <c r="BR145" t="e">
        <f t="shared" si="204"/>
        <v>#N/A</v>
      </c>
      <c r="BS145" t="e">
        <f t="shared" si="205"/>
        <v>#N/A</v>
      </c>
      <c r="BT145" t="e">
        <f t="shared" si="206"/>
        <v>#N/A</v>
      </c>
      <c r="BU145" t="e">
        <f t="shared" si="207"/>
        <v>#N/A</v>
      </c>
      <c r="BV145" t="e">
        <f t="shared" si="208"/>
        <v>#N/A</v>
      </c>
      <c r="BW145" t="e">
        <f t="shared" si="209"/>
        <v>#N/A</v>
      </c>
      <c r="BX145" t="e">
        <f t="shared" si="210"/>
        <v>#N/A</v>
      </c>
      <c r="BY145" t="e">
        <f t="shared" si="211"/>
        <v>#N/A</v>
      </c>
      <c r="BZ145" t="e">
        <f t="shared" si="212"/>
        <v>#N/A</v>
      </c>
      <c r="CA145" t="e">
        <f t="shared" si="213"/>
        <v>#N/A</v>
      </c>
      <c r="CB145" t="e">
        <f t="shared" si="214"/>
        <v>#N/A</v>
      </c>
      <c r="CC145" t="e">
        <f t="shared" si="215"/>
        <v>#N/A</v>
      </c>
      <c r="CD145" t="e">
        <f t="shared" si="216"/>
        <v>#N/A</v>
      </c>
      <c r="CE145" t="e">
        <f t="shared" si="217"/>
        <v>#N/A</v>
      </c>
      <c r="CF145" t="e">
        <f t="shared" si="218"/>
        <v>#N/A</v>
      </c>
      <c r="CG145" t="e">
        <f t="shared" si="219"/>
        <v>#N/A</v>
      </c>
      <c r="CI145" t="e">
        <f>AL53</f>
        <v>#N/A</v>
      </c>
      <c r="CJ145" t="e">
        <f>AM53</f>
        <v>#N/A</v>
      </c>
      <c r="CK145">
        <f>IF(ISNUMBER(CI145),IFERROR(MAX(0,AN53-CI145),0),0)</f>
        <v>0</v>
      </c>
      <c r="CL145">
        <f>IF(ISNUMBER(CI145),IFERROR(MAX(0,CI145-AN53),0),0)</f>
        <v>0</v>
      </c>
      <c r="CM145">
        <f>IF(ISNUMBER(CJ145),IFERROR(MAX(0,AO53-CJ145),0),0)</f>
        <v>0</v>
      </c>
      <c r="CN145">
        <f>IF(ISNUMBER(CJ145),IFERROR(MAX(0,CJ145-AO53),0),0)</f>
        <v>0</v>
      </c>
      <c r="CP145" t="e">
        <f>BT53</f>
        <v>#N/A</v>
      </c>
      <c r="CQ145" t="e">
        <f>BU53</f>
        <v>#N/A</v>
      </c>
      <c r="CR145">
        <f>IF(ISNUMBER(CP145),IFERROR(MAX(0,BV53-CP145),0),0)</f>
        <v>0</v>
      </c>
      <c r="CS145">
        <f>IF(ISNUMBER(CP145),IFERROR(MAX(0,CP145-BV53),0),0)</f>
        <v>0</v>
      </c>
      <c r="CT145">
        <f>IF(ISNUMBER(CQ145),IFERROR(MAX(0,BW53-CQ145),0),0)</f>
        <v>0</v>
      </c>
      <c r="CU145">
        <f>IF(ISNUMBER(CQ145),IFERROR(MAX(0,CQ145-BW53),0),0)</f>
        <v>0</v>
      </c>
    </row>
    <row r="146" spans="21:99" x14ac:dyDescent="0.3">
      <c r="U146">
        <v>140</v>
      </c>
      <c r="V146">
        <f t="shared" si="164"/>
        <v>35</v>
      </c>
      <c r="W146">
        <f t="shared" si="165"/>
        <v>4</v>
      </c>
      <c r="X146">
        <f t="shared" si="166"/>
        <v>0</v>
      </c>
      <c r="Y146">
        <f>IF(X146&lt;&gt;1,9999,CHOOSE(W146,INDEX(Gantt!$BQ$7:$BQ$119,V146),INDEX(Gantt!$BR$7:$BR$119,V146),INDEX(Gantt!$BT$7:$BT$119,V146),INDEX(Gantt!$BU$7:$BU$119,V146)))</f>
        <v>9999</v>
      </c>
      <c r="Z146">
        <f t="shared" si="167"/>
        <v>0</v>
      </c>
      <c r="AA146" t="e">
        <f t="shared" si="168"/>
        <v>#N/A</v>
      </c>
      <c r="AB146" t="e">
        <f t="shared" si="169"/>
        <v>#N/A</v>
      </c>
      <c r="AC146" t="e">
        <f t="shared" si="170"/>
        <v>#N/A</v>
      </c>
      <c r="AD146" t="e">
        <f t="shared" si="171"/>
        <v>#N/A</v>
      </c>
      <c r="AE146" t="e">
        <f t="shared" si="172"/>
        <v>#N/A</v>
      </c>
      <c r="AF146" t="e">
        <f t="shared" si="173"/>
        <v>#N/A</v>
      </c>
      <c r="AG146" t="e">
        <f t="shared" si="174"/>
        <v>#N/A</v>
      </c>
      <c r="AH146" t="e">
        <f t="shared" si="175"/>
        <v>#N/A</v>
      </c>
      <c r="AI146" t="e">
        <f t="shared" si="176"/>
        <v>#N/A</v>
      </c>
      <c r="AJ146" t="e">
        <f t="shared" si="177"/>
        <v>#N/A</v>
      </c>
      <c r="AK146" t="e">
        <f t="shared" si="178"/>
        <v>#N/A</v>
      </c>
      <c r="AL146" t="e">
        <f t="shared" si="179"/>
        <v>#N/A</v>
      </c>
      <c r="AM146" t="e">
        <f t="shared" si="180"/>
        <v>#N/A</v>
      </c>
      <c r="AN146" t="e">
        <f t="shared" si="181"/>
        <v>#N/A</v>
      </c>
      <c r="AO146" t="e">
        <f t="shared" si="182"/>
        <v>#N/A</v>
      </c>
      <c r="AP146" t="e">
        <f t="shared" si="183"/>
        <v>#N/A</v>
      </c>
      <c r="AQ146" t="e">
        <f t="shared" si="184"/>
        <v>#N/A</v>
      </c>
      <c r="AR146" t="e">
        <f t="shared" si="185"/>
        <v>#N/A</v>
      </c>
      <c r="AS146" t="e">
        <f t="shared" si="186"/>
        <v>#N/A</v>
      </c>
      <c r="AT146" t="e">
        <f t="shared" si="187"/>
        <v>#N/A</v>
      </c>
      <c r="AU146" t="e">
        <f t="shared" si="188"/>
        <v>#N/A</v>
      </c>
      <c r="AV146" t="e">
        <f t="shared" si="189"/>
        <v>#N/A</v>
      </c>
      <c r="AW146" t="e">
        <f t="shared" si="190"/>
        <v>#N/A</v>
      </c>
      <c r="AX146" t="e">
        <f t="shared" si="191"/>
        <v>#N/A</v>
      </c>
      <c r="AY146" t="e">
        <f t="shared" si="192"/>
        <v>#N/A</v>
      </c>
      <c r="BE146" t="e">
        <f>IF(Z146=1,IF(INDEX($C$7:$C$126,V146)&gt;=Gantt!$BF$6,NA(),MATCH(INDEX($C$7:$C$126,V146),Gantt!$J$6:$BE$6,1)),NA())</f>
        <v>#N/A</v>
      </c>
      <c r="BF146" t="e">
        <f>IF(Z146=1,IF((INDEX($D$7:$D$126,AA146)-1)&gt;=Gantt!$BF$6,NA(),IF((INDEX($D$7:$D$126,AA146)-1)&lt;Gantt!$J$6,0,MATCH((INDEX($D$7:$D$126,AA146)-1),Gantt!$J$6:$BE$6,1))),NA())</f>
        <v>#N/A</v>
      </c>
      <c r="BG146" t="e">
        <f t="shared" si="193"/>
        <v>#N/A</v>
      </c>
      <c r="BH146" t="e">
        <f t="shared" si="194"/>
        <v>#N/A</v>
      </c>
      <c r="BI146" t="e">
        <f t="shared" si="195"/>
        <v>#N/A</v>
      </c>
      <c r="BJ146" t="e">
        <f t="shared" si="196"/>
        <v>#N/A</v>
      </c>
      <c r="BK146" t="e">
        <f t="shared" si="197"/>
        <v>#N/A</v>
      </c>
      <c r="BL146" t="e">
        <f t="shared" si="198"/>
        <v>#N/A</v>
      </c>
      <c r="BM146" t="e">
        <f t="shared" si="199"/>
        <v>#N/A</v>
      </c>
      <c r="BN146" t="e">
        <f t="shared" si="200"/>
        <v>#N/A</v>
      </c>
      <c r="BO146" t="e">
        <f t="shared" si="201"/>
        <v>#N/A</v>
      </c>
      <c r="BP146" t="e">
        <f t="shared" si="202"/>
        <v>#N/A</v>
      </c>
      <c r="BQ146" t="e">
        <f t="shared" si="203"/>
        <v>#N/A</v>
      </c>
      <c r="BR146" t="e">
        <f t="shared" si="204"/>
        <v>#N/A</v>
      </c>
      <c r="BS146" t="e">
        <f t="shared" si="205"/>
        <v>#N/A</v>
      </c>
      <c r="BT146" t="e">
        <f t="shared" si="206"/>
        <v>#N/A</v>
      </c>
      <c r="BU146" t="e">
        <f t="shared" si="207"/>
        <v>#N/A</v>
      </c>
      <c r="BV146" t="e">
        <f t="shared" si="208"/>
        <v>#N/A</v>
      </c>
      <c r="BW146" t="e">
        <f t="shared" si="209"/>
        <v>#N/A</v>
      </c>
      <c r="BX146" t="e">
        <f t="shared" si="210"/>
        <v>#N/A</v>
      </c>
      <c r="BY146" t="e">
        <f t="shared" si="211"/>
        <v>#N/A</v>
      </c>
      <c r="BZ146" t="e">
        <f t="shared" si="212"/>
        <v>#N/A</v>
      </c>
      <c r="CA146" t="e">
        <f t="shared" si="213"/>
        <v>#N/A</v>
      </c>
      <c r="CB146" t="e">
        <f t="shared" si="214"/>
        <v>#N/A</v>
      </c>
      <c r="CC146" t="e">
        <f t="shared" si="215"/>
        <v>#N/A</v>
      </c>
      <c r="CD146" t="e">
        <f t="shared" si="216"/>
        <v>#N/A</v>
      </c>
      <c r="CE146" t="e">
        <f t="shared" si="217"/>
        <v>#N/A</v>
      </c>
      <c r="CF146" t="e">
        <f t="shared" si="218"/>
        <v>#N/A</v>
      </c>
      <c r="CG146" t="e">
        <f t="shared" si="219"/>
        <v>#N/A</v>
      </c>
      <c r="CI146" t="e">
        <f>AP53</f>
        <v>#N/A</v>
      </c>
      <c r="CJ146" t="e">
        <f>AQ53</f>
        <v>#N/A</v>
      </c>
      <c r="CK146">
        <f>IF(ISNUMBER(CI146),IFERROR(MAX(0,AR53-CI146),0),0)</f>
        <v>0</v>
      </c>
      <c r="CL146">
        <f>IF(ISNUMBER(CI146),IFERROR(MAX(0,CI146-AR53),0),0)</f>
        <v>0</v>
      </c>
      <c r="CM146">
        <f>IF(ISNUMBER(CJ146),IFERROR(MAX(0,AS53-CJ146),0),0)</f>
        <v>0</v>
      </c>
      <c r="CN146">
        <f>IF(ISNUMBER(CJ146),IFERROR(MAX(0,CJ146-AS53),0),0)</f>
        <v>0</v>
      </c>
      <c r="CP146" t="e">
        <f>BX53</f>
        <v>#N/A</v>
      </c>
      <c r="CQ146" t="e">
        <f>BY53</f>
        <v>#N/A</v>
      </c>
      <c r="CR146">
        <f>IF(ISNUMBER(CP146),IFERROR(MAX(0,BZ53-CP146),0),0)</f>
        <v>0</v>
      </c>
      <c r="CS146">
        <f>IF(ISNUMBER(CP146),IFERROR(MAX(0,CP146-BZ53),0),0)</f>
        <v>0</v>
      </c>
      <c r="CT146">
        <f>IF(ISNUMBER(CQ146),IFERROR(MAX(0,CA53-CQ146),0),0)</f>
        <v>0</v>
      </c>
      <c r="CU146">
        <f>IF(ISNUMBER(CQ146),IFERROR(MAX(0,CQ146-CA53),0),0)</f>
        <v>0</v>
      </c>
    </row>
    <row r="147" spans="21:99" x14ac:dyDescent="0.3">
      <c r="U147">
        <v>141</v>
      </c>
      <c r="V147">
        <f t="shared" si="164"/>
        <v>36</v>
      </c>
      <c r="W147">
        <f t="shared" si="165"/>
        <v>1</v>
      </c>
      <c r="X147">
        <f t="shared" si="166"/>
        <v>0</v>
      </c>
      <c r="Y147">
        <f>IF(X147&lt;&gt;1,9999,CHOOSE(W147,INDEX(Gantt!$BQ$7:$BQ$119,V147),INDEX(Gantt!$BR$7:$BR$119,V147),INDEX(Gantt!$BT$7:$BT$119,V147),INDEX(Gantt!$BU$7:$BU$119,V147)))</f>
        <v>9999</v>
      </c>
      <c r="Z147">
        <f t="shared" si="167"/>
        <v>0</v>
      </c>
      <c r="AA147" t="e">
        <f t="shared" si="168"/>
        <v>#N/A</v>
      </c>
      <c r="AB147" t="e">
        <f t="shared" si="169"/>
        <v>#N/A</v>
      </c>
      <c r="AC147" t="e">
        <f t="shared" si="170"/>
        <v>#N/A</v>
      </c>
      <c r="AD147" t="e">
        <f t="shared" si="171"/>
        <v>#N/A</v>
      </c>
      <c r="AE147" t="e">
        <f t="shared" si="172"/>
        <v>#N/A</v>
      </c>
      <c r="AF147" t="e">
        <f t="shared" si="173"/>
        <v>#N/A</v>
      </c>
      <c r="AG147" t="e">
        <f t="shared" si="174"/>
        <v>#N/A</v>
      </c>
      <c r="AH147" t="e">
        <f t="shared" si="175"/>
        <v>#N/A</v>
      </c>
      <c r="AI147" t="e">
        <f t="shared" si="176"/>
        <v>#N/A</v>
      </c>
      <c r="AJ147" t="e">
        <f t="shared" si="177"/>
        <v>#N/A</v>
      </c>
      <c r="AK147" t="e">
        <f t="shared" si="178"/>
        <v>#N/A</v>
      </c>
      <c r="AL147" t="e">
        <f t="shared" si="179"/>
        <v>#N/A</v>
      </c>
      <c r="AM147" t="e">
        <f t="shared" si="180"/>
        <v>#N/A</v>
      </c>
      <c r="AN147" t="e">
        <f t="shared" si="181"/>
        <v>#N/A</v>
      </c>
      <c r="AO147" t="e">
        <f t="shared" si="182"/>
        <v>#N/A</v>
      </c>
      <c r="AP147" t="e">
        <f t="shared" si="183"/>
        <v>#N/A</v>
      </c>
      <c r="AQ147" t="e">
        <f t="shared" si="184"/>
        <v>#N/A</v>
      </c>
      <c r="AR147" t="e">
        <f t="shared" si="185"/>
        <v>#N/A</v>
      </c>
      <c r="AS147" t="e">
        <f t="shared" si="186"/>
        <v>#N/A</v>
      </c>
      <c r="AT147" t="e">
        <f t="shared" si="187"/>
        <v>#N/A</v>
      </c>
      <c r="AU147" t="e">
        <f t="shared" si="188"/>
        <v>#N/A</v>
      </c>
      <c r="AV147" t="e">
        <f t="shared" si="189"/>
        <v>#N/A</v>
      </c>
      <c r="AW147" t="e">
        <f t="shared" si="190"/>
        <v>#N/A</v>
      </c>
      <c r="AX147" t="e">
        <f t="shared" si="191"/>
        <v>#N/A</v>
      </c>
      <c r="AY147" t="e">
        <f t="shared" si="192"/>
        <v>#N/A</v>
      </c>
      <c r="BE147" t="e">
        <f>IF(Z147=1,IF(INDEX($C$7:$C$126,V147)&gt;=Gantt!$BF$6,NA(),MATCH(INDEX($C$7:$C$126,V147),Gantt!$J$6:$BE$6,1)),NA())</f>
        <v>#N/A</v>
      </c>
      <c r="BF147" t="e">
        <f>IF(Z147=1,IF((INDEX($D$7:$D$126,AA147)-1)&gt;=Gantt!$BF$6,NA(),IF((INDEX($D$7:$D$126,AA147)-1)&lt;Gantt!$J$6,0,MATCH((INDEX($D$7:$D$126,AA147)-1),Gantt!$J$6:$BE$6,1))),NA())</f>
        <v>#N/A</v>
      </c>
      <c r="BG147" t="e">
        <f t="shared" si="193"/>
        <v>#N/A</v>
      </c>
      <c r="BH147" t="e">
        <f t="shared" si="194"/>
        <v>#N/A</v>
      </c>
      <c r="BI147" t="e">
        <f t="shared" si="195"/>
        <v>#N/A</v>
      </c>
      <c r="BJ147" t="e">
        <f t="shared" si="196"/>
        <v>#N/A</v>
      </c>
      <c r="BK147" t="e">
        <f t="shared" si="197"/>
        <v>#N/A</v>
      </c>
      <c r="BL147" t="e">
        <f t="shared" si="198"/>
        <v>#N/A</v>
      </c>
      <c r="BM147" t="e">
        <f t="shared" si="199"/>
        <v>#N/A</v>
      </c>
      <c r="BN147" t="e">
        <f t="shared" si="200"/>
        <v>#N/A</v>
      </c>
      <c r="BO147" t="e">
        <f t="shared" si="201"/>
        <v>#N/A</v>
      </c>
      <c r="BP147" t="e">
        <f t="shared" si="202"/>
        <v>#N/A</v>
      </c>
      <c r="BQ147" t="e">
        <f t="shared" si="203"/>
        <v>#N/A</v>
      </c>
      <c r="BR147" t="e">
        <f t="shared" si="204"/>
        <v>#N/A</v>
      </c>
      <c r="BS147" t="e">
        <f t="shared" si="205"/>
        <v>#N/A</v>
      </c>
      <c r="BT147" t="e">
        <f t="shared" si="206"/>
        <v>#N/A</v>
      </c>
      <c r="BU147" t="e">
        <f t="shared" si="207"/>
        <v>#N/A</v>
      </c>
      <c r="BV147" t="e">
        <f t="shared" si="208"/>
        <v>#N/A</v>
      </c>
      <c r="BW147" t="e">
        <f t="shared" si="209"/>
        <v>#N/A</v>
      </c>
      <c r="BX147" t="e">
        <f t="shared" si="210"/>
        <v>#N/A</v>
      </c>
      <c r="BY147" t="e">
        <f t="shared" si="211"/>
        <v>#N/A</v>
      </c>
      <c r="BZ147" t="e">
        <f t="shared" si="212"/>
        <v>#N/A</v>
      </c>
      <c r="CA147" t="e">
        <f t="shared" si="213"/>
        <v>#N/A</v>
      </c>
      <c r="CB147" t="e">
        <f t="shared" si="214"/>
        <v>#N/A</v>
      </c>
      <c r="CC147" t="e">
        <f t="shared" si="215"/>
        <v>#N/A</v>
      </c>
      <c r="CD147" t="e">
        <f t="shared" si="216"/>
        <v>#N/A</v>
      </c>
      <c r="CE147" t="e">
        <f t="shared" si="217"/>
        <v>#N/A</v>
      </c>
      <c r="CF147" t="e">
        <f t="shared" si="218"/>
        <v>#N/A</v>
      </c>
      <c r="CG147" t="e">
        <f t="shared" si="219"/>
        <v>#N/A</v>
      </c>
      <c r="CI147" t="e">
        <f>AT53</f>
        <v>#N/A</v>
      </c>
      <c r="CJ147" t="e">
        <f>AU53</f>
        <v>#N/A</v>
      </c>
      <c r="CK147">
        <f>IF(ISNUMBER(CI147),IFERROR(MAX(0,AV53-CI147),0),0)</f>
        <v>0</v>
      </c>
      <c r="CL147">
        <f>IF(ISNUMBER(CI147),IFERROR(MAX(0,CI147-AV53),0),0)</f>
        <v>0</v>
      </c>
      <c r="CM147">
        <f>IF(ISNUMBER(CJ147),IFERROR(MAX(0,AW53-CJ147),0),0)</f>
        <v>0</v>
      </c>
      <c r="CN147">
        <f>IF(ISNUMBER(CJ147),IFERROR(MAX(0,CJ147-AW53),0),0)</f>
        <v>0</v>
      </c>
      <c r="CP147" t="e">
        <f>CB53</f>
        <v>#N/A</v>
      </c>
      <c r="CQ147" t="e">
        <f>CC53</f>
        <v>#N/A</v>
      </c>
      <c r="CR147">
        <f>IF(ISNUMBER(CP147),IFERROR(MAX(0,CD53-CP147),0),0)</f>
        <v>0</v>
      </c>
      <c r="CS147">
        <f>IF(ISNUMBER(CP147),IFERROR(MAX(0,CP147-CD53),0),0)</f>
        <v>0</v>
      </c>
      <c r="CT147">
        <f>IF(ISNUMBER(CQ147),IFERROR(MAX(0,CE53-CQ147),0),0)</f>
        <v>0</v>
      </c>
      <c r="CU147">
        <f>IF(ISNUMBER(CQ147),IFERROR(MAX(0,CQ147-CE53),0),0)</f>
        <v>0</v>
      </c>
    </row>
    <row r="148" spans="21:99" x14ac:dyDescent="0.3">
      <c r="U148">
        <v>142</v>
      </c>
      <c r="V148">
        <f t="shared" si="164"/>
        <v>36</v>
      </c>
      <c r="W148">
        <f t="shared" si="165"/>
        <v>2</v>
      </c>
      <c r="X148">
        <f t="shared" si="166"/>
        <v>0</v>
      </c>
      <c r="Y148">
        <f>IF(X148&lt;&gt;1,9999,CHOOSE(W148,INDEX(Gantt!$BQ$7:$BQ$119,V148),INDEX(Gantt!$BR$7:$BR$119,V148),INDEX(Gantt!$BT$7:$BT$119,V148),INDEX(Gantt!$BU$7:$BU$119,V148)))</f>
        <v>9999</v>
      </c>
      <c r="Z148">
        <f t="shared" si="167"/>
        <v>0</v>
      </c>
      <c r="AA148" t="e">
        <f t="shared" si="168"/>
        <v>#N/A</v>
      </c>
      <c r="AB148" t="e">
        <f t="shared" si="169"/>
        <v>#N/A</v>
      </c>
      <c r="AC148" t="e">
        <f t="shared" si="170"/>
        <v>#N/A</v>
      </c>
      <c r="AD148" t="e">
        <f t="shared" si="171"/>
        <v>#N/A</v>
      </c>
      <c r="AE148" t="e">
        <f t="shared" si="172"/>
        <v>#N/A</v>
      </c>
      <c r="AF148" t="e">
        <f t="shared" si="173"/>
        <v>#N/A</v>
      </c>
      <c r="AG148" t="e">
        <f t="shared" si="174"/>
        <v>#N/A</v>
      </c>
      <c r="AH148" t="e">
        <f t="shared" si="175"/>
        <v>#N/A</v>
      </c>
      <c r="AI148" t="e">
        <f t="shared" si="176"/>
        <v>#N/A</v>
      </c>
      <c r="AJ148" t="e">
        <f t="shared" si="177"/>
        <v>#N/A</v>
      </c>
      <c r="AK148" t="e">
        <f t="shared" si="178"/>
        <v>#N/A</v>
      </c>
      <c r="AL148" t="e">
        <f t="shared" si="179"/>
        <v>#N/A</v>
      </c>
      <c r="AM148" t="e">
        <f t="shared" si="180"/>
        <v>#N/A</v>
      </c>
      <c r="AN148" t="e">
        <f t="shared" si="181"/>
        <v>#N/A</v>
      </c>
      <c r="AO148" t="e">
        <f t="shared" si="182"/>
        <v>#N/A</v>
      </c>
      <c r="AP148" t="e">
        <f t="shared" si="183"/>
        <v>#N/A</v>
      </c>
      <c r="AQ148" t="e">
        <f t="shared" si="184"/>
        <v>#N/A</v>
      </c>
      <c r="AR148" t="e">
        <f t="shared" si="185"/>
        <v>#N/A</v>
      </c>
      <c r="AS148" t="e">
        <f t="shared" si="186"/>
        <v>#N/A</v>
      </c>
      <c r="AT148" t="e">
        <f t="shared" si="187"/>
        <v>#N/A</v>
      </c>
      <c r="AU148" t="e">
        <f t="shared" si="188"/>
        <v>#N/A</v>
      </c>
      <c r="AV148" t="e">
        <f t="shared" si="189"/>
        <v>#N/A</v>
      </c>
      <c r="AW148" t="e">
        <f t="shared" si="190"/>
        <v>#N/A</v>
      </c>
      <c r="AX148" t="e">
        <f t="shared" si="191"/>
        <v>#N/A</v>
      </c>
      <c r="AY148" t="e">
        <f t="shared" si="192"/>
        <v>#N/A</v>
      </c>
      <c r="BE148" t="e">
        <f>IF(Z148=1,IF(INDEX($C$7:$C$126,V148)&gt;=Gantt!$BF$6,NA(),MATCH(INDEX($C$7:$C$126,V148),Gantt!$J$6:$BE$6,1)),NA())</f>
        <v>#N/A</v>
      </c>
      <c r="BF148" t="e">
        <f>IF(Z148=1,IF((INDEX($D$7:$D$126,AA148)-1)&gt;=Gantt!$BF$6,NA(),IF((INDEX($D$7:$D$126,AA148)-1)&lt;Gantt!$J$6,0,MATCH((INDEX($D$7:$D$126,AA148)-1),Gantt!$J$6:$BE$6,1))),NA())</f>
        <v>#N/A</v>
      </c>
      <c r="BG148" t="e">
        <f t="shared" si="193"/>
        <v>#N/A</v>
      </c>
      <c r="BH148" t="e">
        <f t="shared" si="194"/>
        <v>#N/A</v>
      </c>
      <c r="BI148" t="e">
        <f t="shared" si="195"/>
        <v>#N/A</v>
      </c>
      <c r="BJ148" t="e">
        <f t="shared" si="196"/>
        <v>#N/A</v>
      </c>
      <c r="BK148" t="e">
        <f t="shared" si="197"/>
        <v>#N/A</v>
      </c>
      <c r="BL148" t="e">
        <f t="shared" si="198"/>
        <v>#N/A</v>
      </c>
      <c r="BM148" t="e">
        <f t="shared" si="199"/>
        <v>#N/A</v>
      </c>
      <c r="BN148" t="e">
        <f t="shared" si="200"/>
        <v>#N/A</v>
      </c>
      <c r="BO148" t="e">
        <f t="shared" si="201"/>
        <v>#N/A</v>
      </c>
      <c r="BP148" t="e">
        <f t="shared" si="202"/>
        <v>#N/A</v>
      </c>
      <c r="BQ148" t="e">
        <f t="shared" si="203"/>
        <v>#N/A</v>
      </c>
      <c r="BR148" t="e">
        <f t="shared" si="204"/>
        <v>#N/A</v>
      </c>
      <c r="BS148" t="e">
        <f t="shared" si="205"/>
        <v>#N/A</v>
      </c>
      <c r="BT148" t="e">
        <f t="shared" si="206"/>
        <v>#N/A</v>
      </c>
      <c r="BU148" t="e">
        <f t="shared" si="207"/>
        <v>#N/A</v>
      </c>
      <c r="BV148" t="e">
        <f t="shared" si="208"/>
        <v>#N/A</v>
      </c>
      <c r="BW148" t="e">
        <f t="shared" si="209"/>
        <v>#N/A</v>
      </c>
      <c r="BX148" t="e">
        <f t="shared" si="210"/>
        <v>#N/A</v>
      </c>
      <c r="BY148" t="e">
        <f t="shared" si="211"/>
        <v>#N/A</v>
      </c>
      <c r="BZ148" t="e">
        <f t="shared" si="212"/>
        <v>#N/A</v>
      </c>
      <c r="CA148" t="e">
        <f t="shared" si="213"/>
        <v>#N/A</v>
      </c>
      <c r="CB148" t="e">
        <f t="shared" si="214"/>
        <v>#N/A</v>
      </c>
      <c r="CC148" t="e">
        <f t="shared" si="215"/>
        <v>#N/A</v>
      </c>
      <c r="CD148" t="e">
        <f t="shared" si="216"/>
        <v>#N/A</v>
      </c>
      <c r="CE148" t="e">
        <f t="shared" si="217"/>
        <v>#N/A</v>
      </c>
      <c r="CF148" t="e">
        <f t="shared" si="218"/>
        <v>#N/A</v>
      </c>
      <c r="CG148" t="e">
        <f t="shared" si="219"/>
        <v>#N/A</v>
      </c>
      <c r="CI148" t="e">
        <f>AL54</f>
        <v>#N/A</v>
      </c>
      <c r="CJ148" t="e">
        <f>AM54</f>
        <v>#N/A</v>
      </c>
      <c r="CK148">
        <f>IF(ISNUMBER(CI148),IFERROR(MAX(0,AN54-CI148),0),0)</f>
        <v>0</v>
      </c>
      <c r="CL148">
        <f>IF(ISNUMBER(CI148),IFERROR(MAX(0,CI148-AN54),0),0)</f>
        <v>0</v>
      </c>
      <c r="CM148">
        <f>IF(ISNUMBER(CJ148),IFERROR(MAX(0,AO54-CJ148),0),0)</f>
        <v>0</v>
      </c>
      <c r="CN148">
        <f>IF(ISNUMBER(CJ148),IFERROR(MAX(0,CJ148-AO54),0),0)</f>
        <v>0</v>
      </c>
      <c r="CP148" t="e">
        <f>BT54</f>
        <v>#N/A</v>
      </c>
      <c r="CQ148" t="e">
        <f>BU54</f>
        <v>#N/A</v>
      </c>
      <c r="CR148">
        <f>IF(ISNUMBER(CP148),IFERROR(MAX(0,BV54-CP148),0),0)</f>
        <v>0</v>
      </c>
      <c r="CS148">
        <f>IF(ISNUMBER(CP148),IFERROR(MAX(0,CP148-BV54),0),0)</f>
        <v>0</v>
      </c>
      <c r="CT148">
        <f>IF(ISNUMBER(CQ148),IFERROR(MAX(0,BW54-CQ148),0),0)</f>
        <v>0</v>
      </c>
      <c r="CU148">
        <f>IF(ISNUMBER(CQ148),IFERROR(MAX(0,CQ148-BW54),0),0)</f>
        <v>0</v>
      </c>
    </row>
    <row r="149" spans="21:99" x14ac:dyDescent="0.3">
      <c r="U149">
        <v>143</v>
      </c>
      <c r="V149">
        <f t="shared" si="164"/>
        <v>36</v>
      </c>
      <c r="W149">
        <f t="shared" si="165"/>
        <v>3</v>
      </c>
      <c r="X149">
        <f t="shared" si="166"/>
        <v>0</v>
      </c>
      <c r="Y149">
        <f>IF(X149&lt;&gt;1,9999,CHOOSE(W149,INDEX(Gantt!$BQ$7:$BQ$119,V149),INDEX(Gantt!$BR$7:$BR$119,V149),INDEX(Gantt!$BT$7:$BT$119,V149),INDEX(Gantt!$BU$7:$BU$119,V149)))</f>
        <v>9999</v>
      </c>
      <c r="Z149">
        <f t="shared" si="167"/>
        <v>0</v>
      </c>
      <c r="AA149" t="e">
        <f t="shared" si="168"/>
        <v>#N/A</v>
      </c>
      <c r="AB149" t="e">
        <f t="shared" si="169"/>
        <v>#N/A</v>
      </c>
      <c r="AC149" t="e">
        <f t="shared" si="170"/>
        <v>#N/A</v>
      </c>
      <c r="AD149" t="e">
        <f t="shared" si="171"/>
        <v>#N/A</v>
      </c>
      <c r="AE149" t="e">
        <f t="shared" si="172"/>
        <v>#N/A</v>
      </c>
      <c r="AF149" t="e">
        <f t="shared" si="173"/>
        <v>#N/A</v>
      </c>
      <c r="AG149" t="e">
        <f t="shared" si="174"/>
        <v>#N/A</v>
      </c>
      <c r="AH149" t="e">
        <f t="shared" si="175"/>
        <v>#N/A</v>
      </c>
      <c r="AI149" t="e">
        <f t="shared" si="176"/>
        <v>#N/A</v>
      </c>
      <c r="AJ149" t="e">
        <f t="shared" si="177"/>
        <v>#N/A</v>
      </c>
      <c r="AK149" t="e">
        <f t="shared" si="178"/>
        <v>#N/A</v>
      </c>
      <c r="AL149" t="e">
        <f t="shared" si="179"/>
        <v>#N/A</v>
      </c>
      <c r="AM149" t="e">
        <f t="shared" si="180"/>
        <v>#N/A</v>
      </c>
      <c r="AN149" t="e">
        <f t="shared" si="181"/>
        <v>#N/A</v>
      </c>
      <c r="AO149" t="e">
        <f t="shared" si="182"/>
        <v>#N/A</v>
      </c>
      <c r="AP149" t="e">
        <f t="shared" si="183"/>
        <v>#N/A</v>
      </c>
      <c r="AQ149" t="e">
        <f t="shared" si="184"/>
        <v>#N/A</v>
      </c>
      <c r="AR149" t="e">
        <f t="shared" si="185"/>
        <v>#N/A</v>
      </c>
      <c r="AS149" t="e">
        <f t="shared" si="186"/>
        <v>#N/A</v>
      </c>
      <c r="AT149" t="e">
        <f t="shared" si="187"/>
        <v>#N/A</v>
      </c>
      <c r="AU149" t="e">
        <f t="shared" si="188"/>
        <v>#N/A</v>
      </c>
      <c r="AV149" t="e">
        <f t="shared" si="189"/>
        <v>#N/A</v>
      </c>
      <c r="AW149" t="e">
        <f t="shared" si="190"/>
        <v>#N/A</v>
      </c>
      <c r="AX149" t="e">
        <f t="shared" si="191"/>
        <v>#N/A</v>
      </c>
      <c r="AY149" t="e">
        <f t="shared" si="192"/>
        <v>#N/A</v>
      </c>
      <c r="BE149" t="e">
        <f>IF(Z149=1,IF(INDEX($C$7:$C$126,V149)&gt;=Gantt!$BF$6,NA(),MATCH(INDEX($C$7:$C$126,V149),Gantt!$J$6:$BE$6,1)),NA())</f>
        <v>#N/A</v>
      </c>
      <c r="BF149" t="e">
        <f>IF(Z149=1,IF((INDEX($D$7:$D$126,AA149)-1)&gt;=Gantt!$BF$6,NA(),IF((INDEX($D$7:$D$126,AA149)-1)&lt;Gantt!$J$6,0,MATCH((INDEX($D$7:$D$126,AA149)-1),Gantt!$J$6:$BE$6,1))),NA())</f>
        <v>#N/A</v>
      </c>
      <c r="BG149" t="e">
        <f t="shared" si="193"/>
        <v>#N/A</v>
      </c>
      <c r="BH149" t="e">
        <f t="shared" si="194"/>
        <v>#N/A</v>
      </c>
      <c r="BI149" t="e">
        <f t="shared" si="195"/>
        <v>#N/A</v>
      </c>
      <c r="BJ149" t="e">
        <f t="shared" si="196"/>
        <v>#N/A</v>
      </c>
      <c r="BK149" t="e">
        <f t="shared" si="197"/>
        <v>#N/A</v>
      </c>
      <c r="BL149" t="e">
        <f t="shared" si="198"/>
        <v>#N/A</v>
      </c>
      <c r="BM149" t="e">
        <f t="shared" si="199"/>
        <v>#N/A</v>
      </c>
      <c r="BN149" t="e">
        <f t="shared" si="200"/>
        <v>#N/A</v>
      </c>
      <c r="BO149" t="e">
        <f t="shared" si="201"/>
        <v>#N/A</v>
      </c>
      <c r="BP149" t="e">
        <f t="shared" si="202"/>
        <v>#N/A</v>
      </c>
      <c r="BQ149" t="e">
        <f t="shared" si="203"/>
        <v>#N/A</v>
      </c>
      <c r="BR149" t="e">
        <f t="shared" si="204"/>
        <v>#N/A</v>
      </c>
      <c r="BS149" t="e">
        <f t="shared" si="205"/>
        <v>#N/A</v>
      </c>
      <c r="BT149" t="e">
        <f t="shared" si="206"/>
        <v>#N/A</v>
      </c>
      <c r="BU149" t="e">
        <f t="shared" si="207"/>
        <v>#N/A</v>
      </c>
      <c r="BV149" t="e">
        <f t="shared" si="208"/>
        <v>#N/A</v>
      </c>
      <c r="BW149" t="e">
        <f t="shared" si="209"/>
        <v>#N/A</v>
      </c>
      <c r="BX149" t="e">
        <f t="shared" si="210"/>
        <v>#N/A</v>
      </c>
      <c r="BY149" t="e">
        <f t="shared" si="211"/>
        <v>#N/A</v>
      </c>
      <c r="BZ149" t="e">
        <f t="shared" si="212"/>
        <v>#N/A</v>
      </c>
      <c r="CA149" t="e">
        <f t="shared" si="213"/>
        <v>#N/A</v>
      </c>
      <c r="CB149" t="e">
        <f t="shared" si="214"/>
        <v>#N/A</v>
      </c>
      <c r="CC149" t="e">
        <f t="shared" si="215"/>
        <v>#N/A</v>
      </c>
      <c r="CD149" t="e">
        <f t="shared" si="216"/>
        <v>#N/A</v>
      </c>
      <c r="CE149" t="e">
        <f t="shared" si="217"/>
        <v>#N/A</v>
      </c>
      <c r="CF149" t="e">
        <f t="shared" si="218"/>
        <v>#N/A</v>
      </c>
      <c r="CG149" t="e">
        <f t="shared" si="219"/>
        <v>#N/A</v>
      </c>
      <c r="CI149" t="e">
        <f>AP54</f>
        <v>#N/A</v>
      </c>
      <c r="CJ149" t="e">
        <f>AQ54</f>
        <v>#N/A</v>
      </c>
      <c r="CK149">
        <f>IF(ISNUMBER(CI149),IFERROR(MAX(0,AR54-CI149),0),0)</f>
        <v>0</v>
      </c>
      <c r="CL149">
        <f>IF(ISNUMBER(CI149),IFERROR(MAX(0,CI149-AR54),0),0)</f>
        <v>0</v>
      </c>
      <c r="CM149">
        <f>IF(ISNUMBER(CJ149),IFERROR(MAX(0,AS54-CJ149),0),0)</f>
        <v>0</v>
      </c>
      <c r="CN149">
        <f>IF(ISNUMBER(CJ149),IFERROR(MAX(0,CJ149-AS54),0),0)</f>
        <v>0</v>
      </c>
      <c r="CP149" t="e">
        <f>BX54</f>
        <v>#N/A</v>
      </c>
      <c r="CQ149" t="e">
        <f>BY54</f>
        <v>#N/A</v>
      </c>
      <c r="CR149">
        <f>IF(ISNUMBER(CP149),IFERROR(MAX(0,BZ54-CP149),0),0)</f>
        <v>0</v>
      </c>
      <c r="CS149">
        <f>IF(ISNUMBER(CP149),IFERROR(MAX(0,CP149-BZ54),0),0)</f>
        <v>0</v>
      </c>
      <c r="CT149">
        <f>IF(ISNUMBER(CQ149),IFERROR(MAX(0,CA54-CQ149),0),0)</f>
        <v>0</v>
      </c>
      <c r="CU149">
        <f>IF(ISNUMBER(CQ149),IFERROR(MAX(0,CQ149-CA54),0),0)</f>
        <v>0</v>
      </c>
    </row>
    <row r="150" spans="21:99" x14ac:dyDescent="0.3">
      <c r="U150">
        <v>144</v>
      </c>
      <c r="V150">
        <f t="shared" si="164"/>
        <v>36</v>
      </c>
      <c r="W150">
        <f t="shared" si="165"/>
        <v>4</v>
      </c>
      <c r="X150">
        <f t="shared" si="166"/>
        <v>0</v>
      </c>
      <c r="Y150">
        <f>IF(X150&lt;&gt;1,9999,CHOOSE(W150,INDEX(Gantt!$BQ$7:$BQ$119,V150),INDEX(Gantt!$BR$7:$BR$119,V150),INDEX(Gantt!$BT$7:$BT$119,V150),INDEX(Gantt!$BU$7:$BU$119,V150)))</f>
        <v>9999</v>
      </c>
      <c r="Z150">
        <f t="shared" si="167"/>
        <v>0</v>
      </c>
      <c r="AA150" t="e">
        <f t="shared" si="168"/>
        <v>#N/A</v>
      </c>
      <c r="AB150" t="e">
        <f t="shared" si="169"/>
        <v>#N/A</v>
      </c>
      <c r="AC150" t="e">
        <f t="shared" si="170"/>
        <v>#N/A</v>
      </c>
      <c r="AD150" t="e">
        <f t="shared" si="171"/>
        <v>#N/A</v>
      </c>
      <c r="AE150" t="e">
        <f t="shared" si="172"/>
        <v>#N/A</v>
      </c>
      <c r="AF150" t="e">
        <f t="shared" si="173"/>
        <v>#N/A</v>
      </c>
      <c r="AG150" t="e">
        <f t="shared" si="174"/>
        <v>#N/A</v>
      </c>
      <c r="AH150" t="e">
        <f t="shared" si="175"/>
        <v>#N/A</v>
      </c>
      <c r="AI150" t="e">
        <f t="shared" si="176"/>
        <v>#N/A</v>
      </c>
      <c r="AJ150" t="e">
        <f t="shared" si="177"/>
        <v>#N/A</v>
      </c>
      <c r="AK150" t="e">
        <f t="shared" si="178"/>
        <v>#N/A</v>
      </c>
      <c r="AL150" t="e">
        <f t="shared" si="179"/>
        <v>#N/A</v>
      </c>
      <c r="AM150" t="e">
        <f t="shared" si="180"/>
        <v>#N/A</v>
      </c>
      <c r="AN150" t="e">
        <f t="shared" si="181"/>
        <v>#N/A</v>
      </c>
      <c r="AO150" t="e">
        <f t="shared" si="182"/>
        <v>#N/A</v>
      </c>
      <c r="AP150" t="e">
        <f t="shared" si="183"/>
        <v>#N/A</v>
      </c>
      <c r="AQ150" t="e">
        <f t="shared" si="184"/>
        <v>#N/A</v>
      </c>
      <c r="AR150" t="e">
        <f t="shared" si="185"/>
        <v>#N/A</v>
      </c>
      <c r="AS150" t="e">
        <f t="shared" si="186"/>
        <v>#N/A</v>
      </c>
      <c r="AT150" t="e">
        <f t="shared" si="187"/>
        <v>#N/A</v>
      </c>
      <c r="AU150" t="e">
        <f t="shared" si="188"/>
        <v>#N/A</v>
      </c>
      <c r="AV150" t="e">
        <f t="shared" si="189"/>
        <v>#N/A</v>
      </c>
      <c r="AW150" t="e">
        <f t="shared" si="190"/>
        <v>#N/A</v>
      </c>
      <c r="AX150" t="e">
        <f t="shared" si="191"/>
        <v>#N/A</v>
      </c>
      <c r="AY150" t="e">
        <f t="shared" si="192"/>
        <v>#N/A</v>
      </c>
      <c r="BE150" t="e">
        <f>IF(Z150=1,IF(INDEX($C$7:$C$126,V150)&gt;=Gantt!$BF$6,NA(),MATCH(INDEX($C$7:$C$126,V150),Gantt!$J$6:$BE$6,1)),NA())</f>
        <v>#N/A</v>
      </c>
      <c r="BF150" t="e">
        <f>IF(Z150=1,IF((INDEX($D$7:$D$126,AA150)-1)&gt;=Gantt!$BF$6,NA(),IF((INDEX($D$7:$D$126,AA150)-1)&lt;Gantt!$J$6,0,MATCH((INDEX($D$7:$D$126,AA150)-1),Gantt!$J$6:$BE$6,1))),NA())</f>
        <v>#N/A</v>
      </c>
      <c r="BG150" t="e">
        <f t="shared" si="193"/>
        <v>#N/A</v>
      </c>
      <c r="BH150" t="e">
        <f t="shared" si="194"/>
        <v>#N/A</v>
      </c>
      <c r="BI150" t="e">
        <f t="shared" si="195"/>
        <v>#N/A</v>
      </c>
      <c r="BJ150" t="e">
        <f t="shared" si="196"/>
        <v>#N/A</v>
      </c>
      <c r="BK150" t="e">
        <f t="shared" si="197"/>
        <v>#N/A</v>
      </c>
      <c r="BL150" t="e">
        <f t="shared" si="198"/>
        <v>#N/A</v>
      </c>
      <c r="BM150" t="e">
        <f t="shared" si="199"/>
        <v>#N/A</v>
      </c>
      <c r="BN150" t="e">
        <f t="shared" si="200"/>
        <v>#N/A</v>
      </c>
      <c r="BO150" t="e">
        <f t="shared" si="201"/>
        <v>#N/A</v>
      </c>
      <c r="BP150" t="e">
        <f t="shared" si="202"/>
        <v>#N/A</v>
      </c>
      <c r="BQ150" t="e">
        <f t="shared" si="203"/>
        <v>#N/A</v>
      </c>
      <c r="BR150" t="e">
        <f t="shared" si="204"/>
        <v>#N/A</v>
      </c>
      <c r="BS150" t="e">
        <f t="shared" si="205"/>
        <v>#N/A</v>
      </c>
      <c r="BT150" t="e">
        <f t="shared" si="206"/>
        <v>#N/A</v>
      </c>
      <c r="BU150" t="e">
        <f t="shared" si="207"/>
        <v>#N/A</v>
      </c>
      <c r="BV150" t="e">
        <f t="shared" si="208"/>
        <v>#N/A</v>
      </c>
      <c r="BW150" t="e">
        <f t="shared" si="209"/>
        <v>#N/A</v>
      </c>
      <c r="BX150" t="e">
        <f t="shared" si="210"/>
        <v>#N/A</v>
      </c>
      <c r="BY150" t="e">
        <f t="shared" si="211"/>
        <v>#N/A</v>
      </c>
      <c r="BZ150" t="e">
        <f t="shared" si="212"/>
        <v>#N/A</v>
      </c>
      <c r="CA150" t="e">
        <f t="shared" si="213"/>
        <v>#N/A</v>
      </c>
      <c r="CB150" t="e">
        <f t="shared" si="214"/>
        <v>#N/A</v>
      </c>
      <c r="CC150" t="e">
        <f t="shared" si="215"/>
        <v>#N/A</v>
      </c>
      <c r="CD150" t="e">
        <f t="shared" si="216"/>
        <v>#N/A</v>
      </c>
      <c r="CE150" t="e">
        <f t="shared" si="217"/>
        <v>#N/A</v>
      </c>
      <c r="CF150" t="e">
        <f t="shared" si="218"/>
        <v>#N/A</v>
      </c>
      <c r="CG150" t="e">
        <f t="shared" si="219"/>
        <v>#N/A</v>
      </c>
      <c r="CI150" t="e">
        <f>AT54</f>
        <v>#N/A</v>
      </c>
      <c r="CJ150" t="e">
        <f>AU54</f>
        <v>#N/A</v>
      </c>
      <c r="CK150">
        <f>IF(ISNUMBER(CI150),IFERROR(MAX(0,AV54-CI150),0),0)</f>
        <v>0</v>
      </c>
      <c r="CL150">
        <f>IF(ISNUMBER(CI150),IFERROR(MAX(0,CI150-AV54),0),0)</f>
        <v>0</v>
      </c>
      <c r="CM150">
        <f>IF(ISNUMBER(CJ150),IFERROR(MAX(0,AW54-CJ150),0),0)</f>
        <v>0</v>
      </c>
      <c r="CN150">
        <f>IF(ISNUMBER(CJ150),IFERROR(MAX(0,CJ150-AW54),0),0)</f>
        <v>0</v>
      </c>
      <c r="CP150" t="e">
        <f>CB54</f>
        <v>#N/A</v>
      </c>
      <c r="CQ150" t="e">
        <f>CC54</f>
        <v>#N/A</v>
      </c>
      <c r="CR150">
        <f>IF(ISNUMBER(CP150),IFERROR(MAX(0,CD54-CP150),0),0)</f>
        <v>0</v>
      </c>
      <c r="CS150">
        <f>IF(ISNUMBER(CP150),IFERROR(MAX(0,CP150-CD54),0),0)</f>
        <v>0</v>
      </c>
      <c r="CT150">
        <f>IF(ISNUMBER(CQ150),IFERROR(MAX(0,CE54-CQ150),0),0)</f>
        <v>0</v>
      </c>
      <c r="CU150">
        <f>IF(ISNUMBER(CQ150),IFERROR(MAX(0,CQ150-CE54),0),0)</f>
        <v>0</v>
      </c>
    </row>
    <row r="151" spans="21:99" x14ac:dyDescent="0.3">
      <c r="U151">
        <v>145</v>
      </c>
      <c r="V151">
        <f t="shared" si="164"/>
        <v>37</v>
      </c>
      <c r="W151">
        <f t="shared" si="165"/>
        <v>1</v>
      </c>
      <c r="X151">
        <f t="shared" si="166"/>
        <v>0</v>
      </c>
      <c r="Y151">
        <f>IF(X151&lt;&gt;1,9999,CHOOSE(W151,INDEX(Gantt!$BQ$7:$BQ$119,V151),INDEX(Gantt!$BR$7:$BR$119,V151),INDEX(Gantt!$BT$7:$BT$119,V151),INDEX(Gantt!$BU$7:$BU$119,V151)))</f>
        <v>9999</v>
      </c>
      <c r="Z151">
        <f t="shared" si="167"/>
        <v>0</v>
      </c>
      <c r="AA151" t="e">
        <f t="shared" si="168"/>
        <v>#N/A</v>
      </c>
      <c r="AB151" t="e">
        <f t="shared" si="169"/>
        <v>#N/A</v>
      </c>
      <c r="AC151" t="e">
        <f t="shared" si="170"/>
        <v>#N/A</v>
      </c>
      <c r="AD151" t="e">
        <f t="shared" si="171"/>
        <v>#N/A</v>
      </c>
      <c r="AE151" t="e">
        <f t="shared" si="172"/>
        <v>#N/A</v>
      </c>
      <c r="AF151" t="e">
        <f t="shared" si="173"/>
        <v>#N/A</v>
      </c>
      <c r="AG151" t="e">
        <f t="shared" si="174"/>
        <v>#N/A</v>
      </c>
      <c r="AH151" t="e">
        <f t="shared" si="175"/>
        <v>#N/A</v>
      </c>
      <c r="AI151" t="e">
        <f t="shared" si="176"/>
        <v>#N/A</v>
      </c>
      <c r="AJ151" t="e">
        <f t="shared" si="177"/>
        <v>#N/A</v>
      </c>
      <c r="AK151" t="e">
        <f t="shared" si="178"/>
        <v>#N/A</v>
      </c>
      <c r="AL151" t="e">
        <f t="shared" si="179"/>
        <v>#N/A</v>
      </c>
      <c r="AM151" t="e">
        <f t="shared" si="180"/>
        <v>#N/A</v>
      </c>
      <c r="AN151" t="e">
        <f t="shared" si="181"/>
        <v>#N/A</v>
      </c>
      <c r="AO151" t="e">
        <f t="shared" si="182"/>
        <v>#N/A</v>
      </c>
      <c r="AP151" t="e">
        <f t="shared" si="183"/>
        <v>#N/A</v>
      </c>
      <c r="AQ151" t="e">
        <f t="shared" si="184"/>
        <v>#N/A</v>
      </c>
      <c r="AR151" t="e">
        <f t="shared" si="185"/>
        <v>#N/A</v>
      </c>
      <c r="AS151" t="e">
        <f t="shared" si="186"/>
        <v>#N/A</v>
      </c>
      <c r="AT151" t="e">
        <f t="shared" si="187"/>
        <v>#N/A</v>
      </c>
      <c r="AU151" t="e">
        <f t="shared" si="188"/>
        <v>#N/A</v>
      </c>
      <c r="AV151" t="e">
        <f t="shared" si="189"/>
        <v>#N/A</v>
      </c>
      <c r="AW151" t="e">
        <f t="shared" si="190"/>
        <v>#N/A</v>
      </c>
      <c r="AX151" t="e">
        <f t="shared" si="191"/>
        <v>#N/A</v>
      </c>
      <c r="AY151" t="e">
        <f t="shared" si="192"/>
        <v>#N/A</v>
      </c>
      <c r="BE151" t="e">
        <f>IF(Z151=1,IF(INDEX($C$7:$C$126,V151)&gt;=Gantt!$BF$6,NA(),MATCH(INDEX($C$7:$C$126,V151),Gantt!$J$6:$BE$6,1)),NA())</f>
        <v>#N/A</v>
      </c>
      <c r="BF151" t="e">
        <f>IF(Z151=1,IF((INDEX($D$7:$D$126,AA151)-1)&gt;=Gantt!$BF$6,NA(),IF((INDEX($D$7:$D$126,AA151)-1)&lt;Gantt!$J$6,0,MATCH((INDEX($D$7:$D$126,AA151)-1),Gantt!$J$6:$BE$6,1))),NA())</f>
        <v>#N/A</v>
      </c>
      <c r="BG151" t="e">
        <f t="shared" si="193"/>
        <v>#N/A</v>
      </c>
      <c r="BH151" t="e">
        <f t="shared" si="194"/>
        <v>#N/A</v>
      </c>
      <c r="BI151" t="e">
        <f t="shared" si="195"/>
        <v>#N/A</v>
      </c>
      <c r="BJ151" t="e">
        <f t="shared" si="196"/>
        <v>#N/A</v>
      </c>
      <c r="BK151" t="e">
        <f t="shared" si="197"/>
        <v>#N/A</v>
      </c>
      <c r="BL151" t="e">
        <f t="shared" si="198"/>
        <v>#N/A</v>
      </c>
      <c r="BM151" t="e">
        <f t="shared" si="199"/>
        <v>#N/A</v>
      </c>
      <c r="BN151" t="e">
        <f t="shared" si="200"/>
        <v>#N/A</v>
      </c>
      <c r="BO151" t="e">
        <f t="shared" si="201"/>
        <v>#N/A</v>
      </c>
      <c r="BP151" t="e">
        <f t="shared" si="202"/>
        <v>#N/A</v>
      </c>
      <c r="BQ151" t="e">
        <f t="shared" si="203"/>
        <v>#N/A</v>
      </c>
      <c r="BR151" t="e">
        <f t="shared" si="204"/>
        <v>#N/A</v>
      </c>
      <c r="BS151" t="e">
        <f t="shared" si="205"/>
        <v>#N/A</v>
      </c>
      <c r="BT151" t="e">
        <f t="shared" si="206"/>
        <v>#N/A</v>
      </c>
      <c r="BU151" t="e">
        <f t="shared" si="207"/>
        <v>#N/A</v>
      </c>
      <c r="BV151" t="e">
        <f t="shared" si="208"/>
        <v>#N/A</v>
      </c>
      <c r="BW151" t="e">
        <f t="shared" si="209"/>
        <v>#N/A</v>
      </c>
      <c r="BX151" t="e">
        <f t="shared" si="210"/>
        <v>#N/A</v>
      </c>
      <c r="BY151" t="e">
        <f t="shared" si="211"/>
        <v>#N/A</v>
      </c>
      <c r="BZ151" t="e">
        <f t="shared" si="212"/>
        <v>#N/A</v>
      </c>
      <c r="CA151" t="e">
        <f t="shared" si="213"/>
        <v>#N/A</v>
      </c>
      <c r="CB151" t="e">
        <f t="shared" si="214"/>
        <v>#N/A</v>
      </c>
      <c r="CC151" t="e">
        <f t="shared" si="215"/>
        <v>#N/A</v>
      </c>
      <c r="CD151" t="e">
        <f t="shared" si="216"/>
        <v>#N/A</v>
      </c>
      <c r="CE151" t="e">
        <f t="shared" si="217"/>
        <v>#N/A</v>
      </c>
      <c r="CF151" t="e">
        <f t="shared" si="218"/>
        <v>#N/A</v>
      </c>
      <c r="CG151" t="e">
        <f t="shared" si="219"/>
        <v>#N/A</v>
      </c>
      <c r="CI151" t="e">
        <f>AL55</f>
        <v>#N/A</v>
      </c>
      <c r="CJ151" t="e">
        <f>AM55</f>
        <v>#N/A</v>
      </c>
      <c r="CK151">
        <f>IF(ISNUMBER(CI151),IFERROR(MAX(0,AN55-CI151),0),0)</f>
        <v>0</v>
      </c>
      <c r="CL151">
        <f>IF(ISNUMBER(CI151),IFERROR(MAX(0,CI151-AN55),0),0)</f>
        <v>0</v>
      </c>
      <c r="CM151">
        <f>IF(ISNUMBER(CJ151),IFERROR(MAX(0,AO55-CJ151),0),0)</f>
        <v>0</v>
      </c>
      <c r="CN151">
        <f>IF(ISNUMBER(CJ151),IFERROR(MAX(0,CJ151-AO55),0),0)</f>
        <v>0</v>
      </c>
      <c r="CP151" t="e">
        <f>BT55</f>
        <v>#N/A</v>
      </c>
      <c r="CQ151" t="e">
        <f>BU55</f>
        <v>#N/A</v>
      </c>
      <c r="CR151">
        <f>IF(ISNUMBER(CP151),IFERROR(MAX(0,BV55-CP151),0),0)</f>
        <v>0</v>
      </c>
      <c r="CS151">
        <f>IF(ISNUMBER(CP151),IFERROR(MAX(0,CP151-BV55),0),0)</f>
        <v>0</v>
      </c>
      <c r="CT151">
        <f>IF(ISNUMBER(CQ151),IFERROR(MAX(0,BW55-CQ151),0),0)</f>
        <v>0</v>
      </c>
      <c r="CU151">
        <f>IF(ISNUMBER(CQ151),IFERROR(MAX(0,CQ151-BW55),0),0)</f>
        <v>0</v>
      </c>
    </row>
    <row r="152" spans="21:99" x14ac:dyDescent="0.3">
      <c r="U152">
        <v>146</v>
      </c>
      <c r="V152">
        <f t="shared" si="164"/>
        <v>37</v>
      </c>
      <c r="W152">
        <f t="shared" si="165"/>
        <v>2</v>
      </c>
      <c r="X152">
        <f t="shared" si="166"/>
        <v>0</v>
      </c>
      <c r="Y152">
        <f>IF(X152&lt;&gt;1,9999,CHOOSE(W152,INDEX(Gantt!$BQ$7:$BQ$119,V152),INDEX(Gantt!$BR$7:$BR$119,V152),INDEX(Gantt!$BT$7:$BT$119,V152),INDEX(Gantt!$BU$7:$BU$119,V152)))</f>
        <v>9999</v>
      </c>
      <c r="Z152">
        <f t="shared" si="167"/>
        <v>0</v>
      </c>
      <c r="AA152" t="e">
        <f t="shared" si="168"/>
        <v>#N/A</v>
      </c>
      <c r="AB152" t="e">
        <f t="shared" si="169"/>
        <v>#N/A</v>
      </c>
      <c r="AC152" t="e">
        <f t="shared" si="170"/>
        <v>#N/A</v>
      </c>
      <c r="AD152" t="e">
        <f t="shared" si="171"/>
        <v>#N/A</v>
      </c>
      <c r="AE152" t="e">
        <f t="shared" si="172"/>
        <v>#N/A</v>
      </c>
      <c r="AF152" t="e">
        <f t="shared" si="173"/>
        <v>#N/A</v>
      </c>
      <c r="AG152" t="e">
        <f t="shared" si="174"/>
        <v>#N/A</v>
      </c>
      <c r="AH152" t="e">
        <f t="shared" si="175"/>
        <v>#N/A</v>
      </c>
      <c r="AI152" t="e">
        <f t="shared" si="176"/>
        <v>#N/A</v>
      </c>
      <c r="AJ152" t="e">
        <f t="shared" si="177"/>
        <v>#N/A</v>
      </c>
      <c r="AK152" t="e">
        <f t="shared" si="178"/>
        <v>#N/A</v>
      </c>
      <c r="AL152" t="e">
        <f t="shared" si="179"/>
        <v>#N/A</v>
      </c>
      <c r="AM152" t="e">
        <f t="shared" si="180"/>
        <v>#N/A</v>
      </c>
      <c r="AN152" t="e">
        <f t="shared" si="181"/>
        <v>#N/A</v>
      </c>
      <c r="AO152" t="e">
        <f t="shared" si="182"/>
        <v>#N/A</v>
      </c>
      <c r="AP152" t="e">
        <f t="shared" si="183"/>
        <v>#N/A</v>
      </c>
      <c r="AQ152" t="e">
        <f t="shared" si="184"/>
        <v>#N/A</v>
      </c>
      <c r="AR152" t="e">
        <f t="shared" si="185"/>
        <v>#N/A</v>
      </c>
      <c r="AS152" t="e">
        <f t="shared" si="186"/>
        <v>#N/A</v>
      </c>
      <c r="AT152" t="e">
        <f t="shared" si="187"/>
        <v>#N/A</v>
      </c>
      <c r="AU152" t="e">
        <f t="shared" si="188"/>
        <v>#N/A</v>
      </c>
      <c r="AV152" t="e">
        <f t="shared" si="189"/>
        <v>#N/A</v>
      </c>
      <c r="AW152" t="e">
        <f t="shared" si="190"/>
        <v>#N/A</v>
      </c>
      <c r="AX152" t="e">
        <f t="shared" si="191"/>
        <v>#N/A</v>
      </c>
      <c r="AY152" t="e">
        <f t="shared" si="192"/>
        <v>#N/A</v>
      </c>
      <c r="BE152" t="e">
        <f>IF(Z152=1,IF(INDEX($C$7:$C$126,V152)&gt;=Gantt!$BF$6,NA(),MATCH(INDEX($C$7:$C$126,V152),Gantt!$J$6:$BE$6,1)),NA())</f>
        <v>#N/A</v>
      </c>
      <c r="BF152" t="e">
        <f>IF(Z152=1,IF((INDEX($D$7:$D$126,AA152)-1)&gt;=Gantt!$BF$6,NA(),IF((INDEX($D$7:$D$126,AA152)-1)&lt;Gantt!$J$6,0,MATCH((INDEX($D$7:$D$126,AA152)-1),Gantt!$J$6:$BE$6,1))),NA())</f>
        <v>#N/A</v>
      </c>
      <c r="BG152" t="e">
        <f t="shared" si="193"/>
        <v>#N/A</v>
      </c>
      <c r="BH152" t="e">
        <f t="shared" si="194"/>
        <v>#N/A</v>
      </c>
      <c r="BI152" t="e">
        <f t="shared" si="195"/>
        <v>#N/A</v>
      </c>
      <c r="BJ152" t="e">
        <f t="shared" si="196"/>
        <v>#N/A</v>
      </c>
      <c r="BK152" t="e">
        <f t="shared" si="197"/>
        <v>#N/A</v>
      </c>
      <c r="BL152" t="e">
        <f t="shared" si="198"/>
        <v>#N/A</v>
      </c>
      <c r="BM152" t="e">
        <f t="shared" si="199"/>
        <v>#N/A</v>
      </c>
      <c r="BN152" t="e">
        <f t="shared" si="200"/>
        <v>#N/A</v>
      </c>
      <c r="BO152" t="e">
        <f t="shared" si="201"/>
        <v>#N/A</v>
      </c>
      <c r="BP152" t="e">
        <f t="shared" si="202"/>
        <v>#N/A</v>
      </c>
      <c r="BQ152" t="e">
        <f t="shared" si="203"/>
        <v>#N/A</v>
      </c>
      <c r="BR152" t="e">
        <f t="shared" si="204"/>
        <v>#N/A</v>
      </c>
      <c r="BS152" t="e">
        <f t="shared" si="205"/>
        <v>#N/A</v>
      </c>
      <c r="BT152" t="e">
        <f t="shared" si="206"/>
        <v>#N/A</v>
      </c>
      <c r="BU152" t="e">
        <f t="shared" si="207"/>
        <v>#N/A</v>
      </c>
      <c r="BV152" t="e">
        <f t="shared" si="208"/>
        <v>#N/A</v>
      </c>
      <c r="BW152" t="e">
        <f t="shared" si="209"/>
        <v>#N/A</v>
      </c>
      <c r="BX152" t="e">
        <f t="shared" si="210"/>
        <v>#N/A</v>
      </c>
      <c r="BY152" t="e">
        <f t="shared" si="211"/>
        <v>#N/A</v>
      </c>
      <c r="BZ152" t="e">
        <f t="shared" si="212"/>
        <v>#N/A</v>
      </c>
      <c r="CA152" t="e">
        <f t="shared" si="213"/>
        <v>#N/A</v>
      </c>
      <c r="CB152" t="e">
        <f t="shared" si="214"/>
        <v>#N/A</v>
      </c>
      <c r="CC152" t="e">
        <f t="shared" si="215"/>
        <v>#N/A</v>
      </c>
      <c r="CD152" t="e">
        <f t="shared" si="216"/>
        <v>#N/A</v>
      </c>
      <c r="CE152" t="e">
        <f t="shared" si="217"/>
        <v>#N/A</v>
      </c>
      <c r="CF152" t="e">
        <f t="shared" si="218"/>
        <v>#N/A</v>
      </c>
      <c r="CG152" t="e">
        <f t="shared" si="219"/>
        <v>#N/A</v>
      </c>
      <c r="CI152" t="e">
        <f>AP55</f>
        <v>#N/A</v>
      </c>
      <c r="CJ152" t="e">
        <f>AQ55</f>
        <v>#N/A</v>
      </c>
      <c r="CK152">
        <f>IF(ISNUMBER(CI152),IFERROR(MAX(0,AR55-CI152),0),0)</f>
        <v>0</v>
      </c>
      <c r="CL152">
        <f>IF(ISNUMBER(CI152),IFERROR(MAX(0,CI152-AR55),0),0)</f>
        <v>0</v>
      </c>
      <c r="CM152">
        <f>IF(ISNUMBER(CJ152),IFERROR(MAX(0,AS55-CJ152),0),0)</f>
        <v>0</v>
      </c>
      <c r="CN152">
        <f>IF(ISNUMBER(CJ152),IFERROR(MAX(0,CJ152-AS55),0),0)</f>
        <v>0</v>
      </c>
      <c r="CP152" t="e">
        <f>BX55</f>
        <v>#N/A</v>
      </c>
      <c r="CQ152" t="e">
        <f>BY55</f>
        <v>#N/A</v>
      </c>
      <c r="CR152">
        <f>IF(ISNUMBER(CP152),IFERROR(MAX(0,BZ55-CP152),0),0)</f>
        <v>0</v>
      </c>
      <c r="CS152">
        <f>IF(ISNUMBER(CP152),IFERROR(MAX(0,CP152-BZ55),0),0)</f>
        <v>0</v>
      </c>
      <c r="CT152">
        <f>IF(ISNUMBER(CQ152),IFERROR(MAX(0,CA55-CQ152),0),0)</f>
        <v>0</v>
      </c>
      <c r="CU152">
        <f>IF(ISNUMBER(CQ152),IFERROR(MAX(0,CQ152-CA55),0),0)</f>
        <v>0</v>
      </c>
    </row>
    <row r="153" spans="21:99" x14ac:dyDescent="0.3">
      <c r="U153">
        <v>147</v>
      </c>
      <c r="V153">
        <f t="shared" si="164"/>
        <v>37</v>
      </c>
      <c r="W153">
        <f t="shared" si="165"/>
        <v>3</v>
      </c>
      <c r="X153">
        <f t="shared" si="166"/>
        <v>0</v>
      </c>
      <c r="Y153">
        <f>IF(X153&lt;&gt;1,9999,CHOOSE(W153,INDEX(Gantt!$BQ$7:$BQ$119,V153),INDEX(Gantt!$BR$7:$BR$119,V153),INDEX(Gantt!$BT$7:$BT$119,V153),INDEX(Gantt!$BU$7:$BU$119,V153)))</f>
        <v>9999</v>
      </c>
      <c r="Z153">
        <f t="shared" si="167"/>
        <v>0</v>
      </c>
      <c r="AA153" t="e">
        <f t="shared" si="168"/>
        <v>#N/A</v>
      </c>
      <c r="AB153" t="e">
        <f t="shared" si="169"/>
        <v>#N/A</v>
      </c>
      <c r="AC153" t="e">
        <f t="shared" si="170"/>
        <v>#N/A</v>
      </c>
      <c r="AD153" t="e">
        <f t="shared" si="171"/>
        <v>#N/A</v>
      </c>
      <c r="AE153" t="e">
        <f t="shared" si="172"/>
        <v>#N/A</v>
      </c>
      <c r="AF153" t="e">
        <f t="shared" si="173"/>
        <v>#N/A</v>
      </c>
      <c r="AG153" t="e">
        <f t="shared" si="174"/>
        <v>#N/A</v>
      </c>
      <c r="AH153" t="e">
        <f t="shared" si="175"/>
        <v>#N/A</v>
      </c>
      <c r="AI153" t="e">
        <f t="shared" si="176"/>
        <v>#N/A</v>
      </c>
      <c r="AJ153" t="e">
        <f t="shared" si="177"/>
        <v>#N/A</v>
      </c>
      <c r="AK153" t="e">
        <f t="shared" si="178"/>
        <v>#N/A</v>
      </c>
      <c r="AL153" t="e">
        <f t="shared" si="179"/>
        <v>#N/A</v>
      </c>
      <c r="AM153" t="e">
        <f t="shared" si="180"/>
        <v>#N/A</v>
      </c>
      <c r="AN153" t="e">
        <f t="shared" si="181"/>
        <v>#N/A</v>
      </c>
      <c r="AO153" t="e">
        <f t="shared" si="182"/>
        <v>#N/A</v>
      </c>
      <c r="AP153" t="e">
        <f t="shared" si="183"/>
        <v>#N/A</v>
      </c>
      <c r="AQ153" t="e">
        <f t="shared" si="184"/>
        <v>#N/A</v>
      </c>
      <c r="AR153" t="e">
        <f t="shared" si="185"/>
        <v>#N/A</v>
      </c>
      <c r="AS153" t="e">
        <f t="shared" si="186"/>
        <v>#N/A</v>
      </c>
      <c r="AT153" t="e">
        <f t="shared" si="187"/>
        <v>#N/A</v>
      </c>
      <c r="AU153" t="e">
        <f t="shared" si="188"/>
        <v>#N/A</v>
      </c>
      <c r="AV153" t="e">
        <f t="shared" si="189"/>
        <v>#N/A</v>
      </c>
      <c r="AW153" t="e">
        <f t="shared" si="190"/>
        <v>#N/A</v>
      </c>
      <c r="AX153" t="e">
        <f t="shared" si="191"/>
        <v>#N/A</v>
      </c>
      <c r="AY153" t="e">
        <f t="shared" si="192"/>
        <v>#N/A</v>
      </c>
      <c r="BE153" t="e">
        <f>IF(Z153=1,IF(INDEX($C$7:$C$126,V153)&gt;=Gantt!$BF$6,NA(),MATCH(INDEX($C$7:$C$126,V153),Gantt!$J$6:$BE$6,1)),NA())</f>
        <v>#N/A</v>
      </c>
      <c r="BF153" t="e">
        <f>IF(Z153=1,IF((INDEX($D$7:$D$126,AA153)-1)&gt;=Gantt!$BF$6,NA(),IF((INDEX($D$7:$D$126,AA153)-1)&lt;Gantt!$J$6,0,MATCH((INDEX($D$7:$D$126,AA153)-1),Gantt!$J$6:$BE$6,1))),NA())</f>
        <v>#N/A</v>
      </c>
      <c r="BG153" t="e">
        <f t="shared" si="193"/>
        <v>#N/A</v>
      </c>
      <c r="BH153" t="e">
        <f t="shared" si="194"/>
        <v>#N/A</v>
      </c>
      <c r="BI153" t="e">
        <f t="shared" si="195"/>
        <v>#N/A</v>
      </c>
      <c r="BJ153" t="e">
        <f t="shared" si="196"/>
        <v>#N/A</v>
      </c>
      <c r="BK153" t="e">
        <f t="shared" si="197"/>
        <v>#N/A</v>
      </c>
      <c r="BL153" t="e">
        <f t="shared" si="198"/>
        <v>#N/A</v>
      </c>
      <c r="BM153" t="e">
        <f t="shared" si="199"/>
        <v>#N/A</v>
      </c>
      <c r="BN153" t="e">
        <f t="shared" si="200"/>
        <v>#N/A</v>
      </c>
      <c r="BO153" t="e">
        <f t="shared" si="201"/>
        <v>#N/A</v>
      </c>
      <c r="BP153" t="e">
        <f t="shared" si="202"/>
        <v>#N/A</v>
      </c>
      <c r="BQ153" t="e">
        <f t="shared" si="203"/>
        <v>#N/A</v>
      </c>
      <c r="BR153" t="e">
        <f t="shared" si="204"/>
        <v>#N/A</v>
      </c>
      <c r="BS153" t="e">
        <f t="shared" si="205"/>
        <v>#N/A</v>
      </c>
      <c r="BT153" t="e">
        <f t="shared" si="206"/>
        <v>#N/A</v>
      </c>
      <c r="BU153" t="e">
        <f t="shared" si="207"/>
        <v>#N/A</v>
      </c>
      <c r="BV153" t="e">
        <f t="shared" si="208"/>
        <v>#N/A</v>
      </c>
      <c r="BW153" t="e">
        <f t="shared" si="209"/>
        <v>#N/A</v>
      </c>
      <c r="BX153" t="e">
        <f t="shared" si="210"/>
        <v>#N/A</v>
      </c>
      <c r="BY153" t="e">
        <f t="shared" si="211"/>
        <v>#N/A</v>
      </c>
      <c r="BZ153" t="e">
        <f t="shared" si="212"/>
        <v>#N/A</v>
      </c>
      <c r="CA153" t="e">
        <f t="shared" si="213"/>
        <v>#N/A</v>
      </c>
      <c r="CB153" t="e">
        <f t="shared" si="214"/>
        <v>#N/A</v>
      </c>
      <c r="CC153" t="e">
        <f t="shared" si="215"/>
        <v>#N/A</v>
      </c>
      <c r="CD153" t="e">
        <f t="shared" si="216"/>
        <v>#N/A</v>
      </c>
      <c r="CE153" t="e">
        <f t="shared" si="217"/>
        <v>#N/A</v>
      </c>
      <c r="CF153" t="e">
        <f t="shared" si="218"/>
        <v>#N/A</v>
      </c>
      <c r="CG153" t="e">
        <f t="shared" si="219"/>
        <v>#N/A</v>
      </c>
      <c r="CI153" t="e">
        <f>AT55</f>
        <v>#N/A</v>
      </c>
      <c r="CJ153" t="e">
        <f>AU55</f>
        <v>#N/A</v>
      </c>
      <c r="CK153">
        <f>IF(ISNUMBER(CI153),IFERROR(MAX(0,AV55-CI153),0),0)</f>
        <v>0</v>
      </c>
      <c r="CL153">
        <f>IF(ISNUMBER(CI153),IFERROR(MAX(0,CI153-AV55),0),0)</f>
        <v>0</v>
      </c>
      <c r="CM153">
        <f>IF(ISNUMBER(CJ153),IFERROR(MAX(0,AW55-CJ153),0),0)</f>
        <v>0</v>
      </c>
      <c r="CN153">
        <f>IF(ISNUMBER(CJ153),IFERROR(MAX(0,CJ153-AW55),0),0)</f>
        <v>0</v>
      </c>
      <c r="CP153" t="e">
        <f>CB55</f>
        <v>#N/A</v>
      </c>
      <c r="CQ153" t="e">
        <f>CC55</f>
        <v>#N/A</v>
      </c>
      <c r="CR153">
        <f>IF(ISNUMBER(CP153),IFERROR(MAX(0,CD55-CP153),0),0)</f>
        <v>0</v>
      </c>
      <c r="CS153">
        <f>IF(ISNUMBER(CP153),IFERROR(MAX(0,CP153-CD55),0),0)</f>
        <v>0</v>
      </c>
      <c r="CT153">
        <f>IF(ISNUMBER(CQ153),IFERROR(MAX(0,CE55-CQ153),0),0)</f>
        <v>0</v>
      </c>
      <c r="CU153">
        <f>IF(ISNUMBER(CQ153),IFERROR(MAX(0,CQ153-CE55),0),0)</f>
        <v>0</v>
      </c>
    </row>
    <row r="154" spans="21:99" x14ac:dyDescent="0.3">
      <c r="U154">
        <v>148</v>
      </c>
      <c r="V154">
        <f t="shared" si="164"/>
        <v>37</v>
      </c>
      <c r="W154">
        <f t="shared" si="165"/>
        <v>4</v>
      </c>
      <c r="X154">
        <f t="shared" si="166"/>
        <v>0</v>
      </c>
      <c r="Y154">
        <f>IF(X154&lt;&gt;1,9999,CHOOSE(W154,INDEX(Gantt!$BQ$7:$BQ$119,V154),INDEX(Gantt!$BR$7:$BR$119,V154),INDEX(Gantt!$BT$7:$BT$119,V154),INDEX(Gantt!$BU$7:$BU$119,V154)))</f>
        <v>9999</v>
      </c>
      <c r="Z154">
        <f t="shared" si="167"/>
        <v>0</v>
      </c>
      <c r="AA154" t="e">
        <f t="shared" si="168"/>
        <v>#N/A</v>
      </c>
      <c r="AB154" t="e">
        <f t="shared" si="169"/>
        <v>#N/A</v>
      </c>
      <c r="AC154" t="e">
        <f t="shared" si="170"/>
        <v>#N/A</v>
      </c>
      <c r="AD154" t="e">
        <f t="shared" si="171"/>
        <v>#N/A</v>
      </c>
      <c r="AE154" t="e">
        <f t="shared" si="172"/>
        <v>#N/A</v>
      </c>
      <c r="AF154" t="e">
        <f t="shared" si="173"/>
        <v>#N/A</v>
      </c>
      <c r="AG154" t="e">
        <f t="shared" si="174"/>
        <v>#N/A</v>
      </c>
      <c r="AH154" t="e">
        <f t="shared" si="175"/>
        <v>#N/A</v>
      </c>
      <c r="AI154" t="e">
        <f t="shared" si="176"/>
        <v>#N/A</v>
      </c>
      <c r="AJ154" t="e">
        <f t="shared" si="177"/>
        <v>#N/A</v>
      </c>
      <c r="AK154" t="e">
        <f t="shared" si="178"/>
        <v>#N/A</v>
      </c>
      <c r="AL154" t="e">
        <f t="shared" si="179"/>
        <v>#N/A</v>
      </c>
      <c r="AM154" t="e">
        <f t="shared" si="180"/>
        <v>#N/A</v>
      </c>
      <c r="AN154" t="e">
        <f t="shared" si="181"/>
        <v>#N/A</v>
      </c>
      <c r="AO154" t="e">
        <f t="shared" si="182"/>
        <v>#N/A</v>
      </c>
      <c r="AP154" t="e">
        <f t="shared" si="183"/>
        <v>#N/A</v>
      </c>
      <c r="AQ154" t="e">
        <f t="shared" si="184"/>
        <v>#N/A</v>
      </c>
      <c r="AR154" t="e">
        <f t="shared" si="185"/>
        <v>#N/A</v>
      </c>
      <c r="AS154" t="e">
        <f t="shared" si="186"/>
        <v>#N/A</v>
      </c>
      <c r="AT154" t="e">
        <f t="shared" si="187"/>
        <v>#N/A</v>
      </c>
      <c r="AU154" t="e">
        <f t="shared" si="188"/>
        <v>#N/A</v>
      </c>
      <c r="AV154" t="e">
        <f t="shared" si="189"/>
        <v>#N/A</v>
      </c>
      <c r="AW154" t="e">
        <f t="shared" si="190"/>
        <v>#N/A</v>
      </c>
      <c r="AX154" t="e">
        <f t="shared" si="191"/>
        <v>#N/A</v>
      </c>
      <c r="AY154" t="e">
        <f t="shared" si="192"/>
        <v>#N/A</v>
      </c>
      <c r="BE154" t="e">
        <f>IF(Z154=1,IF(INDEX($C$7:$C$126,V154)&gt;=Gantt!$BF$6,NA(),MATCH(INDEX($C$7:$C$126,V154),Gantt!$J$6:$BE$6,1)),NA())</f>
        <v>#N/A</v>
      </c>
      <c r="BF154" t="e">
        <f>IF(Z154=1,IF((INDEX($D$7:$D$126,AA154)-1)&gt;=Gantt!$BF$6,NA(),IF((INDEX($D$7:$D$126,AA154)-1)&lt;Gantt!$J$6,0,MATCH((INDEX($D$7:$D$126,AA154)-1),Gantt!$J$6:$BE$6,1))),NA())</f>
        <v>#N/A</v>
      </c>
      <c r="BG154" t="e">
        <f t="shared" si="193"/>
        <v>#N/A</v>
      </c>
      <c r="BH154" t="e">
        <f t="shared" si="194"/>
        <v>#N/A</v>
      </c>
      <c r="BI154" t="e">
        <f t="shared" si="195"/>
        <v>#N/A</v>
      </c>
      <c r="BJ154" t="e">
        <f t="shared" si="196"/>
        <v>#N/A</v>
      </c>
      <c r="BK154" t="e">
        <f t="shared" si="197"/>
        <v>#N/A</v>
      </c>
      <c r="BL154" t="e">
        <f t="shared" si="198"/>
        <v>#N/A</v>
      </c>
      <c r="BM154" t="e">
        <f t="shared" si="199"/>
        <v>#N/A</v>
      </c>
      <c r="BN154" t="e">
        <f t="shared" si="200"/>
        <v>#N/A</v>
      </c>
      <c r="BO154" t="e">
        <f t="shared" si="201"/>
        <v>#N/A</v>
      </c>
      <c r="BP154" t="e">
        <f t="shared" si="202"/>
        <v>#N/A</v>
      </c>
      <c r="BQ154" t="e">
        <f t="shared" si="203"/>
        <v>#N/A</v>
      </c>
      <c r="BR154" t="e">
        <f t="shared" si="204"/>
        <v>#N/A</v>
      </c>
      <c r="BS154" t="e">
        <f t="shared" si="205"/>
        <v>#N/A</v>
      </c>
      <c r="BT154" t="e">
        <f t="shared" si="206"/>
        <v>#N/A</v>
      </c>
      <c r="BU154" t="e">
        <f t="shared" si="207"/>
        <v>#N/A</v>
      </c>
      <c r="BV154" t="e">
        <f t="shared" si="208"/>
        <v>#N/A</v>
      </c>
      <c r="BW154" t="e">
        <f t="shared" si="209"/>
        <v>#N/A</v>
      </c>
      <c r="BX154" t="e">
        <f t="shared" si="210"/>
        <v>#N/A</v>
      </c>
      <c r="BY154" t="e">
        <f t="shared" si="211"/>
        <v>#N/A</v>
      </c>
      <c r="BZ154" t="e">
        <f t="shared" si="212"/>
        <v>#N/A</v>
      </c>
      <c r="CA154" t="e">
        <f t="shared" si="213"/>
        <v>#N/A</v>
      </c>
      <c r="CB154" t="e">
        <f t="shared" si="214"/>
        <v>#N/A</v>
      </c>
      <c r="CC154" t="e">
        <f t="shared" si="215"/>
        <v>#N/A</v>
      </c>
      <c r="CD154" t="e">
        <f t="shared" si="216"/>
        <v>#N/A</v>
      </c>
      <c r="CE154" t="e">
        <f t="shared" si="217"/>
        <v>#N/A</v>
      </c>
      <c r="CF154" t="e">
        <f t="shared" si="218"/>
        <v>#N/A</v>
      </c>
      <c r="CG154" t="e">
        <f t="shared" si="219"/>
        <v>#N/A</v>
      </c>
      <c r="CI154" t="e">
        <f>AL56</f>
        <v>#N/A</v>
      </c>
      <c r="CJ154" t="e">
        <f>AM56</f>
        <v>#N/A</v>
      </c>
      <c r="CK154">
        <f>IF(ISNUMBER(CI154),IFERROR(MAX(0,AN56-CI154),0),0)</f>
        <v>0</v>
      </c>
      <c r="CL154">
        <f>IF(ISNUMBER(CI154),IFERROR(MAX(0,CI154-AN56),0),0)</f>
        <v>0</v>
      </c>
      <c r="CM154">
        <f>IF(ISNUMBER(CJ154),IFERROR(MAX(0,AO56-CJ154),0),0)</f>
        <v>0</v>
      </c>
      <c r="CN154">
        <f>IF(ISNUMBER(CJ154),IFERROR(MAX(0,CJ154-AO56),0),0)</f>
        <v>0</v>
      </c>
      <c r="CP154" t="e">
        <f>BT56</f>
        <v>#N/A</v>
      </c>
      <c r="CQ154" t="e">
        <f>BU56</f>
        <v>#N/A</v>
      </c>
      <c r="CR154">
        <f>IF(ISNUMBER(CP154),IFERROR(MAX(0,BV56-CP154),0),0)</f>
        <v>0</v>
      </c>
      <c r="CS154">
        <f>IF(ISNUMBER(CP154),IFERROR(MAX(0,CP154-BV56),0),0)</f>
        <v>0</v>
      </c>
      <c r="CT154">
        <f>IF(ISNUMBER(CQ154),IFERROR(MAX(0,BW56-CQ154),0),0)</f>
        <v>0</v>
      </c>
      <c r="CU154">
        <f>IF(ISNUMBER(CQ154),IFERROR(MAX(0,CQ154-BW56),0),0)</f>
        <v>0</v>
      </c>
    </row>
    <row r="155" spans="21:99" x14ac:dyDescent="0.3">
      <c r="U155">
        <v>149</v>
      </c>
      <c r="V155">
        <f t="shared" si="164"/>
        <v>38</v>
      </c>
      <c r="W155">
        <f t="shared" si="165"/>
        <v>1</v>
      </c>
      <c r="X155">
        <f t="shared" si="166"/>
        <v>0</v>
      </c>
      <c r="Y155">
        <f>IF(X155&lt;&gt;1,9999,CHOOSE(W155,INDEX(Gantt!$BQ$7:$BQ$119,V155),INDEX(Gantt!$BR$7:$BR$119,V155),INDEX(Gantt!$BT$7:$BT$119,V155),INDEX(Gantt!$BU$7:$BU$119,V155)))</f>
        <v>9999</v>
      </c>
      <c r="Z155">
        <f t="shared" si="167"/>
        <v>0</v>
      </c>
      <c r="AA155" t="e">
        <f t="shared" si="168"/>
        <v>#N/A</v>
      </c>
      <c r="AB155" t="e">
        <f t="shared" si="169"/>
        <v>#N/A</v>
      </c>
      <c r="AC155" t="e">
        <f t="shared" si="170"/>
        <v>#N/A</v>
      </c>
      <c r="AD155" t="e">
        <f t="shared" si="171"/>
        <v>#N/A</v>
      </c>
      <c r="AE155" t="e">
        <f t="shared" si="172"/>
        <v>#N/A</v>
      </c>
      <c r="AF155" t="e">
        <f t="shared" si="173"/>
        <v>#N/A</v>
      </c>
      <c r="AG155" t="e">
        <f t="shared" si="174"/>
        <v>#N/A</v>
      </c>
      <c r="AH155" t="e">
        <f t="shared" si="175"/>
        <v>#N/A</v>
      </c>
      <c r="AI155" t="e">
        <f t="shared" si="176"/>
        <v>#N/A</v>
      </c>
      <c r="AJ155" t="e">
        <f t="shared" si="177"/>
        <v>#N/A</v>
      </c>
      <c r="AK155" t="e">
        <f t="shared" si="178"/>
        <v>#N/A</v>
      </c>
      <c r="AL155" t="e">
        <f t="shared" si="179"/>
        <v>#N/A</v>
      </c>
      <c r="AM155" t="e">
        <f t="shared" si="180"/>
        <v>#N/A</v>
      </c>
      <c r="AN155" t="e">
        <f t="shared" si="181"/>
        <v>#N/A</v>
      </c>
      <c r="AO155" t="e">
        <f t="shared" si="182"/>
        <v>#N/A</v>
      </c>
      <c r="AP155" t="e">
        <f t="shared" si="183"/>
        <v>#N/A</v>
      </c>
      <c r="AQ155" t="e">
        <f t="shared" si="184"/>
        <v>#N/A</v>
      </c>
      <c r="AR155" t="e">
        <f t="shared" si="185"/>
        <v>#N/A</v>
      </c>
      <c r="AS155" t="e">
        <f t="shared" si="186"/>
        <v>#N/A</v>
      </c>
      <c r="AT155" t="e">
        <f t="shared" si="187"/>
        <v>#N/A</v>
      </c>
      <c r="AU155" t="e">
        <f t="shared" si="188"/>
        <v>#N/A</v>
      </c>
      <c r="AV155" t="e">
        <f t="shared" si="189"/>
        <v>#N/A</v>
      </c>
      <c r="AW155" t="e">
        <f t="shared" si="190"/>
        <v>#N/A</v>
      </c>
      <c r="AX155" t="e">
        <f t="shared" si="191"/>
        <v>#N/A</v>
      </c>
      <c r="AY155" t="e">
        <f t="shared" si="192"/>
        <v>#N/A</v>
      </c>
      <c r="BE155" t="e">
        <f>IF(Z155=1,IF(INDEX($C$7:$C$126,V155)&gt;=Gantt!$BF$6,NA(),MATCH(INDEX($C$7:$C$126,V155),Gantt!$J$6:$BE$6,1)),NA())</f>
        <v>#N/A</v>
      </c>
      <c r="BF155" t="e">
        <f>IF(Z155=1,IF((INDEX($D$7:$D$126,AA155)-1)&gt;=Gantt!$BF$6,NA(),IF((INDEX($D$7:$D$126,AA155)-1)&lt;Gantt!$J$6,0,MATCH((INDEX($D$7:$D$126,AA155)-1),Gantt!$J$6:$BE$6,1))),NA())</f>
        <v>#N/A</v>
      </c>
      <c r="BG155" t="e">
        <f t="shared" si="193"/>
        <v>#N/A</v>
      </c>
      <c r="BH155" t="e">
        <f t="shared" si="194"/>
        <v>#N/A</v>
      </c>
      <c r="BI155" t="e">
        <f t="shared" si="195"/>
        <v>#N/A</v>
      </c>
      <c r="BJ155" t="e">
        <f t="shared" si="196"/>
        <v>#N/A</v>
      </c>
      <c r="BK155" t="e">
        <f t="shared" si="197"/>
        <v>#N/A</v>
      </c>
      <c r="BL155" t="e">
        <f t="shared" si="198"/>
        <v>#N/A</v>
      </c>
      <c r="BM155" t="e">
        <f t="shared" si="199"/>
        <v>#N/A</v>
      </c>
      <c r="BN155" t="e">
        <f t="shared" si="200"/>
        <v>#N/A</v>
      </c>
      <c r="BO155" t="e">
        <f t="shared" si="201"/>
        <v>#N/A</v>
      </c>
      <c r="BP155" t="e">
        <f t="shared" si="202"/>
        <v>#N/A</v>
      </c>
      <c r="BQ155" t="e">
        <f t="shared" si="203"/>
        <v>#N/A</v>
      </c>
      <c r="BR155" t="e">
        <f t="shared" si="204"/>
        <v>#N/A</v>
      </c>
      <c r="BS155" t="e">
        <f t="shared" si="205"/>
        <v>#N/A</v>
      </c>
      <c r="BT155" t="e">
        <f t="shared" si="206"/>
        <v>#N/A</v>
      </c>
      <c r="BU155" t="e">
        <f t="shared" si="207"/>
        <v>#N/A</v>
      </c>
      <c r="BV155" t="e">
        <f t="shared" si="208"/>
        <v>#N/A</v>
      </c>
      <c r="BW155" t="e">
        <f t="shared" si="209"/>
        <v>#N/A</v>
      </c>
      <c r="BX155" t="e">
        <f t="shared" si="210"/>
        <v>#N/A</v>
      </c>
      <c r="BY155" t="e">
        <f t="shared" si="211"/>
        <v>#N/A</v>
      </c>
      <c r="BZ155" t="e">
        <f t="shared" si="212"/>
        <v>#N/A</v>
      </c>
      <c r="CA155" t="e">
        <f t="shared" si="213"/>
        <v>#N/A</v>
      </c>
      <c r="CB155" t="e">
        <f t="shared" si="214"/>
        <v>#N/A</v>
      </c>
      <c r="CC155" t="e">
        <f t="shared" si="215"/>
        <v>#N/A</v>
      </c>
      <c r="CD155" t="e">
        <f t="shared" si="216"/>
        <v>#N/A</v>
      </c>
      <c r="CE155" t="e">
        <f t="shared" si="217"/>
        <v>#N/A</v>
      </c>
      <c r="CF155" t="e">
        <f t="shared" si="218"/>
        <v>#N/A</v>
      </c>
      <c r="CG155" t="e">
        <f t="shared" si="219"/>
        <v>#N/A</v>
      </c>
      <c r="CI155" t="e">
        <f>AP56</f>
        <v>#N/A</v>
      </c>
      <c r="CJ155" t="e">
        <f>AQ56</f>
        <v>#N/A</v>
      </c>
      <c r="CK155">
        <f>IF(ISNUMBER(CI155),IFERROR(MAX(0,AR56-CI155),0),0)</f>
        <v>0</v>
      </c>
      <c r="CL155">
        <f>IF(ISNUMBER(CI155),IFERROR(MAX(0,CI155-AR56),0),0)</f>
        <v>0</v>
      </c>
      <c r="CM155">
        <f>IF(ISNUMBER(CJ155),IFERROR(MAX(0,AS56-CJ155),0),0)</f>
        <v>0</v>
      </c>
      <c r="CN155">
        <f>IF(ISNUMBER(CJ155),IFERROR(MAX(0,CJ155-AS56),0),0)</f>
        <v>0</v>
      </c>
      <c r="CP155" t="e">
        <f>BX56</f>
        <v>#N/A</v>
      </c>
      <c r="CQ155" t="e">
        <f>BY56</f>
        <v>#N/A</v>
      </c>
      <c r="CR155">
        <f>IF(ISNUMBER(CP155),IFERROR(MAX(0,BZ56-CP155),0),0)</f>
        <v>0</v>
      </c>
      <c r="CS155">
        <f>IF(ISNUMBER(CP155),IFERROR(MAX(0,CP155-BZ56),0),0)</f>
        <v>0</v>
      </c>
      <c r="CT155">
        <f>IF(ISNUMBER(CQ155),IFERROR(MAX(0,CA56-CQ155),0),0)</f>
        <v>0</v>
      </c>
      <c r="CU155">
        <f>IF(ISNUMBER(CQ155),IFERROR(MAX(0,CQ155-CA56),0),0)</f>
        <v>0</v>
      </c>
    </row>
    <row r="156" spans="21:99" x14ac:dyDescent="0.3">
      <c r="U156">
        <v>150</v>
      </c>
      <c r="V156">
        <f t="shared" si="164"/>
        <v>38</v>
      </c>
      <c r="W156">
        <f t="shared" si="165"/>
        <v>2</v>
      </c>
      <c r="X156">
        <f t="shared" si="166"/>
        <v>0</v>
      </c>
      <c r="Y156">
        <f>IF(X156&lt;&gt;1,9999,CHOOSE(W156,INDEX(Gantt!$BQ$7:$BQ$119,V156),INDEX(Gantt!$BR$7:$BR$119,V156),INDEX(Gantt!$BT$7:$BT$119,V156),INDEX(Gantt!$BU$7:$BU$119,V156)))</f>
        <v>9999</v>
      </c>
      <c r="Z156">
        <f t="shared" si="167"/>
        <v>0</v>
      </c>
      <c r="AA156" t="e">
        <f t="shared" si="168"/>
        <v>#N/A</v>
      </c>
      <c r="AB156" t="e">
        <f t="shared" si="169"/>
        <v>#N/A</v>
      </c>
      <c r="AC156" t="e">
        <f t="shared" si="170"/>
        <v>#N/A</v>
      </c>
      <c r="AD156" t="e">
        <f t="shared" si="171"/>
        <v>#N/A</v>
      </c>
      <c r="AE156" t="e">
        <f t="shared" si="172"/>
        <v>#N/A</v>
      </c>
      <c r="AF156" t="e">
        <f t="shared" si="173"/>
        <v>#N/A</v>
      </c>
      <c r="AG156" t="e">
        <f t="shared" si="174"/>
        <v>#N/A</v>
      </c>
      <c r="AH156" t="e">
        <f t="shared" si="175"/>
        <v>#N/A</v>
      </c>
      <c r="AI156" t="e">
        <f t="shared" si="176"/>
        <v>#N/A</v>
      </c>
      <c r="AJ156" t="e">
        <f t="shared" si="177"/>
        <v>#N/A</v>
      </c>
      <c r="AK156" t="e">
        <f t="shared" si="178"/>
        <v>#N/A</v>
      </c>
      <c r="AL156" t="e">
        <f t="shared" si="179"/>
        <v>#N/A</v>
      </c>
      <c r="AM156" t="e">
        <f t="shared" si="180"/>
        <v>#N/A</v>
      </c>
      <c r="AN156" t="e">
        <f t="shared" si="181"/>
        <v>#N/A</v>
      </c>
      <c r="AO156" t="e">
        <f t="shared" si="182"/>
        <v>#N/A</v>
      </c>
      <c r="AP156" t="e">
        <f t="shared" si="183"/>
        <v>#N/A</v>
      </c>
      <c r="AQ156" t="e">
        <f t="shared" si="184"/>
        <v>#N/A</v>
      </c>
      <c r="AR156" t="e">
        <f t="shared" si="185"/>
        <v>#N/A</v>
      </c>
      <c r="AS156" t="e">
        <f t="shared" si="186"/>
        <v>#N/A</v>
      </c>
      <c r="AT156" t="e">
        <f t="shared" si="187"/>
        <v>#N/A</v>
      </c>
      <c r="AU156" t="e">
        <f t="shared" si="188"/>
        <v>#N/A</v>
      </c>
      <c r="AV156" t="e">
        <f t="shared" si="189"/>
        <v>#N/A</v>
      </c>
      <c r="AW156" t="e">
        <f t="shared" si="190"/>
        <v>#N/A</v>
      </c>
      <c r="AX156" t="e">
        <f t="shared" si="191"/>
        <v>#N/A</v>
      </c>
      <c r="AY156" t="e">
        <f t="shared" si="192"/>
        <v>#N/A</v>
      </c>
      <c r="BE156" t="e">
        <f>IF(Z156=1,IF(INDEX($C$7:$C$126,V156)&gt;=Gantt!$BF$6,NA(),MATCH(INDEX($C$7:$C$126,V156),Gantt!$J$6:$BE$6,1)),NA())</f>
        <v>#N/A</v>
      </c>
      <c r="BF156" t="e">
        <f>IF(Z156=1,IF((INDEX($D$7:$D$126,AA156)-1)&gt;=Gantt!$BF$6,NA(),IF((INDEX($D$7:$D$126,AA156)-1)&lt;Gantt!$J$6,0,MATCH((INDEX($D$7:$D$126,AA156)-1),Gantt!$J$6:$BE$6,1))),NA())</f>
        <v>#N/A</v>
      </c>
      <c r="BG156" t="e">
        <f t="shared" si="193"/>
        <v>#N/A</v>
      </c>
      <c r="BH156" t="e">
        <f t="shared" si="194"/>
        <v>#N/A</v>
      </c>
      <c r="BI156" t="e">
        <f t="shared" si="195"/>
        <v>#N/A</v>
      </c>
      <c r="BJ156" t="e">
        <f t="shared" si="196"/>
        <v>#N/A</v>
      </c>
      <c r="BK156" t="e">
        <f t="shared" si="197"/>
        <v>#N/A</v>
      </c>
      <c r="BL156" t="e">
        <f t="shared" si="198"/>
        <v>#N/A</v>
      </c>
      <c r="BM156" t="e">
        <f t="shared" si="199"/>
        <v>#N/A</v>
      </c>
      <c r="BN156" t="e">
        <f t="shared" si="200"/>
        <v>#N/A</v>
      </c>
      <c r="BO156" t="e">
        <f t="shared" si="201"/>
        <v>#N/A</v>
      </c>
      <c r="BP156" t="e">
        <f t="shared" si="202"/>
        <v>#N/A</v>
      </c>
      <c r="BQ156" t="e">
        <f t="shared" si="203"/>
        <v>#N/A</v>
      </c>
      <c r="BR156" t="e">
        <f t="shared" si="204"/>
        <v>#N/A</v>
      </c>
      <c r="BS156" t="e">
        <f t="shared" si="205"/>
        <v>#N/A</v>
      </c>
      <c r="BT156" t="e">
        <f t="shared" si="206"/>
        <v>#N/A</v>
      </c>
      <c r="BU156" t="e">
        <f t="shared" si="207"/>
        <v>#N/A</v>
      </c>
      <c r="BV156" t="e">
        <f t="shared" si="208"/>
        <v>#N/A</v>
      </c>
      <c r="BW156" t="e">
        <f t="shared" si="209"/>
        <v>#N/A</v>
      </c>
      <c r="BX156" t="e">
        <f t="shared" si="210"/>
        <v>#N/A</v>
      </c>
      <c r="BY156" t="e">
        <f t="shared" si="211"/>
        <v>#N/A</v>
      </c>
      <c r="BZ156" t="e">
        <f t="shared" si="212"/>
        <v>#N/A</v>
      </c>
      <c r="CA156" t="e">
        <f t="shared" si="213"/>
        <v>#N/A</v>
      </c>
      <c r="CB156" t="e">
        <f t="shared" si="214"/>
        <v>#N/A</v>
      </c>
      <c r="CC156" t="e">
        <f t="shared" si="215"/>
        <v>#N/A</v>
      </c>
      <c r="CD156" t="e">
        <f t="shared" si="216"/>
        <v>#N/A</v>
      </c>
      <c r="CE156" t="e">
        <f t="shared" si="217"/>
        <v>#N/A</v>
      </c>
      <c r="CF156" t="e">
        <f t="shared" si="218"/>
        <v>#N/A</v>
      </c>
      <c r="CG156" t="e">
        <f t="shared" si="219"/>
        <v>#N/A</v>
      </c>
      <c r="CI156" t="e">
        <f>AT56</f>
        <v>#N/A</v>
      </c>
      <c r="CJ156" t="e">
        <f>AU56</f>
        <v>#N/A</v>
      </c>
      <c r="CK156">
        <f>IF(ISNUMBER(CI156),IFERROR(MAX(0,AV56-CI156),0),0)</f>
        <v>0</v>
      </c>
      <c r="CL156">
        <f>IF(ISNUMBER(CI156),IFERROR(MAX(0,CI156-AV56),0),0)</f>
        <v>0</v>
      </c>
      <c r="CM156">
        <f>IF(ISNUMBER(CJ156),IFERROR(MAX(0,AW56-CJ156),0),0)</f>
        <v>0</v>
      </c>
      <c r="CN156">
        <f>IF(ISNUMBER(CJ156),IFERROR(MAX(0,CJ156-AW56),0),0)</f>
        <v>0</v>
      </c>
      <c r="CP156" t="e">
        <f>CB56</f>
        <v>#N/A</v>
      </c>
      <c r="CQ156" t="e">
        <f>CC56</f>
        <v>#N/A</v>
      </c>
      <c r="CR156">
        <f>IF(ISNUMBER(CP156),IFERROR(MAX(0,CD56-CP156),0),0)</f>
        <v>0</v>
      </c>
      <c r="CS156">
        <f>IF(ISNUMBER(CP156),IFERROR(MAX(0,CP156-CD56),0),0)</f>
        <v>0</v>
      </c>
      <c r="CT156">
        <f>IF(ISNUMBER(CQ156),IFERROR(MAX(0,CE56-CQ156),0),0)</f>
        <v>0</v>
      </c>
      <c r="CU156">
        <f>IF(ISNUMBER(CQ156),IFERROR(MAX(0,CQ156-CE56),0),0)</f>
        <v>0</v>
      </c>
    </row>
    <row r="157" spans="21:99" x14ac:dyDescent="0.3">
      <c r="U157">
        <v>151</v>
      </c>
      <c r="V157">
        <f t="shared" si="164"/>
        <v>38</v>
      </c>
      <c r="W157">
        <f t="shared" si="165"/>
        <v>3</v>
      </c>
      <c r="X157">
        <f t="shared" si="166"/>
        <v>0</v>
      </c>
      <c r="Y157">
        <f>IF(X157&lt;&gt;1,9999,CHOOSE(W157,INDEX(Gantt!$BQ$7:$BQ$119,V157),INDEX(Gantt!$BR$7:$BR$119,V157),INDEX(Gantt!$BT$7:$BT$119,V157),INDEX(Gantt!$BU$7:$BU$119,V157)))</f>
        <v>9999</v>
      </c>
      <c r="Z157">
        <f t="shared" si="167"/>
        <v>0</v>
      </c>
      <c r="AA157" t="e">
        <f t="shared" si="168"/>
        <v>#N/A</v>
      </c>
      <c r="AB157" t="e">
        <f t="shared" si="169"/>
        <v>#N/A</v>
      </c>
      <c r="AC157" t="e">
        <f t="shared" si="170"/>
        <v>#N/A</v>
      </c>
      <c r="AD157" t="e">
        <f t="shared" si="171"/>
        <v>#N/A</v>
      </c>
      <c r="AE157" t="e">
        <f t="shared" si="172"/>
        <v>#N/A</v>
      </c>
      <c r="AF157" t="e">
        <f t="shared" si="173"/>
        <v>#N/A</v>
      </c>
      <c r="AG157" t="e">
        <f t="shared" si="174"/>
        <v>#N/A</v>
      </c>
      <c r="AH157" t="e">
        <f t="shared" si="175"/>
        <v>#N/A</v>
      </c>
      <c r="AI157" t="e">
        <f t="shared" si="176"/>
        <v>#N/A</v>
      </c>
      <c r="AJ157" t="e">
        <f t="shared" si="177"/>
        <v>#N/A</v>
      </c>
      <c r="AK157" t="e">
        <f t="shared" si="178"/>
        <v>#N/A</v>
      </c>
      <c r="AL157" t="e">
        <f t="shared" si="179"/>
        <v>#N/A</v>
      </c>
      <c r="AM157" t="e">
        <f t="shared" si="180"/>
        <v>#N/A</v>
      </c>
      <c r="AN157" t="e">
        <f t="shared" si="181"/>
        <v>#N/A</v>
      </c>
      <c r="AO157" t="e">
        <f t="shared" si="182"/>
        <v>#N/A</v>
      </c>
      <c r="AP157" t="e">
        <f t="shared" si="183"/>
        <v>#N/A</v>
      </c>
      <c r="AQ157" t="e">
        <f t="shared" si="184"/>
        <v>#N/A</v>
      </c>
      <c r="AR157" t="e">
        <f t="shared" si="185"/>
        <v>#N/A</v>
      </c>
      <c r="AS157" t="e">
        <f t="shared" si="186"/>
        <v>#N/A</v>
      </c>
      <c r="AT157" t="e">
        <f t="shared" si="187"/>
        <v>#N/A</v>
      </c>
      <c r="AU157" t="e">
        <f t="shared" si="188"/>
        <v>#N/A</v>
      </c>
      <c r="AV157" t="e">
        <f t="shared" si="189"/>
        <v>#N/A</v>
      </c>
      <c r="AW157" t="e">
        <f t="shared" si="190"/>
        <v>#N/A</v>
      </c>
      <c r="AX157" t="e">
        <f t="shared" si="191"/>
        <v>#N/A</v>
      </c>
      <c r="AY157" t="e">
        <f t="shared" si="192"/>
        <v>#N/A</v>
      </c>
      <c r="BE157" t="e">
        <f>IF(Z157=1,IF(INDEX($C$7:$C$126,V157)&gt;=Gantt!$BF$6,NA(),MATCH(INDEX($C$7:$C$126,V157),Gantt!$J$6:$BE$6,1)),NA())</f>
        <v>#N/A</v>
      </c>
      <c r="BF157" t="e">
        <f>IF(Z157=1,IF((INDEX($D$7:$D$126,AA157)-1)&gt;=Gantt!$BF$6,NA(),IF((INDEX($D$7:$D$126,AA157)-1)&lt;Gantt!$J$6,0,MATCH((INDEX($D$7:$D$126,AA157)-1),Gantt!$J$6:$BE$6,1))),NA())</f>
        <v>#N/A</v>
      </c>
      <c r="BG157" t="e">
        <f t="shared" si="193"/>
        <v>#N/A</v>
      </c>
      <c r="BH157" t="e">
        <f t="shared" si="194"/>
        <v>#N/A</v>
      </c>
      <c r="BI157" t="e">
        <f t="shared" si="195"/>
        <v>#N/A</v>
      </c>
      <c r="BJ157" t="e">
        <f t="shared" si="196"/>
        <v>#N/A</v>
      </c>
      <c r="BK157" t="e">
        <f t="shared" si="197"/>
        <v>#N/A</v>
      </c>
      <c r="BL157" t="e">
        <f t="shared" si="198"/>
        <v>#N/A</v>
      </c>
      <c r="BM157" t="e">
        <f t="shared" si="199"/>
        <v>#N/A</v>
      </c>
      <c r="BN157" t="e">
        <f t="shared" si="200"/>
        <v>#N/A</v>
      </c>
      <c r="BO157" t="e">
        <f t="shared" si="201"/>
        <v>#N/A</v>
      </c>
      <c r="BP157" t="e">
        <f t="shared" si="202"/>
        <v>#N/A</v>
      </c>
      <c r="BQ157" t="e">
        <f t="shared" si="203"/>
        <v>#N/A</v>
      </c>
      <c r="BR157" t="e">
        <f t="shared" si="204"/>
        <v>#N/A</v>
      </c>
      <c r="BS157" t="e">
        <f t="shared" si="205"/>
        <v>#N/A</v>
      </c>
      <c r="BT157" t="e">
        <f t="shared" si="206"/>
        <v>#N/A</v>
      </c>
      <c r="BU157" t="e">
        <f t="shared" si="207"/>
        <v>#N/A</v>
      </c>
      <c r="BV157" t="e">
        <f t="shared" si="208"/>
        <v>#N/A</v>
      </c>
      <c r="BW157" t="e">
        <f t="shared" si="209"/>
        <v>#N/A</v>
      </c>
      <c r="BX157" t="e">
        <f t="shared" si="210"/>
        <v>#N/A</v>
      </c>
      <c r="BY157" t="e">
        <f t="shared" si="211"/>
        <v>#N/A</v>
      </c>
      <c r="BZ157" t="e">
        <f t="shared" si="212"/>
        <v>#N/A</v>
      </c>
      <c r="CA157" t="e">
        <f t="shared" si="213"/>
        <v>#N/A</v>
      </c>
      <c r="CB157" t="e">
        <f t="shared" si="214"/>
        <v>#N/A</v>
      </c>
      <c r="CC157" t="e">
        <f t="shared" si="215"/>
        <v>#N/A</v>
      </c>
      <c r="CD157" t="e">
        <f t="shared" si="216"/>
        <v>#N/A</v>
      </c>
      <c r="CE157" t="e">
        <f t="shared" si="217"/>
        <v>#N/A</v>
      </c>
      <c r="CF157" t="e">
        <f t="shared" si="218"/>
        <v>#N/A</v>
      </c>
      <c r="CG157" t="e">
        <f t="shared" si="219"/>
        <v>#N/A</v>
      </c>
      <c r="CI157" t="e">
        <f>AL57</f>
        <v>#N/A</v>
      </c>
      <c r="CJ157" t="e">
        <f>AM57</f>
        <v>#N/A</v>
      </c>
      <c r="CK157">
        <f>IF(ISNUMBER(CI157),IFERROR(MAX(0,AN57-CI157),0),0)</f>
        <v>0</v>
      </c>
      <c r="CL157">
        <f>IF(ISNUMBER(CI157),IFERROR(MAX(0,CI157-AN57),0),0)</f>
        <v>0</v>
      </c>
      <c r="CM157">
        <f>IF(ISNUMBER(CJ157),IFERROR(MAX(0,AO57-CJ157),0),0)</f>
        <v>0</v>
      </c>
      <c r="CN157">
        <f>IF(ISNUMBER(CJ157),IFERROR(MAX(0,CJ157-AO57),0),0)</f>
        <v>0</v>
      </c>
      <c r="CP157" t="e">
        <f>BT57</f>
        <v>#N/A</v>
      </c>
      <c r="CQ157" t="e">
        <f>BU57</f>
        <v>#N/A</v>
      </c>
      <c r="CR157">
        <f>IF(ISNUMBER(CP157),IFERROR(MAX(0,BV57-CP157),0),0)</f>
        <v>0</v>
      </c>
      <c r="CS157">
        <f>IF(ISNUMBER(CP157),IFERROR(MAX(0,CP157-BV57),0),0)</f>
        <v>0</v>
      </c>
      <c r="CT157">
        <f>IF(ISNUMBER(CQ157),IFERROR(MAX(0,BW57-CQ157),0),0)</f>
        <v>0</v>
      </c>
      <c r="CU157">
        <f>IF(ISNUMBER(CQ157),IFERROR(MAX(0,CQ157-BW57),0),0)</f>
        <v>0</v>
      </c>
    </row>
    <row r="158" spans="21:99" x14ac:dyDescent="0.3">
      <c r="U158">
        <v>152</v>
      </c>
      <c r="V158">
        <f t="shared" si="164"/>
        <v>38</v>
      </c>
      <c r="W158">
        <f t="shared" si="165"/>
        <v>4</v>
      </c>
      <c r="X158">
        <f t="shared" si="166"/>
        <v>0</v>
      </c>
      <c r="Y158">
        <f>IF(X158&lt;&gt;1,9999,CHOOSE(W158,INDEX(Gantt!$BQ$7:$BQ$119,V158),INDEX(Gantt!$BR$7:$BR$119,V158),INDEX(Gantt!$BT$7:$BT$119,V158),INDEX(Gantt!$BU$7:$BU$119,V158)))</f>
        <v>9999</v>
      </c>
      <c r="Z158">
        <f t="shared" si="167"/>
        <v>0</v>
      </c>
      <c r="AA158" t="e">
        <f t="shared" si="168"/>
        <v>#N/A</v>
      </c>
      <c r="AB158" t="e">
        <f t="shared" si="169"/>
        <v>#N/A</v>
      </c>
      <c r="AC158" t="e">
        <f t="shared" si="170"/>
        <v>#N/A</v>
      </c>
      <c r="AD158" t="e">
        <f t="shared" si="171"/>
        <v>#N/A</v>
      </c>
      <c r="AE158" t="e">
        <f t="shared" si="172"/>
        <v>#N/A</v>
      </c>
      <c r="AF158" t="e">
        <f t="shared" si="173"/>
        <v>#N/A</v>
      </c>
      <c r="AG158" t="e">
        <f t="shared" si="174"/>
        <v>#N/A</v>
      </c>
      <c r="AH158" t="e">
        <f t="shared" si="175"/>
        <v>#N/A</v>
      </c>
      <c r="AI158" t="e">
        <f t="shared" si="176"/>
        <v>#N/A</v>
      </c>
      <c r="AJ158" t="e">
        <f t="shared" si="177"/>
        <v>#N/A</v>
      </c>
      <c r="AK158" t="e">
        <f t="shared" si="178"/>
        <v>#N/A</v>
      </c>
      <c r="AL158" t="e">
        <f t="shared" si="179"/>
        <v>#N/A</v>
      </c>
      <c r="AM158" t="e">
        <f t="shared" si="180"/>
        <v>#N/A</v>
      </c>
      <c r="AN158" t="e">
        <f t="shared" si="181"/>
        <v>#N/A</v>
      </c>
      <c r="AO158" t="e">
        <f t="shared" si="182"/>
        <v>#N/A</v>
      </c>
      <c r="AP158" t="e">
        <f t="shared" si="183"/>
        <v>#N/A</v>
      </c>
      <c r="AQ158" t="e">
        <f t="shared" si="184"/>
        <v>#N/A</v>
      </c>
      <c r="AR158" t="e">
        <f t="shared" si="185"/>
        <v>#N/A</v>
      </c>
      <c r="AS158" t="e">
        <f t="shared" si="186"/>
        <v>#N/A</v>
      </c>
      <c r="AT158" t="e">
        <f t="shared" si="187"/>
        <v>#N/A</v>
      </c>
      <c r="AU158" t="e">
        <f t="shared" si="188"/>
        <v>#N/A</v>
      </c>
      <c r="AV158" t="e">
        <f t="shared" si="189"/>
        <v>#N/A</v>
      </c>
      <c r="AW158" t="e">
        <f t="shared" si="190"/>
        <v>#N/A</v>
      </c>
      <c r="AX158" t="e">
        <f t="shared" si="191"/>
        <v>#N/A</v>
      </c>
      <c r="AY158" t="e">
        <f t="shared" si="192"/>
        <v>#N/A</v>
      </c>
      <c r="BE158" t="e">
        <f>IF(Z158=1,IF(INDEX($C$7:$C$126,V158)&gt;=Gantt!$BF$6,NA(),MATCH(INDEX($C$7:$C$126,V158),Gantt!$J$6:$BE$6,1)),NA())</f>
        <v>#N/A</v>
      </c>
      <c r="BF158" t="e">
        <f>IF(Z158=1,IF((INDEX($D$7:$D$126,AA158)-1)&gt;=Gantt!$BF$6,NA(),IF((INDEX($D$7:$D$126,AA158)-1)&lt;Gantt!$J$6,0,MATCH((INDEX($D$7:$D$126,AA158)-1),Gantt!$J$6:$BE$6,1))),NA())</f>
        <v>#N/A</v>
      </c>
      <c r="BG158" t="e">
        <f t="shared" si="193"/>
        <v>#N/A</v>
      </c>
      <c r="BH158" t="e">
        <f t="shared" si="194"/>
        <v>#N/A</v>
      </c>
      <c r="BI158" t="e">
        <f t="shared" si="195"/>
        <v>#N/A</v>
      </c>
      <c r="BJ158" t="e">
        <f t="shared" si="196"/>
        <v>#N/A</v>
      </c>
      <c r="BK158" t="e">
        <f t="shared" si="197"/>
        <v>#N/A</v>
      </c>
      <c r="BL158" t="e">
        <f t="shared" si="198"/>
        <v>#N/A</v>
      </c>
      <c r="BM158" t="e">
        <f t="shared" si="199"/>
        <v>#N/A</v>
      </c>
      <c r="BN158" t="e">
        <f t="shared" si="200"/>
        <v>#N/A</v>
      </c>
      <c r="BO158" t="e">
        <f t="shared" si="201"/>
        <v>#N/A</v>
      </c>
      <c r="BP158" t="e">
        <f t="shared" si="202"/>
        <v>#N/A</v>
      </c>
      <c r="BQ158" t="e">
        <f t="shared" si="203"/>
        <v>#N/A</v>
      </c>
      <c r="BR158" t="e">
        <f t="shared" si="204"/>
        <v>#N/A</v>
      </c>
      <c r="BS158" t="e">
        <f t="shared" si="205"/>
        <v>#N/A</v>
      </c>
      <c r="BT158" t="e">
        <f t="shared" si="206"/>
        <v>#N/A</v>
      </c>
      <c r="BU158" t="e">
        <f t="shared" si="207"/>
        <v>#N/A</v>
      </c>
      <c r="BV158" t="e">
        <f t="shared" si="208"/>
        <v>#N/A</v>
      </c>
      <c r="BW158" t="e">
        <f t="shared" si="209"/>
        <v>#N/A</v>
      </c>
      <c r="BX158" t="e">
        <f t="shared" si="210"/>
        <v>#N/A</v>
      </c>
      <c r="BY158" t="e">
        <f t="shared" si="211"/>
        <v>#N/A</v>
      </c>
      <c r="BZ158" t="e">
        <f t="shared" si="212"/>
        <v>#N/A</v>
      </c>
      <c r="CA158" t="e">
        <f t="shared" si="213"/>
        <v>#N/A</v>
      </c>
      <c r="CB158" t="e">
        <f t="shared" si="214"/>
        <v>#N/A</v>
      </c>
      <c r="CC158" t="e">
        <f t="shared" si="215"/>
        <v>#N/A</v>
      </c>
      <c r="CD158" t="e">
        <f t="shared" si="216"/>
        <v>#N/A</v>
      </c>
      <c r="CE158" t="e">
        <f t="shared" si="217"/>
        <v>#N/A</v>
      </c>
      <c r="CF158" t="e">
        <f t="shared" si="218"/>
        <v>#N/A</v>
      </c>
      <c r="CG158" t="e">
        <f t="shared" si="219"/>
        <v>#N/A</v>
      </c>
      <c r="CI158" t="e">
        <f>AP57</f>
        <v>#N/A</v>
      </c>
      <c r="CJ158" t="e">
        <f>AQ57</f>
        <v>#N/A</v>
      </c>
      <c r="CK158">
        <f>IF(ISNUMBER(CI158),IFERROR(MAX(0,AR57-CI158),0),0)</f>
        <v>0</v>
      </c>
      <c r="CL158">
        <f>IF(ISNUMBER(CI158),IFERROR(MAX(0,CI158-AR57),0),0)</f>
        <v>0</v>
      </c>
      <c r="CM158">
        <f>IF(ISNUMBER(CJ158),IFERROR(MAX(0,AS57-CJ158),0),0)</f>
        <v>0</v>
      </c>
      <c r="CN158">
        <f>IF(ISNUMBER(CJ158),IFERROR(MAX(0,CJ158-AS57),0),0)</f>
        <v>0</v>
      </c>
      <c r="CP158" t="e">
        <f>BX57</f>
        <v>#N/A</v>
      </c>
      <c r="CQ158" t="e">
        <f>BY57</f>
        <v>#N/A</v>
      </c>
      <c r="CR158">
        <f>IF(ISNUMBER(CP158),IFERROR(MAX(0,BZ57-CP158),0),0)</f>
        <v>0</v>
      </c>
      <c r="CS158">
        <f>IF(ISNUMBER(CP158),IFERROR(MAX(0,CP158-BZ57),0),0)</f>
        <v>0</v>
      </c>
      <c r="CT158">
        <f>IF(ISNUMBER(CQ158),IFERROR(MAX(0,CA57-CQ158),0),0)</f>
        <v>0</v>
      </c>
      <c r="CU158">
        <f>IF(ISNUMBER(CQ158),IFERROR(MAX(0,CQ158-CA57),0),0)</f>
        <v>0</v>
      </c>
    </row>
    <row r="159" spans="21:99" x14ac:dyDescent="0.3">
      <c r="U159">
        <v>153</v>
      </c>
      <c r="V159">
        <f t="shared" si="164"/>
        <v>39</v>
      </c>
      <c r="W159">
        <f t="shared" si="165"/>
        <v>1</v>
      </c>
      <c r="X159">
        <f t="shared" si="166"/>
        <v>0</v>
      </c>
      <c r="Y159">
        <f>IF(X159&lt;&gt;1,9999,CHOOSE(W159,INDEX(Gantt!$BQ$7:$BQ$119,V159),INDEX(Gantt!$BR$7:$BR$119,V159),INDEX(Gantt!$BT$7:$BT$119,V159),INDEX(Gantt!$BU$7:$BU$119,V159)))</f>
        <v>9999</v>
      </c>
      <c r="Z159">
        <f t="shared" si="167"/>
        <v>0</v>
      </c>
      <c r="AA159" t="e">
        <f t="shared" si="168"/>
        <v>#N/A</v>
      </c>
      <c r="AB159" t="e">
        <f t="shared" si="169"/>
        <v>#N/A</v>
      </c>
      <c r="AC159" t="e">
        <f t="shared" si="170"/>
        <v>#N/A</v>
      </c>
      <c r="AD159" t="e">
        <f t="shared" si="171"/>
        <v>#N/A</v>
      </c>
      <c r="AE159" t="e">
        <f t="shared" si="172"/>
        <v>#N/A</v>
      </c>
      <c r="AF159" t="e">
        <f t="shared" si="173"/>
        <v>#N/A</v>
      </c>
      <c r="AG159" t="e">
        <f t="shared" si="174"/>
        <v>#N/A</v>
      </c>
      <c r="AH159" t="e">
        <f t="shared" si="175"/>
        <v>#N/A</v>
      </c>
      <c r="AI159" t="e">
        <f t="shared" si="176"/>
        <v>#N/A</v>
      </c>
      <c r="AJ159" t="e">
        <f t="shared" si="177"/>
        <v>#N/A</v>
      </c>
      <c r="AK159" t="e">
        <f t="shared" si="178"/>
        <v>#N/A</v>
      </c>
      <c r="AL159" t="e">
        <f t="shared" si="179"/>
        <v>#N/A</v>
      </c>
      <c r="AM159" t="e">
        <f t="shared" si="180"/>
        <v>#N/A</v>
      </c>
      <c r="AN159" t="e">
        <f t="shared" si="181"/>
        <v>#N/A</v>
      </c>
      <c r="AO159" t="e">
        <f t="shared" si="182"/>
        <v>#N/A</v>
      </c>
      <c r="AP159" t="e">
        <f t="shared" si="183"/>
        <v>#N/A</v>
      </c>
      <c r="AQ159" t="e">
        <f t="shared" si="184"/>
        <v>#N/A</v>
      </c>
      <c r="AR159" t="e">
        <f t="shared" si="185"/>
        <v>#N/A</v>
      </c>
      <c r="AS159" t="e">
        <f t="shared" si="186"/>
        <v>#N/A</v>
      </c>
      <c r="AT159" t="e">
        <f t="shared" si="187"/>
        <v>#N/A</v>
      </c>
      <c r="AU159" t="e">
        <f t="shared" si="188"/>
        <v>#N/A</v>
      </c>
      <c r="AV159" t="e">
        <f t="shared" si="189"/>
        <v>#N/A</v>
      </c>
      <c r="AW159" t="e">
        <f t="shared" si="190"/>
        <v>#N/A</v>
      </c>
      <c r="AX159" t="e">
        <f t="shared" si="191"/>
        <v>#N/A</v>
      </c>
      <c r="AY159" t="e">
        <f t="shared" si="192"/>
        <v>#N/A</v>
      </c>
      <c r="BE159" t="e">
        <f>IF(Z159=1,IF(INDEX($C$7:$C$126,V159)&gt;=Gantt!$BF$6,NA(),MATCH(INDEX($C$7:$C$126,V159),Gantt!$J$6:$BE$6,1)),NA())</f>
        <v>#N/A</v>
      </c>
      <c r="BF159" t="e">
        <f>IF(Z159=1,IF((INDEX($D$7:$D$126,AA159)-1)&gt;=Gantt!$BF$6,NA(),IF((INDEX($D$7:$D$126,AA159)-1)&lt;Gantt!$J$6,0,MATCH((INDEX($D$7:$D$126,AA159)-1),Gantt!$J$6:$BE$6,1))),NA())</f>
        <v>#N/A</v>
      </c>
      <c r="BG159" t="e">
        <f t="shared" si="193"/>
        <v>#N/A</v>
      </c>
      <c r="BH159" t="e">
        <f t="shared" si="194"/>
        <v>#N/A</v>
      </c>
      <c r="BI159" t="e">
        <f t="shared" si="195"/>
        <v>#N/A</v>
      </c>
      <c r="BJ159" t="e">
        <f t="shared" si="196"/>
        <v>#N/A</v>
      </c>
      <c r="BK159" t="e">
        <f t="shared" si="197"/>
        <v>#N/A</v>
      </c>
      <c r="BL159" t="e">
        <f t="shared" si="198"/>
        <v>#N/A</v>
      </c>
      <c r="BM159" t="e">
        <f t="shared" si="199"/>
        <v>#N/A</v>
      </c>
      <c r="BN159" t="e">
        <f t="shared" si="200"/>
        <v>#N/A</v>
      </c>
      <c r="BO159" t="e">
        <f t="shared" si="201"/>
        <v>#N/A</v>
      </c>
      <c r="BP159" t="e">
        <f t="shared" si="202"/>
        <v>#N/A</v>
      </c>
      <c r="BQ159" t="e">
        <f t="shared" si="203"/>
        <v>#N/A</v>
      </c>
      <c r="BR159" t="e">
        <f t="shared" si="204"/>
        <v>#N/A</v>
      </c>
      <c r="BS159" t="e">
        <f t="shared" si="205"/>
        <v>#N/A</v>
      </c>
      <c r="BT159" t="e">
        <f t="shared" si="206"/>
        <v>#N/A</v>
      </c>
      <c r="BU159" t="e">
        <f t="shared" si="207"/>
        <v>#N/A</v>
      </c>
      <c r="BV159" t="e">
        <f t="shared" si="208"/>
        <v>#N/A</v>
      </c>
      <c r="BW159" t="e">
        <f t="shared" si="209"/>
        <v>#N/A</v>
      </c>
      <c r="BX159" t="e">
        <f t="shared" si="210"/>
        <v>#N/A</v>
      </c>
      <c r="BY159" t="e">
        <f t="shared" si="211"/>
        <v>#N/A</v>
      </c>
      <c r="BZ159" t="e">
        <f t="shared" si="212"/>
        <v>#N/A</v>
      </c>
      <c r="CA159" t="e">
        <f t="shared" si="213"/>
        <v>#N/A</v>
      </c>
      <c r="CB159" t="e">
        <f t="shared" si="214"/>
        <v>#N/A</v>
      </c>
      <c r="CC159" t="e">
        <f t="shared" si="215"/>
        <v>#N/A</v>
      </c>
      <c r="CD159" t="e">
        <f t="shared" si="216"/>
        <v>#N/A</v>
      </c>
      <c r="CE159" t="e">
        <f t="shared" si="217"/>
        <v>#N/A</v>
      </c>
      <c r="CF159" t="e">
        <f t="shared" si="218"/>
        <v>#N/A</v>
      </c>
      <c r="CG159" t="e">
        <f t="shared" si="219"/>
        <v>#N/A</v>
      </c>
      <c r="CI159" t="e">
        <f>AT57</f>
        <v>#N/A</v>
      </c>
      <c r="CJ159" t="e">
        <f>AU57</f>
        <v>#N/A</v>
      </c>
      <c r="CK159">
        <f>IF(ISNUMBER(CI159),IFERROR(MAX(0,AV57-CI159),0),0)</f>
        <v>0</v>
      </c>
      <c r="CL159">
        <f>IF(ISNUMBER(CI159),IFERROR(MAX(0,CI159-AV57),0),0)</f>
        <v>0</v>
      </c>
      <c r="CM159">
        <f>IF(ISNUMBER(CJ159),IFERROR(MAX(0,AW57-CJ159),0),0)</f>
        <v>0</v>
      </c>
      <c r="CN159">
        <f>IF(ISNUMBER(CJ159),IFERROR(MAX(0,CJ159-AW57),0),0)</f>
        <v>0</v>
      </c>
      <c r="CP159" t="e">
        <f>CB57</f>
        <v>#N/A</v>
      </c>
      <c r="CQ159" t="e">
        <f>CC57</f>
        <v>#N/A</v>
      </c>
      <c r="CR159">
        <f>IF(ISNUMBER(CP159),IFERROR(MAX(0,CD57-CP159),0),0)</f>
        <v>0</v>
      </c>
      <c r="CS159">
        <f>IF(ISNUMBER(CP159),IFERROR(MAX(0,CP159-CD57),0),0)</f>
        <v>0</v>
      </c>
      <c r="CT159">
        <f>IF(ISNUMBER(CQ159),IFERROR(MAX(0,CE57-CQ159),0),0)</f>
        <v>0</v>
      </c>
      <c r="CU159">
        <f>IF(ISNUMBER(CQ159),IFERROR(MAX(0,CQ159-CE57),0),0)</f>
        <v>0</v>
      </c>
    </row>
    <row r="160" spans="21:99" x14ac:dyDescent="0.3">
      <c r="U160">
        <v>154</v>
      </c>
      <c r="V160">
        <f t="shared" si="164"/>
        <v>39</v>
      </c>
      <c r="W160">
        <f t="shared" si="165"/>
        <v>2</v>
      </c>
      <c r="X160">
        <f t="shared" si="166"/>
        <v>0</v>
      </c>
      <c r="Y160">
        <f>IF(X160&lt;&gt;1,9999,CHOOSE(W160,INDEX(Gantt!$BQ$7:$BQ$119,V160),INDEX(Gantt!$BR$7:$BR$119,V160),INDEX(Gantt!$BT$7:$BT$119,V160),INDEX(Gantt!$BU$7:$BU$119,V160)))</f>
        <v>9999</v>
      </c>
      <c r="Z160">
        <f t="shared" si="167"/>
        <v>0</v>
      </c>
      <c r="AA160" t="e">
        <f t="shared" si="168"/>
        <v>#N/A</v>
      </c>
      <c r="AB160" t="e">
        <f t="shared" si="169"/>
        <v>#N/A</v>
      </c>
      <c r="AC160" t="e">
        <f t="shared" si="170"/>
        <v>#N/A</v>
      </c>
      <c r="AD160" t="e">
        <f t="shared" si="171"/>
        <v>#N/A</v>
      </c>
      <c r="AE160" t="e">
        <f t="shared" si="172"/>
        <v>#N/A</v>
      </c>
      <c r="AF160" t="e">
        <f t="shared" si="173"/>
        <v>#N/A</v>
      </c>
      <c r="AG160" t="e">
        <f t="shared" si="174"/>
        <v>#N/A</v>
      </c>
      <c r="AH160" t="e">
        <f t="shared" si="175"/>
        <v>#N/A</v>
      </c>
      <c r="AI160" t="e">
        <f t="shared" si="176"/>
        <v>#N/A</v>
      </c>
      <c r="AJ160" t="e">
        <f t="shared" si="177"/>
        <v>#N/A</v>
      </c>
      <c r="AK160" t="e">
        <f t="shared" si="178"/>
        <v>#N/A</v>
      </c>
      <c r="AL160" t="e">
        <f t="shared" si="179"/>
        <v>#N/A</v>
      </c>
      <c r="AM160" t="e">
        <f t="shared" si="180"/>
        <v>#N/A</v>
      </c>
      <c r="AN160" t="e">
        <f t="shared" si="181"/>
        <v>#N/A</v>
      </c>
      <c r="AO160" t="e">
        <f t="shared" si="182"/>
        <v>#N/A</v>
      </c>
      <c r="AP160" t="e">
        <f t="shared" si="183"/>
        <v>#N/A</v>
      </c>
      <c r="AQ160" t="e">
        <f t="shared" si="184"/>
        <v>#N/A</v>
      </c>
      <c r="AR160" t="e">
        <f t="shared" si="185"/>
        <v>#N/A</v>
      </c>
      <c r="AS160" t="e">
        <f t="shared" si="186"/>
        <v>#N/A</v>
      </c>
      <c r="AT160" t="e">
        <f t="shared" si="187"/>
        <v>#N/A</v>
      </c>
      <c r="AU160" t="e">
        <f t="shared" si="188"/>
        <v>#N/A</v>
      </c>
      <c r="AV160" t="e">
        <f t="shared" si="189"/>
        <v>#N/A</v>
      </c>
      <c r="AW160" t="e">
        <f t="shared" si="190"/>
        <v>#N/A</v>
      </c>
      <c r="AX160" t="e">
        <f t="shared" si="191"/>
        <v>#N/A</v>
      </c>
      <c r="AY160" t="e">
        <f t="shared" si="192"/>
        <v>#N/A</v>
      </c>
      <c r="BE160" t="e">
        <f>IF(Z160=1,IF(INDEX($C$7:$C$126,V160)&gt;=Gantt!$BF$6,NA(),MATCH(INDEX($C$7:$C$126,V160),Gantt!$J$6:$BE$6,1)),NA())</f>
        <v>#N/A</v>
      </c>
      <c r="BF160" t="e">
        <f>IF(Z160=1,IF((INDEX($D$7:$D$126,AA160)-1)&gt;=Gantt!$BF$6,NA(),IF((INDEX($D$7:$D$126,AA160)-1)&lt;Gantt!$J$6,0,MATCH((INDEX($D$7:$D$126,AA160)-1),Gantt!$J$6:$BE$6,1))),NA())</f>
        <v>#N/A</v>
      </c>
      <c r="BG160" t="e">
        <f t="shared" si="193"/>
        <v>#N/A</v>
      </c>
      <c r="BH160" t="e">
        <f t="shared" si="194"/>
        <v>#N/A</v>
      </c>
      <c r="BI160" t="e">
        <f t="shared" si="195"/>
        <v>#N/A</v>
      </c>
      <c r="BJ160" t="e">
        <f t="shared" si="196"/>
        <v>#N/A</v>
      </c>
      <c r="BK160" t="e">
        <f t="shared" si="197"/>
        <v>#N/A</v>
      </c>
      <c r="BL160" t="e">
        <f t="shared" si="198"/>
        <v>#N/A</v>
      </c>
      <c r="BM160" t="e">
        <f t="shared" si="199"/>
        <v>#N/A</v>
      </c>
      <c r="BN160" t="e">
        <f t="shared" si="200"/>
        <v>#N/A</v>
      </c>
      <c r="BO160" t="e">
        <f t="shared" si="201"/>
        <v>#N/A</v>
      </c>
      <c r="BP160" t="e">
        <f t="shared" si="202"/>
        <v>#N/A</v>
      </c>
      <c r="BQ160" t="e">
        <f t="shared" si="203"/>
        <v>#N/A</v>
      </c>
      <c r="BR160" t="e">
        <f t="shared" si="204"/>
        <v>#N/A</v>
      </c>
      <c r="BS160" t="e">
        <f t="shared" si="205"/>
        <v>#N/A</v>
      </c>
      <c r="BT160" t="e">
        <f t="shared" si="206"/>
        <v>#N/A</v>
      </c>
      <c r="BU160" t="e">
        <f t="shared" si="207"/>
        <v>#N/A</v>
      </c>
      <c r="BV160" t="e">
        <f t="shared" si="208"/>
        <v>#N/A</v>
      </c>
      <c r="BW160" t="e">
        <f t="shared" si="209"/>
        <v>#N/A</v>
      </c>
      <c r="BX160" t="e">
        <f t="shared" si="210"/>
        <v>#N/A</v>
      </c>
      <c r="BY160" t="e">
        <f t="shared" si="211"/>
        <v>#N/A</v>
      </c>
      <c r="BZ160" t="e">
        <f t="shared" si="212"/>
        <v>#N/A</v>
      </c>
      <c r="CA160" t="e">
        <f t="shared" si="213"/>
        <v>#N/A</v>
      </c>
      <c r="CB160" t="e">
        <f t="shared" si="214"/>
        <v>#N/A</v>
      </c>
      <c r="CC160" t="e">
        <f t="shared" si="215"/>
        <v>#N/A</v>
      </c>
      <c r="CD160" t="e">
        <f t="shared" si="216"/>
        <v>#N/A</v>
      </c>
      <c r="CE160" t="e">
        <f t="shared" si="217"/>
        <v>#N/A</v>
      </c>
      <c r="CF160" t="e">
        <f t="shared" si="218"/>
        <v>#N/A</v>
      </c>
      <c r="CG160" t="e">
        <f t="shared" si="219"/>
        <v>#N/A</v>
      </c>
      <c r="CI160" t="e">
        <f>AL58</f>
        <v>#N/A</v>
      </c>
      <c r="CJ160" t="e">
        <f>AM58</f>
        <v>#N/A</v>
      </c>
      <c r="CK160">
        <f>IF(ISNUMBER(CI160),IFERROR(MAX(0,AN58-CI160),0),0)</f>
        <v>0</v>
      </c>
      <c r="CL160">
        <f>IF(ISNUMBER(CI160),IFERROR(MAX(0,CI160-AN58),0),0)</f>
        <v>0</v>
      </c>
      <c r="CM160">
        <f>IF(ISNUMBER(CJ160),IFERROR(MAX(0,AO58-CJ160),0),0)</f>
        <v>0</v>
      </c>
      <c r="CN160">
        <f>IF(ISNUMBER(CJ160),IFERROR(MAX(0,CJ160-AO58),0),0)</f>
        <v>0</v>
      </c>
      <c r="CP160" t="e">
        <f>BT58</f>
        <v>#N/A</v>
      </c>
      <c r="CQ160" t="e">
        <f>BU58</f>
        <v>#N/A</v>
      </c>
      <c r="CR160">
        <f>IF(ISNUMBER(CP160),IFERROR(MAX(0,BV58-CP160),0),0)</f>
        <v>0</v>
      </c>
      <c r="CS160">
        <f>IF(ISNUMBER(CP160),IFERROR(MAX(0,CP160-BV58),0),0)</f>
        <v>0</v>
      </c>
      <c r="CT160">
        <f>IF(ISNUMBER(CQ160),IFERROR(MAX(0,BW58-CQ160),0),0)</f>
        <v>0</v>
      </c>
      <c r="CU160">
        <f>IF(ISNUMBER(CQ160),IFERROR(MAX(0,CQ160-BW58),0),0)</f>
        <v>0</v>
      </c>
    </row>
    <row r="161" spans="21:99" x14ac:dyDescent="0.3">
      <c r="U161">
        <v>155</v>
      </c>
      <c r="V161">
        <f t="shared" si="164"/>
        <v>39</v>
      </c>
      <c r="W161">
        <f t="shared" si="165"/>
        <v>3</v>
      </c>
      <c r="X161">
        <f t="shared" si="166"/>
        <v>0</v>
      </c>
      <c r="Y161">
        <f>IF(X161&lt;&gt;1,9999,CHOOSE(W161,INDEX(Gantt!$BQ$7:$BQ$119,V161),INDEX(Gantt!$BR$7:$BR$119,V161),INDEX(Gantt!$BT$7:$BT$119,V161),INDEX(Gantt!$BU$7:$BU$119,V161)))</f>
        <v>9999</v>
      </c>
      <c r="Z161">
        <f t="shared" si="167"/>
        <v>0</v>
      </c>
      <c r="AA161" t="e">
        <f t="shared" si="168"/>
        <v>#N/A</v>
      </c>
      <c r="AB161" t="e">
        <f t="shared" si="169"/>
        <v>#N/A</v>
      </c>
      <c r="AC161" t="e">
        <f t="shared" si="170"/>
        <v>#N/A</v>
      </c>
      <c r="AD161" t="e">
        <f t="shared" si="171"/>
        <v>#N/A</v>
      </c>
      <c r="AE161" t="e">
        <f t="shared" si="172"/>
        <v>#N/A</v>
      </c>
      <c r="AF161" t="e">
        <f t="shared" si="173"/>
        <v>#N/A</v>
      </c>
      <c r="AG161" t="e">
        <f t="shared" si="174"/>
        <v>#N/A</v>
      </c>
      <c r="AH161" t="e">
        <f t="shared" si="175"/>
        <v>#N/A</v>
      </c>
      <c r="AI161" t="e">
        <f t="shared" si="176"/>
        <v>#N/A</v>
      </c>
      <c r="AJ161" t="e">
        <f t="shared" si="177"/>
        <v>#N/A</v>
      </c>
      <c r="AK161" t="e">
        <f t="shared" si="178"/>
        <v>#N/A</v>
      </c>
      <c r="AL161" t="e">
        <f t="shared" si="179"/>
        <v>#N/A</v>
      </c>
      <c r="AM161" t="e">
        <f t="shared" si="180"/>
        <v>#N/A</v>
      </c>
      <c r="AN161" t="e">
        <f t="shared" si="181"/>
        <v>#N/A</v>
      </c>
      <c r="AO161" t="e">
        <f t="shared" si="182"/>
        <v>#N/A</v>
      </c>
      <c r="AP161" t="e">
        <f t="shared" si="183"/>
        <v>#N/A</v>
      </c>
      <c r="AQ161" t="e">
        <f t="shared" si="184"/>
        <v>#N/A</v>
      </c>
      <c r="AR161" t="e">
        <f t="shared" si="185"/>
        <v>#N/A</v>
      </c>
      <c r="AS161" t="e">
        <f t="shared" si="186"/>
        <v>#N/A</v>
      </c>
      <c r="AT161" t="e">
        <f t="shared" si="187"/>
        <v>#N/A</v>
      </c>
      <c r="AU161" t="e">
        <f t="shared" si="188"/>
        <v>#N/A</v>
      </c>
      <c r="AV161" t="e">
        <f t="shared" si="189"/>
        <v>#N/A</v>
      </c>
      <c r="AW161" t="e">
        <f t="shared" si="190"/>
        <v>#N/A</v>
      </c>
      <c r="AX161" t="e">
        <f t="shared" si="191"/>
        <v>#N/A</v>
      </c>
      <c r="AY161" t="e">
        <f t="shared" si="192"/>
        <v>#N/A</v>
      </c>
      <c r="BE161" t="e">
        <f>IF(Z161=1,IF(INDEX($C$7:$C$126,V161)&gt;=Gantt!$BF$6,NA(),MATCH(INDEX($C$7:$C$126,V161),Gantt!$J$6:$BE$6,1)),NA())</f>
        <v>#N/A</v>
      </c>
      <c r="BF161" t="e">
        <f>IF(Z161=1,IF((INDEX($D$7:$D$126,AA161)-1)&gt;=Gantt!$BF$6,NA(),IF((INDEX($D$7:$D$126,AA161)-1)&lt;Gantt!$J$6,0,MATCH((INDEX($D$7:$D$126,AA161)-1),Gantt!$J$6:$BE$6,1))),NA())</f>
        <v>#N/A</v>
      </c>
      <c r="BG161" t="e">
        <f t="shared" si="193"/>
        <v>#N/A</v>
      </c>
      <c r="BH161" t="e">
        <f t="shared" si="194"/>
        <v>#N/A</v>
      </c>
      <c r="BI161" t="e">
        <f t="shared" si="195"/>
        <v>#N/A</v>
      </c>
      <c r="BJ161" t="e">
        <f t="shared" si="196"/>
        <v>#N/A</v>
      </c>
      <c r="BK161" t="e">
        <f t="shared" si="197"/>
        <v>#N/A</v>
      </c>
      <c r="BL161" t="e">
        <f t="shared" si="198"/>
        <v>#N/A</v>
      </c>
      <c r="BM161" t="e">
        <f t="shared" si="199"/>
        <v>#N/A</v>
      </c>
      <c r="BN161" t="e">
        <f t="shared" si="200"/>
        <v>#N/A</v>
      </c>
      <c r="BO161" t="e">
        <f t="shared" si="201"/>
        <v>#N/A</v>
      </c>
      <c r="BP161" t="e">
        <f t="shared" si="202"/>
        <v>#N/A</v>
      </c>
      <c r="BQ161" t="e">
        <f t="shared" si="203"/>
        <v>#N/A</v>
      </c>
      <c r="BR161" t="e">
        <f t="shared" si="204"/>
        <v>#N/A</v>
      </c>
      <c r="BS161" t="e">
        <f t="shared" si="205"/>
        <v>#N/A</v>
      </c>
      <c r="BT161" t="e">
        <f t="shared" si="206"/>
        <v>#N/A</v>
      </c>
      <c r="BU161" t="e">
        <f t="shared" si="207"/>
        <v>#N/A</v>
      </c>
      <c r="BV161" t="e">
        <f t="shared" si="208"/>
        <v>#N/A</v>
      </c>
      <c r="BW161" t="e">
        <f t="shared" si="209"/>
        <v>#N/A</v>
      </c>
      <c r="BX161" t="e">
        <f t="shared" si="210"/>
        <v>#N/A</v>
      </c>
      <c r="BY161" t="e">
        <f t="shared" si="211"/>
        <v>#N/A</v>
      </c>
      <c r="BZ161" t="e">
        <f t="shared" si="212"/>
        <v>#N/A</v>
      </c>
      <c r="CA161" t="e">
        <f t="shared" si="213"/>
        <v>#N/A</v>
      </c>
      <c r="CB161" t="e">
        <f t="shared" si="214"/>
        <v>#N/A</v>
      </c>
      <c r="CC161" t="e">
        <f t="shared" si="215"/>
        <v>#N/A</v>
      </c>
      <c r="CD161" t="e">
        <f t="shared" si="216"/>
        <v>#N/A</v>
      </c>
      <c r="CE161" t="e">
        <f t="shared" si="217"/>
        <v>#N/A</v>
      </c>
      <c r="CF161" t="e">
        <f t="shared" si="218"/>
        <v>#N/A</v>
      </c>
      <c r="CG161" t="e">
        <f t="shared" si="219"/>
        <v>#N/A</v>
      </c>
      <c r="CI161" t="e">
        <f>AP58</f>
        <v>#N/A</v>
      </c>
      <c r="CJ161" t="e">
        <f>AQ58</f>
        <v>#N/A</v>
      </c>
      <c r="CK161">
        <f>IF(ISNUMBER(CI161),IFERROR(MAX(0,AR58-CI161),0),0)</f>
        <v>0</v>
      </c>
      <c r="CL161">
        <f>IF(ISNUMBER(CI161),IFERROR(MAX(0,CI161-AR58),0),0)</f>
        <v>0</v>
      </c>
      <c r="CM161">
        <f>IF(ISNUMBER(CJ161),IFERROR(MAX(0,AS58-CJ161),0),0)</f>
        <v>0</v>
      </c>
      <c r="CN161">
        <f>IF(ISNUMBER(CJ161),IFERROR(MAX(0,CJ161-AS58),0),0)</f>
        <v>0</v>
      </c>
      <c r="CP161" t="e">
        <f>BX58</f>
        <v>#N/A</v>
      </c>
      <c r="CQ161" t="e">
        <f>BY58</f>
        <v>#N/A</v>
      </c>
      <c r="CR161">
        <f>IF(ISNUMBER(CP161),IFERROR(MAX(0,BZ58-CP161),0),0)</f>
        <v>0</v>
      </c>
      <c r="CS161">
        <f>IF(ISNUMBER(CP161),IFERROR(MAX(0,CP161-BZ58),0),0)</f>
        <v>0</v>
      </c>
      <c r="CT161">
        <f>IF(ISNUMBER(CQ161),IFERROR(MAX(0,CA58-CQ161),0),0)</f>
        <v>0</v>
      </c>
      <c r="CU161">
        <f>IF(ISNUMBER(CQ161),IFERROR(MAX(0,CQ161-CA58),0),0)</f>
        <v>0</v>
      </c>
    </row>
    <row r="162" spans="21:99" x14ac:dyDescent="0.3">
      <c r="U162">
        <v>156</v>
      </c>
      <c r="V162">
        <f t="shared" si="164"/>
        <v>39</v>
      </c>
      <c r="W162">
        <f t="shared" si="165"/>
        <v>4</v>
      </c>
      <c r="X162">
        <f t="shared" si="166"/>
        <v>0</v>
      </c>
      <c r="Y162">
        <f>IF(X162&lt;&gt;1,9999,CHOOSE(W162,INDEX(Gantt!$BQ$7:$BQ$119,V162),INDEX(Gantt!$BR$7:$BR$119,V162),INDEX(Gantt!$BT$7:$BT$119,V162),INDEX(Gantt!$BU$7:$BU$119,V162)))</f>
        <v>9999</v>
      </c>
      <c r="Z162">
        <f t="shared" si="167"/>
        <v>0</v>
      </c>
      <c r="AA162" t="e">
        <f t="shared" si="168"/>
        <v>#N/A</v>
      </c>
      <c r="AB162" t="e">
        <f t="shared" si="169"/>
        <v>#N/A</v>
      </c>
      <c r="AC162" t="e">
        <f t="shared" si="170"/>
        <v>#N/A</v>
      </c>
      <c r="AD162" t="e">
        <f t="shared" si="171"/>
        <v>#N/A</v>
      </c>
      <c r="AE162" t="e">
        <f t="shared" si="172"/>
        <v>#N/A</v>
      </c>
      <c r="AF162" t="e">
        <f t="shared" si="173"/>
        <v>#N/A</v>
      </c>
      <c r="AG162" t="e">
        <f t="shared" si="174"/>
        <v>#N/A</v>
      </c>
      <c r="AH162" t="e">
        <f t="shared" si="175"/>
        <v>#N/A</v>
      </c>
      <c r="AI162" t="e">
        <f t="shared" si="176"/>
        <v>#N/A</v>
      </c>
      <c r="AJ162" t="e">
        <f t="shared" si="177"/>
        <v>#N/A</v>
      </c>
      <c r="AK162" t="e">
        <f t="shared" si="178"/>
        <v>#N/A</v>
      </c>
      <c r="AL162" t="e">
        <f t="shared" si="179"/>
        <v>#N/A</v>
      </c>
      <c r="AM162" t="e">
        <f t="shared" si="180"/>
        <v>#N/A</v>
      </c>
      <c r="AN162" t="e">
        <f t="shared" si="181"/>
        <v>#N/A</v>
      </c>
      <c r="AO162" t="e">
        <f t="shared" si="182"/>
        <v>#N/A</v>
      </c>
      <c r="AP162" t="e">
        <f t="shared" si="183"/>
        <v>#N/A</v>
      </c>
      <c r="AQ162" t="e">
        <f t="shared" si="184"/>
        <v>#N/A</v>
      </c>
      <c r="AR162" t="e">
        <f t="shared" si="185"/>
        <v>#N/A</v>
      </c>
      <c r="AS162" t="e">
        <f t="shared" si="186"/>
        <v>#N/A</v>
      </c>
      <c r="AT162" t="e">
        <f t="shared" si="187"/>
        <v>#N/A</v>
      </c>
      <c r="AU162" t="e">
        <f t="shared" si="188"/>
        <v>#N/A</v>
      </c>
      <c r="AV162" t="e">
        <f t="shared" si="189"/>
        <v>#N/A</v>
      </c>
      <c r="AW162" t="e">
        <f t="shared" si="190"/>
        <v>#N/A</v>
      </c>
      <c r="AX162" t="e">
        <f t="shared" si="191"/>
        <v>#N/A</v>
      </c>
      <c r="AY162" t="e">
        <f t="shared" si="192"/>
        <v>#N/A</v>
      </c>
      <c r="BE162" t="e">
        <f>IF(Z162=1,IF(INDEX($C$7:$C$126,V162)&gt;=Gantt!$BF$6,NA(),MATCH(INDEX($C$7:$C$126,V162),Gantt!$J$6:$BE$6,1)),NA())</f>
        <v>#N/A</v>
      </c>
      <c r="BF162" t="e">
        <f>IF(Z162=1,IF((INDEX($D$7:$D$126,AA162)-1)&gt;=Gantt!$BF$6,NA(),IF((INDEX($D$7:$D$126,AA162)-1)&lt;Gantt!$J$6,0,MATCH((INDEX($D$7:$D$126,AA162)-1),Gantt!$J$6:$BE$6,1))),NA())</f>
        <v>#N/A</v>
      </c>
      <c r="BG162" t="e">
        <f t="shared" si="193"/>
        <v>#N/A</v>
      </c>
      <c r="BH162" t="e">
        <f t="shared" si="194"/>
        <v>#N/A</v>
      </c>
      <c r="BI162" t="e">
        <f t="shared" si="195"/>
        <v>#N/A</v>
      </c>
      <c r="BJ162" t="e">
        <f t="shared" si="196"/>
        <v>#N/A</v>
      </c>
      <c r="BK162" t="e">
        <f t="shared" si="197"/>
        <v>#N/A</v>
      </c>
      <c r="BL162" t="e">
        <f t="shared" si="198"/>
        <v>#N/A</v>
      </c>
      <c r="BM162" t="e">
        <f t="shared" si="199"/>
        <v>#N/A</v>
      </c>
      <c r="BN162" t="e">
        <f t="shared" si="200"/>
        <v>#N/A</v>
      </c>
      <c r="BO162" t="e">
        <f t="shared" si="201"/>
        <v>#N/A</v>
      </c>
      <c r="BP162" t="e">
        <f t="shared" si="202"/>
        <v>#N/A</v>
      </c>
      <c r="BQ162" t="e">
        <f t="shared" si="203"/>
        <v>#N/A</v>
      </c>
      <c r="BR162" t="e">
        <f t="shared" si="204"/>
        <v>#N/A</v>
      </c>
      <c r="BS162" t="e">
        <f t="shared" si="205"/>
        <v>#N/A</v>
      </c>
      <c r="BT162" t="e">
        <f t="shared" si="206"/>
        <v>#N/A</v>
      </c>
      <c r="BU162" t="e">
        <f t="shared" si="207"/>
        <v>#N/A</v>
      </c>
      <c r="BV162" t="e">
        <f t="shared" si="208"/>
        <v>#N/A</v>
      </c>
      <c r="BW162" t="e">
        <f t="shared" si="209"/>
        <v>#N/A</v>
      </c>
      <c r="BX162" t="e">
        <f t="shared" si="210"/>
        <v>#N/A</v>
      </c>
      <c r="BY162" t="e">
        <f t="shared" si="211"/>
        <v>#N/A</v>
      </c>
      <c r="BZ162" t="e">
        <f t="shared" si="212"/>
        <v>#N/A</v>
      </c>
      <c r="CA162" t="e">
        <f t="shared" si="213"/>
        <v>#N/A</v>
      </c>
      <c r="CB162" t="e">
        <f t="shared" si="214"/>
        <v>#N/A</v>
      </c>
      <c r="CC162" t="e">
        <f t="shared" si="215"/>
        <v>#N/A</v>
      </c>
      <c r="CD162" t="e">
        <f t="shared" si="216"/>
        <v>#N/A</v>
      </c>
      <c r="CE162" t="e">
        <f t="shared" si="217"/>
        <v>#N/A</v>
      </c>
      <c r="CF162" t="e">
        <f t="shared" si="218"/>
        <v>#N/A</v>
      </c>
      <c r="CG162" t="e">
        <f t="shared" si="219"/>
        <v>#N/A</v>
      </c>
      <c r="CI162" t="e">
        <f>AT58</f>
        <v>#N/A</v>
      </c>
      <c r="CJ162" t="e">
        <f>AU58</f>
        <v>#N/A</v>
      </c>
      <c r="CK162">
        <f>IF(ISNUMBER(CI162),IFERROR(MAX(0,AV58-CI162),0),0)</f>
        <v>0</v>
      </c>
      <c r="CL162">
        <f>IF(ISNUMBER(CI162),IFERROR(MAX(0,CI162-AV58),0),0)</f>
        <v>0</v>
      </c>
      <c r="CM162">
        <f>IF(ISNUMBER(CJ162),IFERROR(MAX(0,AW58-CJ162),0),0)</f>
        <v>0</v>
      </c>
      <c r="CN162">
        <f>IF(ISNUMBER(CJ162),IFERROR(MAX(0,CJ162-AW58),0),0)</f>
        <v>0</v>
      </c>
      <c r="CP162" t="e">
        <f>CB58</f>
        <v>#N/A</v>
      </c>
      <c r="CQ162" t="e">
        <f>CC58</f>
        <v>#N/A</v>
      </c>
      <c r="CR162">
        <f>IF(ISNUMBER(CP162),IFERROR(MAX(0,CD58-CP162),0),0)</f>
        <v>0</v>
      </c>
      <c r="CS162">
        <f>IF(ISNUMBER(CP162),IFERROR(MAX(0,CP162-CD58),0),0)</f>
        <v>0</v>
      </c>
      <c r="CT162">
        <f>IF(ISNUMBER(CQ162),IFERROR(MAX(0,CE58-CQ162),0),0)</f>
        <v>0</v>
      </c>
      <c r="CU162">
        <f>IF(ISNUMBER(CQ162),IFERROR(MAX(0,CQ162-CE58),0),0)</f>
        <v>0</v>
      </c>
    </row>
    <row r="163" spans="21:99" x14ac:dyDescent="0.3">
      <c r="U163">
        <v>157</v>
      </c>
      <c r="V163">
        <f t="shared" si="164"/>
        <v>40</v>
      </c>
      <c r="W163">
        <f t="shared" si="165"/>
        <v>1</v>
      </c>
      <c r="X163">
        <f t="shared" si="166"/>
        <v>0</v>
      </c>
      <c r="Y163">
        <f>IF(X163&lt;&gt;1,9999,CHOOSE(W163,INDEX(Gantt!$BQ$7:$BQ$119,V163),INDEX(Gantt!$BR$7:$BR$119,V163),INDEX(Gantt!$BT$7:$BT$119,V163),INDEX(Gantt!$BU$7:$BU$119,V163)))</f>
        <v>9999</v>
      </c>
      <c r="Z163">
        <f t="shared" si="167"/>
        <v>0</v>
      </c>
      <c r="AA163" t="e">
        <f t="shared" si="168"/>
        <v>#N/A</v>
      </c>
      <c r="AB163" t="e">
        <f t="shared" si="169"/>
        <v>#N/A</v>
      </c>
      <c r="AC163" t="e">
        <f t="shared" si="170"/>
        <v>#N/A</v>
      </c>
      <c r="AD163" t="e">
        <f t="shared" si="171"/>
        <v>#N/A</v>
      </c>
      <c r="AE163" t="e">
        <f t="shared" si="172"/>
        <v>#N/A</v>
      </c>
      <c r="AF163" t="e">
        <f t="shared" si="173"/>
        <v>#N/A</v>
      </c>
      <c r="AG163" t="e">
        <f t="shared" si="174"/>
        <v>#N/A</v>
      </c>
      <c r="AH163" t="e">
        <f t="shared" si="175"/>
        <v>#N/A</v>
      </c>
      <c r="AI163" t="e">
        <f t="shared" si="176"/>
        <v>#N/A</v>
      </c>
      <c r="AJ163" t="e">
        <f t="shared" si="177"/>
        <v>#N/A</v>
      </c>
      <c r="AK163" t="e">
        <f t="shared" si="178"/>
        <v>#N/A</v>
      </c>
      <c r="AL163" t="e">
        <f t="shared" si="179"/>
        <v>#N/A</v>
      </c>
      <c r="AM163" t="e">
        <f t="shared" si="180"/>
        <v>#N/A</v>
      </c>
      <c r="AN163" t="e">
        <f t="shared" si="181"/>
        <v>#N/A</v>
      </c>
      <c r="AO163" t="e">
        <f t="shared" si="182"/>
        <v>#N/A</v>
      </c>
      <c r="AP163" t="e">
        <f t="shared" si="183"/>
        <v>#N/A</v>
      </c>
      <c r="AQ163" t="e">
        <f t="shared" si="184"/>
        <v>#N/A</v>
      </c>
      <c r="AR163" t="e">
        <f t="shared" si="185"/>
        <v>#N/A</v>
      </c>
      <c r="AS163" t="e">
        <f t="shared" si="186"/>
        <v>#N/A</v>
      </c>
      <c r="AT163" t="e">
        <f t="shared" si="187"/>
        <v>#N/A</v>
      </c>
      <c r="AU163" t="e">
        <f t="shared" si="188"/>
        <v>#N/A</v>
      </c>
      <c r="AV163" t="e">
        <f t="shared" si="189"/>
        <v>#N/A</v>
      </c>
      <c r="AW163" t="e">
        <f t="shared" si="190"/>
        <v>#N/A</v>
      </c>
      <c r="AX163" t="e">
        <f t="shared" si="191"/>
        <v>#N/A</v>
      </c>
      <c r="AY163" t="e">
        <f t="shared" si="192"/>
        <v>#N/A</v>
      </c>
      <c r="BE163" t="e">
        <f>IF(Z163=1,IF(INDEX($C$7:$C$126,V163)&gt;=Gantt!$BF$6,NA(),MATCH(INDEX($C$7:$C$126,V163),Gantt!$J$6:$BE$6,1)),NA())</f>
        <v>#N/A</v>
      </c>
      <c r="BF163" t="e">
        <f>IF(Z163=1,IF((INDEX($D$7:$D$126,AA163)-1)&gt;=Gantt!$BF$6,NA(),IF((INDEX($D$7:$D$126,AA163)-1)&lt;Gantt!$J$6,0,MATCH((INDEX($D$7:$D$126,AA163)-1),Gantt!$J$6:$BE$6,1))),NA())</f>
        <v>#N/A</v>
      </c>
      <c r="BG163" t="e">
        <f t="shared" si="193"/>
        <v>#N/A</v>
      </c>
      <c r="BH163" t="e">
        <f t="shared" si="194"/>
        <v>#N/A</v>
      </c>
      <c r="BI163" t="e">
        <f t="shared" si="195"/>
        <v>#N/A</v>
      </c>
      <c r="BJ163" t="e">
        <f t="shared" si="196"/>
        <v>#N/A</v>
      </c>
      <c r="BK163" t="e">
        <f t="shared" si="197"/>
        <v>#N/A</v>
      </c>
      <c r="BL163" t="e">
        <f t="shared" si="198"/>
        <v>#N/A</v>
      </c>
      <c r="BM163" t="e">
        <f t="shared" si="199"/>
        <v>#N/A</v>
      </c>
      <c r="BN163" t="e">
        <f t="shared" si="200"/>
        <v>#N/A</v>
      </c>
      <c r="BO163" t="e">
        <f t="shared" si="201"/>
        <v>#N/A</v>
      </c>
      <c r="BP163" t="e">
        <f t="shared" si="202"/>
        <v>#N/A</v>
      </c>
      <c r="BQ163" t="e">
        <f t="shared" si="203"/>
        <v>#N/A</v>
      </c>
      <c r="BR163" t="e">
        <f t="shared" si="204"/>
        <v>#N/A</v>
      </c>
      <c r="BS163" t="e">
        <f t="shared" si="205"/>
        <v>#N/A</v>
      </c>
      <c r="BT163" t="e">
        <f t="shared" si="206"/>
        <v>#N/A</v>
      </c>
      <c r="BU163" t="e">
        <f t="shared" si="207"/>
        <v>#N/A</v>
      </c>
      <c r="BV163" t="e">
        <f t="shared" si="208"/>
        <v>#N/A</v>
      </c>
      <c r="BW163" t="e">
        <f t="shared" si="209"/>
        <v>#N/A</v>
      </c>
      <c r="BX163" t="e">
        <f t="shared" si="210"/>
        <v>#N/A</v>
      </c>
      <c r="BY163" t="e">
        <f t="shared" si="211"/>
        <v>#N/A</v>
      </c>
      <c r="BZ163" t="e">
        <f t="shared" si="212"/>
        <v>#N/A</v>
      </c>
      <c r="CA163" t="e">
        <f t="shared" si="213"/>
        <v>#N/A</v>
      </c>
      <c r="CB163" t="e">
        <f t="shared" si="214"/>
        <v>#N/A</v>
      </c>
      <c r="CC163" t="e">
        <f t="shared" si="215"/>
        <v>#N/A</v>
      </c>
      <c r="CD163" t="e">
        <f t="shared" si="216"/>
        <v>#N/A</v>
      </c>
      <c r="CE163" t="e">
        <f t="shared" si="217"/>
        <v>#N/A</v>
      </c>
      <c r="CF163" t="e">
        <f t="shared" si="218"/>
        <v>#N/A</v>
      </c>
      <c r="CG163" t="e">
        <f t="shared" si="219"/>
        <v>#N/A</v>
      </c>
      <c r="CI163" t="e">
        <f>AL59</f>
        <v>#N/A</v>
      </c>
      <c r="CJ163" t="e">
        <f>AM59</f>
        <v>#N/A</v>
      </c>
      <c r="CK163">
        <f>IF(ISNUMBER(CI163),IFERROR(MAX(0,AN59-CI163),0),0)</f>
        <v>0</v>
      </c>
      <c r="CL163">
        <f>IF(ISNUMBER(CI163),IFERROR(MAX(0,CI163-AN59),0),0)</f>
        <v>0</v>
      </c>
      <c r="CM163">
        <f>IF(ISNUMBER(CJ163),IFERROR(MAX(0,AO59-CJ163),0),0)</f>
        <v>0</v>
      </c>
      <c r="CN163">
        <f>IF(ISNUMBER(CJ163),IFERROR(MAX(0,CJ163-AO59),0),0)</f>
        <v>0</v>
      </c>
      <c r="CP163" t="e">
        <f>BT59</f>
        <v>#N/A</v>
      </c>
      <c r="CQ163" t="e">
        <f>BU59</f>
        <v>#N/A</v>
      </c>
      <c r="CR163">
        <f>IF(ISNUMBER(CP163),IFERROR(MAX(0,BV59-CP163),0),0)</f>
        <v>0</v>
      </c>
      <c r="CS163">
        <f>IF(ISNUMBER(CP163),IFERROR(MAX(0,CP163-BV59),0),0)</f>
        <v>0</v>
      </c>
      <c r="CT163">
        <f>IF(ISNUMBER(CQ163),IFERROR(MAX(0,BW59-CQ163),0),0)</f>
        <v>0</v>
      </c>
      <c r="CU163">
        <f>IF(ISNUMBER(CQ163),IFERROR(MAX(0,CQ163-BW59),0),0)</f>
        <v>0</v>
      </c>
    </row>
    <row r="164" spans="21:99" x14ac:dyDescent="0.3">
      <c r="U164">
        <v>158</v>
      </c>
      <c r="V164">
        <f t="shared" si="164"/>
        <v>40</v>
      </c>
      <c r="W164">
        <f t="shared" si="165"/>
        <v>2</v>
      </c>
      <c r="X164">
        <f t="shared" si="166"/>
        <v>0</v>
      </c>
      <c r="Y164">
        <f>IF(X164&lt;&gt;1,9999,CHOOSE(W164,INDEX(Gantt!$BQ$7:$BQ$119,V164),INDEX(Gantt!$BR$7:$BR$119,V164),INDEX(Gantt!$BT$7:$BT$119,V164),INDEX(Gantt!$BU$7:$BU$119,V164)))</f>
        <v>9999</v>
      </c>
      <c r="Z164">
        <f t="shared" si="167"/>
        <v>0</v>
      </c>
      <c r="AA164" t="e">
        <f t="shared" si="168"/>
        <v>#N/A</v>
      </c>
      <c r="AB164" t="e">
        <f t="shared" si="169"/>
        <v>#N/A</v>
      </c>
      <c r="AC164" t="e">
        <f t="shared" si="170"/>
        <v>#N/A</v>
      </c>
      <c r="AD164" t="e">
        <f t="shared" si="171"/>
        <v>#N/A</v>
      </c>
      <c r="AE164" t="e">
        <f t="shared" si="172"/>
        <v>#N/A</v>
      </c>
      <c r="AF164" t="e">
        <f t="shared" si="173"/>
        <v>#N/A</v>
      </c>
      <c r="AG164" t="e">
        <f t="shared" si="174"/>
        <v>#N/A</v>
      </c>
      <c r="AH164" t="e">
        <f t="shared" si="175"/>
        <v>#N/A</v>
      </c>
      <c r="AI164" t="e">
        <f t="shared" si="176"/>
        <v>#N/A</v>
      </c>
      <c r="AJ164" t="e">
        <f t="shared" si="177"/>
        <v>#N/A</v>
      </c>
      <c r="AK164" t="e">
        <f t="shared" si="178"/>
        <v>#N/A</v>
      </c>
      <c r="AL164" t="e">
        <f t="shared" si="179"/>
        <v>#N/A</v>
      </c>
      <c r="AM164" t="e">
        <f t="shared" si="180"/>
        <v>#N/A</v>
      </c>
      <c r="AN164" t="e">
        <f t="shared" si="181"/>
        <v>#N/A</v>
      </c>
      <c r="AO164" t="e">
        <f t="shared" si="182"/>
        <v>#N/A</v>
      </c>
      <c r="AP164" t="e">
        <f t="shared" si="183"/>
        <v>#N/A</v>
      </c>
      <c r="AQ164" t="e">
        <f t="shared" si="184"/>
        <v>#N/A</v>
      </c>
      <c r="AR164" t="e">
        <f t="shared" si="185"/>
        <v>#N/A</v>
      </c>
      <c r="AS164" t="e">
        <f t="shared" si="186"/>
        <v>#N/A</v>
      </c>
      <c r="AT164" t="e">
        <f t="shared" si="187"/>
        <v>#N/A</v>
      </c>
      <c r="AU164" t="e">
        <f t="shared" si="188"/>
        <v>#N/A</v>
      </c>
      <c r="AV164" t="e">
        <f t="shared" si="189"/>
        <v>#N/A</v>
      </c>
      <c r="AW164" t="e">
        <f t="shared" si="190"/>
        <v>#N/A</v>
      </c>
      <c r="AX164" t="e">
        <f t="shared" si="191"/>
        <v>#N/A</v>
      </c>
      <c r="AY164" t="e">
        <f t="shared" si="192"/>
        <v>#N/A</v>
      </c>
      <c r="BE164" t="e">
        <f>IF(Z164=1,IF(INDEX($C$7:$C$126,V164)&gt;=Gantt!$BF$6,NA(),MATCH(INDEX($C$7:$C$126,V164),Gantt!$J$6:$BE$6,1)),NA())</f>
        <v>#N/A</v>
      </c>
      <c r="BF164" t="e">
        <f>IF(Z164=1,IF((INDEX($D$7:$D$126,AA164)-1)&gt;=Gantt!$BF$6,NA(),IF((INDEX($D$7:$D$126,AA164)-1)&lt;Gantt!$J$6,0,MATCH((INDEX($D$7:$D$126,AA164)-1),Gantt!$J$6:$BE$6,1))),NA())</f>
        <v>#N/A</v>
      </c>
      <c r="BG164" t="e">
        <f t="shared" si="193"/>
        <v>#N/A</v>
      </c>
      <c r="BH164" t="e">
        <f t="shared" si="194"/>
        <v>#N/A</v>
      </c>
      <c r="BI164" t="e">
        <f t="shared" si="195"/>
        <v>#N/A</v>
      </c>
      <c r="BJ164" t="e">
        <f t="shared" si="196"/>
        <v>#N/A</v>
      </c>
      <c r="BK164" t="e">
        <f t="shared" si="197"/>
        <v>#N/A</v>
      </c>
      <c r="BL164" t="e">
        <f t="shared" si="198"/>
        <v>#N/A</v>
      </c>
      <c r="BM164" t="e">
        <f t="shared" si="199"/>
        <v>#N/A</v>
      </c>
      <c r="BN164" t="e">
        <f t="shared" si="200"/>
        <v>#N/A</v>
      </c>
      <c r="BO164" t="e">
        <f t="shared" si="201"/>
        <v>#N/A</v>
      </c>
      <c r="BP164" t="e">
        <f t="shared" si="202"/>
        <v>#N/A</v>
      </c>
      <c r="BQ164" t="e">
        <f t="shared" si="203"/>
        <v>#N/A</v>
      </c>
      <c r="BR164" t="e">
        <f t="shared" si="204"/>
        <v>#N/A</v>
      </c>
      <c r="BS164" t="e">
        <f t="shared" si="205"/>
        <v>#N/A</v>
      </c>
      <c r="BT164" t="e">
        <f t="shared" si="206"/>
        <v>#N/A</v>
      </c>
      <c r="BU164" t="e">
        <f t="shared" si="207"/>
        <v>#N/A</v>
      </c>
      <c r="BV164" t="e">
        <f t="shared" si="208"/>
        <v>#N/A</v>
      </c>
      <c r="BW164" t="e">
        <f t="shared" si="209"/>
        <v>#N/A</v>
      </c>
      <c r="BX164" t="e">
        <f t="shared" si="210"/>
        <v>#N/A</v>
      </c>
      <c r="BY164" t="e">
        <f t="shared" si="211"/>
        <v>#N/A</v>
      </c>
      <c r="BZ164" t="e">
        <f t="shared" si="212"/>
        <v>#N/A</v>
      </c>
      <c r="CA164" t="e">
        <f t="shared" si="213"/>
        <v>#N/A</v>
      </c>
      <c r="CB164" t="e">
        <f t="shared" si="214"/>
        <v>#N/A</v>
      </c>
      <c r="CC164" t="e">
        <f t="shared" si="215"/>
        <v>#N/A</v>
      </c>
      <c r="CD164" t="e">
        <f t="shared" si="216"/>
        <v>#N/A</v>
      </c>
      <c r="CE164" t="e">
        <f t="shared" si="217"/>
        <v>#N/A</v>
      </c>
      <c r="CF164" t="e">
        <f t="shared" si="218"/>
        <v>#N/A</v>
      </c>
      <c r="CG164" t="e">
        <f t="shared" si="219"/>
        <v>#N/A</v>
      </c>
      <c r="CI164" t="e">
        <f>AP59</f>
        <v>#N/A</v>
      </c>
      <c r="CJ164" t="e">
        <f>AQ59</f>
        <v>#N/A</v>
      </c>
      <c r="CK164">
        <f>IF(ISNUMBER(CI164),IFERROR(MAX(0,AR59-CI164),0),0)</f>
        <v>0</v>
      </c>
      <c r="CL164">
        <f>IF(ISNUMBER(CI164),IFERROR(MAX(0,CI164-AR59),0),0)</f>
        <v>0</v>
      </c>
      <c r="CM164">
        <f>IF(ISNUMBER(CJ164),IFERROR(MAX(0,AS59-CJ164),0),0)</f>
        <v>0</v>
      </c>
      <c r="CN164">
        <f>IF(ISNUMBER(CJ164),IFERROR(MAX(0,CJ164-AS59),0),0)</f>
        <v>0</v>
      </c>
      <c r="CP164" t="e">
        <f>BX59</f>
        <v>#N/A</v>
      </c>
      <c r="CQ164" t="e">
        <f>BY59</f>
        <v>#N/A</v>
      </c>
      <c r="CR164">
        <f>IF(ISNUMBER(CP164),IFERROR(MAX(0,BZ59-CP164),0),0)</f>
        <v>0</v>
      </c>
      <c r="CS164">
        <f>IF(ISNUMBER(CP164),IFERROR(MAX(0,CP164-BZ59),0),0)</f>
        <v>0</v>
      </c>
      <c r="CT164">
        <f>IF(ISNUMBER(CQ164),IFERROR(MAX(0,CA59-CQ164),0),0)</f>
        <v>0</v>
      </c>
      <c r="CU164">
        <f>IF(ISNUMBER(CQ164),IFERROR(MAX(0,CQ164-CA59),0),0)</f>
        <v>0</v>
      </c>
    </row>
    <row r="165" spans="21:99" x14ac:dyDescent="0.3">
      <c r="U165">
        <v>159</v>
      </c>
      <c r="V165">
        <f t="shared" si="164"/>
        <v>40</v>
      </c>
      <c r="W165">
        <f t="shared" si="165"/>
        <v>3</v>
      </c>
      <c r="X165">
        <f t="shared" si="166"/>
        <v>0</v>
      </c>
      <c r="Y165">
        <f>IF(X165&lt;&gt;1,9999,CHOOSE(W165,INDEX(Gantt!$BQ$7:$BQ$119,V165),INDEX(Gantt!$BR$7:$BR$119,V165),INDEX(Gantt!$BT$7:$BT$119,V165),INDEX(Gantt!$BU$7:$BU$119,V165)))</f>
        <v>9999</v>
      </c>
      <c r="Z165">
        <f t="shared" si="167"/>
        <v>0</v>
      </c>
      <c r="AA165" t="e">
        <f t="shared" si="168"/>
        <v>#N/A</v>
      </c>
      <c r="AB165" t="e">
        <f t="shared" si="169"/>
        <v>#N/A</v>
      </c>
      <c r="AC165" t="e">
        <f t="shared" si="170"/>
        <v>#N/A</v>
      </c>
      <c r="AD165" t="e">
        <f t="shared" si="171"/>
        <v>#N/A</v>
      </c>
      <c r="AE165" t="e">
        <f t="shared" si="172"/>
        <v>#N/A</v>
      </c>
      <c r="AF165" t="e">
        <f t="shared" si="173"/>
        <v>#N/A</v>
      </c>
      <c r="AG165" t="e">
        <f t="shared" si="174"/>
        <v>#N/A</v>
      </c>
      <c r="AH165" t="e">
        <f t="shared" si="175"/>
        <v>#N/A</v>
      </c>
      <c r="AI165" t="e">
        <f t="shared" si="176"/>
        <v>#N/A</v>
      </c>
      <c r="AJ165" t="e">
        <f t="shared" si="177"/>
        <v>#N/A</v>
      </c>
      <c r="AK165" t="e">
        <f t="shared" si="178"/>
        <v>#N/A</v>
      </c>
      <c r="AL165" t="e">
        <f t="shared" si="179"/>
        <v>#N/A</v>
      </c>
      <c r="AM165" t="e">
        <f t="shared" si="180"/>
        <v>#N/A</v>
      </c>
      <c r="AN165" t="e">
        <f t="shared" si="181"/>
        <v>#N/A</v>
      </c>
      <c r="AO165" t="e">
        <f t="shared" si="182"/>
        <v>#N/A</v>
      </c>
      <c r="AP165" t="e">
        <f t="shared" si="183"/>
        <v>#N/A</v>
      </c>
      <c r="AQ165" t="e">
        <f t="shared" si="184"/>
        <v>#N/A</v>
      </c>
      <c r="AR165" t="e">
        <f t="shared" si="185"/>
        <v>#N/A</v>
      </c>
      <c r="AS165" t="e">
        <f t="shared" si="186"/>
        <v>#N/A</v>
      </c>
      <c r="AT165" t="e">
        <f t="shared" si="187"/>
        <v>#N/A</v>
      </c>
      <c r="AU165" t="e">
        <f t="shared" si="188"/>
        <v>#N/A</v>
      </c>
      <c r="AV165" t="e">
        <f t="shared" si="189"/>
        <v>#N/A</v>
      </c>
      <c r="AW165" t="e">
        <f t="shared" si="190"/>
        <v>#N/A</v>
      </c>
      <c r="AX165" t="e">
        <f t="shared" si="191"/>
        <v>#N/A</v>
      </c>
      <c r="AY165" t="e">
        <f t="shared" si="192"/>
        <v>#N/A</v>
      </c>
      <c r="BE165" t="e">
        <f>IF(Z165=1,IF(INDEX($C$7:$C$126,V165)&gt;=Gantt!$BF$6,NA(),MATCH(INDEX($C$7:$C$126,V165),Gantt!$J$6:$BE$6,1)),NA())</f>
        <v>#N/A</v>
      </c>
      <c r="BF165" t="e">
        <f>IF(Z165=1,IF((INDEX($D$7:$D$126,AA165)-1)&gt;=Gantt!$BF$6,NA(),IF((INDEX($D$7:$D$126,AA165)-1)&lt;Gantt!$J$6,0,MATCH((INDEX($D$7:$D$126,AA165)-1),Gantt!$J$6:$BE$6,1))),NA())</f>
        <v>#N/A</v>
      </c>
      <c r="BG165" t="e">
        <f t="shared" si="193"/>
        <v>#N/A</v>
      </c>
      <c r="BH165" t="e">
        <f t="shared" si="194"/>
        <v>#N/A</v>
      </c>
      <c r="BI165" t="e">
        <f t="shared" si="195"/>
        <v>#N/A</v>
      </c>
      <c r="BJ165" t="e">
        <f t="shared" si="196"/>
        <v>#N/A</v>
      </c>
      <c r="BK165" t="e">
        <f t="shared" si="197"/>
        <v>#N/A</v>
      </c>
      <c r="BL165" t="e">
        <f t="shared" si="198"/>
        <v>#N/A</v>
      </c>
      <c r="BM165" t="e">
        <f t="shared" si="199"/>
        <v>#N/A</v>
      </c>
      <c r="BN165" t="e">
        <f t="shared" si="200"/>
        <v>#N/A</v>
      </c>
      <c r="BO165" t="e">
        <f t="shared" si="201"/>
        <v>#N/A</v>
      </c>
      <c r="BP165" t="e">
        <f t="shared" si="202"/>
        <v>#N/A</v>
      </c>
      <c r="BQ165" t="e">
        <f t="shared" si="203"/>
        <v>#N/A</v>
      </c>
      <c r="BR165" t="e">
        <f t="shared" si="204"/>
        <v>#N/A</v>
      </c>
      <c r="BS165" t="e">
        <f t="shared" si="205"/>
        <v>#N/A</v>
      </c>
      <c r="BT165" t="e">
        <f t="shared" si="206"/>
        <v>#N/A</v>
      </c>
      <c r="BU165" t="e">
        <f t="shared" si="207"/>
        <v>#N/A</v>
      </c>
      <c r="BV165" t="e">
        <f t="shared" si="208"/>
        <v>#N/A</v>
      </c>
      <c r="BW165" t="e">
        <f t="shared" si="209"/>
        <v>#N/A</v>
      </c>
      <c r="BX165" t="e">
        <f t="shared" si="210"/>
        <v>#N/A</v>
      </c>
      <c r="BY165" t="e">
        <f t="shared" si="211"/>
        <v>#N/A</v>
      </c>
      <c r="BZ165" t="e">
        <f t="shared" si="212"/>
        <v>#N/A</v>
      </c>
      <c r="CA165" t="e">
        <f t="shared" si="213"/>
        <v>#N/A</v>
      </c>
      <c r="CB165" t="e">
        <f t="shared" si="214"/>
        <v>#N/A</v>
      </c>
      <c r="CC165" t="e">
        <f t="shared" si="215"/>
        <v>#N/A</v>
      </c>
      <c r="CD165" t="e">
        <f t="shared" si="216"/>
        <v>#N/A</v>
      </c>
      <c r="CE165" t="e">
        <f t="shared" si="217"/>
        <v>#N/A</v>
      </c>
      <c r="CF165" t="e">
        <f t="shared" si="218"/>
        <v>#N/A</v>
      </c>
      <c r="CG165" t="e">
        <f t="shared" si="219"/>
        <v>#N/A</v>
      </c>
      <c r="CI165" t="e">
        <f>AT59</f>
        <v>#N/A</v>
      </c>
      <c r="CJ165" t="e">
        <f>AU59</f>
        <v>#N/A</v>
      </c>
      <c r="CK165">
        <f>IF(ISNUMBER(CI165),IFERROR(MAX(0,AV59-CI165),0),0)</f>
        <v>0</v>
      </c>
      <c r="CL165">
        <f>IF(ISNUMBER(CI165),IFERROR(MAX(0,CI165-AV59),0),0)</f>
        <v>0</v>
      </c>
      <c r="CM165">
        <f>IF(ISNUMBER(CJ165),IFERROR(MAX(0,AW59-CJ165),0),0)</f>
        <v>0</v>
      </c>
      <c r="CN165">
        <f>IF(ISNUMBER(CJ165),IFERROR(MAX(0,CJ165-AW59),0),0)</f>
        <v>0</v>
      </c>
      <c r="CP165" t="e">
        <f>CB59</f>
        <v>#N/A</v>
      </c>
      <c r="CQ165" t="e">
        <f>CC59</f>
        <v>#N/A</v>
      </c>
      <c r="CR165">
        <f>IF(ISNUMBER(CP165),IFERROR(MAX(0,CD59-CP165),0),0)</f>
        <v>0</v>
      </c>
      <c r="CS165">
        <f>IF(ISNUMBER(CP165),IFERROR(MAX(0,CP165-CD59),0),0)</f>
        <v>0</v>
      </c>
      <c r="CT165">
        <f>IF(ISNUMBER(CQ165),IFERROR(MAX(0,CE59-CQ165),0),0)</f>
        <v>0</v>
      </c>
      <c r="CU165">
        <f>IF(ISNUMBER(CQ165),IFERROR(MAX(0,CQ165-CE59),0),0)</f>
        <v>0</v>
      </c>
    </row>
    <row r="166" spans="21:99" x14ac:dyDescent="0.3">
      <c r="U166">
        <v>160</v>
      </c>
      <c r="V166">
        <f t="shared" si="164"/>
        <v>40</v>
      </c>
      <c r="W166">
        <f t="shared" si="165"/>
        <v>4</v>
      </c>
      <c r="X166">
        <f t="shared" si="166"/>
        <v>0</v>
      </c>
      <c r="Y166">
        <f>IF(X166&lt;&gt;1,9999,CHOOSE(W166,INDEX(Gantt!$BQ$7:$BQ$119,V166),INDEX(Gantt!$BR$7:$BR$119,V166),INDEX(Gantt!$BT$7:$BT$119,V166),INDEX(Gantt!$BU$7:$BU$119,V166)))</f>
        <v>9999</v>
      </c>
      <c r="Z166">
        <f t="shared" si="167"/>
        <v>0</v>
      </c>
      <c r="AA166" t="e">
        <f t="shared" si="168"/>
        <v>#N/A</v>
      </c>
      <c r="AB166" t="e">
        <f t="shared" si="169"/>
        <v>#N/A</v>
      </c>
      <c r="AC166" t="e">
        <f t="shared" si="170"/>
        <v>#N/A</v>
      </c>
      <c r="AD166" t="e">
        <f t="shared" si="171"/>
        <v>#N/A</v>
      </c>
      <c r="AE166" t="e">
        <f t="shared" si="172"/>
        <v>#N/A</v>
      </c>
      <c r="AF166" t="e">
        <f t="shared" si="173"/>
        <v>#N/A</v>
      </c>
      <c r="AG166" t="e">
        <f t="shared" si="174"/>
        <v>#N/A</v>
      </c>
      <c r="AH166" t="e">
        <f t="shared" si="175"/>
        <v>#N/A</v>
      </c>
      <c r="AI166" t="e">
        <f t="shared" si="176"/>
        <v>#N/A</v>
      </c>
      <c r="AJ166" t="e">
        <f t="shared" si="177"/>
        <v>#N/A</v>
      </c>
      <c r="AK166" t="e">
        <f t="shared" si="178"/>
        <v>#N/A</v>
      </c>
      <c r="AL166" t="e">
        <f t="shared" si="179"/>
        <v>#N/A</v>
      </c>
      <c r="AM166" t="e">
        <f t="shared" si="180"/>
        <v>#N/A</v>
      </c>
      <c r="AN166" t="e">
        <f t="shared" si="181"/>
        <v>#N/A</v>
      </c>
      <c r="AO166" t="e">
        <f t="shared" si="182"/>
        <v>#N/A</v>
      </c>
      <c r="AP166" t="e">
        <f t="shared" si="183"/>
        <v>#N/A</v>
      </c>
      <c r="AQ166" t="e">
        <f t="shared" si="184"/>
        <v>#N/A</v>
      </c>
      <c r="AR166" t="e">
        <f t="shared" si="185"/>
        <v>#N/A</v>
      </c>
      <c r="AS166" t="e">
        <f t="shared" si="186"/>
        <v>#N/A</v>
      </c>
      <c r="AT166" t="e">
        <f t="shared" si="187"/>
        <v>#N/A</v>
      </c>
      <c r="AU166" t="e">
        <f t="shared" si="188"/>
        <v>#N/A</v>
      </c>
      <c r="AV166" t="e">
        <f t="shared" si="189"/>
        <v>#N/A</v>
      </c>
      <c r="AW166" t="e">
        <f t="shared" si="190"/>
        <v>#N/A</v>
      </c>
      <c r="AX166" t="e">
        <f t="shared" si="191"/>
        <v>#N/A</v>
      </c>
      <c r="AY166" t="e">
        <f t="shared" si="192"/>
        <v>#N/A</v>
      </c>
      <c r="BE166" t="e">
        <f>IF(Z166=1,IF(INDEX($C$7:$C$126,V166)&gt;=Gantt!$BF$6,NA(),MATCH(INDEX($C$7:$C$126,V166),Gantt!$J$6:$BE$6,1)),NA())</f>
        <v>#N/A</v>
      </c>
      <c r="BF166" t="e">
        <f>IF(Z166=1,IF((INDEX($D$7:$D$126,AA166)-1)&gt;=Gantt!$BF$6,NA(),IF((INDEX($D$7:$D$126,AA166)-1)&lt;Gantt!$J$6,0,MATCH((INDEX($D$7:$D$126,AA166)-1),Gantt!$J$6:$BE$6,1))),NA())</f>
        <v>#N/A</v>
      </c>
      <c r="BG166" t="e">
        <f t="shared" si="193"/>
        <v>#N/A</v>
      </c>
      <c r="BH166" t="e">
        <f t="shared" si="194"/>
        <v>#N/A</v>
      </c>
      <c r="BI166" t="e">
        <f t="shared" si="195"/>
        <v>#N/A</v>
      </c>
      <c r="BJ166" t="e">
        <f t="shared" si="196"/>
        <v>#N/A</v>
      </c>
      <c r="BK166" t="e">
        <f t="shared" si="197"/>
        <v>#N/A</v>
      </c>
      <c r="BL166" t="e">
        <f t="shared" si="198"/>
        <v>#N/A</v>
      </c>
      <c r="BM166" t="e">
        <f t="shared" si="199"/>
        <v>#N/A</v>
      </c>
      <c r="BN166" t="e">
        <f t="shared" si="200"/>
        <v>#N/A</v>
      </c>
      <c r="BO166" t="e">
        <f t="shared" si="201"/>
        <v>#N/A</v>
      </c>
      <c r="BP166" t="e">
        <f t="shared" si="202"/>
        <v>#N/A</v>
      </c>
      <c r="BQ166" t="e">
        <f t="shared" si="203"/>
        <v>#N/A</v>
      </c>
      <c r="BR166" t="e">
        <f t="shared" si="204"/>
        <v>#N/A</v>
      </c>
      <c r="BS166" t="e">
        <f t="shared" si="205"/>
        <v>#N/A</v>
      </c>
      <c r="BT166" t="e">
        <f t="shared" si="206"/>
        <v>#N/A</v>
      </c>
      <c r="BU166" t="e">
        <f t="shared" si="207"/>
        <v>#N/A</v>
      </c>
      <c r="BV166" t="e">
        <f t="shared" si="208"/>
        <v>#N/A</v>
      </c>
      <c r="BW166" t="e">
        <f t="shared" si="209"/>
        <v>#N/A</v>
      </c>
      <c r="BX166" t="e">
        <f t="shared" si="210"/>
        <v>#N/A</v>
      </c>
      <c r="BY166" t="e">
        <f t="shared" si="211"/>
        <v>#N/A</v>
      </c>
      <c r="BZ166" t="e">
        <f t="shared" si="212"/>
        <v>#N/A</v>
      </c>
      <c r="CA166" t="e">
        <f t="shared" si="213"/>
        <v>#N/A</v>
      </c>
      <c r="CB166" t="e">
        <f t="shared" si="214"/>
        <v>#N/A</v>
      </c>
      <c r="CC166" t="e">
        <f t="shared" si="215"/>
        <v>#N/A</v>
      </c>
      <c r="CD166" t="e">
        <f t="shared" si="216"/>
        <v>#N/A</v>
      </c>
      <c r="CE166" t="e">
        <f t="shared" si="217"/>
        <v>#N/A</v>
      </c>
      <c r="CF166" t="e">
        <f t="shared" si="218"/>
        <v>#N/A</v>
      </c>
      <c r="CG166" t="e">
        <f t="shared" si="219"/>
        <v>#N/A</v>
      </c>
      <c r="CI166" t="e">
        <f>AL60</f>
        <v>#N/A</v>
      </c>
      <c r="CJ166" t="e">
        <f>AM60</f>
        <v>#N/A</v>
      </c>
      <c r="CK166">
        <f>IF(ISNUMBER(CI166),IFERROR(MAX(0,AN60-CI166),0),0)</f>
        <v>0</v>
      </c>
      <c r="CL166">
        <f>IF(ISNUMBER(CI166),IFERROR(MAX(0,CI166-AN60),0),0)</f>
        <v>0</v>
      </c>
      <c r="CM166">
        <f>IF(ISNUMBER(CJ166),IFERROR(MAX(0,AO60-CJ166),0),0)</f>
        <v>0</v>
      </c>
      <c r="CN166">
        <f>IF(ISNUMBER(CJ166),IFERROR(MAX(0,CJ166-AO60),0),0)</f>
        <v>0</v>
      </c>
      <c r="CP166" t="e">
        <f>BT60</f>
        <v>#N/A</v>
      </c>
      <c r="CQ166" t="e">
        <f>BU60</f>
        <v>#N/A</v>
      </c>
      <c r="CR166">
        <f>IF(ISNUMBER(CP166),IFERROR(MAX(0,BV60-CP166),0),0)</f>
        <v>0</v>
      </c>
      <c r="CS166">
        <f>IF(ISNUMBER(CP166),IFERROR(MAX(0,CP166-BV60),0),0)</f>
        <v>0</v>
      </c>
      <c r="CT166">
        <f>IF(ISNUMBER(CQ166),IFERROR(MAX(0,BW60-CQ166),0),0)</f>
        <v>0</v>
      </c>
      <c r="CU166">
        <f>IF(ISNUMBER(CQ166),IFERROR(MAX(0,CQ166-BW60),0),0)</f>
        <v>0</v>
      </c>
    </row>
    <row r="167" spans="21:99" x14ac:dyDescent="0.3">
      <c r="U167">
        <v>161</v>
      </c>
      <c r="V167">
        <f t="shared" si="164"/>
        <v>41</v>
      </c>
      <c r="W167">
        <f t="shared" si="165"/>
        <v>1</v>
      </c>
      <c r="X167">
        <f t="shared" si="166"/>
        <v>0</v>
      </c>
      <c r="Y167">
        <f>IF(X167&lt;&gt;1,9999,CHOOSE(W167,INDEX(Gantt!$BQ$7:$BQ$119,V167),INDEX(Gantt!$BR$7:$BR$119,V167),INDEX(Gantt!$BT$7:$BT$119,V167),INDEX(Gantt!$BU$7:$BU$119,V167)))</f>
        <v>9999</v>
      </c>
      <c r="Z167">
        <f t="shared" si="167"/>
        <v>0</v>
      </c>
      <c r="AA167" t="e">
        <f t="shared" si="168"/>
        <v>#N/A</v>
      </c>
      <c r="AB167" t="e">
        <f t="shared" si="169"/>
        <v>#N/A</v>
      </c>
      <c r="AC167" t="e">
        <f t="shared" si="170"/>
        <v>#N/A</v>
      </c>
      <c r="AD167" t="e">
        <f t="shared" si="171"/>
        <v>#N/A</v>
      </c>
      <c r="AE167" t="e">
        <f t="shared" si="172"/>
        <v>#N/A</v>
      </c>
      <c r="AF167" t="e">
        <f t="shared" si="173"/>
        <v>#N/A</v>
      </c>
      <c r="AG167" t="e">
        <f t="shared" si="174"/>
        <v>#N/A</v>
      </c>
      <c r="AH167" t="e">
        <f t="shared" si="175"/>
        <v>#N/A</v>
      </c>
      <c r="AI167" t="e">
        <f t="shared" si="176"/>
        <v>#N/A</v>
      </c>
      <c r="AJ167" t="e">
        <f t="shared" si="177"/>
        <v>#N/A</v>
      </c>
      <c r="AK167" t="e">
        <f t="shared" si="178"/>
        <v>#N/A</v>
      </c>
      <c r="AL167" t="e">
        <f t="shared" si="179"/>
        <v>#N/A</v>
      </c>
      <c r="AM167" t="e">
        <f t="shared" si="180"/>
        <v>#N/A</v>
      </c>
      <c r="AN167" t="e">
        <f t="shared" si="181"/>
        <v>#N/A</v>
      </c>
      <c r="AO167" t="e">
        <f t="shared" si="182"/>
        <v>#N/A</v>
      </c>
      <c r="AP167" t="e">
        <f t="shared" si="183"/>
        <v>#N/A</v>
      </c>
      <c r="AQ167" t="e">
        <f t="shared" si="184"/>
        <v>#N/A</v>
      </c>
      <c r="AR167" t="e">
        <f t="shared" si="185"/>
        <v>#N/A</v>
      </c>
      <c r="AS167" t="e">
        <f t="shared" si="186"/>
        <v>#N/A</v>
      </c>
      <c r="AT167" t="e">
        <f t="shared" si="187"/>
        <v>#N/A</v>
      </c>
      <c r="AU167" t="e">
        <f t="shared" si="188"/>
        <v>#N/A</v>
      </c>
      <c r="AV167" t="e">
        <f t="shared" si="189"/>
        <v>#N/A</v>
      </c>
      <c r="AW167" t="e">
        <f t="shared" si="190"/>
        <v>#N/A</v>
      </c>
      <c r="AX167" t="e">
        <f t="shared" si="191"/>
        <v>#N/A</v>
      </c>
      <c r="AY167" t="e">
        <f t="shared" si="192"/>
        <v>#N/A</v>
      </c>
      <c r="BE167" t="e">
        <f>IF(Z167=1,IF(INDEX($C$7:$C$126,V167)&gt;=Gantt!$BF$6,NA(),MATCH(INDEX($C$7:$C$126,V167),Gantt!$J$6:$BE$6,1)),NA())</f>
        <v>#N/A</v>
      </c>
      <c r="BF167" t="e">
        <f>IF(Z167=1,IF((INDEX($D$7:$D$126,AA167)-1)&gt;=Gantt!$BF$6,NA(),IF((INDEX($D$7:$D$126,AA167)-1)&lt;Gantt!$J$6,0,MATCH((INDEX($D$7:$D$126,AA167)-1),Gantt!$J$6:$BE$6,1))),NA())</f>
        <v>#N/A</v>
      </c>
      <c r="BG167" t="e">
        <f t="shared" si="193"/>
        <v>#N/A</v>
      </c>
      <c r="BH167" t="e">
        <f t="shared" si="194"/>
        <v>#N/A</v>
      </c>
      <c r="BI167" t="e">
        <f t="shared" si="195"/>
        <v>#N/A</v>
      </c>
      <c r="BJ167" t="e">
        <f t="shared" si="196"/>
        <v>#N/A</v>
      </c>
      <c r="BK167" t="e">
        <f t="shared" si="197"/>
        <v>#N/A</v>
      </c>
      <c r="BL167" t="e">
        <f t="shared" si="198"/>
        <v>#N/A</v>
      </c>
      <c r="BM167" t="e">
        <f t="shared" si="199"/>
        <v>#N/A</v>
      </c>
      <c r="BN167" t="e">
        <f t="shared" si="200"/>
        <v>#N/A</v>
      </c>
      <c r="BO167" t="e">
        <f t="shared" si="201"/>
        <v>#N/A</v>
      </c>
      <c r="BP167" t="e">
        <f t="shared" si="202"/>
        <v>#N/A</v>
      </c>
      <c r="BQ167" t="e">
        <f t="shared" si="203"/>
        <v>#N/A</v>
      </c>
      <c r="BR167" t="e">
        <f t="shared" si="204"/>
        <v>#N/A</v>
      </c>
      <c r="BS167" t="e">
        <f t="shared" si="205"/>
        <v>#N/A</v>
      </c>
      <c r="BT167" t="e">
        <f t="shared" si="206"/>
        <v>#N/A</v>
      </c>
      <c r="BU167" t="e">
        <f t="shared" si="207"/>
        <v>#N/A</v>
      </c>
      <c r="BV167" t="e">
        <f t="shared" si="208"/>
        <v>#N/A</v>
      </c>
      <c r="BW167" t="e">
        <f t="shared" si="209"/>
        <v>#N/A</v>
      </c>
      <c r="BX167" t="e">
        <f t="shared" si="210"/>
        <v>#N/A</v>
      </c>
      <c r="BY167" t="e">
        <f t="shared" si="211"/>
        <v>#N/A</v>
      </c>
      <c r="BZ167" t="e">
        <f t="shared" si="212"/>
        <v>#N/A</v>
      </c>
      <c r="CA167" t="e">
        <f t="shared" si="213"/>
        <v>#N/A</v>
      </c>
      <c r="CB167" t="e">
        <f t="shared" si="214"/>
        <v>#N/A</v>
      </c>
      <c r="CC167" t="e">
        <f t="shared" si="215"/>
        <v>#N/A</v>
      </c>
      <c r="CD167" t="e">
        <f t="shared" si="216"/>
        <v>#N/A</v>
      </c>
      <c r="CE167" t="e">
        <f t="shared" si="217"/>
        <v>#N/A</v>
      </c>
      <c r="CF167" t="e">
        <f t="shared" si="218"/>
        <v>#N/A</v>
      </c>
      <c r="CG167" t="e">
        <f t="shared" si="219"/>
        <v>#N/A</v>
      </c>
      <c r="CI167" t="e">
        <f>AP60</f>
        <v>#N/A</v>
      </c>
      <c r="CJ167" t="e">
        <f>AQ60</f>
        <v>#N/A</v>
      </c>
      <c r="CK167">
        <f>IF(ISNUMBER(CI167),IFERROR(MAX(0,AR60-CI167),0),0)</f>
        <v>0</v>
      </c>
      <c r="CL167">
        <f>IF(ISNUMBER(CI167),IFERROR(MAX(0,CI167-AR60),0),0)</f>
        <v>0</v>
      </c>
      <c r="CM167">
        <f>IF(ISNUMBER(CJ167),IFERROR(MAX(0,AS60-CJ167),0),0)</f>
        <v>0</v>
      </c>
      <c r="CN167">
        <f>IF(ISNUMBER(CJ167),IFERROR(MAX(0,CJ167-AS60),0),0)</f>
        <v>0</v>
      </c>
      <c r="CP167" t="e">
        <f>BX60</f>
        <v>#N/A</v>
      </c>
      <c r="CQ167" t="e">
        <f>BY60</f>
        <v>#N/A</v>
      </c>
      <c r="CR167">
        <f>IF(ISNUMBER(CP167),IFERROR(MAX(0,BZ60-CP167),0),0)</f>
        <v>0</v>
      </c>
      <c r="CS167">
        <f>IF(ISNUMBER(CP167),IFERROR(MAX(0,CP167-BZ60),0),0)</f>
        <v>0</v>
      </c>
      <c r="CT167">
        <f>IF(ISNUMBER(CQ167),IFERROR(MAX(0,CA60-CQ167),0),0)</f>
        <v>0</v>
      </c>
      <c r="CU167">
        <f>IF(ISNUMBER(CQ167),IFERROR(MAX(0,CQ167-CA60),0),0)</f>
        <v>0</v>
      </c>
    </row>
    <row r="168" spans="21:99" x14ac:dyDescent="0.3">
      <c r="U168">
        <v>162</v>
      </c>
      <c r="V168">
        <f t="shared" si="164"/>
        <v>41</v>
      </c>
      <c r="W168">
        <f t="shared" si="165"/>
        <v>2</v>
      </c>
      <c r="X168">
        <f t="shared" si="166"/>
        <v>0</v>
      </c>
      <c r="Y168">
        <f>IF(X168&lt;&gt;1,9999,CHOOSE(W168,INDEX(Gantt!$BQ$7:$BQ$119,V168),INDEX(Gantt!$BR$7:$BR$119,V168),INDEX(Gantt!$BT$7:$BT$119,V168),INDEX(Gantt!$BU$7:$BU$119,V168)))</f>
        <v>9999</v>
      </c>
      <c r="Z168">
        <f t="shared" si="167"/>
        <v>0</v>
      </c>
      <c r="AA168" t="e">
        <f t="shared" si="168"/>
        <v>#N/A</v>
      </c>
      <c r="AB168" t="e">
        <f t="shared" si="169"/>
        <v>#N/A</v>
      </c>
      <c r="AC168" t="e">
        <f t="shared" si="170"/>
        <v>#N/A</v>
      </c>
      <c r="AD168" t="e">
        <f t="shared" si="171"/>
        <v>#N/A</v>
      </c>
      <c r="AE168" t="e">
        <f t="shared" si="172"/>
        <v>#N/A</v>
      </c>
      <c r="AF168" t="e">
        <f t="shared" si="173"/>
        <v>#N/A</v>
      </c>
      <c r="AG168" t="e">
        <f t="shared" si="174"/>
        <v>#N/A</v>
      </c>
      <c r="AH168" t="e">
        <f t="shared" si="175"/>
        <v>#N/A</v>
      </c>
      <c r="AI168" t="e">
        <f t="shared" si="176"/>
        <v>#N/A</v>
      </c>
      <c r="AJ168" t="e">
        <f t="shared" si="177"/>
        <v>#N/A</v>
      </c>
      <c r="AK168" t="e">
        <f t="shared" si="178"/>
        <v>#N/A</v>
      </c>
      <c r="AL168" t="e">
        <f t="shared" si="179"/>
        <v>#N/A</v>
      </c>
      <c r="AM168" t="e">
        <f t="shared" si="180"/>
        <v>#N/A</v>
      </c>
      <c r="AN168" t="e">
        <f t="shared" si="181"/>
        <v>#N/A</v>
      </c>
      <c r="AO168" t="e">
        <f t="shared" si="182"/>
        <v>#N/A</v>
      </c>
      <c r="AP168" t="e">
        <f t="shared" si="183"/>
        <v>#N/A</v>
      </c>
      <c r="AQ168" t="e">
        <f t="shared" si="184"/>
        <v>#N/A</v>
      </c>
      <c r="AR168" t="e">
        <f t="shared" si="185"/>
        <v>#N/A</v>
      </c>
      <c r="AS168" t="e">
        <f t="shared" si="186"/>
        <v>#N/A</v>
      </c>
      <c r="AT168" t="e">
        <f t="shared" si="187"/>
        <v>#N/A</v>
      </c>
      <c r="AU168" t="e">
        <f t="shared" si="188"/>
        <v>#N/A</v>
      </c>
      <c r="AV168" t="e">
        <f t="shared" si="189"/>
        <v>#N/A</v>
      </c>
      <c r="AW168" t="e">
        <f t="shared" si="190"/>
        <v>#N/A</v>
      </c>
      <c r="AX168" t="e">
        <f t="shared" si="191"/>
        <v>#N/A</v>
      </c>
      <c r="AY168" t="e">
        <f t="shared" si="192"/>
        <v>#N/A</v>
      </c>
      <c r="BE168" t="e">
        <f>IF(Z168=1,IF(INDEX($C$7:$C$126,V168)&gt;=Gantt!$BF$6,NA(),MATCH(INDEX($C$7:$C$126,V168),Gantt!$J$6:$BE$6,1)),NA())</f>
        <v>#N/A</v>
      </c>
      <c r="BF168" t="e">
        <f>IF(Z168=1,IF((INDEX($D$7:$D$126,AA168)-1)&gt;=Gantt!$BF$6,NA(),IF((INDEX($D$7:$D$126,AA168)-1)&lt;Gantt!$J$6,0,MATCH((INDEX($D$7:$D$126,AA168)-1),Gantt!$J$6:$BE$6,1))),NA())</f>
        <v>#N/A</v>
      </c>
      <c r="BG168" t="e">
        <f t="shared" si="193"/>
        <v>#N/A</v>
      </c>
      <c r="BH168" t="e">
        <f t="shared" si="194"/>
        <v>#N/A</v>
      </c>
      <c r="BI168" t="e">
        <f t="shared" si="195"/>
        <v>#N/A</v>
      </c>
      <c r="BJ168" t="e">
        <f t="shared" si="196"/>
        <v>#N/A</v>
      </c>
      <c r="BK168" t="e">
        <f t="shared" si="197"/>
        <v>#N/A</v>
      </c>
      <c r="BL168" t="e">
        <f t="shared" si="198"/>
        <v>#N/A</v>
      </c>
      <c r="BM168" t="e">
        <f t="shared" si="199"/>
        <v>#N/A</v>
      </c>
      <c r="BN168" t="e">
        <f t="shared" si="200"/>
        <v>#N/A</v>
      </c>
      <c r="BO168" t="e">
        <f t="shared" si="201"/>
        <v>#N/A</v>
      </c>
      <c r="BP168" t="e">
        <f t="shared" si="202"/>
        <v>#N/A</v>
      </c>
      <c r="BQ168" t="e">
        <f t="shared" si="203"/>
        <v>#N/A</v>
      </c>
      <c r="BR168" t="e">
        <f t="shared" si="204"/>
        <v>#N/A</v>
      </c>
      <c r="BS168" t="e">
        <f t="shared" si="205"/>
        <v>#N/A</v>
      </c>
      <c r="BT168" t="e">
        <f t="shared" si="206"/>
        <v>#N/A</v>
      </c>
      <c r="BU168" t="e">
        <f t="shared" si="207"/>
        <v>#N/A</v>
      </c>
      <c r="BV168" t="e">
        <f t="shared" si="208"/>
        <v>#N/A</v>
      </c>
      <c r="BW168" t="e">
        <f t="shared" si="209"/>
        <v>#N/A</v>
      </c>
      <c r="BX168" t="e">
        <f t="shared" si="210"/>
        <v>#N/A</v>
      </c>
      <c r="BY168" t="e">
        <f t="shared" si="211"/>
        <v>#N/A</v>
      </c>
      <c r="BZ168" t="e">
        <f t="shared" si="212"/>
        <v>#N/A</v>
      </c>
      <c r="CA168" t="e">
        <f t="shared" si="213"/>
        <v>#N/A</v>
      </c>
      <c r="CB168" t="e">
        <f t="shared" si="214"/>
        <v>#N/A</v>
      </c>
      <c r="CC168" t="e">
        <f t="shared" si="215"/>
        <v>#N/A</v>
      </c>
      <c r="CD168" t="e">
        <f t="shared" si="216"/>
        <v>#N/A</v>
      </c>
      <c r="CE168" t="e">
        <f t="shared" si="217"/>
        <v>#N/A</v>
      </c>
      <c r="CF168" t="e">
        <f t="shared" si="218"/>
        <v>#N/A</v>
      </c>
      <c r="CG168" t="e">
        <f t="shared" si="219"/>
        <v>#N/A</v>
      </c>
      <c r="CI168" t="e">
        <f>AT60</f>
        <v>#N/A</v>
      </c>
      <c r="CJ168" t="e">
        <f>AU60</f>
        <v>#N/A</v>
      </c>
      <c r="CK168">
        <f>IF(ISNUMBER(CI168),IFERROR(MAX(0,AV60-CI168),0),0)</f>
        <v>0</v>
      </c>
      <c r="CL168">
        <f>IF(ISNUMBER(CI168),IFERROR(MAX(0,CI168-AV60),0),0)</f>
        <v>0</v>
      </c>
      <c r="CM168">
        <f>IF(ISNUMBER(CJ168),IFERROR(MAX(0,AW60-CJ168),0),0)</f>
        <v>0</v>
      </c>
      <c r="CN168">
        <f>IF(ISNUMBER(CJ168),IFERROR(MAX(0,CJ168-AW60),0),0)</f>
        <v>0</v>
      </c>
      <c r="CP168" t="e">
        <f>CB60</f>
        <v>#N/A</v>
      </c>
      <c r="CQ168" t="e">
        <f>CC60</f>
        <v>#N/A</v>
      </c>
      <c r="CR168">
        <f>IF(ISNUMBER(CP168),IFERROR(MAX(0,CD60-CP168),0),0)</f>
        <v>0</v>
      </c>
      <c r="CS168">
        <f>IF(ISNUMBER(CP168),IFERROR(MAX(0,CP168-CD60),0),0)</f>
        <v>0</v>
      </c>
      <c r="CT168">
        <f>IF(ISNUMBER(CQ168),IFERROR(MAX(0,CE60-CQ168),0),0)</f>
        <v>0</v>
      </c>
      <c r="CU168">
        <f>IF(ISNUMBER(CQ168),IFERROR(MAX(0,CQ168-CE60),0),0)</f>
        <v>0</v>
      </c>
    </row>
    <row r="169" spans="21:99" x14ac:dyDescent="0.3">
      <c r="U169">
        <v>163</v>
      </c>
      <c r="V169">
        <f t="shared" si="164"/>
        <v>41</v>
      </c>
      <c r="W169">
        <f t="shared" si="165"/>
        <v>3</v>
      </c>
      <c r="X169">
        <f t="shared" si="166"/>
        <v>0</v>
      </c>
      <c r="Y169">
        <f>IF(X169&lt;&gt;1,9999,CHOOSE(W169,INDEX(Gantt!$BQ$7:$BQ$119,V169),INDEX(Gantt!$BR$7:$BR$119,V169),INDEX(Gantt!$BT$7:$BT$119,V169),INDEX(Gantt!$BU$7:$BU$119,V169)))</f>
        <v>9999</v>
      </c>
      <c r="Z169">
        <f t="shared" si="167"/>
        <v>0</v>
      </c>
      <c r="AA169" t="e">
        <f t="shared" si="168"/>
        <v>#N/A</v>
      </c>
      <c r="AB169" t="e">
        <f t="shared" si="169"/>
        <v>#N/A</v>
      </c>
      <c r="AC169" t="e">
        <f t="shared" si="170"/>
        <v>#N/A</v>
      </c>
      <c r="AD169" t="e">
        <f t="shared" si="171"/>
        <v>#N/A</v>
      </c>
      <c r="AE169" t="e">
        <f t="shared" si="172"/>
        <v>#N/A</v>
      </c>
      <c r="AF169" t="e">
        <f t="shared" si="173"/>
        <v>#N/A</v>
      </c>
      <c r="AG169" t="e">
        <f t="shared" si="174"/>
        <v>#N/A</v>
      </c>
      <c r="AH169" t="e">
        <f t="shared" si="175"/>
        <v>#N/A</v>
      </c>
      <c r="AI169" t="e">
        <f t="shared" si="176"/>
        <v>#N/A</v>
      </c>
      <c r="AJ169" t="e">
        <f t="shared" si="177"/>
        <v>#N/A</v>
      </c>
      <c r="AK169" t="e">
        <f t="shared" si="178"/>
        <v>#N/A</v>
      </c>
      <c r="AL169" t="e">
        <f t="shared" si="179"/>
        <v>#N/A</v>
      </c>
      <c r="AM169" t="e">
        <f t="shared" si="180"/>
        <v>#N/A</v>
      </c>
      <c r="AN169" t="e">
        <f t="shared" si="181"/>
        <v>#N/A</v>
      </c>
      <c r="AO169" t="e">
        <f t="shared" si="182"/>
        <v>#N/A</v>
      </c>
      <c r="AP169" t="e">
        <f t="shared" si="183"/>
        <v>#N/A</v>
      </c>
      <c r="AQ169" t="e">
        <f t="shared" si="184"/>
        <v>#N/A</v>
      </c>
      <c r="AR169" t="e">
        <f t="shared" si="185"/>
        <v>#N/A</v>
      </c>
      <c r="AS169" t="e">
        <f t="shared" si="186"/>
        <v>#N/A</v>
      </c>
      <c r="AT169" t="e">
        <f t="shared" si="187"/>
        <v>#N/A</v>
      </c>
      <c r="AU169" t="e">
        <f t="shared" si="188"/>
        <v>#N/A</v>
      </c>
      <c r="AV169" t="e">
        <f t="shared" si="189"/>
        <v>#N/A</v>
      </c>
      <c r="AW169" t="e">
        <f t="shared" si="190"/>
        <v>#N/A</v>
      </c>
      <c r="AX169" t="e">
        <f t="shared" si="191"/>
        <v>#N/A</v>
      </c>
      <c r="AY169" t="e">
        <f t="shared" si="192"/>
        <v>#N/A</v>
      </c>
      <c r="BE169" t="e">
        <f>IF(Z169=1,IF(INDEX($C$7:$C$126,V169)&gt;=Gantt!$BF$6,NA(),MATCH(INDEX($C$7:$C$126,V169),Gantt!$J$6:$BE$6,1)),NA())</f>
        <v>#N/A</v>
      </c>
      <c r="BF169" t="e">
        <f>IF(Z169=1,IF((INDEX($D$7:$D$126,AA169)-1)&gt;=Gantt!$BF$6,NA(),IF((INDEX($D$7:$D$126,AA169)-1)&lt;Gantt!$J$6,0,MATCH((INDEX($D$7:$D$126,AA169)-1),Gantt!$J$6:$BE$6,1))),NA())</f>
        <v>#N/A</v>
      </c>
      <c r="BG169" t="e">
        <f t="shared" si="193"/>
        <v>#N/A</v>
      </c>
      <c r="BH169" t="e">
        <f t="shared" si="194"/>
        <v>#N/A</v>
      </c>
      <c r="BI169" t="e">
        <f t="shared" si="195"/>
        <v>#N/A</v>
      </c>
      <c r="BJ169" t="e">
        <f t="shared" si="196"/>
        <v>#N/A</v>
      </c>
      <c r="BK169" t="e">
        <f t="shared" si="197"/>
        <v>#N/A</v>
      </c>
      <c r="BL169" t="e">
        <f t="shared" si="198"/>
        <v>#N/A</v>
      </c>
      <c r="BM169" t="e">
        <f t="shared" si="199"/>
        <v>#N/A</v>
      </c>
      <c r="BN169" t="e">
        <f t="shared" si="200"/>
        <v>#N/A</v>
      </c>
      <c r="BO169" t="e">
        <f t="shared" si="201"/>
        <v>#N/A</v>
      </c>
      <c r="BP169" t="e">
        <f t="shared" si="202"/>
        <v>#N/A</v>
      </c>
      <c r="BQ169" t="e">
        <f t="shared" si="203"/>
        <v>#N/A</v>
      </c>
      <c r="BR169" t="e">
        <f t="shared" si="204"/>
        <v>#N/A</v>
      </c>
      <c r="BS169" t="e">
        <f t="shared" si="205"/>
        <v>#N/A</v>
      </c>
      <c r="BT169" t="e">
        <f t="shared" si="206"/>
        <v>#N/A</v>
      </c>
      <c r="BU169" t="e">
        <f t="shared" si="207"/>
        <v>#N/A</v>
      </c>
      <c r="BV169" t="e">
        <f t="shared" si="208"/>
        <v>#N/A</v>
      </c>
      <c r="BW169" t="e">
        <f t="shared" si="209"/>
        <v>#N/A</v>
      </c>
      <c r="BX169" t="e">
        <f t="shared" si="210"/>
        <v>#N/A</v>
      </c>
      <c r="BY169" t="e">
        <f t="shared" si="211"/>
        <v>#N/A</v>
      </c>
      <c r="BZ169" t="e">
        <f t="shared" si="212"/>
        <v>#N/A</v>
      </c>
      <c r="CA169" t="e">
        <f t="shared" si="213"/>
        <v>#N/A</v>
      </c>
      <c r="CB169" t="e">
        <f t="shared" si="214"/>
        <v>#N/A</v>
      </c>
      <c r="CC169" t="e">
        <f t="shared" si="215"/>
        <v>#N/A</v>
      </c>
      <c r="CD169" t="e">
        <f t="shared" si="216"/>
        <v>#N/A</v>
      </c>
      <c r="CE169" t="e">
        <f t="shared" si="217"/>
        <v>#N/A</v>
      </c>
      <c r="CF169" t="e">
        <f t="shared" si="218"/>
        <v>#N/A</v>
      </c>
      <c r="CG169" t="e">
        <f t="shared" si="219"/>
        <v>#N/A</v>
      </c>
      <c r="CI169" t="e">
        <f>AL61</f>
        <v>#N/A</v>
      </c>
      <c r="CJ169" t="e">
        <f>AM61</f>
        <v>#N/A</v>
      </c>
      <c r="CK169">
        <f>IF(ISNUMBER(CI169),IFERROR(MAX(0,AN61-CI169),0),0)</f>
        <v>0</v>
      </c>
      <c r="CL169">
        <f>IF(ISNUMBER(CI169),IFERROR(MAX(0,CI169-AN61),0),0)</f>
        <v>0</v>
      </c>
      <c r="CM169">
        <f>IF(ISNUMBER(CJ169),IFERROR(MAX(0,AO61-CJ169),0),0)</f>
        <v>0</v>
      </c>
      <c r="CN169">
        <f>IF(ISNUMBER(CJ169),IFERROR(MAX(0,CJ169-AO61),0),0)</f>
        <v>0</v>
      </c>
      <c r="CP169" t="e">
        <f>BT61</f>
        <v>#N/A</v>
      </c>
      <c r="CQ169" t="e">
        <f>BU61</f>
        <v>#N/A</v>
      </c>
      <c r="CR169">
        <f>IF(ISNUMBER(CP169),IFERROR(MAX(0,BV61-CP169),0),0)</f>
        <v>0</v>
      </c>
      <c r="CS169">
        <f>IF(ISNUMBER(CP169),IFERROR(MAX(0,CP169-BV61),0),0)</f>
        <v>0</v>
      </c>
      <c r="CT169">
        <f>IF(ISNUMBER(CQ169),IFERROR(MAX(0,BW61-CQ169),0),0)</f>
        <v>0</v>
      </c>
      <c r="CU169">
        <f>IF(ISNUMBER(CQ169),IFERROR(MAX(0,CQ169-BW61),0),0)</f>
        <v>0</v>
      </c>
    </row>
    <row r="170" spans="21:99" x14ac:dyDescent="0.3">
      <c r="U170">
        <v>164</v>
      </c>
      <c r="V170">
        <f t="shared" si="164"/>
        <v>41</v>
      </c>
      <c r="W170">
        <f t="shared" si="165"/>
        <v>4</v>
      </c>
      <c r="X170">
        <f t="shared" si="166"/>
        <v>0</v>
      </c>
      <c r="Y170">
        <f>IF(X170&lt;&gt;1,9999,CHOOSE(W170,INDEX(Gantt!$BQ$7:$BQ$119,V170),INDEX(Gantt!$BR$7:$BR$119,V170),INDEX(Gantt!$BT$7:$BT$119,V170),INDEX(Gantt!$BU$7:$BU$119,V170)))</f>
        <v>9999</v>
      </c>
      <c r="Z170">
        <f t="shared" si="167"/>
        <v>0</v>
      </c>
      <c r="AA170" t="e">
        <f t="shared" si="168"/>
        <v>#N/A</v>
      </c>
      <c r="AB170" t="e">
        <f t="shared" si="169"/>
        <v>#N/A</v>
      </c>
      <c r="AC170" t="e">
        <f t="shared" si="170"/>
        <v>#N/A</v>
      </c>
      <c r="AD170" t="e">
        <f t="shared" si="171"/>
        <v>#N/A</v>
      </c>
      <c r="AE170" t="e">
        <f t="shared" si="172"/>
        <v>#N/A</v>
      </c>
      <c r="AF170" t="e">
        <f t="shared" si="173"/>
        <v>#N/A</v>
      </c>
      <c r="AG170" t="e">
        <f t="shared" si="174"/>
        <v>#N/A</v>
      </c>
      <c r="AH170" t="e">
        <f t="shared" si="175"/>
        <v>#N/A</v>
      </c>
      <c r="AI170" t="e">
        <f t="shared" si="176"/>
        <v>#N/A</v>
      </c>
      <c r="AJ170" t="e">
        <f t="shared" si="177"/>
        <v>#N/A</v>
      </c>
      <c r="AK170" t="e">
        <f t="shared" si="178"/>
        <v>#N/A</v>
      </c>
      <c r="AL170" t="e">
        <f t="shared" si="179"/>
        <v>#N/A</v>
      </c>
      <c r="AM170" t="e">
        <f t="shared" si="180"/>
        <v>#N/A</v>
      </c>
      <c r="AN170" t="e">
        <f t="shared" si="181"/>
        <v>#N/A</v>
      </c>
      <c r="AO170" t="e">
        <f t="shared" si="182"/>
        <v>#N/A</v>
      </c>
      <c r="AP170" t="e">
        <f t="shared" si="183"/>
        <v>#N/A</v>
      </c>
      <c r="AQ170" t="e">
        <f t="shared" si="184"/>
        <v>#N/A</v>
      </c>
      <c r="AR170" t="e">
        <f t="shared" si="185"/>
        <v>#N/A</v>
      </c>
      <c r="AS170" t="e">
        <f t="shared" si="186"/>
        <v>#N/A</v>
      </c>
      <c r="AT170" t="e">
        <f t="shared" si="187"/>
        <v>#N/A</v>
      </c>
      <c r="AU170" t="e">
        <f t="shared" si="188"/>
        <v>#N/A</v>
      </c>
      <c r="AV170" t="e">
        <f t="shared" si="189"/>
        <v>#N/A</v>
      </c>
      <c r="AW170" t="e">
        <f t="shared" si="190"/>
        <v>#N/A</v>
      </c>
      <c r="AX170" t="e">
        <f t="shared" si="191"/>
        <v>#N/A</v>
      </c>
      <c r="AY170" t="e">
        <f t="shared" si="192"/>
        <v>#N/A</v>
      </c>
      <c r="BE170" t="e">
        <f>IF(Z170=1,IF(INDEX($C$7:$C$126,V170)&gt;=Gantt!$BF$6,NA(),MATCH(INDEX($C$7:$C$126,V170),Gantt!$J$6:$BE$6,1)),NA())</f>
        <v>#N/A</v>
      </c>
      <c r="BF170" t="e">
        <f>IF(Z170=1,IF((INDEX($D$7:$D$126,AA170)-1)&gt;=Gantt!$BF$6,NA(),IF((INDEX($D$7:$D$126,AA170)-1)&lt;Gantt!$J$6,0,MATCH((INDEX($D$7:$D$126,AA170)-1),Gantt!$J$6:$BE$6,1))),NA())</f>
        <v>#N/A</v>
      </c>
      <c r="BG170" t="e">
        <f t="shared" si="193"/>
        <v>#N/A</v>
      </c>
      <c r="BH170" t="e">
        <f t="shared" si="194"/>
        <v>#N/A</v>
      </c>
      <c r="BI170" t="e">
        <f t="shared" si="195"/>
        <v>#N/A</v>
      </c>
      <c r="BJ170" t="e">
        <f t="shared" si="196"/>
        <v>#N/A</v>
      </c>
      <c r="BK170" t="e">
        <f t="shared" si="197"/>
        <v>#N/A</v>
      </c>
      <c r="BL170" t="e">
        <f t="shared" si="198"/>
        <v>#N/A</v>
      </c>
      <c r="BM170" t="e">
        <f t="shared" si="199"/>
        <v>#N/A</v>
      </c>
      <c r="BN170" t="e">
        <f t="shared" si="200"/>
        <v>#N/A</v>
      </c>
      <c r="BO170" t="e">
        <f t="shared" si="201"/>
        <v>#N/A</v>
      </c>
      <c r="BP170" t="e">
        <f t="shared" si="202"/>
        <v>#N/A</v>
      </c>
      <c r="BQ170" t="e">
        <f t="shared" si="203"/>
        <v>#N/A</v>
      </c>
      <c r="BR170" t="e">
        <f t="shared" si="204"/>
        <v>#N/A</v>
      </c>
      <c r="BS170" t="e">
        <f t="shared" si="205"/>
        <v>#N/A</v>
      </c>
      <c r="BT170" t="e">
        <f t="shared" si="206"/>
        <v>#N/A</v>
      </c>
      <c r="BU170" t="e">
        <f t="shared" si="207"/>
        <v>#N/A</v>
      </c>
      <c r="BV170" t="e">
        <f t="shared" si="208"/>
        <v>#N/A</v>
      </c>
      <c r="BW170" t="e">
        <f t="shared" si="209"/>
        <v>#N/A</v>
      </c>
      <c r="BX170" t="e">
        <f t="shared" si="210"/>
        <v>#N/A</v>
      </c>
      <c r="BY170" t="e">
        <f t="shared" si="211"/>
        <v>#N/A</v>
      </c>
      <c r="BZ170" t="e">
        <f t="shared" si="212"/>
        <v>#N/A</v>
      </c>
      <c r="CA170" t="e">
        <f t="shared" si="213"/>
        <v>#N/A</v>
      </c>
      <c r="CB170" t="e">
        <f t="shared" si="214"/>
        <v>#N/A</v>
      </c>
      <c r="CC170" t="e">
        <f t="shared" si="215"/>
        <v>#N/A</v>
      </c>
      <c r="CD170" t="e">
        <f t="shared" si="216"/>
        <v>#N/A</v>
      </c>
      <c r="CE170" t="e">
        <f t="shared" si="217"/>
        <v>#N/A</v>
      </c>
      <c r="CF170" t="e">
        <f t="shared" si="218"/>
        <v>#N/A</v>
      </c>
      <c r="CG170" t="e">
        <f t="shared" si="219"/>
        <v>#N/A</v>
      </c>
      <c r="CI170" t="e">
        <f>AP61</f>
        <v>#N/A</v>
      </c>
      <c r="CJ170" t="e">
        <f>AQ61</f>
        <v>#N/A</v>
      </c>
      <c r="CK170">
        <f>IF(ISNUMBER(CI170),IFERROR(MAX(0,AR61-CI170),0),0)</f>
        <v>0</v>
      </c>
      <c r="CL170">
        <f>IF(ISNUMBER(CI170),IFERROR(MAX(0,CI170-AR61),0),0)</f>
        <v>0</v>
      </c>
      <c r="CM170">
        <f>IF(ISNUMBER(CJ170),IFERROR(MAX(0,AS61-CJ170),0),0)</f>
        <v>0</v>
      </c>
      <c r="CN170">
        <f>IF(ISNUMBER(CJ170),IFERROR(MAX(0,CJ170-AS61),0),0)</f>
        <v>0</v>
      </c>
      <c r="CP170" t="e">
        <f>BX61</f>
        <v>#N/A</v>
      </c>
      <c r="CQ170" t="e">
        <f>BY61</f>
        <v>#N/A</v>
      </c>
      <c r="CR170">
        <f>IF(ISNUMBER(CP170),IFERROR(MAX(0,BZ61-CP170),0),0)</f>
        <v>0</v>
      </c>
      <c r="CS170">
        <f>IF(ISNUMBER(CP170),IFERROR(MAX(0,CP170-BZ61),0),0)</f>
        <v>0</v>
      </c>
      <c r="CT170">
        <f>IF(ISNUMBER(CQ170),IFERROR(MAX(0,CA61-CQ170),0),0)</f>
        <v>0</v>
      </c>
      <c r="CU170">
        <f>IF(ISNUMBER(CQ170),IFERROR(MAX(0,CQ170-CA61),0),0)</f>
        <v>0</v>
      </c>
    </row>
    <row r="171" spans="21:99" x14ac:dyDescent="0.3">
      <c r="U171">
        <v>165</v>
      </c>
      <c r="V171">
        <f t="shared" si="164"/>
        <v>42</v>
      </c>
      <c r="W171">
        <f t="shared" si="165"/>
        <v>1</v>
      </c>
      <c r="X171">
        <f t="shared" si="166"/>
        <v>0</v>
      </c>
      <c r="Y171">
        <f>IF(X171&lt;&gt;1,9999,CHOOSE(W171,INDEX(Gantt!$BQ$7:$BQ$119,V171),INDEX(Gantt!$BR$7:$BR$119,V171),INDEX(Gantt!$BT$7:$BT$119,V171),INDEX(Gantt!$BU$7:$BU$119,V171)))</f>
        <v>9999</v>
      </c>
      <c r="Z171">
        <f t="shared" si="167"/>
        <v>0</v>
      </c>
      <c r="AA171" t="e">
        <f t="shared" si="168"/>
        <v>#N/A</v>
      </c>
      <c r="AB171" t="e">
        <f t="shared" si="169"/>
        <v>#N/A</v>
      </c>
      <c r="AC171" t="e">
        <f t="shared" si="170"/>
        <v>#N/A</v>
      </c>
      <c r="AD171" t="e">
        <f t="shared" si="171"/>
        <v>#N/A</v>
      </c>
      <c r="AE171" t="e">
        <f t="shared" si="172"/>
        <v>#N/A</v>
      </c>
      <c r="AF171" t="e">
        <f t="shared" si="173"/>
        <v>#N/A</v>
      </c>
      <c r="AG171" t="e">
        <f t="shared" si="174"/>
        <v>#N/A</v>
      </c>
      <c r="AH171" t="e">
        <f t="shared" si="175"/>
        <v>#N/A</v>
      </c>
      <c r="AI171" t="e">
        <f t="shared" si="176"/>
        <v>#N/A</v>
      </c>
      <c r="AJ171" t="e">
        <f t="shared" si="177"/>
        <v>#N/A</v>
      </c>
      <c r="AK171" t="e">
        <f t="shared" si="178"/>
        <v>#N/A</v>
      </c>
      <c r="AL171" t="e">
        <f t="shared" si="179"/>
        <v>#N/A</v>
      </c>
      <c r="AM171" t="e">
        <f t="shared" si="180"/>
        <v>#N/A</v>
      </c>
      <c r="AN171" t="e">
        <f t="shared" si="181"/>
        <v>#N/A</v>
      </c>
      <c r="AO171" t="e">
        <f t="shared" si="182"/>
        <v>#N/A</v>
      </c>
      <c r="AP171" t="e">
        <f t="shared" si="183"/>
        <v>#N/A</v>
      </c>
      <c r="AQ171" t="e">
        <f t="shared" si="184"/>
        <v>#N/A</v>
      </c>
      <c r="AR171" t="e">
        <f t="shared" si="185"/>
        <v>#N/A</v>
      </c>
      <c r="AS171" t="e">
        <f t="shared" si="186"/>
        <v>#N/A</v>
      </c>
      <c r="AT171" t="e">
        <f t="shared" si="187"/>
        <v>#N/A</v>
      </c>
      <c r="AU171" t="e">
        <f t="shared" si="188"/>
        <v>#N/A</v>
      </c>
      <c r="AV171" t="e">
        <f t="shared" si="189"/>
        <v>#N/A</v>
      </c>
      <c r="AW171" t="e">
        <f t="shared" si="190"/>
        <v>#N/A</v>
      </c>
      <c r="AX171" t="e">
        <f t="shared" si="191"/>
        <v>#N/A</v>
      </c>
      <c r="AY171" t="e">
        <f t="shared" si="192"/>
        <v>#N/A</v>
      </c>
      <c r="BE171" t="e">
        <f>IF(Z171=1,IF(INDEX($C$7:$C$126,V171)&gt;=Gantt!$BF$6,NA(),MATCH(INDEX($C$7:$C$126,V171),Gantt!$J$6:$BE$6,1)),NA())</f>
        <v>#N/A</v>
      </c>
      <c r="BF171" t="e">
        <f>IF(Z171=1,IF((INDEX($D$7:$D$126,AA171)-1)&gt;=Gantt!$BF$6,NA(),IF((INDEX($D$7:$D$126,AA171)-1)&lt;Gantt!$J$6,0,MATCH((INDEX($D$7:$D$126,AA171)-1),Gantt!$J$6:$BE$6,1))),NA())</f>
        <v>#N/A</v>
      </c>
      <c r="BG171" t="e">
        <f t="shared" si="193"/>
        <v>#N/A</v>
      </c>
      <c r="BH171" t="e">
        <f t="shared" si="194"/>
        <v>#N/A</v>
      </c>
      <c r="BI171" t="e">
        <f t="shared" si="195"/>
        <v>#N/A</v>
      </c>
      <c r="BJ171" t="e">
        <f t="shared" si="196"/>
        <v>#N/A</v>
      </c>
      <c r="BK171" t="e">
        <f t="shared" si="197"/>
        <v>#N/A</v>
      </c>
      <c r="BL171" t="e">
        <f t="shared" si="198"/>
        <v>#N/A</v>
      </c>
      <c r="BM171" t="e">
        <f t="shared" si="199"/>
        <v>#N/A</v>
      </c>
      <c r="BN171" t="e">
        <f t="shared" si="200"/>
        <v>#N/A</v>
      </c>
      <c r="BO171" t="e">
        <f t="shared" si="201"/>
        <v>#N/A</v>
      </c>
      <c r="BP171" t="e">
        <f t="shared" si="202"/>
        <v>#N/A</v>
      </c>
      <c r="BQ171" t="e">
        <f t="shared" si="203"/>
        <v>#N/A</v>
      </c>
      <c r="BR171" t="e">
        <f t="shared" si="204"/>
        <v>#N/A</v>
      </c>
      <c r="BS171" t="e">
        <f t="shared" si="205"/>
        <v>#N/A</v>
      </c>
      <c r="BT171" t="e">
        <f t="shared" si="206"/>
        <v>#N/A</v>
      </c>
      <c r="BU171" t="e">
        <f t="shared" si="207"/>
        <v>#N/A</v>
      </c>
      <c r="BV171" t="e">
        <f t="shared" si="208"/>
        <v>#N/A</v>
      </c>
      <c r="BW171" t="e">
        <f t="shared" si="209"/>
        <v>#N/A</v>
      </c>
      <c r="BX171" t="e">
        <f t="shared" si="210"/>
        <v>#N/A</v>
      </c>
      <c r="BY171" t="e">
        <f t="shared" si="211"/>
        <v>#N/A</v>
      </c>
      <c r="BZ171" t="e">
        <f t="shared" si="212"/>
        <v>#N/A</v>
      </c>
      <c r="CA171" t="e">
        <f t="shared" si="213"/>
        <v>#N/A</v>
      </c>
      <c r="CB171" t="e">
        <f t="shared" si="214"/>
        <v>#N/A</v>
      </c>
      <c r="CC171" t="e">
        <f t="shared" si="215"/>
        <v>#N/A</v>
      </c>
      <c r="CD171" t="e">
        <f t="shared" si="216"/>
        <v>#N/A</v>
      </c>
      <c r="CE171" t="e">
        <f t="shared" si="217"/>
        <v>#N/A</v>
      </c>
      <c r="CF171" t="e">
        <f t="shared" si="218"/>
        <v>#N/A</v>
      </c>
      <c r="CG171" t="e">
        <f t="shared" si="219"/>
        <v>#N/A</v>
      </c>
      <c r="CI171" t="e">
        <f>AT61</f>
        <v>#N/A</v>
      </c>
      <c r="CJ171" t="e">
        <f>AU61</f>
        <v>#N/A</v>
      </c>
      <c r="CK171">
        <f>IF(ISNUMBER(CI171),IFERROR(MAX(0,AV61-CI171),0),0)</f>
        <v>0</v>
      </c>
      <c r="CL171">
        <f>IF(ISNUMBER(CI171),IFERROR(MAX(0,CI171-AV61),0),0)</f>
        <v>0</v>
      </c>
      <c r="CM171">
        <f>IF(ISNUMBER(CJ171),IFERROR(MAX(0,AW61-CJ171),0),0)</f>
        <v>0</v>
      </c>
      <c r="CN171">
        <f>IF(ISNUMBER(CJ171),IFERROR(MAX(0,CJ171-AW61),0),0)</f>
        <v>0</v>
      </c>
      <c r="CP171" t="e">
        <f>CB61</f>
        <v>#N/A</v>
      </c>
      <c r="CQ171" t="e">
        <f>CC61</f>
        <v>#N/A</v>
      </c>
      <c r="CR171">
        <f>IF(ISNUMBER(CP171),IFERROR(MAX(0,CD61-CP171),0),0)</f>
        <v>0</v>
      </c>
      <c r="CS171">
        <f>IF(ISNUMBER(CP171),IFERROR(MAX(0,CP171-CD61),0),0)</f>
        <v>0</v>
      </c>
      <c r="CT171">
        <f>IF(ISNUMBER(CQ171),IFERROR(MAX(0,CE61-CQ171),0),0)</f>
        <v>0</v>
      </c>
      <c r="CU171">
        <f>IF(ISNUMBER(CQ171),IFERROR(MAX(0,CQ171-CE61),0),0)</f>
        <v>0</v>
      </c>
    </row>
    <row r="172" spans="21:99" x14ac:dyDescent="0.3">
      <c r="U172">
        <v>166</v>
      </c>
      <c r="V172">
        <f t="shared" si="164"/>
        <v>42</v>
      </c>
      <c r="W172">
        <f t="shared" si="165"/>
        <v>2</v>
      </c>
      <c r="X172">
        <f t="shared" si="166"/>
        <v>0</v>
      </c>
      <c r="Y172">
        <f>IF(X172&lt;&gt;1,9999,CHOOSE(W172,INDEX(Gantt!$BQ$7:$BQ$119,V172),INDEX(Gantt!$BR$7:$BR$119,V172),INDEX(Gantt!$BT$7:$BT$119,V172),INDEX(Gantt!$BU$7:$BU$119,V172)))</f>
        <v>9999</v>
      </c>
      <c r="Z172">
        <f t="shared" si="167"/>
        <v>0</v>
      </c>
      <c r="AA172" t="e">
        <f t="shared" si="168"/>
        <v>#N/A</v>
      </c>
      <c r="AB172" t="e">
        <f t="shared" si="169"/>
        <v>#N/A</v>
      </c>
      <c r="AC172" t="e">
        <f t="shared" si="170"/>
        <v>#N/A</v>
      </c>
      <c r="AD172" t="e">
        <f t="shared" si="171"/>
        <v>#N/A</v>
      </c>
      <c r="AE172" t="e">
        <f t="shared" si="172"/>
        <v>#N/A</v>
      </c>
      <c r="AF172" t="e">
        <f t="shared" si="173"/>
        <v>#N/A</v>
      </c>
      <c r="AG172" t="e">
        <f t="shared" si="174"/>
        <v>#N/A</v>
      </c>
      <c r="AH172" t="e">
        <f t="shared" si="175"/>
        <v>#N/A</v>
      </c>
      <c r="AI172" t="e">
        <f t="shared" si="176"/>
        <v>#N/A</v>
      </c>
      <c r="AJ172" t="e">
        <f t="shared" si="177"/>
        <v>#N/A</v>
      </c>
      <c r="AK172" t="e">
        <f t="shared" si="178"/>
        <v>#N/A</v>
      </c>
      <c r="AL172" t="e">
        <f t="shared" si="179"/>
        <v>#N/A</v>
      </c>
      <c r="AM172" t="e">
        <f t="shared" si="180"/>
        <v>#N/A</v>
      </c>
      <c r="AN172" t="e">
        <f t="shared" si="181"/>
        <v>#N/A</v>
      </c>
      <c r="AO172" t="e">
        <f t="shared" si="182"/>
        <v>#N/A</v>
      </c>
      <c r="AP172" t="e">
        <f t="shared" si="183"/>
        <v>#N/A</v>
      </c>
      <c r="AQ172" t="e">
        <f t="shared" si="184"/>
        <v>#N/A</v>
      </c>
      <c r="AR172" t="e">
        <f t="shared" si="185"/>
        <v>#N/A</v>
      </c>
      <c r="AS172" t="e">
        <f t="shared" si="186"/>
        <v>#N/A</v>
      </c>
      <c r="AT172" t="e">
        <f t="shared" si="187"/>
        <v>#N/A</v>
      </c>
      <c r="AU172" t="e">
        <f t="shared" si="188"/>
        <v>#N/A</v>
      </c>
      <c r="AV172" t="e">
        <f t="shared" si="189"/>
        <v>#N/A</v>
      </c>
      <c r="AW172" t="e">
        <f t="shared" si="190"/>
        <v>#N/A</v>
      </c>
      <c r="AX172" t="e">
        <f t="shared" si="191"/>
        <v>#N/A</v>
      </c>
      <c r="AY172" t="e">
        <f t="shared" si="192"/>
        <v>#N/A</v>
      </c>
      <c r="BE172" t="e">
        <f>IF(Z172=1,IF(INDEX($C$7:$C$126,V172)&gt;=Gantt!$BF$6,NA(),MATCH(INDEX($C$7:$C$126,V172),Gantt!$J$6:$BE$6,1)),NA())</f>
        <v>#N/A</v>
      </c>
      <c r="BF172" t="e">
        <f>IF(Z172=1,IF((INDEX($D$7:$D$126,AA172)-1)&gt;=Gantt!$BF$6,NA(),IF((INDEX($D$7:$D$126,AA172)-1)&lt;Gantt!$J$6,0,MATCH((INDEX($D$7:$D$126,AA172)-1),Gantt!$J$6:$BE$6,1))),NA())</f>
        <v>#N/A</v>
      </c>
      <c r="BG172" t="e">
        <f t="shared" si="193"/>
        <v>#N/A</v>
      </c>
      <c r="BH172" t="e">
        <f t="shared" si="194"/>
        <v>#N/A</v>
      </c>
      <c r="BI172" t="e">
        <f t="shared" si="195"/>
        <v>#N/A</v>
      </c>
      <c r="BJ172" t="e">
        <f t="shared" si="196"/>
        <v>#N/A</v>
      </c>
      <c r="BK172" t="e">
        <f t="shared" si="197"/>
        <v>#N/A</v>
      </c>
      <c r="BL172" t="e">
        <f t="shared" si="198"/>
        <v>#N/A</v>
      </c>
      <c r="BM172" t="e">
        <f t="shared" si="199"/>
        <v>#N/A</v>
      </c>
      <c r="BN172" t="e">
        <f t="shared" si="200"/>
        <v>#N/A</v>
      </c>
      <c r="BO172" t="e">
        <f t="shared" si="201"/>
        <v>#N/A</v>
      </c>
      <c r="BP172" t="e">
        <f t="shared" si="202"/>
        <v>#N/A</v>
      </c>
      <c r="BQ172" t="e">
        <f t="shared" si="203"/>
        <v>#N/A</v>
      </c>
      <c r="BR172" t="e">
        <f t="shared" si="204"/>
        <v>#N/A</v>
      </c>
      <c r="BS172" t="e">
        <f t="shared" si="205"/>
        <v>#N/A</v>
      </c>
      <c r="BT172" t="e">
        <f t="shared" si="206"/>
        <v>#N/A</v>
      </c>
      <c r="BU172" t="e">
        <f t="shared" si="207"/>
        <v>#N/A</v>
      </c>
      <c r="BV172" t="e">
        <f t="shared" si="208"/>
        <v>#N/A</v>
      </c>
      <c r="BW172" t="e">
        <f t="shared" si="209"/>
        <v>#N/A</v>
      </c>
      <c r="BX172" t="e">
        <f t="shared" si="210"/>
        <v>#N/A</v>
      </c>
      <c r="BY172" t="e">
        <f t="shared" si="211"/>
        <v>#N/A</v>
      </c>
      <c r="BZ172" t="e">
        <f t="shared" si="212"/>
        <v>#N/A</v>
      </c>
      <c r="CA172" t="e">
        <f t="shared" si="213"/>
        <v>#N/A</v>
      </c>
      <c r="CB172" t="e">
        <f t="shared" si="214"/>
        <v>#N/A</v>
      </c>
      <c r="CC172" t="e">
        <f t="shared" si="215"/>
        <v>#N/A</v>
      </c>
      <c r="CD172" t="e">
        <f t="shared" si="216"/>
        <v>#N/A</v>
      </c>
      <c r="CE172" t="e">
        <f t="shared" si="217"/>
        <v>#N/A</v>
      </c>
      <c r="CF172" t="e">
        <f t="shared" si="218"/>
        <v>#N/A</v>
      </c>
      <c r="CG172" t="e">
        <f t="shared" si="219"/>
        <v>#N/A</v>
      </c>
      <c r="CI172" t="e">
        <f>AL62</f>
        <v>#N/A</v>
      </c>
      <c r="CJ172" t="e">
        <f>AM62</f>
        <v>#N/A</v>
      </c>
      <c r="CK172">
        <f>IF(ISNUMBER(CI172),IFERROR(MAX(0,AN62-CI172),0),0)</f>
        <v>0</v>
      </c>
      <c r="CL172">
        <f>IF(ISNUMBER(CI172),IFERROR(MAX(0,CI172-AN62),0),0)</f>
        <v>0</v>
      </c>
      <c r="CM172">
        <f>IF(ISNUMBER(CJ172),IFERROR(MAX(0,AO62-CJ172),0),0)</f>
        <v>0</v>
      </c>
      <c r="CN172">
        <f>IF(ISNUMBER(CJ172),IFERROR(MAX(0,CJ172-AO62),0),0)</f>
        <v>0</v>
      </c>
      <c r="CP172" t="e">
        <f>BT62</f>
        <v>#N/A</v>
      </c>
      <c r="CQ172" t="e">
        <f>BU62</f>
        <v>#N/A</v>
      </c>
      <c r="CR172">
        <f>IF(ISNUMBER(CP172),IFERROR(MAX(0,BV62-CP172),0),0)</f>
        <v>0</v>
      </c>
      <c r="CS172">
        <f>IF(ISNUMBER(CP172),IFERROR(MAX(0,CP172-BV62),0),0)</f>
        <v>0</v>
      </c>
      <c r="CT172">
        <f>IF(ISNUMBER(CQ172),IFERROR(MAX(0,BW62-CQ172),0),0)</f>
        <v>0</v>
      </c>
      <c r="CU172">
        <f>IF(ISNUMBER(CQ172),IFERROR(MAX(0,CQ172-BW62),0),0)</f>
        <v>0</v>
      </c>
    </row>
    <row r="173" spans="21:99" x14ac:dyDescent="0.3">
      <c r="U173">
        <v>167</v>
      </c>
      <c r="V173">
        <f t="shared" si="164"/>
        <v>42</v>
      </c>
      <c r="W173">
        <f t="shared" si="165"/>
        <v>3</v>
      </c>
      <c r="X173">
        <f t="shared" si="166"/>
        <v>0</v>
      </c>
      <c r="Y173">
        <f>IF(X173&lt;&gt;1,9999,CHOOSE(W173,INDEX(Gantt!$BQ$7:$BQ$119,V173),INDEX(Gantt!$BR$7:$BR$119,V173),INDEX(Gantt!$BT$7:$BT$119,V173),INDEX(Gantt!$BU$7:$BU$119,V173)))</f>
        <v>9999</v>
      </c>
      <c r="Z173">
        <f t="shared" si="167"/>
        <v>0</v>
      </c>
      <c r="AA173" t="e">
        <f t="shared" si="168"/>
        <v>#N/A</v>
      </c>
      <c r="AB173" t="e">
        <f t="shared" si="169"/>
        <v>#N/A</v>
      </c>
      <c r="AC173" t="e">
        <f t="shared" si="170"/>
        <v>#N/A</v>
      </c>
      <c r="AD173" t="e">
        <f t="shared" si="171"/>
        <v>#N/A</v>
      </c>
      <c r="AE173" t="e">
        <f t="shared" si="172"/>
        <v>#N/A</v>
      </c>
      <c r="AF173" t="e">
        <f t="shared" si="173"/>
        <v>#N/A</v>
      </c>
      <c r="AG173" t="e">
        <f t="shared" si="174"/>
        <v>#N/A</v>
      </c>
      <c r="AH173" t="e">
        <f t="shared" si="175"/>
        <v>#N/A</v>
      </c>
      <c r="AI173" t="e">
        <f t="shared" si="176"/>
        <v>#N/A</v>
      </c>
      <c r="AJ173" t="e">
        <f t="shared" si="177"/>
        <v>#N/A</v>
      </c>
      <c r="AK173" t="e">
        <f t="shared" si="178"/>
        <v>#N/A</v>
      </c>
      <c r="AL173" t="e">
        <f t="shared" si="179"/>
        <v>#N/A</v>
      </c>
      <c r="AM173" t="e">
        <f t="shared" si="180"/>
        <v>#N/A</v>
      </c>
      <c r="AN173" t="e">
        <f t="shared" si="181"/>
        <v>#N/A</v>
      </c>
      <c r="AO173" t="e">
        <f t="shared" si="182"/>
        <v>#N/A</v>
      </c>
      <c r="AP173" t="e">
        <f t="shared" si="183"/>
        <v>#N/A</v>
      </c>
      <c r="AQ173" t="e">
        <f t="shared" si="184"/>
        <v>#N/A</v>
      </c>
      <c r="AR173" t="e">
        <f t="shared" si="185"/>
        <v>#N/A</v>
      </c>
      <c r="AS173" t="e">
        <f t="shared" si="186"/>
        <v>#N/A</v>
      </c>
      <c r="AT173" t="e">
        <f t="shared" si="187"/>
        <v>#N/A</v>
      </c>
      <c r="AU173" t="e">
        <f t="shared" si="188"/>
        <v>#N/A</v>
      </c>
      <c r="AV173" t="e">
        <f t="shared" si="189"/>
        <v>#N/A</v>
      </c>
      <c r="AW173" t="e">
        <f t="shared" si="190"/>
        <v>#N/A</v>
      </c>
      <c r="AX173" t="e">
        <f t="shared" si="191"/>
        <v>#N/A</v>
      </c>
      <c r="AY173" t="e">
        <f t="shared" si="192"/>
        <v>#N/A</v>
      </c>
      <c r="BE173" t="e">
        <f>IF(Z173=1,IF(INDEX($C$7:$C$126,V173)&gt;=Gantt!$BF$6,NA(),MATCH(INDEX($C$7:$C$126,V173),Gantt!$J$6:$BE$6,1)),NA())</f>
        <v>#N/A</v>
      </c>
      <c r="BF173" t="e">
        <f>IF(Z173=1,IF((INDEX($D$7:$D$126,AA173)-1)&gt;=Gantt!$BF$6,NA(),IF((INDEX($D$7:$D$126,AA173)-1)&lt;Gantt!$J$6,0,MATCH((INDEX($D$7:$D$126,AA173)-1),Gantt!$J$6:$BE$6,1))),NA())</f>
        <v>#N/A</v>
      </c>
      <c r="BG173" t="e">
        <f t="shared" si="193"/>
        <v>#N/A</v>
      </c>
      <c r="BH173" t="e">
        <f t="shared" si="194"/>
        <v>#N/A</v>
      </c>
      <c r="BI173" t="e">
        <f t="shared" si="195"/>
        <v>#N/A</v>
      </c>
      <c r="BJ173" t="e">
        <f t="shared" si="196"/>
        <v>#N/A</v>
      </c>
      <c r="BK173" t="e">
        <f t="shared" si="197"/>
        <v>#N/A</v>
      </c>
      <c r="BL173" t="e">
        <f t="shared" si="198"/>
        <v>#N/A</v>
      </c>
      <c r="BM173" t="e">
        <f t="shared" si="199"/>
        <v>#N/A</v>
      </c>
      <c r="BN173" t="e">
        <f t="shared" si="200"/>
        <v>#N/A</v>
      </c>
      <c r="BO173" t="e">
        <f t="shared" si="201"/>
        <v>#N/A</v>
      </c>
      <c r="BP173" t="e">
        <f t="shared" si="202"/>
        <v>#N/A</v>
      </c>
      <c r="BQ173" t="e">
        <f t="shared" si="203"/>
        <v>#N/A</v>
      </c>
      <c r="BR173" t="e">
        <f t="shared" si="204"/>
        <v>#N/A</v>
      </c>
      <c r="BS173" t="e">
        <f t="shared" si="205"/>
        <v>#N/A</v>
      </c>
      <c r="BT173" t="e">
        <f t="shared" si="206"/>
        <v>#N/A</v>
      </c>
      <c r="BU173" t="e">
        <f t="shared" si="207"/>
        <v>#N/A</v>
      </c>
      <c r="BV173" t="e">
        <f t="shared" si="208"/>
        <v>#N/A</v>
      </c>
      <c r="BW173" t="e">
        <f t="shared" si="209"/>
        <v>#N/A</v>
      </c>
      <c r="BX173" t="e">
        <f t="shared" si="210"/>
        <v>#N/A</v>
      </c>
      <c r="BY173" t="e">
        <f t="shared" si="211"/>
        <v>#N/A</v>
      </c>
      <c r="BZ173" t="e">
        <f t="shared" si="212"/>
        <v>#N/A</v>
      </c>
      <c r="CA173" t="e">
        <f t="shared" si="213"/>
        <v>#N/A</v>
      </c>
      <c r="CB173" t="e">
        <f t="shared" si="214"/>
        <v>#N/A</v>
      </c>
      <c r="CC173" t="e">
        <f t="shared" si="215"/>
        <v>#N/A</v>
      </c>
      <c r="CD173" t="e">
        <f t="shared" si="216"/>
        <v>#N/A</v>
      </c>
      <c r="CE173" t="e">
        <f t="shared" si="217"/>
        <v>#N/A</v>
      </c>
      <c r="CF173" t="e">
        <f t="shared" si="218"/>
        <v>#N/A</v>
      </c>
      <c r="CG173" t="e">
        <f t="shared" si="219"/>
        <v>#N/A</v>
      </c>
      <c r="CI173" t="e">
        <f>AP62</f>
        <v>#N/A</v>
      </c>
      <c r="CJ173" t="e">
        <f>AQ62</f>
        <v>#N/A</v>
      </c>
      <c r="CK173">
        <f>IF(ISNUMBER(CI173),IFERROR(MAX(0,AR62-CI173),0),0)</f>
        <v>0</v>
      </c>
      <c r="CL173">
        <f>IF(ISNUMBER(CI173),IFERROR(MAX(0,CI173-AR62),0),0)</f>
        <v>0</v>
      </c>
      <c r="CM173">
        <f>IF(ISNUMBER(CJ173),IFERROR(MAX(0,AS62-CJ173),0),0)</f>
        <v>0</v>
      </c>
      <c r="CN173">
        <f>IF(ISNUMBER(CJ173),IFERROR(MAX(0,CJ173-AS62),0),0)</f>
        <v>0</v>
      </c>
      <c r="CP173" t="e">
        <f>BX62</f>
        <v>#N/A</v>
      </c>
      <c r="CQ173" t="e">
        <f>BY62</f>
        <v>#N/A</v>
      </c>
      <c r="CR173">
        <f>IF(ISNUMBER(CP173),IFERROR(MAX(0,BZ62-CP173),0),0)</f>
        <v>0</v>
      </c>
      <c r="CS173">
        <f>IF(ISNUMBER(CP173),IFERROR(MAX(0,CP173-BZ62),0),0)</f>
        <v>0</v>
      </c>
      <c r="CT173">
        <f>IF(ISNUMBER(CQ173),IFERROR(MAX(0,CA62-CQ173),0),0)</f>
        <v>0</v>
      </c>
      <c r="CU173">
        <f>IF(ISNUMBER(CQ173),IFERROR(MAX(0,CQ173-CA62),0),0)</f>
        <v>0</v>
      </c>
    </row>
    <row r="174" spans="21:99" x14ac:dyDescent="0.3">
      <c r="U174">
        <v>168</v>
      </c>
      <c r="V174">
        <f t="shared" si="164"/>
        <v>42</v>
      </c>
      <c r="W174">
        <f t="shared" si="165"/>
        <v>4</v>
      </c>
      <c r="X174">
        <f t="shared" si="166"/>
        <v>0</v>
      </c>
      <c r="Y174">
        <f>IF(X174&lt;&gt;1,9999,CHOOSE(W174,INDEX(Gantt!$BQ$7:$BQ$119,V174),INDEX(Gantt!$BR$7:$BR$119,V174),INDEX(Gantt!$BT$7:$BT$119,V174),INDEX(Gantt!$BU$7:$BU$119,V174)))</f>
        <v>9999</v>
      </c>
      <c r="Z174">
        <f t="shared" si="167"/>
        <v>0</v>
      </c>
      <c r="AA174" t="e">
        <f t="shared" si="168"/>
        <v>#N/A</v>
      </c>
      <c r="AB174" t="e">
        <f t="shared" si="169"/>
        <v>#N/A</v>
      </c>
      <c r="AC174" t="e">
        <f t="shared" si="170"/>
        <v>#N/A</v>
      </c>
      <c r="AD174" t="e">
        <f t="shared" si="171"/>
        <v>#N/A</v>
      </c>
      <c r="AE174" t="e">
        <f t="shared" si="172"/>
        <v>#N/A</v>
      </c>
      <c r="AF174" t="e">
        <f t="shared" si="173"/>
        <v>#N/A</v>
      </c>
      <c r="AG174" t="e">
        <f t="shared" si="174"/>
        <v>#N/A</v>
      </c>
      <c r="AH174" t="e">
        <f t="shared" si="175"/>
        <v>#N/A</v>
      </c>
      <c r="AI174" t="e">
        <f t="shared" si="176"/>
        <v>#N/A</v>
      </c>
      <c r="AJ174" t="e">
        <f t="shared" si="177"/>
        <v>#N/A</v>
      </c>
      <c r="AK174" t="e">
        <f t="shared" si="178"/>
        <v>#N/A</v>
      </c>
      <c r="AL174" t="e">
        <f t="shared" si="179"/>
        <v>#N/A</v>
      </c>
      <c r="AM174" t="e">
        <f t="shared" si="180"/>
        <v>#N/A</v>
      </c>
      <c r="AN174" t="e">
        <f t="shared" si="181"/>
        <v>#N/A</v>
      </c>
      <c r="AO174" t="e">
        <f t="shared" si="182"/>
        <v>#N/A</v>
      </c>
      <c r="AP174" t="e">
        <f t="shared" si="183"/>
        <v>#N/A</v>
      </c>
      <c r="AQ174" t="e">
        <f t="shared" si="184"/>
        <v>#N/A</v>
      </c>
      <c r="AR174" t="e">
        <f t="shared" si="185"/>
        <v>#N/A</v>
      </c>
      <c r="AS174" t="e">
        <f t="shared" si="186"/>
        <v>#N/A</v>
      </c>
      <c r="AT174" t="e">
        <f t="shared" si="187"/>
        <v>#N/A</v>
      </c>
      <c r="AU174" t="e">
        <f t="shared" si="188"/>
        <v>#N/A</v>
      </c>
      <c r="AV174" t="e">
        <f t="shared" si="189"/>
        <v>#N/A</v>
      </c>
      <c r="AW174" t="e">
        <f t="shared" si="190"/>
        <v>#N/A</v>
      </c>
      <c r="AX174" t="e">
        <f t="shared" si="191"/>
        <v>#N/A</v>
      </c>
      <c r="AY174" t="e">
        <f t="shared" si="192"/>
        <v>#N/A</v>
      </c>
      <c r="BE174" t="e">
        <f>IF(Z174=1,IF(INDEX($C$7:$C$126,V174)&gt;=Gantt!$BF$6,NA(),MATCH(INDEX($C$7:$C$126,V174),Gantt!$J$6:$BE$6,1)),NA())</f>
        <v>#N/A</v>
      </c>
      <c r="BF174" t="e">
        <f>IF(Z174=1,IF((INDEX($D$7:$D$126,AA174)-1)&gt;=Gantt!$BF$6,NA(),IF((INDEX($D$7:$D$126,AA174)-1)&lt;Gantt!$J$6,0,MATCH((INDEX($D$7:$D$126,AA174)-1),Gantt!$J$6:$BE$6,1))),NA())</f>
        <v>#N/A</v>
      </c>
      <c r="BG174" t="e">
        <f t="shared" si="193"/>
        <v>#N/A</v>
      </c>
      <c r="BH174" t="e">
        <f t="shared" si="194"/>
        <v>#N/A</v>
      </c>
      <c r="BI174" t="e">
        <f t="shared" si="195"/>
        <v>#N/A</v>
      </c>
      <c r="BJ174" t="e">
        <f t="shared" si="196"/>
        <v>#N/A</v>
      </c>
      <c r="BK174" t="e">
        <f t="shared" si="197"/>
        <v>#N/A</v>
      </c>
      <c r="BL174" t="e">
        <f t="shared" si="198"/>
        <v>#N/A</v>
      </c>
      <c r="BM174" t="e">
        <f t="shared" si="199"/>
        <v>#N/A</v>
      </c>
      <c r="BN174" t="e">
        <f t="shared" si="200"/>
        <v>#N/A</v>
      </c>
      <c r="BO174" t="e">
        <f t="shared" si="201"/>
        <v>#N/A</v>
      </c>
      <c r="BP174" t="e">
        <f t="shared" si="202"/>
        <v>#N/A</v>
      </c>
      <c r="BQ174" t="e">
        <f t="shared" si="203"/>
        <v>#N/A</v>
      </c>
      <c r="BR174" t="e">
        <f t="shared" si="204"/>
        <v>#N/A</v>
      </c>
      <c r="BS174" t="e">
        <f t="shared" si="205"/>
        <v>#N/A</v>
      </c>
      <c r="BT174" t="e">
        <f t="shared" si="206"/>
        <v>#N/A</v>
      </c>
      <c r="BU174" t="e">
        <f t="shared" si="207"/>
        <v>#N/A</v>
      </c>
      <c r="BV174" t="e">
        <f t="shared" si="208"/>
        <v>#N/A</v>
      </c>
      <c r="BW174" t="e">
        <f t="shared" si="209"/>
        <v>#N/A</v>
      </c>
      <c r="BX174" t="e">
        <f t="shared" si="210"/>
        <v>#N/A</v>
      </c>
      <c r="BY174" t="e">
        <f t="shared" si="211"/>
        <v>#N/A</v>
      </c>
      <c r="BZ174" t="e">
        <f t="shared" si="212"/>
        <v>#N/A</v>
      </c>
      <c r="CA174" t="e">
        <f t="shared" si="213"/>
        <v>#N/A</v>
      </c>
      <c r="CB174" t="e">
        <f t="shared" si="214"/>
        <v>#N/A</v>
      </c>
      <c r="CC174" t="e">
        <f t="shared" si="215"/>
        <v>#N/A</v>
      </c>
      <c r="CD174" t="e">
        <f t="shared" si="216"/>
        <v>#N/A</v>
      </c>
      <c r="CE174" t="e">
        <f t="shared" si="217"/>
        <v>#N/A</v>
      </c>
      <c r="CF174" t="e">
        <f t="shared" si="218"/>
        <v>#N/A</v>
      </c>
      <c r="CG174" t="e">
        <f t="shared" si="219"/>
        <v>#N/A</v>
      </c>
      <c r="CI174" t="e">
        <f>AT62</f>
        <v>#N/A</v>
      </c>
      <c r="CJ174" t="e">
        <f>AU62</f>
        <v>#N/A</v>
      </c>
      <c r="CK174">
        <f>IF(ISNUMBER(CI174),IFERROR(MAX(0,AV62-CI174),0),0)</f>
        <v>0</v>
      </c>
      <c r="CL174">
        <f>IF(ISNUMBER(CI174),IFERROR(MAX(0,CI174-AV62),0),0)</f>
        <v>0</v>
      </c>
      <c r="CM174">
        <f>IF(ISNUMBER(CJ174),IFERROR(MAX(0,AW62-CJ174),0),0)</f>
        <v>0</v>
      </c>
      <c r="CN174">
        <f>IF(ISNUMBER(CJ174),IFERROR(MAX(0,CJ174-AW62),0),0)</f>
        <v>0</v>
      </c>
      <c r="CP174" t="e">
        <f>CB62</f>
        <v>#N/A</v>
      </c>
      <c r="CQ174" t="e">
        <f>CC62</f>
        <v>#N/A</v>
      </c>
      <c r="CR174">
        <f>IF(ISNUMBER(CP174),IFERROR(MAX(0,CD62-CP174),0),0)</f>
        <v>0</v>
      </c>
      <c r="CS174">
        <f>IF(ISNUMBER(CP174),IFERROR(MAX(0,CP174-CD62),0),0)</f>
        <v>0</v>
      </c>
      <c r="CT174">
        <f>IF(ISNUMBER(CQ174),IFERROR(MAX(0,CE62-CQ174),0),0)</f>
        <v>0</v>
      </c>
      <c r="CU174">
        <f>IF(ISNUMBER(CQ174),IFERROR(MAX(0,CQ174-CE62),0),0)</f>
        <v>0</v>
      </c>
    </row>
    <row r="175" spans="21:99" x14ac:dyDescent="0.3">
      <c r="U175">
        <v>169</v>
      </c>
      <c r="V175">
        <f t="shared" si="164"/>
        <v>43</v>
      </c>
      <c r="W175">
        <f t="shared" si="165"/>
        <v>1</v>
      </c>
      <c r="X175">
        <f t="shared" si="166"/>
        <v>0</v>
      </c>
      <c r="Y175">
        <f>IF(X175&lt;&gt;1,9999,CHOOSE(W175,INDEX(Gantt!$BQ$7:$BQ$119,V175),INDEX(Gantt!$BR$7:$BR$119,V175),INDEX(Gantt!$BT$7:$BT$119,V175),INDEX(Gantt!$BU$7:$BU$119,V175)))</f>
        <v>9999</v>
      </c>
      <c r="Z175">
        <f t="shared" si="167"/>
        <v>0</v>
      </c>
      <c r="AA175" t="e">
        <f t="shared" si="168"/>
        <v>#N/A</v>
      </c>
      <c r="AB175" t="e">
        <f t="shared" si="169"/>
        <v>#N/A</v>
      </c>
      <c r="AC175" t="e">
        <f t="shared" si="170"/>
        <v>#N/A</v>
      </c>
      <c r="AD175" t="e">
        <f t="shared" si="171"/>
        <v>#N/A</v>
      </c>
      <c r="AE175" t="e">
        <f t="shared" si="172"/>
        <v>#N/A</v>
      </c>
      <c r="AF175" t="e">
        <f t="shared" si="173"/>
        <v>#N/A</v>
      </c>
      <c r="AG175" t="e">
        <f t="shared" si="174"/>
        <v>#N/A</v>
      </c>
      <c r="AH175" t="e">
        <f t="shared" si="175"/>
        <v>#N/A</v>
      </c>
      <c r="AI175" t="e">
        <f t="shared" si="176"/>
        <v>#N/A</v>
      </c>
      <c r="AJ175" t="e">
        <f t="shared" si="177"/>
        <v>#N/A</v>
      </c>
      <c r="AK175" t="e">
        <f t="shared" si="178"/>
        <v>#N/A</v>
      </c>
      <c r="AL175" t="e">
        <f t="shared" si="179"/>
        <v>#N/A</v>
      </c>
      <c r="AM175" t="e">
        <f t="shared" si="180"/>
        <v>#N/A</v>
      </c>
      <c r="AN175" t="e">
        <f t="shared" si="181"/>
        <v>#N/A</v>
      </c>
      <c r="AO175" t="e">
        <f t="shared" si="182"/>
        <v>#N/A</v>
      </c>
      <c r="AP175" t="e">
        <f t="shared" si="183"/>
        <v>#N/A</v>
      </c>
      <c r="AQ175" t="e">
        <f t="shared" si="184"/>
        <v>#N/A</v>
      </c>
      <c r="AR175" t="e">
        <f t="shared" si="185"/>
        <v>#N/A</v>
      </c>
      <c r="AS175" t="e">
        <f t="shared" si="186"/>
        <v>#N/A</v>
      </c>
      <c r="AT175" t="e">
        <f t="shared" si="187"/>
        <v>#N/A</v>
      </c>
      <c r="AU175" t="e">
        <f t="shared" si="188"/>
        <v>#N/A</v>
      </c>
      <c r="AV175" t="e">
        <f t="shared" si="189"/>
        <v>#N/A</v>
      </c>
      <c r="AW175" t="e">
        <f t="shared" si="190"/>
        <v>#N/A</v>
      </c>
      <c r="AX175" t="e">
        <f t="shared" si="191"/>
        <v>#N/A</v>
      </c>
      <c r="AY175" t="e">
        <f t="shared" si="192"/>
        <v>#N/A</v>
      </c>
      <c r="BE175" t="e">
        <f>IF(Z175=1,IF(INDEX($C$7:$C$126,V175)&gt;=Gantt!$BF$6,NA(),MATCH(INDEX($C$7:$C$126,V175),Gantt!$J$6:$BE$6,1)),NA())</f>
        <v>#N/A</v>
      </c>
      <c r="BF175" t="e">
        <f>IF(Z175=1,IF((INDEX($D$7:$D$126,AA175)-1)&gt;=Gantt!$BF$6,NA(),IF((INDEX($D$7:$D$126,AA175)-1)&lt;Gantt!$J$6,0,MATCH((INDEX($D$7:$D$126,AA175)-1),Gantt!$J$6:$BE$6,1))),NA())</f>
        <v>#N/A</v>
      </c>
      <c r="BG175" t="e">
        <f t="shared" si="193"/>
        <v>#N/A</v>
      </c>
      <c r="BH175" t="e">
        <f t="shared" si="194"/>
        <v>#N/A</v>
      </c>
      <c r="BI175" t="e">
        <f t="shared" si="195"/>
        <v>#N/A</v>
      </c>
      <c r="BJ175" t="e">
        <f t="shared" si="196"/>
        <v>#N/A</v>
      </c>
      <c r="BK175" t="e">
        <f t="shared" si="197"/>
        <v>#N/A</v>
      </c>
      <c r="BL175" t="e">
        <f t="shared" si="198"/>
        <v>#N/A</v>
      </c>
      <c r="BM175" t="e">
        <f t="shared" si="199"/>
        <v>#N/A</v>
      </c>
      <c r="BN175" t="e">
        <f t="shared" si="200"/>
        <v>#N/A</v>
      </c>
      <c r="BO175" t="e">
        <f t="shared" si="201"/>
        <v>#N/A</v>
      </c>
      <c r="BP175" t="e">
        <f t="shared" si="202"/>
        <v>#N/A</v>
      </c>
      <c r="BQ175" t="e">
        <f t="shared" si="203"/>
        <v>#N/A</v>
      </c>
      <c r="BR175" t="e">
        <f t="shared" si="204"/>
        <v>#N/A</v>
      </c>
      <c r="BS175" t="e">
        <f t="shared" si="205"/>
        <v>#N/A</v>
      </c>
      <c r="BT175" t="e">
        <f t="shared" si="206"/>
        <v>#N/A</v>
      </c>
      <c r="BU175" t="e">
        <f t="shared" si="207"/>
        <v>#N/A</v>
      </c>
      <c r="BV175" t="e">
        <f t="shared" si="208"/>
        <v>#N/A</v>
      </c>
      <c r="BW175" t="e">
        <f t="shared" si="209"/>
        <v>#N/A</v>
      </c>
      <c r="BX175" t="e">
        <f t="shared" si="210"/>
        <v>#N/A</v>
      </c>
      <c r="BY175" t="e">
        <f t="shared" si="211"/>
        <v>#N/A</v>
      </c>
      <c r="BZ175" t="e">
        <f t="shared" si="212"/>
        <v>#N/A</v>
      </c>
      <c r="CA175" t="e">
        <f t="shared" si="213"/>
        <v>#N/A</v>
      </c>
      <c r="CB175" t="e">
        <f t="shared" si="214"/>
        <v>#N/A</v>
      </c>
      <c r="CC175" t="e">
        <f t="shared" si="215"/>
        <v>#N/A</v>
      </c>
      <c r="CD175" t="e">
        <f t="shared" si="216"/>
        <v>#N/A</v>
      </c>
      <c r="CE175" t="e">
        <f t="shared" si="217"/>
        <v>#N/A</v>
      </c>
      <c r="CF175" t="e">
        <f t="shared" si="218"/>
        <v>#N/A</v>
      </c>
      <c r="CG175" t="e">
        <f t="shared" si="219"/>
        <v>#N/A</v>
      </c>
      <c r="CI175" t="e">
        <f>AL63</f>
        <v>#N/A</v>
      </c>
      <c r="CJ175" t="e">
        <f>AM63</f>
        <v>#N/A</v>
      </c>
      <c r="CK175">
        <f>IF(ISNUMBER(CI175),IFERROR(MAX(0,AN63-CI175),0),0)</f>
        <v>0</v>
      </c>
      <c r="CL175">
        <f>IF(ISNUMBER(CI175),IFERROR(MAX(0,CI175-AN63),0),0)</f>
        <v>0</v>
      </c>
      <c r="CM175">
        <f>IF(ISNUMBER(CJ175),IFERROR(MAX(0,AO63-CJ175),0),0)</f>
        <v>0</v>
      </c>
      <c r="CN175">
        <f>IF(ISNUMBER(CJ175),IFERROR(MAX(0,CJ175-AO63),0),0)</f>
        <v>0</v>
      </c>
      <c r="CP175" t="e">
        <f>BT63</f>
        <v>#N/A</v>
      </c>
      <c r="CQ175" t="e">
        <f>BU63</f>
        <v>#N/A</v>
      </c>
      <c r="CR175">
        <f>IF(ISNUMBER(CP175),IFERROR(MAX(0,BV63-CP175),0),0)</f>
        <v>0</v>
      </c>
      <c r="CS175">
        <f>IF(ISNUMBER(CP175),IFERROR(MAX(0,CP175-BV63),0),0)</f>
        <v>0</v>
      </c>
      <c r="CT175">
        <f>IF(ISNUMBER(CQ175),IFERROR(MAX(0,BW63-CQ175),0),0)</f>
        <v>0</v>
      </c>
      <c r="CU175">
        <f>IF(ISNUMBER(CQ175),IFERROR(MAX(0,CQ175-BW63),0),0)</f>
        <v>0</v>
      </c>
    </row>
    <row r="176" spans="21:99" x14ac:dyDescent="0.3">
      <c r="U176">
        <v>170</v>
      </c>
      <c r="V176">
        <f t="shared" si="164"/>
        <v>43</v>
      </c>
      <c r="W176">
        <f t="shared" si="165"/>
        <v>2</v>
      </c>
      <c r="X176">
        <f t="shared" si="166"/>
        <v>0</v>
      </c>
      <c r="Y176">
        <f>IF(X176&lt;&gt;1,9999,CHOOSE(W176,INDEX(Gantt!$BQ$7:$BQ$119,V176),INDEX(Gantt!$BR$7:$BR$119,V176),INDEX(Gantt!$BT$7:$BT$119,V176),INDEX(Gantt!$BU$7:$BU$119,V176)))</f>
        <v>9999</v>
      </c>
      <c r="Z176">
        <f t="shared" si="167"/>
        <v>0</v>
      </c>
      <c r="AA176" t="e">
        <f t="shared" si="168"/>
        <v>#N/A</v>
      </c>
      <c r="AB176" t="e">
        <f t="shared" si="169"/>
        <v>#N/A</v>
      </c>
      <c r="AC176" t="e">
        <f t="shared" si="170"/>
        <v>#N/A</v>
      </c>
      <c r="AD176" t="e">
        <f t="shared" si="171"/>
        <v>#N/A</v>
      </c>
      <c r="AE176" t="e">
        <f t="shared" si="172"/>
        <v>#N/A</v>
      </c>
      <c r="AF176" t="e">
        <f t="shared" si="173"/>
        <v>#N/A</v>
      </c>
      <c r="AG176" t="e">
        <f t="shared" si="174"/>
        <v>#N/A</v>
      </c>
      <c r="AH176" t="e">
        <f t="shared" si="175"/>
        <v>#N/A</v>
      </c>
      <c r="AI176" t="e">
        <f t="shared" si="176"/>
        <v>#N/A</v>
      </c>
      <c r="AJ176" t="e">
        <f t="shared" si="177"/>
        <v>#N/A</v>
      </c>
      <c r="AK176" t="e">
        <f t="shared" si="178"/>
        <v>#N/A</v>
      </c>
      <c r="AL176" t="e">
        <f t="shared" si="179"/>
        <v>#N/A</v>
      </c>
      <c r="AM176" t="e">
        <f t="shared" si="180"/>
        <v>#N/A</v>
      </c>
      <c r="AN176" t="e">
        <f t="shared" si="181"/>
        <v>#N/A</v>
      </c>
      <c r="AO176" t="e">
        <f t="shared" si="182"/>
        <v>#N/A</v>
      </c>
      <c r="AP176" t="e">
        <f t="shared" si="183"/>
        <v>#N/A</v>
      </c>
      <c r="AQ176" t="e">
        <f t="shared" si="184"/>
        <v>#N/A</v>
      </c>
      <c r="AR176" t="e">
        <f t="shared" si="185"/>
        <v>#N/A</v>
      </c>
      <c r="AS176" t="e">
        <f t="shared" si="186"/>
        <v>#N/A</v>
      </c>
      <c r="AT176" t="e">
        <f t="shared" si="187"/>
        <v>#N/A</v>
      </c>
      <c r="AU176" t="e">
        <f t="shared" si="188"/>
        <v>#N/A</v>
      </c>
      <c r="AV176" t="e">
        <f t="shared" si="189"/>
        <v>#N/A</v>
      </c>
      <c r="AW176" t="e">
        <f t="shared" si="190"/>
        <v>#N/A</v>
      </c>
      <c r="AX176" t="e">
        <f t="shared" si="191"/>
        <v>#N/A</v>
      </c>
      <c r="AY176" t="e">
        <f t="shared" si="192"/>
        <v>#N/A</v>
      </c>
      <c r="BE176" t="e">
        <f>IF(Z176=1,IF(INDEX($C$7:$C$126,V176)&gt;=Gantt!$BF$6,NA(),MATCH(INDEX($C$7:$C$126,V176),Gantt!$J$6:$BE$6,1)),NA())</f>
        <v>#N/A</v>
      </c>
      <c r="BF176" t="e">
        <f>IF(Z176=1,IF((INDEX($D$7:$D$126,AA176)-1)&gt;=Gantt!$BF$6,NA(),IF((INDEX($D$7:$D$126,AA176)-1)&lt;Gantt!$J$6,0,MATCH((INDEX($D$7:$D$126,AA176)-1),Gantt!$J$6:$BE$6,1))),NA())</f>
        <v>#N/A</v>
      </c>
      <c r="BG176" t="e">
        <f t="shared" si="193"/>
        <v>#N/A</v>
      </c>
      <c r="BH176" t="e">
        <f t="shared" si="194"/>
        <v>#N/A</v>
      </c>
      <c r="BI176" t="e">
        <f t="shared" si="195"/>
        <v>#N/A</v>
      </c>
      <c r="BJ176" t="e">
        <f t="shared" si="196"/>
        <v>#N/A</v>
      </c>
      <c r="BK176" t="e">
        <f t="shared" si="197"/>
        <v>#N/A</v>
      </c>
      <c r="BL176" t="e">
        <f t="shared" si="198"/>
        <v>#N/A</v>
      </c>
      <c r="BM176" t="e">
        <f t="shared" si="199"/>
        <v>#N/A</v>
      </c>
      <c r="BN176" t="e">
        <f t="shared" si="200"/>
        <v>#N/A</v>
      </c>
      <c r="BO176" t="e">
        <f t="shared" si="201"/>
        <v>#N/A</v>
      </c>
      <c r="BP176" t="e">
        <f t="shared" si="202"/>
        <v>#N/A</v>
      </c>
      <c r="BQ176" t="e">
        <f t="shared" si="203"/>
        <v>#N/A</v>
      </c>
      <c r="BR176" t="e">
        <f t="shared" si="204"/>
        <v>#N/A</v>
      </c>
      <c r="BS176" t="e">
        <f t="shared" si="205"/>
        <v>#N/A</v>
      </c>
      <c r="BT176" t="e">
        <f t="shared" si="206"/>
        <v>#N/A</v>
      </c>
      <c r="BU176" t="e">
        <f t="shared" si="207"/>
        <v>#N/A</v>
      </c>
      <c r="BV176" t="e">
        <f t="shared" si="208"/>
        <v>#N/A</v>
      </c>
      <c r="BW176" t="e">
        <f t="shared" si="209"/>
        <v>#N/A</v>
      </c>
      <c r="BX176" t="e">
        <f t="shared" si="210"/>
        <v>#N/A</v>
      </c>
      <c r="BY176" t="e">
        <f t="shared" si="211"/>
        <v>#N/A</v>
      </c>
      <c r="BZ176" t="e">
        <f t="shared" si="212"/>
        <v>#N/A</v>
      </c>
      <c r="CA176" t="e">
        <f t="shared" si="213"/>
        <v>#N/A</v>
      </c>
      <c r="CB176" t="e">
        <f t="shared" si="214"/>
        <v>#N/A</v>
      </c>
      <c r="CC176" t="e">
        <f t="shared" si="215"/>
        <v>#N/A</v>
      </c>
      <c r="CD176" t="e">
        <f t="shared" si="216"/>
        <v>#N/A</v>
      </c>
      <c r="CE176" t="e">
        <f t="shared" si="217"/>
        <v>#N/A</v>
      </c>
      <c r="CF176" t="e">
        <f t="shared" si="218"/>
        <v>#N/A</v>
      </c>
      <c r="CG176" t="e">
        <f t="shared" si="219"/>
        <v>#N/A</v>
      </c>
      <c r="CI176" t="e">
        <f>AP63</f>
        <v>#N/A</v>
      </c>
      <c r="CJ176" t="e">
        <f>AQ63</f>
        <v>#N/A</v>
      </c>
      <c r="CK176">
        <f>IF(ISNUMBER(CI176),IFERROR(MAX(0,AR63-CI176),0),0)</f>
        <v>0</v>
      </c>
      <c r="CL176">
        <f>IF(ISNUMBER(CI176),IFERROR(MAX(0,CI176-AR63),0),0)</f>
        <v>0</v>
      </c>
      <c r="CM176">
        <f>IF(ISNUMBER(CJ176),IFERROR(MAX(0,AS63-CJ176),0),0)</f>
        <v>0</v>
      </c>
      <c r="CN176">
        <f>IF(ISNUMBER(CJ176),IFERROR(MAX(0,CJ176-AS63),0),0)</f>
        <v>0</v>
      </c>
      <c r="CP176" t="e">
        <f>BX63</f>
        <v>#N/A</v>
      </c>
      <c r="CQ176" t="e">
        <f>BY63</f>
        <v>#N/A</v>
      </c>
      <c r="CR176">
        <f>IF(ISNUMBER(CP176),IFERROR(MAX(0,BZ63-CP176),0),0)</f>
        <v>0</v>
      </c>
      <c r="CS176">
        <f>IF(ISNUMBER(CP176),IFERROR(MAX(0,CP176-BZ63),0),0)</f>
        <v>0</v>
      </c>
      <c r="CT176">
        <f>IF(ISNUMBER(CQ176),IFERROR(MAX(0,CA63-CQ176),0),0)</f>
        <v>0</v>
      </c>
      <c r="CU176">
        <f>IF(ISNUMBER(CQ176),IFERROR(MAX(0,CQ176-CA63),0),0)</f>
        <v>0</v>
      </c>
    </row>
    <row r="177" spans="21:99" x14ac:dyDescent="0.3">
      <c r="U177">
        <v>171</v>
      </c>
      <c r="V177">
        <f t="shared" si="164"/>
        <v>43</v>
      </c>
      <c r="W177">
        <f t="shared" si="165"/>
        <v>3</v>
      </c>
      <c r="X177">
        <f t="shared" si="166"/>
        <v>0</v>
      </c>
      <c r="Y177">
        <f>IF(X177&lt;&gt;1,9999,CHOOSE(W177,INDEX(Gantt!$BQ$7:$BQ$119,V177),INDEX(Gantt!$BR$7:$BR$119,V177),INDEX(Gantt!$BT$7:$BT$119,V177),INDEX(Gantt!$BU$7:$BU$119,V177)))</f>
        <v>9999</v>
      </c>
      <c r="Z177">
        <f t="shared" si="167"/>
        <v>0</v>
      </c>
      <c r="AA177" t="e">
        <f t="shared" si="168"/>
        <v>#N/A</v>
      </c>
      <c r="AB177" t="e">
        <f t="shared" si="169"/>
        <v>#N/A</v>
      </c>
      <c r="AC177" t="e">
        <f t="shared" si="170"/>
        <v>#N/A</v>
      </c>
      <c r="AD177" t="e">
        <f t="shared" si="171"/>
        <v>#N/A</v>
      </c>
      <c r="AE177" t="e">
        <f t="shared" si="172"/>
        <v>#N/A</v>
      </c>
      <c r="AF177" t="e">
        <f t="shared" si="173"/>
        <v>#N/A</v>
      </c>
      <c r="AG177" t="e">
        <f t="shared" si="174"/>
        <v>#N/A</v>
      </c>
      <c r="AH177" t="e">
        <f t="shared" si="175"/>
        <v>#N/A</v>
      </c>
      <c r="AI177" t="e">
        <f t="shared" si="176"/>
        <v>#N/A</v>
      </c>
      <c r="AJ177" t="e">
        <f t="shared" si="177"/>
        <v>#N/A</v>
      </c>
      <c r="AK177" t="e">
        <f t="shared" si="178"/>
        <v>#N/A</v>
      </c>
      <c r="AL177" t="e">
        <f t="shared" si="179"/>
        <v>#N/A</v>
      </c>
      <c r="AM177" t="e">
        <f t="shared" si="180"/>
        <v>#N/A</v>
      </c>
      <c r="AN177" t="e">
        <f t="shared" si="181"/>
        <v>#N/A</v>
      </c>
      <c r="AO177" t="e">
        <f t="shared" si="182"/>
        <v>#N/A</v>
      </c>
      <c r="AP177" t="e">
        <f t="shared" si="183"/>
        <v>#N/A</v>
      </c>
      <c r="AQ177" t="e">
        <f t="shared" si="184"/>
        <v>#N/A</v>
      </c>
      <c r="AR177" t="e">
        <f t="shared" si="185"/>
        <v>#N/A</v>
      </c>
      <c r="AS177" t="e">
        <f t="shared" si="186"/>
        <v>#N/A</v>
      </c>
      <c r="AT177" t="e">
        <f t="shared" si="187"/>
        <v>#N/A</v>
      </c>
      <c r="AU177" t="e">
        <f t="shared" si="188"/>
        <v>#N/A</v>
      </c>
      <c r="AV177" t="e">
        <f t="shared" si="189"/>
        <v>#N/A</v>
      </c>
      <c r="AW177" t="e">
        <f t="shared" si="190"/>
        <v>#N/A</v>
      </c>
      <c r="AX177" t="e">
        <f t="shared" si="191"/>
        <v>#N/A</v>
      </c>
      <c r="AY177" t="e">
        <f t="shared" si="192"/>
        <v>#N/A</v>
      </c>
      <c r="BE177" t="e">
        <f>IF(Z177=1,IF(INDEX($C$7:$C$126,V177)&gt;=Gantt!$BF$6,NA(),MATCH(INDEX($C$7:$C$126,V177),Gantt!$J$6:$BE$6,1)),NA())</f>
        <v>#N/A</v>
      </c>
      <c r="BF177" t="e">
        <f>IF(Z177=1,IF((INDEX($D$7:$D$126,AA177)-1)&gt;=Gantt!$BF$6,NA(),IF((INDEX($D$7:$D$126,AA177)-1)&lt;Gantt!$J$6,0,MATCH((INDEX($D$7:$D$126,AA177)-1),Gantt!$J$6:$BE$6,1))),NA())</f>
        <v>#N/A</v>
      </c>
      <c r="BG177" t="e">
        <f t="shared" si="193"/>
        <v>#N/A</v>
      </c>
      <c r="BH177" t="e">
        <f t="shared" si="194"/>
        <v>#N/A</v>
      </c>
      <c r="BI177" t="e">
        <f t="shared" si="195"/>
        <v>#N/A</v>
      </c>
      <c r="BJ177" t="e">
        <f t="shared" si="196"/>
        <v>#N/A</v>
      </c>
      <c r="BK177" t="e">
        <f t="shared" si="197"/>
        <v>#N/A</v>
      </c>
      <c r="BL177" t="e">
        <f t="shared" si="198"/>
        <v>#N/A</v>
      </c>
      <c r="BM177" t="e">
        <f t="shared" si="199"/>
        <v>#N/A</v>
      </c>
      <c r="BN177" t="e">
        <f t="shared" si="200"/>
        <v>#N/A</v>
      </c>
      <c r="BO177" t="e">
        <f t="shared" si="201"/>
        <v>#N/A</v>
      </c>
      <c r="BP177" t="e">
        <f t="shared" si="202"/>
        <v>#N/A</v>
      </c>
      <c r="BQ177" t="e">
        <f t="shared" si="203"/>
        <v>#N/A</v>
      </c>
      <c r="BR177" t="e">
        <f t="shared" si="204"/>
        <v>#N/A</v>
      </c>
      <c r="BS177" t="e">
        <f t="shared" si="205"/>
        <v>#N/A</v>
      </c>
      <c r="BT177" t="e">
        <f t="shared" si="206"/>
        <v>#N/A</v>
      </c>
      <c r="BU177" t="e">
        <f t="shared" si="207"/>
        <v>#N/A</v>
      </c>
      <c r="BV177" t="e">
        <f t="shared" si="208"/>
        <v>#N/A</v>
      </c>
      <c r="BW177" t="e">
        <f t="shared" si="209"/>
        <v>#N/A</v>
      </c>
      <c r="BX177" t="e">
        <f t="shared" si="210"/>
        <v>#N/A</v>
      </c>
      <c r="BY177" t="e">
        <f t="shared" si="211"/>
        <v>#N/A</v>
      </c>
      <c r="BZ177" t="e">
        <f t="shared" si="212"/>
        <v>#N/A</v>
      </c>
      <c r="CA177" t="e">
        <f t="shared" si="213"/>
        <v>#N/A</v>
      </c>
      <c r="CB177" t="e">
        <f t="shared" si="214"/>
        <v>#N/A</v>
      </c>
      <c r="CC177" t="e">
        <f t="shared" si="215"/>
        <v>#N/A</v>
      </c>
      <c r="CD177" t="e">
        <f t="shared" si="216"/>
        <v>#N/A</v>
      </c>
      <c r="CE177" t="e">
        <f t="shared" si="217"/>
        <v>#N/A</v>
      </c>
      <c r="CF177" t="e">
        <f t="shared" si="218"/>
        <v>#N/A</v>
      </c>
      <c r="CG177" t="e">
        <f t="shared" si="219"/>
        <v>#N/A</v>
      </c>
      <c r="CI177" t="e">
        <f>AT63</f>
        <v>#N/A</v>
      </c>
      <c r="CJ177" t="e">
        <f>AU63</f>
        <v>#N/A</v>
      </c>
      <c r="CK177">
        <f>IF(ISNUMBER(CI177),IFERROR(MAX(0,AV63-CI177),0),0)</f>
        <v>0</v>
      </c>
      <c r="CL177">
        <f>IF(ISNUMBER(CI177),IFERROR(MAX(0,CI177-AV63),0),0)</f>
        <v>0</v>
      </c>
      <c r="CM177">
        <f>IF(ISNUMBER(CJ177),IFERROR(MAX(0,AW63-CJ177),0),0)</f>
        <v>0</v>
      </c>
      <c r="CN177">
        <f>IF(ISNUMBER(CJ177),IFERROR(MAX(0,CJ177-AW63),0),0)</f>
        <v>0</v>
      </c>
      <c r="CP177" t="e">
        <f>CB63</f>
        <v>#N/A</v>
      </c>
      <c r="CQ177" t="e">
        <f>CC63</f>
        <v>#N/A</v>
      </c>
      <c r="CR177">
        <f>IF(ISNUMBER(CP177),IFERROR(MAX(0,CD63-CP177),0),0)</f>
        <v>0</v>
      </c>
      <c r="CS177">
        <f>IF(ISNUMBER(CP177),IFERROR(MAX(0,CP177-CD63),0),0)</f>
        <v>0</v>
      </c>
      <c r="CT177">
        <f>IF(ISNUMBER(CQ177),IFERROR(MAX(0,CE63-CQ177),0),0)</f>
        <v>0</v>
      </c>
      <c r="CU177">
        <f>IF(ISNUMBER(CQ177),IFERROR(MAX(0,CQ177-CE63),0),0)</f>
        <v>0</v>
      </c>
    </row>
    <row r="178" spans="21:99" x14ac:dyDescent="0.3">
      <c r="U178">
        <v>172</v>
      </c>
      <c r="V178">
        <f t="shared" si="164"/>
        <v>43</v>
      </c>
      <c r="W178">
        <f t="shared" si="165"/>
        <v>4</v>
      </c>
      <c r="X178">
        <f t="shared" si="166"/>
        <v>0</v>
      </c>
      <c r="Y178">
        <f>IF(X178&lt;&gt;1,9999,CHOOSE(W178,INDEX(Gantt!$BQ$7:$BQ$119,V178),INDEX(Gantt!$BR$7:$BR$119,V178),INDEX(Gantt!$BT$7:$BT$119,V178),INDEX(Gantt!$BU$7:$BU$119,V178)))</f>
        <v>9999</v>
      </c>
      <c r="Z178">
        <f t="shared" si="167"/>
        <v>0</v>
      </c>
      <c r="AA178" t="e">
        <f t="shared" si="168"/>
        <v>#N/A</v>
      </c>
      <c r="AB178" t="e">
        <f t="shared" si="169"/>
        <v>#N/A</v>
      </c>
      <c r="AC178" t="e">
        <f t="shared" si="170"/>
        <v>#N/A</v>
      </c>
      <c r="AD178" t="e">
        <f t="shared" si="171"/>
        <v>#N/A</v>
      </c>
      <c r="AE178" t="e">
        <f t="shared" si="172"/>
        <v>#N/A</v>
      </c>
      <c r="AF178" t="e">
        <f t="shared" si="173"/>
        <v>#N/A</v>
      </c>
      <c r="AG178" t="e">
        <f t="shared" si="174"/>
        <v>#N/A</v>
      </c>
      <c r="AH178" t="e">
        <f t="shared" si="175"/>
        <v>#N/A</v>
      </c>
      <c r="AI178" t="e">
        <f t="shared" si="176"/>
        <v>#N/A</v>
      </c>
      <c r="AJ178" t="e">
        <f t="shared" si="177"/>
        <v>#N/A</v>
      </c>
      <c r="AK178" t="e">
        <f t="shared" si="178"/>
        <v>#N/A</v>
      </c>
      <c r="AL178" t="e">
        <f t="shared" si="179"/>
        <v>#N/A</v>
      </c>
      <c r="AM178" t="e">
        <f t="shared" si="180"/>
        <v>#N/A</v>
      </c>
      <c r="AN178" t="e">
        <f t="shared" si="181"/>
        <v>#N/A</v>
      </c>
      <c r="AO178" t="e">
        <f t="shared" si="182"/>
        <v>#N/A</v>
      </c>
      <c r="AP178" t="e">
        <f t="shared" si="183"/>
        <v>#N/A</v>
      </c>
      <c r="AQ178" t="e">
        <f t="shared" si="184"/>
        <v>#N/A</v>
      </c>
      <c r="AR178" t="e">
        <f t="shared" si="185"/>
        <v>#N/A</v>
      </c>
      <c r="AS178" t="e">
        <f t="shared" si="186"/>
        <v>#N/A</v>
      </c>
      <c r="AT178" t="e">
        <f t="shared" si="187"/>
        <v>#N/A</v>
      </c>
      <c r="AU178" t="e">
        <f t="shared" si="188"/>
        <v>#N/A</v>
      </c>
      <c r="AV178" t="e">
        <f t="shared" si="189"/>
        <v>#N/A</v>
      </c>
      <c r="AW178" t="e">
        <f t="shared" si="190"/>
        <v>#N/A</v>
      </c>
      <c r="AX178" t="e">
        <f t="shared" si="191"/>
        <v>#N/A</v>
      </c>
      <c r="AY178" t="e">
        <f t="shared" si="192"/>
        <v>#N/A</v>
      </c>
      <c r="BE178" t="e">
        <f>IF(Z178=1,IF(INDEX($C$7:$C$126,V178)&gt;=Gantt!$BF$6,NA(),MATCH(INDEX($C$7:$C$126,V178),Gantt!$J$6:$BE$6,1)),NA())</f>
        <v>#N/A</v>
      </c>
      <c r="BF178" t="e">
        <f>IF(Z178=1,IF((INDEX($D$7:$D$126,AA178)-1)&gt;=Gantt!$BF$6,NA(),IF((INDEX($D$7:$D$126,AA178)-1)&lt;Gantt!$J$6,0,MATCH((INDEX($D$7:$D$126,AA178)-1),Gantt!$J$6:$BE$6,1))),NA())</f>
        <v>#N/A</v>
      </c>
      <c r="BG178" t="e">
        <f t="shared" si="193"/>
        <v>#N/A</v>
      </c>
      <c r="BH178" t="e">
        <f t="shared" si="194"/>
        <v>#N/A</v>
      </c>
      <c r="BI178" t="e">
        <f t="shared" si="195"/>
        <v>#N/A</v>
      </c>
      <c r="BJ178" t="e">
        <f t="shared" si="196"/>
        <v>#N/A</v>
      </c>
      <c r="BK178" t="e">
        <f t="shared" si="197"/>
        <v>#N/A</v>
      </c>
      <c r="BL178" t="e">
        <f t="shared" si="198"/>
        <v>#N/A</v>
      </c>
      <c r="BM178" t="e">
        <f t="shared" si="199"/>
        <v>#N/A</v>
      </c>
      <c r="BN178" t="e">
        <f t="shared" si="200"/>
        <v>#N/A</v>
      </c>
      <c r="BO178" t="e">
        <f t="shared" si="201"/>
        <v>#N/A</v>
      </c>
      <c r="BP178" t="e">
        <f t="shared" si="202"/>
        <v>#N/A</v>
      </c>
      <c r="BQ178" t="e">
        <f t="shared" si="203"/>
        <v>#N/A</v>
      </c>
      <c r="BR178" t="e">
        <f t="shared" si="204"/>
        <v>#N/A</v>
      </c>
      <c r="BS178" t="e">
        <f t="shared" si="205"/>
        <v>#N/A</v>
      </c>
      <c r="BT178" t="e">
        <f t="shared" si="206"/>
        <v>#N/A</v>
      </c>
      <c r="BU178" t="e">
        <f t="shared" si="207"/>
        <v>#N/A</v>
      </c>
      <c r="BV178" t="e">
        <f t="shared" si="208"/>
        <v>#N/A</v>
      </c>
      <c r="BW178" t="e">
        <f t="shared" si="209"/>
        <v>#N/A</v>
      </c>
      <c r="BX178" t="e">
        <f t="shared" si="210"/>
        <v>#N/A</v>
      </c>
      <c r="BY178" t="e">
        <f t="shared" si="211"/>
        <v>#N/A</v>
      </c>
      <c r="BZ178" t="e">
        <f t="shared" si="212"/>
        <v>#N/A</v>
      </c>
      <c r="CA178" t="e">
        <f t="shared" si="213"/>
        <v>#N/A</v>
      </c>
      <c r="CB178" t="e">
        <f t="shared" si="214"/>
        <v>#N/A</v>
      </c>
      <c r="CC178" t="e">
        <f t="shared" si="215"/>
        <v>#N/A</v>
      </c>
      <c r="CD178" t="e">
        <f t="shared" si="216"/>
        <v>#N/A</v>
      </c>
      <c r="CE178" t="e">
        <f t="shared" si="217"/>
        <v>#N/A</v>
      </c>
      <c r="CF178" t="e">
        <f t="shared" si="218"/>
        <v>#N/A</v>
      </c>
      <c r="CG178" t="e">
        <f t="shared" si="219"/>
        <v>#N/A</v>
      </c>
      <c r="CI178" t="e">
        <f>AL64</f>
        <v>#N/A</v>
      </c>
      <c r="CJ178" t="e">
        <f>AM64</f>
        <v>#N/A</v>
      </c>
      <c r="CK178">
        <f>IF(ISNUMBER(CI178),IFERROR(MAX(0,AN64-CI178),0),0)</f>
        <v>0</v>
      </c>
      <c r="CL178">
        <f>IF(ISNUMBER(CI178),IFERROR(MAX(0,CI178-AN64),0),0)</f>
        <v>0</v>
      </c>
      <c r="CM178">
        <f>IF(ISNUMBER(CJ178),IFERROR(MAX(0,AO64-CJ178),0),0)</f>
        <v>0</v>
      </c>
      <c r="CN178">
        <f>IF(ISNUMBER(CJ178),IFERROR(MAX(0,CJ178-AO64),0),0)</f>
        <v>0</v>
      </c>
      <c r="CP178" t="e">
        <f>BT64</f>
        <v>#N/A</v>
      </c>
      <c r="CQ178" t="e">
        <f>BU64</f>
        <v>#N/A</v>
      </c>
      <c r="CR178">
        <f>IF(ISNUMBER(CP178),IFERROR(MAX(0,BV64-CP178),0),0)</f>
        <v>0</v>
      </c>
      <c r="CS178">
        <f>IF(ISNUMBER(CP178),IFERROR(MAX(0,CP178-BV64),0),0)</f>
        <v>0</v>
      </c>
      <c r="CT178">
        <f>IF(ISNUMBER(CQ178),IFERROR(MAX(0,BW64-CQ178),0),0)</f>
        <v>0</v>
      </c>
      <c r="CU178">
        <f>IF(ISNUMBER(CQ178),IFERROR(MAX(0,CQ178-BW64),0),0)</f>
        <v>0</v>
      </c>
    </row>
    <row r="179" spans="21:99" x14ac:dyDescent="0.3">
      <c r="U179">
        <v>173</v>
      </c>
      <c r="V179">
        <f t="shared" si="164"/>
        <v>44</v>
      </c>
      <c r="W179">
        <f t="shared" si="165"/>
        <v>1</v>
      </c>
      <c r="X179">
        <f t="shared" si="166"/>
        <v>0</v>
      </c>
      <c r="Y179">
        <f>IF(X179&lt;&gt;1,9999,CHOOSE(W179,INDEX(Gantt!$BQ$7:$BQ$119,V179),INDEX(Gantt!$BR$7:$BR$119,V179),INDEX(Gantt!$BT$7:$BT$119,V179),INDEX(Gantt!$BU$7:$BU$119,V179)))</f>
        <v>9999</v>
      </c>
      <c r="Z179">
        <f t="shared" si="167"/>
        <v>0</v>
      </c>
      <c r="AA179" t="e">
        <f t="shared" si="168"/>
        <v>#N/A</v>
      </c>
      <c r="AB179" t="e">
        <f t="shared" si="169"/>
        <v>#N/A</v>
      </c>
      <c r="AC179" t="e">
        <f t="shared" si="170"/>
        <v>#N/A</v>
      </c>
      <c r="AD179" t="e">
        <f t="shared" si="171"/>
        <v>#N/A</v>
      </c>
      <c r="AE179" t="e">
        <f t="shared" si="172"/>
        <v>#N/A</v>
      </c>
      <c r="AF179" t="e">
        <f t="shared" si="173"/>
        <v>#N/A</v>
      </c>
      <c r="AG179" t="e">
        <f t="shared" si="174"/>
        <v>#N/A</v>
      </c>
      <c r="AH179" t="e">
        <f t="shared" si="175"/>
        <v>#N/A</v>
      </c>
      <c r="AI179" t="e">
        <f t="shared" si="176"/>
        <v>#N/A</v>
      </c>
      <c r="AJ179" t="e">
        <f t="shared" si="177"/>
        <v>#N/A</v>
      </c>
      <c r="AK179" t="e">
        <f t="shared" si="178"/>
        <v>#N/A</v>
      </c>
      <c r="AL179" t="e">
        <f t="shared" si="179"/>
        <v>#N/A</v>
      </c>
      <c r="AM179" t="e">
        <f t="shared" si="180"/>
        <v>#N/A</v>
      </c>
      <c r="AN179" t="e">
        <f t="shared" si="181"/>
        <v>#N/A</v>
      </c>
      <c r="AO179" t="e">
        <f t="shared" si="182"/>
        <v>#N/A</v>
      </c>
      <c r="AP179" t="e">
        <f t="shared" si="183"/>
        <v>#N/A</v>
      </c>
      <c r="AQ179" t="e">
        <f t="shared" si="184"/>
        <v>#N/A</v>
      </c>
      <c r="AR179" t="e">
        <f t="shared" si="185"/>
        <v>#N/A</v>
      </c>
      <c r="AS179" t="e">
        <f t="shared" si="186"/>
        <v>#N/A</v>
      </c>
      <c r="AT179" t="e">
        <f t="shared" si="187"/>
        <v>#N/A</v>
      </c>
      <c r="AU179" t="e">
        <f t="shared" si="188"/>
        <v>#N/A</v>
      </c>
      <c r="AV179" t="e">
        <f t="shared" si="189"/>
        <v>#N/A</v>
      </c>
      <c r="AW179" t="e">
        <f t="shared" si="190"/>
        <v>#N/A</v>
      </c>
      <c r="AX179" t="e">
        <f t="shared" si="191"/>
        <v>#N/A</v>
      </c>
      <c r="AY179" t="e">
        <f t="shared" si="192"/>
        <v>#N/A</v>
      </c>
      <c r="BE179" t="e">
        <f>IF(Z179=1,IF(INDEX($C$7:$C$126,V179)&gt;=Gantt!$BF$6,NA(),MATCH(INDEX($C$7:$C$126,V179),Gantt!$J$6:$BE$6,1)),NA())</f>
        <v>#N/A</v>
      </c>
      <c r="BF179" t="e">
        <f>IF(Z179=1,IF((INDEX($D$7:$D$126,AA179)-1)&gt;=Gantt!$BF$6,NA(),IF((INDEX($D$7:$D$126,AA179)-1)&lt;Gantt!$J$6,0,MATCH((INDEX($D$7:$D$126,AA179)-1),Gantt!$J$6:$BE$6,1))),NA())</f>
        <v>#N/A</v>
      </c>
      <c r="BG179" t="e">
        <f t="shared" si="193"/>
        <v>#N/A</v>
      </c>
      <c r="BH179" t="e">
        <f t="shared" si="194"/>
        <v>#N/A</v>
      </c>
      <c r="BI179" t="e">
        <f t="shared" si="195"/>
        <v>#N/A</v>
      </c>
      <c r="BJ179" t="e">
        <f t="shared" si="196"/>
        <v>#N/A</v>
      </c>
      <c r="BK179" t="e">
        <f t="shared" si="197"/>
        <v>#N/A</v>
      </c>
      <c r="BL179" t="e">
        <f t="shared" si="198"/>
        <v>#N/A</v>
      </c>
      <c r="BM179" t="e">
        <f t="shared" si="199"/>
        <v>#N/A</v>
      </c>
      <c r="BN179" t="e">
        <f t="shared" si="200"/>
        <v>#N/A</v>
      </c>
      <c r="BO179" t="e">
        <f t="shared" si="201"/>
        <v>#N/A</v>
      </c>
      <c r="BP179" t="e">
        <f t="shared" si="202"/>
        <v>#N/A</v>
      </c>
      <c r="BQ179" t="e">
        <f t="shared" si="203"/>
        <v>#N/A</v>
      </c>
      <c r="BR179" t="e">
        <f t="shared" si="204"/>
        <v>#N/A</v>
      </c>
      <c r="BS179" t="e">
        <f t="shared" si="205"/>
        <v>#N/A</v>
      </c>
      <c r="BT179" t="e">
        <f t="shared" si="206"/>
        <v>#N/A</v>
      </c>
      <c r="BU179" t="e">
        <f t="shared" si="207"/>
        <v>#N/A</v>
      </c>
      <c r="BV179" t="e">
        <f t="shared" si="208"/>
        <v>#N/A</v>
      </c>
      <c r="BW179" t="e">
        <f t="shared" si="209"/>
        <v>#N/A</v>
      </c>
      <c r="BX179" t="e">
        <f t="shared" si="210"/>
        <v>#N/A</v>
      </c>
      <c r="BY179" t="e">
        <f t="shared" si="211"/>
        <v>#N/A</v>
      </c>
      <c r="BZ179" t="e">
        <f t="shared" si="212"/>
        <v>#N/A</v>
      </c>
      <c r="CA179" t="e">
        <f t="shared" si="213"/>
        <v>#N/A</v>
      </c>
      <c r="CB179" t="e">
        <f t="shared" si="214"/>
        <v>#N/A</v>
      </c>
      <c r="CC179" t="e">
        <f t="shared" si="215"/>
        <v>#N/A</v>
      </c>
      <c r="CD179" t="e">
        <f t="shared" si="216"/>
        <v>#N/A</v>
      </c>
      <c r="CE179" t="e">
        <f t="shared" si="217"/>
        <v>#N/A</v>
      </c>
      <c r="CF179" t="e">
        <f t="shared" si="218"/>
        <v>#N/A</v>
      </c>
      <c r="CG179" t="e">
        <f t="shared" si="219"/>
        <v>#N/A</v>
      </c>
      <c r="CI179" t="e">
        <f>AP64</f>
        <v>#N/A</v>
      </c>
      <c r="CJ179" t="e">
        <f>AQ64</f>
        <v>#N/A</v>
      </c>
      <c r="CK179">
        <f>IF(ISNUMBER(CI179),IFERROR(MAX(0,AR64-CI179),0),0)</f>
        <v>0</v>
      </c>
      <c r="CL179">
        <f>IF(ISNUMBER(CI179),IFERROR(MAX(0,CI179-AR64),0),0)</f>
        <v>0</v>
      </c>
      <c r="CM179">
        <f>IF(ISNUMBER(CJ179),IFERROR(MAX(0,AS64-CJ179),0),0)</f>
        <v>0</v>
      </c>
      <c r="CN179">
        <f>IF(ISNUMBER(CJ179),IFERROR(MAX(0,CJ179-AS64),0),0)</f>
        <v>0</v>
      </c>
      <c r="CP179" t="e">
        <f>BX64</f>
        <v>#N/A</v>
      </c>
      <c r="CQ179" t="e">
        <f>BY64</f>
        <v>#N/A</v>
      </c>
      <c r="CR179">
        <f>IF(ISNUMBER(CP179),IFERROR(MAX(0,BZ64-CP179),0),0)</f>
        <v>0</v>
      </c>
      <c r="CS179">
        <f>IF(ISNUMBER(CP179),IFERROR(MAX(0,CP179-BZ64),0),0)</f>
        <v>0</v>
      </c>
      <c r="CT179">
        <f>IF(ISNUMBER(CQ179),IFERROR(MAX(0,CA64-CQ179),0),0)</f>
        <v>0</v>
      </c>
      <c r="CU179">
        <f>IF(ISNUMBER(CQ179),IFERROR(MAX(0,CQ179-CA64),0),0)</f>
        <v>0</v>
      </c>
    </row>
    <row r="180" spans="21:99" x14ac:dyDescent="0.3">
      <c r="U180">
        <v>174</v>
      </c>
      <c r="V180">
        <f t="shared" si="164"/>
        <v>44</v>
      </c>
      <c r="W180">
        <f t="shared" si="165"/>
        <v>2</v>
      </c>
      <c r="X180">
        <f t="shared" si="166"/>
        <v>0</v>
      </c>
      <c r="Y180">
        <f>IF(X180&lt;&gt;1,9999,CHOOSE(W180,INDEX(Gantt!$BQ$7:$BQ$119,V180),INDEX(Gantt!$BR$7:$BR$119,V180),INDEX(Gantt!$BT$7:$BT$119,V180),INDEX(Gantt!$BU$7:$BU$119,V180)))</f>
        <v>9999</v>
      </c>
      <c r="Z180">
        <f t="shared" si="167"/>
        <v>0</v>
      </c>
      <c r="AA180" t="e">
        <f t="shared" si="168"/>
        <v>#N/A</v>
      </c>
      <c r="AB180" t="e">
        <f t="shared" si="169"/>
        <v>#N/A</v>
      </c>
      <c r="AC180" t="e">
        <f t="shared" si="170"/>
        <v>#N/A</v>
      </c>
      <c r="AD180" t="e">
        <f t="shared" si="171"/>
        <v>#N/A</v>
      </c>
      <c r="AE180" t="e">
        <f t="shared" si="172"/>
        <v>#N/A</v>
      </c>
      <c r="AF180" t="e">
        <f t="shared" si="173"/>
        <v>#N/A</v>
      </c>
      <c r="AG180" t="e">
        <f t="shared" si="174"/>
        <v>#N/A</v>
      </c>
      <c r="AH180" t="e">
        <f t="shared" si="175"/>
        <v>#N/A</v>
      </c>
      <c r="AI180" t="e">
        <f t="shared" si="176"/>
        <v>#N/A</v>
      </c>
      <c r="AJ180" t="e">
        <f t="shared" si="177"/>
        <v>#N/A</v>
      </c>
      <c r="AK180" t="e">
        <f t="shared" si="178"/>
        <v>#N/A</v>
      </c>
      <c r="AL180" t="e">
        <f t="shared" si="179"/>
        <v>#N/A</v>
      </c>
      <c r="AM180" t="e">
        <f t="shared" si="180"/>
        <v>#N/A</v>
      </c>
      <c r="AN180" t="e">
        <f t="shared" si="181"/>
        <v>#N/A</v>
      </c>
      <c r="AO180" t="e">
        <f t="shared" si="182"/>
        <v>#N/A</v>
      </c>
      <c r="AP180" t="e">
        <f t="shared" si="183"/>
        <v>#N/A</v>
      </c>
      <c r="AQ180" t="e">
        <f t="shared" si="184"/>
        <v>#N/A</v>
      </c>
      <c r="AR180" t="e">
        <f t="shared" si="185"/>
        <v>#N/A</v>
      </c>
      <c r="AS180" t="e">
        <f t="shared" si="186"/>
        <v>#N/A</v>
      </c>
      <c r="AT180" t="e">
        <f t="shared" si="187"/>
        <v>#N/A</v>
      </c>
      <c r="AU180" t="e">
        <f t="shared" si="188"/>
        <v>#N/A</v>
      </c>
      <c r="AV180" t="e">
        <f t="shared" si="189"/>
        <v>#N/A</v>
      </c>
      <c r="AW180" t="e">
        <f t="shared" si="190"/>
        <v>#N/A</v>
      </c>
      <c r="AX180" t="e">
        <f t="shared" si="191"/>
        <v>#N/A</v>
      </c>
      <c r="AY180" t="e">
        <f t="shared" si="192"/>
        <v>#N/A</v>
      </c>
      <c r="BE180" t="e">
        <f>IF(Z180=1,IF(INDEX($C$7:$C$126,V180)&gt;=Gantt!$BF$6,NA(),MATCH(INDEX($C$7:$C$126,V180),Gantt!$J$6:$BE$6,1)),NA())</f>
        <v>#N/A</v>
      </c>
      <c r="BF180" t="e">
        <f>IF(Z180=1,IF((INDEX($D$7:$D$126,AA180)-1)&gt;=Gantt!$BF$6,NA(),IF((INDEX($D$7:$D$126,AA180)-1)&lt;Gantt!$J$6,0,MATCH((INDEX($D$7:$D$126,AA180)-1),Gantt!$J$6:$BE$6,1))),NA())</f>
        <v>#N/A</v>
      </c>
      <c r="BG180" t="e">
        <f t="shared" si="193"/>
        <v>#N/A</v>
      </c>
      <c r="BH180" t="e">
        <f t="shared" si="194"/>
        <v>#N/A</v>
      </c>
      <c r="BI180" t="e">
        <f t="shared" si="195"/>
        <v>#N/A</v>
      </c>
      <c r="BJ180" t="e">
        <f t="shared" si="196"/>
        <v>#N/A</v>
      </c>
      <c r="BK180" t="e">
        <f t="shared" si="197"/>
        <v>#N/A</v>
      </c>
      <c r="BL180" t="e">
        <f t="shared" si="198"/>
        <v>#N/A</v>
      </c>
      <c r="BM180" t="e">
        <f t="shared" si="199"/>
        <v>#N/A</v>
      </c>
      <c r="BN180" t="e">
        <f t="shared" si="200"/>
        <v>#N/A</v>
      </c>
      <c r="BO180" t="e">
        <f t="shared" si="201"/>
        <v>#N/A</v>
      </c>
      <c r="BP180" t="e">
        <f t="shared" si="202"/>
        <v>#N/A</v>
      </c>
      <c r="BQ180" t="e">
        <f t="shared" si="203"/>
        <v>#N/A</v>
      </c>
      <c r="BR180" t="e">
        <f t="shared" si="204"/>
        <v>#N/A</v>
      </c>
      <c r="BS180" t="e">
        <f t="shared" si="205"/>
        <v>#N/A</v>
      </c>
      <c r="BT180" t="e">
        <f t="shared" si="206"/>
        <v>#N/A</v>
      </c>
      <c r="BU180" t="e">
        <f t="shared" si="207"/>
        <v>#N/A</v>
      </c>
      <c r="BV180" t="e">
        <f t="shared" si="208"/>
        <v>#N/A</v>
      </c>
      <c r="BW180" t="e">
        <f t="shared" si="209"/>
        <v>#N/A</v>
      </c>
      <c r="BX180" t="e">
        <f t="shared" si="210"/>
        <v>#N/A</v>
      </c>
      <c r="BY180" t="e">
        <f t="shared" si="211"/>
        <v>#N/A</v>
      </c>
      <c r="BZ180" t="e">
        <f t="shared" si="212"/>
        <v>#N/A</v>
      </c>
      <c r="CA180" t="e">
        <f t="shared" si="213"/>
        <v>#N/A</v>
      </c>
      <c r="CB180" t="e">
        <f t="shared" si="214"/>
        <v>#N/A</v>
      </c>
      <c r="CC180" t="e">
        <f t="shared" si="215"/>
        <v>#N/A</v>
      </c>
      <c r="CD180" t="e">
        <f t="shared" si="216"/>
        <v>#N/A</v>
      </c>
      <c r="CE180" t="e">
        <f t="shared" si="217"/>
        <v>#N/A</v>
      </c>
      <c r="CF180" t="e">
        <f t="shared" si="218"/>
        <v>#N/A</v>
      </c>
      <c r="CG180" t="e">
        <f t="shared" si="219"/>
        <v>#N/A</v>
      </c>
      <c r="CI180" t="e">
        <f>AT64</f>
        <v>#N/A</v>
      </c>
      <c r="CJ180" t="e">
        <f>AU64</f>
        <v>#N/A</v>
      </c>
      <c r="CK180">
        <f>IF(ISNUMBER(CI180),IFERROR(MAX(0,AV64-CI180),0),0)</f>
        <v>0</v>
      </c>
      <c r="CL180">
        <f>IF(ISNUMBER(CI180),IFERROR(MAX(0,CI180-AV64),0),0)</f>
        <v>0</v>
      </c>
      <c r="CM180">
        <f>IF(ISNUMBER(CJ180),IFERROR(MAX(0,AW64-CJ180),0),0)</f>
        <v>0</v>
      </c>
      <c r="CN180">
        <f>IF(ISNUMBER(CJ180),IFERROR(MAX(0,CJ180-AW64),0),0)</f>
        <v>0</v>
      </c>
      <c r="CP180" t="e">
        <f>CB64</f>
        <v>#N/A</v>
      </c>
      <c r="CQ180" t="e">
        <f>CC64</f>
        <v>#N/A</v>
      </c>
      <c r="CR180">
        <f>IF(ISNUMBER(CP180),IFERROR(MAX(0,CD64-CP180),0),0)</f>
        <v>0</v>
      </c>
      <c r="CS180">
        <f>IF(ISNUMBER(CP180),IFERROR(MAX(0,CP180-CD64),0),0)</f>
        <v>0</v>
      </c>
      <c r="CT180">
        <f>IF(ISNUMBER(CQ180),IFERROR(MAX(0,CE64-CQ180),0),0)</f>
        <v>0</v>
      </c>
      <c r="CU180">
        <f>IF(ISNUMBER(CQ180),IFERROR(MAX(0,CQ180-CE64),0),0)</f>
        <v>0</v>
      </c>
    </row>
    <row r="181" spans="21:99" x14ac:dyDescent="0.3">
      <c r="U181">
        <v>175</v>
      </c>
      <c r="V181">
        <f t="shared" si="164"/>
        <v>44</v>
      </c>
      <c r="W181">
        <f t="shared" si="165"/>
        <v>3</v>
      </c>
      <c r="X181">
        <f t="shared" si="166"/>
        <v>0</v>
      </c>
      <c r="Y181">
        <f>IF(X181&lt;&gt;1,9999,CHOOSE(W181,INDEX(Gantt!$BQ$7:$BQ$119,V181),INDEX(Gantt!$BR$7:$BR$119,V181),INDEX(Gantt!$BT$7:$BT$119,V181),INDEX(Gantt!$BU$7:$BU$119,V181)))</f>
        <v>9999</v>
      </c>
      <c r="Z181">
        <f t="shared" si="167"/>
        <v>0</v>
      </c>
      <c r="AA181" t="e">
        <f t="shared" si="168"/>
        <v>#N/A</v>
      </c>
      <c r="AB181" t="e">
        <f t="shared" si="169"/>
        <v>#N/A</v>
      </c>
      <c r="AC181" t="e">
        <f t="shared" si="170"/>
        <v>#N/A</v>
      </c>
      <c r="AD181" t="e">
        <f t="shared" si="171"/>
        <v>#N/A</v>
      </c>
      <c r="AE181" t="e">
        <f t="shared" si="172"/>
        <v>#N/A</v>
      </c>
      <c r="AF181" t="e">
        <f t="shared" si="173"/>
        <v>#N/A</v>
      </c>
      <c r="AG181" t="e">
        <f t="shared" si="174"/>
        <v>#N/A</v>
      </c>
      <c r="AH181" t="e">
        <f t="shared" si="175"/>
        <v>#N/A</v>
      </c>
      <c r="AI181" t="e">
        <f t="shared" si="176"/>
        <v>#N/A</v>
      </c>
      <c r="AJ181" t="e">
        <f t="shared" si="177"/>
        <v>#N/A</v>
      </c>
      <c r="AK181" t="e">
        <f t="shared" si="178"/>
        <v>#N/A</v>
      </c>
      <c r="AL181" t="e">
        <f t="shared" si="179"/>
        <v>#N/A</v>
      </c>
      <c r="AM181" t="e">
        <f t="shared" si="180"/>
        <v>#N/A</v>
      </c>
      <c r="AN181" t="e">
        <f t="shared" si="181"/>
        <v>#N/A</v>
      </c>
      <c r="AO181" t="e">
        <f t="shared" si="182"/>
        <v>#N/A</v>
      </c>
      <c r="AP181" t="e">
        <f t="shared" si="183"/>
        <v>#N/A</v>
      </c>
      <c r="AQ181" t="e">
        <f t="shared" si="184"/>
        <v>#N/A</v>
      </c>
      <c r="AR181" t="e">
        <f t="shared" si="185"/>
        <v>#N/A</v>
      </c>
      <c r="AS181" t="e">
        <f t="shared" si="186"/>
        <v>#N/A</v>
      </c>
      <c r="AT181" t="e">
        <f t="shared" si="187"/>
        <v>#N/A</v>
      </c>
      <c r="AU181" t="e">
        <f t="shared" si="188"/>
        <v>#N/A</v>
      </c>
      <c r="AV181" t="e">
        <f t="shared" si="189"/>
        <v>#N/A</v>
      </c>
      <c r="AW181" t="e">
        <f t="shared" si="190"/>
        <v>#N/A</v>
      </c>
      <c r="AX181" t="e">
        <f t="shared" si="191"/>
        <v>#N/A</v>
      </c>
      <c r="AY181" t="e">
        <f t="shared" si="192"/>
        <v>#N/A</v>
      </c>
      <c r="BE181" t="e">
        <f>IF(Z181=1,IF(INDEX($C$7:$C$126,V181)&gt;=Gantt!$BF$6,NA(),MATCH(INDEX($C$7:$C$126,V181),Gantt!$J$6:$BE$6,1)),NA())</f>
        <v>#N/A</v>
      </c>
      <c r="BF181" t="e">
        <f>IF(Z181=1,IF((INDEX($D$7:$D$126,AA181)-1)&gt;=Gantt!$BF$6,NA(),IF((INDEX($D$7:$D$126,AA181)-1)&lt;Gantt!$J$6,0,MATCH((INDEX($D$7:$D$126,AA181)-1),Gantt!$J$6:$BE$6,1))),NA())</f>
        <v>#N/A</v>
      </c>
      <c r="BG181" t="e">
        <f t="shared" si="193"/>
        <v>#N/A</v>
      </c>
      <c r="BH181" t="e">
        <f t="shared" si="194"/>
        <v>#N/A</v>
      </c>
      <c r="BI181" t="e">
        <f t="shared" si="195"/>
        <v>#N/A</v>
      </c>
      <c r="BJ181" t="e">
        <f t="shared" si="196"/>
        <v>#N/A</v>
      </c>
      <c r="BK181" t="e">
        <f t="shared" si="197"/>
        <v>#N/A</v>
      </c>
      <c r="BL181" t="e">
        <f t="shared" si="198"/>
        <v>#N/A</v>
      </c>
      <c r="BM181" t="e">
        <f t="shared" si="199"/>
        <v>#N/A</v>
      </c>
      <c r="BN181" t="e">
        <f t="shared" si="200"/>
        <v>#N/A</v>
      </c>
      <c r="BO181" t="e">
        <f t="shared" si="201"/>
        <v>#N/A</v>
      </c>
      <c r="BP181" t="e">
        <f t="shared" si="202"/>
        <v>#N/A</v>
      </c>
      <c r="BQ181" t="e">
        <f t="shared" si="203"/>
        <v>#N/A</v>
      </c>
      <c r="BR181" t="e">
        <f t="shared" si="204"/>
        <v>#N/A</v>
      </c>
      <c r="BS181" t="e">
        <f t="shared" si="205"/>
        <v>#N/A</v>
      </c>
      <c r="BT181" t="e">
        <f t="shared" si="206"/>
        <v>#N/A</v>
      </c>
      <c r="BU181" t="e">
        <f t="shared" si="207"/>
        <v>#N/A</v>
      </c>
      <c r="BV181" t="e">
        <f t="shared" si="208"/>
        <v>#N/A</v>
      </c>
      <c r="BW181" t="e">
        <f t="shared" si="209"/>
        <v>#N/A</v>
      </c>
      <c r="BX181" t="e">
        <f t="shared" si="210"/>
        <v>#N/A</v>
      </c>
      <c r="BY181" t="e">
        <f t="shared" si="211"/>
        <v>#N/A</v>
      </c>
      <c r="BZ181" t="e">
        <f t="shared" si="212"/>
        <v>#N/A</v>
      </c>
      <c r="CA181" t="e">
        <f t="shared" si="213"/>
        <v>#N/A</v>
      </c>
      <c r="CB181" t="e">
        <f t="shared" si="214"/>
        <v>#N/A</v>
      </c>
      <c r="CC181" t="e">
        <f t="shared" si="215"/>
        <v>#N/A</v>
      </c>
      <c r="CD181" t="e">
        <f t="shared" si="216"/>
        <v>#N/A</v>
      </c>
      <c r="CE181" t="e">
        <f t="shared" si="217"/>
        <v>#N/A</v>
      </c>
      <c r="CF181" t="e">
        <f t="shared" si="218"/>
        <v>#N/A</v>
      </c>
      <c r="CG181" t="e">
        <f t="shared" si="219"/>
        <v>#N/A</v>
      </c>
      <c r="CI181" t="e">
        <f>AL65</f>
        <v>#N/A</v>
      </c>
      <c r="CJ181" t="e">
        <f>AM65</f>
        <v>#N/A</v>
      </c>
      <c r="CK181">
        <f>IF(ISNUMBER(CI181),IFERROR(MAX(0,AN65-CI181),0),0)</f>
        <v>0</v>
      </c>
      <c r="CL181">
        <f>IF(ISNUMBER(CI181),IFERROR(MAX(0,CI181-AN65),0),0)</f>
        <v>0</v>
      </c>
      <c r="CM181">
        <f>IF(ISNUMBER(CJ181),IFERROR(MAX(0,AO65-CJ181),0),0)</f>
        <v>0</v>
      </c>
      <c r="CN181">
        <f>IF(ISNUMBER(CJ181),IFERROR(MAX(0,CJ181-AO65),0),0)</f>
        <v>0</v>
      </c>
      <c r="CP181" t="e">
        <f>BT65</f>
        <v>#N/A</v>
      </c>
      <c r="CQ181" t="e">
        <f>BU65</f>
        <v>#N/A</v>
      </c>
      <c r="CR181">
        <f>IF(ISNUMBER(CP181),IFERROR(MAX(0,BV65-CP181),0),0)</f>
        <v>0</v>
      </c>
      <c r="CS181">
        <f>IF(ISNUMBER(CP181),IFERROR(MAX(0,CP181-BV65),0),0)</f>
        <v>0</v>
      </c>
      <c r="CT181">
        <f>IF(ISNUMBER(CQ181),IFERROR(MAX(0,BW65-CQ181),0),0)</f>
        <v>0</v>
      </c>
      <c r="CU181">
        <f>IF(ISNUMBER(CQ181),IFERROR(MAX(0,CQ181-BW65),0),0)</f>
        <v>0</v>
      </c>
    </row>
    <row r="182" spans="21:99" x14ac:dyDescent="0.3">
      <c r="U182">
        <v>176</v>
      </c>
      <c r="V182">
        <f t="shared" si="164"/>
        <v>44</v>
      </c>
      <c r="W182">
        <f t="shared" si="165"/>
        <v>4</v>
      </c>
      <c r="X182">
        <f t="shared" si="166"/>
        <v>0</v>
      </c>
      <c r="Y182">
        <f>IF(X182&lt;&gt;1,9999,CHOOSE(W182,INDEX(Gantt!$BQ$7:$BQ$119,V182),INDEX(Gantt!$BR$7:$BR$119,V182),INDEX(Gantt!$BT$7:$BT$119,V182),INDEX(Gantt!$BU$7:$BU$119,V182)))</f>
        <v>9999</v>
      </c>
      <c r="Z182">
        <f t="shared" si="167"/>
        <v>0</v>
      </c>
      <c r="AA182" t="e">
        <f t="shared" si="168"/>
        <v>#N/A</v>
      </c>
      <c r="AB182" t="e">
        <f t="shared" si="169"/>
        <v>#N/A</v>
      </c>
      <c r="AC182" t="e">
        <f t="shared" si="170"/>
        <v>#N/A</v>
      </c>
      <c r="AD182" t="e">
        <f t="shared" si="171"/>
        <v>#N/A</v>
      </c>
      <c r="AE182" t="e">
        <f t="shared" si="172"/>
        <v>#N/A</v>
      </c>
      <c r="AF182" t="e">
        <f t="shared" si="173"/>
        <v>#N/A</v>
      </c>
      <c r="AG182" t="e">
        <f t="shared" si="174"/>
        <v>#N/A</v>
      </c>
      <c r="AH182" t="e">
        <f t="shared" si="175"/>
        <v>#N/A</v>
      </c>
      <c r="AI182" t="e">
        <f t="shared" si="176"/>
        <v>#N/A</v>
      </c>
      <c r="AJ182" t="e">
        <f t="shared" si="177"/>
        <v>#N/A</v>
      </c>
      <c r="AK182" t="e">
        <f t="shared" si="178"/>
        <v>#N/A</v>
      </c>
      <c r="AL182" t="e">
        <f t="shared" si="179"/>
        <v>#N/A</v>
      </c>
      <c r="AM182" t="e">
        <f t="shared" si="180"/>
        <v>#N/A</v>
      </c>
      <c r="AN182" t="e">
        <f t="shared" si="181"/>
        <v>#N/A</v>
      </c>
      <c r="AO182" t="e">
        <f t="shared" si="182"/>
        <v>#N/A</v>
      </c>
      <c r="AP182" t="e">
        <f t="shared" si="183"/>
        <v>#N/A</v>
      </c>
      <c r="AQ182" t="e">
        <f t="shared" si="184"/>
        <v>#N/A</v>
      </c>
      <c r="AR182" t="e">
        <f t="shared" si="185"/>
        <v>#N/A</v>
      </c>
      <c r="AS182" t="e">
        <f t="shared" si="186"/>
        <v>#N/A</v>
      </c>
      <c r="AT182" t="e">
        <f t="shared" si="187"/>
        <v>#N/A</v>
      </c>
      <c r="AU182" t="e">
        <f t="shared" si="188"/>
        <v>#N/A</v>
      </c>
      <c r="AV182" t="e">
        <f t="shared" si="189"/>
        <v>#N/A</v>
      </c>
      <c r="AW182" t="e">
        <f t="shared" si="190"/>
        <v>#N/A</v>
      </c>
      <c r="AX182" t="e">
        <f t="shared" si="191"/>
        <v>#N/A</v>
      </c>
      <c r="AY182" t="e">
        <f t="shared" si="192"/>
        <v>#N/A</v>
      </c>
      <c r="BE182" t="e">
        <f>IF(Z182=1,IF(INDEX($C$7:$C$126,V182)&gt;=Gantt!$BF$6,NA(),MATCH(INDEX($C$7:$C$126,V182),Gantt!$J$6:$BE$6,1)),NA())</f>
        <v>#N/A</v>
      </c>
      <c r="BF182" t="e">
        <f>IF(Z182=1,IF((INDEX($D$7:$D$126,AA182)-1)&gt;=Gantt!$BF$6,NA(),IF((INDEX($D$7:$D$126,AA182)-1)&lt;Gantt!$J$6,0,MATCH((INDEX($D$7:$D$126,AA182)-1),Gantt!$J$6:$BE$6,1))),NA())</f>
        <v>#N/A</v>
      </c>
      <c r="BG182" t="e">
        <f t="shared" si="193"/>
        <v>#N/A</v>
      </c>
      <c r="BH182" t="e">
        <f t="shared" si="194"/>
        <v>#N/A</v>
      </c>
      <c r="BI182" t="e">
        <f t="shared" si="195"/>
        <v>#N/A</v>
      </c>
      <c r="BJ182" t="e">
        <f t="shared" si="196"/>
        <v>#N/A</v>
      </c>
      <c r="BK182" t="e">
        <f t="shared" si="197"/>
        <v>#N/A</v>
      </c>
      <c r="BL182" t="e">
        <f t="shared" si="198"/>
        <v>#N/A</v>
      </c>
      <c r="BM182" t="e">
        <f t="shared" si="199"/>
        <v>#N/A</v>
      </c>
      <c r="BN182" t="e">
        <f t="shared" si="200"/>
        <v>#N/A</v>
      </c>
      <c r="BO182" t="e">
        <f t="shared" si="201"/>
        <v>#N/A</v>
      </c>
      <c r="BP182" t="e">
        <f t="shared" si="202"/>
        <v>#N/A</v>
      </c>
      <c r="BQ182" t="e">
        <f t="shared" si="203"/>
        <v>#N/A</v>
      </c>
      <c r="BR182" t="e">
        <f t="shared" si="204"/>
        <v>#N/A</v>
      </c>
      <c r="BS182" t="e">
        <f t="shared" si="205"/>
        <v>#N/A</v>
      </c>
      <c r="BT182" t="e">
        <f t="shared" si="206"/>
        <v>#N/A</v>
      </c>
      <c r="BU182" t="e">
        <f t="shared" si="207"/>
        <v>#N/A</v>
      </c>
      <c r="BV182" t="e">
        <f t="shared" si="208"/>
        <v>#N/A</v>
      </c>
      <c r="BW182" t="e">
        <f t="shared" si="209"/>
        <v>#N/A</v>
      </c>
      <c r="BX182" t="e">
        <f t="shared" si="210"/>
        <v>#N/A</v>
      </c>
      <c r="BY182" t="e">
        <f t="shared" si="211"/>
        <v>#N/A</v>
      </c>
      <c r="BZ182" t="e">
        <f t="shared" si="212"/>
        <v>#N/A</v>
      </c>
      <c r="CA182" t="e">
        <f t="shared" si="213"/>
        <v>#N/A</v>
      </c>
      <c r="CB182" t="e">
        <f t="shared" si="214"/>
        <v>#N/A</v>
      </c>
      <c r="CC182" t="e">
        <f t="shared" si="215"/>
        <v>#N/A</v>
      </c>
      <c r="CD182" t="e">
        <f t="shared" si="216"/>
        <v>#N/A</v>
      </c>
      <c r="CE182" t="e">
        <f t="shared" si="217"/>
        <v>#N/A</v>
      </c>
      <c r="CF182" t="e">
        <f t="shared" si="218"/>
        <v>#N/A</v>
      </c>
      <c r="CG182" t="e">
        <f t="shared" si="219"/>
        <v>#N/A</v>
      </c>
      <c r="CI182" t="e">
        <f>AP65</f>
        <v>#N/A</v>
      </c>
      <c r="CJ182" t="e">
        <f>AQ65</f>
        <v>#N/A</v>
      </c>
      <c r="CK182">
        <f>IF(ISNUMBER(CI182),IFERROR(MAX(0,AR65-CI182),0),0)</f>
        <v>0</v>
      </c>
      <c r="CL182">
        <f>IF(ISNUMBER(CI182),IFERROR(MAX(0,CI182-AR65),0),0)</f>
        <v>0</v>
      </c>
      <c r="CM182">
        <f>IF(ISNUMBER(CJ182),IFERROR(MAX(0,AS65-CJ182),0),0)</f>
        <v>0</v>
      </c>
      <c r="CN182">
        <f>IF(ISNUMBER(CJ182),IFERROR(MAX(0,CJ182-AS65),0),0)</f>
        <v>0</v>
      </c>
      <c r="CP182" t="e">
        <f>BX65</f>
        <v>#N/A</v>
      </c>
      <c r="CQ182" t="e">
        <f>BY65</f>
        <v>#N/A</v>
      </c>
      <c r="CR182">
        <f>IF(ISNUMBER(CP182),IFERROR(MAX(0,BZ65-CP182),0),0)</f>
        <v>0</v>
      </c>
      <c r="CS182">
        <f>IF(ISNUMBER(CP182),IFERROR(MAX(0,CP182-BZ65),0),0)</f>
        <v>0</v>
      </c>
      <c r="CT182">
        <f>IF(ISNUMBER(CQ182),IFERROR(MAX(0,CA65-CQ182),0),0)</f>
        <v>0</v>
      </c>
      <c r="CU182">
        <f>IF(ISNUMBER(CQ182),IFERROR(MAX(0,CQ182-CA65),0),0)</f>
        <v>0</v>
      </c>
    </row>
    <row r="183" spans="21:99" x14ac:dyDescent="0.3">
      <c r="U183">
        <v>177</v>
      </c>
      <c r="V183">
        <f t="shared" si="164"/>
        <v>45</v>
      </c>
      <c r="W183">
        <f t="shared" si="165"/>
        <v>1</v>
      </c>
      <c r="X183">
        <f t="shared" si="166"/>
        <v>0</v>
      </c>
      <c r="Y183">
        <f>IF(X183&lt;&gt;1,9999,CHOOSE(W183,INDEX(Gantt!$BQ$7:$BQ$119,V183),INDEX(Gantt!$BR$7:$BR$119,V183),INDEX(Gantt!$BT$7:$BT$119,V183),INDEX(Gantt!$BU$7:$BU$119,V183)))</f>
        <v>9999</v>
      </c>
      <c r="Z183">
        <f t="shared" si="167"/>
        <v>0</v>
      </c>
      <c r="AA183" t="e">
        <f t="shared" si="168"/>
        <v>#N/A</v>
      </c>
      <c r="AB183" t="e">
        <f t="shared" si="169"/>
        <v>#N/A</v>
      </c>
      <c r="AC183" t="e">
        <f t="shared" si="170"/>
        <v>#N/A</v>
      </c>
      <c r="AD183" t="e">
        <f t="shared" si="171"/>
        <v>#N/A</v>
      </c>
      <c r="AE183" t="e">
        <f t="shared" si="172"/>
        <v>#N/A</v>
      </c>
      <c r="AF183" t="e">
        <f t="shared" si="173"/>
        <v>#N/A</v>
      </c>
      <c r="AG183" t="e">
        <f t="shared" si="174"/>
        <v>#N/A</v>
      </c>
      <c r="AH183" t="e">
        <f t="shared" si="175"/>
        <v>#N/A</v>
      </c>
      <c r="AI183" t="e">
        <f t="shared" si="176"/>
        <v>#N/A</v>
      </c>
      <c r="AJ183" t="e">
        <f t="shared" si="177"/>
        <v>#N/A</v>
      </c>
      <c r="AK183" t="e">
        <f t="shared" si="178"/>
        <v>#N/A</v>
      </c>
      <c r="AL183" t="e">
        <f t="shared" si="179"/>
        <v>#N/A</v>
      </c>
      <c r="AM183" t="e">
        <f t="shared" si="180"/>
        <v>#N/A</v>
      </c>
      <c r="AN183" t="e">
        <f t="shared" si="181"/>
        <v>#N/A</v>
      </c>
      <c r="AO183" t="e">
        <f t="shared" si="182"/>
        <v>#N/A</v>
      </c>
      <c r="AP183" t="e">
        <f t="shared" si="183"/>
        <v>#N/A</v>
      </c>
      <c r="AQ183" t="e">
        <f t="shared" si="184"/>
        <v>#N/A</v>
      </c>
      <c r="AR183" t="e">
        <f t="shared" si="185"/>
        <v>#N/A</v>
      </c>
      <c r="AS183" t="e">
        <f t="shared" si="186"/>
        <v>#N/A</v>
      </c>
      <c r="AT183" t="e">
        <f t="shared" si="187"/>
        <v>#N/A</v>
      </c>
      <c r="AU183" t="e">
        <f t="shared" si="188"/>
        <v>#N/A</v>
      </c>
      <c r="AV183" t="e">
        <f t="shared" si="189"/>
        <v>#N/A</v>
      </c>
      <c r="AW183" t="e">
        <f t="shared" si="190"/>
        <v>#N/A</v>
      </c>
      <c r="AX183" t="e">
        <f t="shared" si="191"/>
        <v>#N/A</v>
      </c>
      <c r="AY183" t="e">
        <f t="shared" si="192"/>
        <v>#N/A</v>
      </c>
      <c r="BE183" t="e">
        <f>IF(Z183=1,IF(INDEX($C$7:$C$126,V183)&gt;=Gantt!$BF$6,NA(),MATCH(INDEX($C$7:$C$126,V183),Gantt!$J$6:$BE$6,1)),NA())</f>
        <v>#N/A</v>
      </c>
      <c r="BF183" t="e">
        <f>IF(Z183=1,IF((INDEX($D$7:$D$126,AA183)-1)&gt;=Gantt!$BF$6,NA(),IF((INDEX($D$7:$D$126,AA183)-1)&lt;Gantt!$J$6,0,MATCH((INDEX($D$7:$D$126,AA183)-1),Gantt!$J$6:$BE$6,1))),NA())</f>
        <v>#N/A</v>
      </c>
      <c r="BG183" t="e">
        <f t="shared" si="193"/>
        <v>#N/A</v>
      </c>
      <c r="BH183" t="e">
        <f t="shared" si="194"/>
        <v>#N/A</v>
      </c>
      <c r="BI183" t="e">
        <f t="shared" si="195"/>
        <v>#N/A</v>
      </c>
      <c r="BJ183" t="e">
        <f t="shared" si="196"/>
        <v>#N/A</v>
      </c>
      <c r="BK183" t="e">
        <f t="shared" si="197"/>
        <v>#N/A</v>
      </c>
      <c r="BL183" t="e">
        <f t="shared" si="198"/>
        <v>#N/A</v>
      </c>
      <c r="BM183" t="e">
        <f t="shared" si="199"/>
        <v>#N/A</v>
      </c>
      <c r="BN183" t="e">
        <f t="shared" si="200"/>
        <v>#N/A</v>
      </c>
      <c r="BO183" t="e">
        <f t="shared" si="201"/>
        <v>#N/A</v>
      </c>
      <c r="BP183" t="e">
        <f t="shared" si="202"/>
        <v>#N/A</v>
      </c>
      <c r="BQ183" t="e">
        <f t="shared" si="203"/>
        <v>#N/A</v>
      </c>
      <c r="BR183" t="e">
        <f t="shared" si="204"/>
        <v>#N/A</v>
      </c>
      <c r="BS183" t="e">
        <f t="shared" si="205"/>
        <v>#N/A</v>
      </c>
      <c r="BT183" t="e">
        <f t="shared" si="206"/>
        <v>#N/A</v>
      </c>
      <c r="BU183" t="e">
        <f t="shared" si="207"/>
        <v>#N/A</v>
      </c>
      <c r="BV183" t="e">
        <f t="shared" si="208"/>
        <v>#N/A</v>
      </c>
      <c r="BW183" t="e">
        <f t="shared" si="209"/>
        <v>#N/A</v>
      </c>
      <c r="BX183" t="e">
        <f t="shared" si="210"/>
        <v>#N/A</v>
      </c>
      <c r="BY183" t="e">
        <f t="shared" si="211"/>
        <v>#N/A</v>
      </c>
      <c r="BZ183" t="e">
        <f t="shared" si="212"/>
        <v>#N/A</v>
      </c>
      <c r="CA183" t="e">
        <f t="shared" si="213"/>
        <v>#N/A</v>
      </c>
      <c r="CB183" t="e">
        <f t="shared" si="214"/>
        <v>#N/A</v>
      </c>
      <c r="CC183" t="e">
        <f t="shared" si="215"/>
        <v>#N/A</v>
      </c>
      <c r="CD183" t="e">
        <f t="shared" si="216"/>
        <v>#N/A</v>
      </c>
      <c r="CE183" t="e">
        <f t="shared" si="217"/>
        <v>#N/A</v>
      </c>
      <c r="CF183" t="e">
        <f t="shared" si="218"/>
        <v>#N/A</v>
      </c>
      <c r="CG183" t="e">
        <f t="shared" si="219"/>
        <v>#N/A</v>
      </c>
      <c r="CI183" t="e">
        <f>AT65</f>
        <v>#N/A</v>
      </c>
      <c r="CJ183" t="e">
        <f>AU65</f>
        <v>#N/A</v>
      </c>
      <c r="CK183">
        <f>IF(ISNUMBER(CI183),IFERROR(MAX(0,AV65-CI183),0),0)</f>
        <v>0</v>
      </c>
      <c r="CL183">
        <f>IF(ISNUMBER(CI183),IFERROR(MAX(0,CI183-AV65),0),0)</f>
        <v>0</v>
      </c>
      <c r="CM183">
        <f>IF(ISNUMBER(CJ183),IFERROR(MAX(0,AW65-CJ183),0),0)</f>
        <v>0</v>
      </c>
      <c r="CN183">
        <f>IF(ISNUMBER(CJ183),IFERROR(MAX(0,CJ183-AW65),0),0)</f>
        <v>0</v>
      </c>
      <c r="CP183" t="e">
        <f>CB65</f>
        <v>#N/A</v>
      </c>
      <c r="CQ183" t="e">
        <f>CC65</f>
        <v>#N/A</v>
      </c>
      <c r="CR183">
        <f>IF(ISNUMBER(CP183),IFERROR(MAX(0,CD65-CP183),0),0)</f>
        <v>0</v>
      </c>
      <c r="CS183">
        <f>IF(ISNUMBER(CP183),IFERROR(MAX(0,CP183-CD65),0),0)</f>
        <v>0</v>
      </c>
      <c r="CT183">
        <f>IF(ISNUMBER(CQ183),IFERROR(MAX(0,CE65-CQ183),0),0)</f>
        <v>0</v>
      </c>
      <c r="CU183">
        <f>IF(ISNUMBER(CQ183),IFERROR(MAX(0,CQ183-CE65),0),0)</f>
        <v>0</v>
      </c>
    </row>
    <row r="184" spans="21:99" x14ac:dyDescent="0.3">
      <c r="U184">
        <v>178</v>
      </c>
      <c r="V184">
        <f t="shared" si="164"/>
        <v>45</v>
      </c>
      <c r="W184">
        <f t="shared" si="165"/>
        <v>2</v>
      </c>
      <c r="X184">
        <f t="shared" si="166"/>
        <v>0</v>
      </c>
      <c r="Y184">
        <f>IF(X184&lt;&gt;1,9999,CHOOSE(W184,INDEX(Gantt!$BQ$7:$BQ$119,V184),INDEX(Gantt!$BR$7:$BR$119,V184),INDEX(Gantt!$BT$7:$BT$119,V184),INDEX(Gantt!$BU$7:$BU$119,V184)))</f>
        <v>9999</v>
      </c>
      <c r="Z184">
        <f t="shared" si="167"/>
        <v>0</v>
      </c>
      <c r="AA184" t="e">
        <f t="shared" si="168"/>
        <v>#N/A</v>
      </c>
      <c r="AB184" t="e">
        <f t="shared" si="169"/>
        <v>#N/A</v>
      </c>
      <c r="AC184" t="e">
        <f t="shared" si="170"/>
        <v>#N/A</v>
      </c>
      <c r="AD184" t="e">
        <f t="shared" si="171"/>
        <v>#N/A</v>
      </c>
      <c r="AE184" t="e">
        <f t="shared" si="172"/>
        <v>#N/A</v>
      </c>
      <c r="AF184" t="e">
        <f t="shared" si="173"/>
        <v>#N/A</v>
      </c>
      <c r="AG184" t="e">
        <f t="shared" si="174"/>
        <v>#N/A</v>
      </c>
      <c r="AH184" t="e">
        <f t="shared" si="175"/>
        <v>#N/A</v>
      </c>
      <c r="AI184" t="e">
        <f t="shared" si="176"/>
        <v>#N/A</v>
      </c>
      <c r="AJ184" t="e">
        <f t="shared" si="177"/>
        <v>#N/A</v>
      </c>
      <c r="AK184" t="e">
        <f t="shared" si="178"/>
        <v>#N/A</v>
      </c>
      <c r="AL184" t="e">
        <f t="shared" si="179"/>
        <v>#N/A</v>
      </c>
      <c r="AM184" t="e">
        <f t="shared" si="180"/>
        <v>#N/A</v>
      </c>
      <c r="AN184" t="e">
        <f t="shared" si="181"/>
        <v>#N/A</v>
      </c>
      <c r="AO184" t="e">
        <f t="shared" si="182"/>
        <v>#N/A</v>
      </c>
      <c r="AP184" t="e">
        <f t="shared" si="183"/>
        <v>#N/A</v>
      </c>
      <c r="AQ184" t="e">
        <f t="shared" si="184"/>
        <v>#N/A</v>
      </c>
      <c r="AR184" t="e">
        <f t="shared" si="185"/>
        <v>#N/A</v>
      </c>
      <c r="AS184" t="e">
        <f t="shared" si="186"/>
        <v>#N/A</v>
      </c>
      <c r="AT184" t="e">
        <f t="shared" si="187"/>
        <v>#N/A</v>
      </c>
      <c r="AU184" t="e">
        <f t="shared" si="188"/>
        <v>#N/A</v>
      </c>
      <c r="AV184" t="e">
        <f t="shared" si="189"/>
        <v>#N/A</v>
      </c>
      <c r="AW184" t="e">
        <f t="shared" si="190"/>
        <v>#N/A</v>
      </c>
      <c r="AX184" t="e">
        <f t="shared" si="191"/>
        <v>#N/A</v>
      </c>
      <c r="AY184" t="e">
        <f t="shared" si="192"/>
        <v>#N/A</v>
      </c>
      <c r="BE184" t="e">
        <f>IF(Z184=1,IF(INDEX($C$7:$C$126,V184)&gt;=Gantt!$BF$6,NA(),MATCH(INDEX($C$7:$C$126,V184),Gantt!$J$6:$BE$6,1)),NA())</f>
        <v>#N/A</v>
      </c>
      <c r="BF184" t="e">
        <f>IF(Z184=1,IF((INDEX($D$7:$D$126,AA184)-1)&gt;=Gantt!$BF$6,NA(),IF((INDEX($D$7:$D$126,AA184)-1)&lt;Gantt!$J$6,0,MATCH((INDEX($D$7:$D$126,AA184)-1),Gantt!$J$6:$BE$6,1))),NA())</f>
        <v>#N/A</v>
      </c>
      <c r="BG184" t="e">
        <f t="shared" si="193"/>
        <v>#N/A</v>
      </c>
      <c r="BH184" t="e">
        <f t="shared" si="194"/>
        <v>#N/A</v>
      </c>
      <c r="BI184" t="e">
        <f t="shared" si="195"/>
        <v>#N/A</v>
      </c>
      <c r="BJ184" t="e">
        <f t="shared" si="196"/>
        <v>#N/A</v>
      </c>
      <c r="BK184" t="e">
        <f t="shared" si="197"/>
        <v>#N/A</v>
      </c>
      <c r="BL184" t="e">
        <f t="shared" si="198"/>
        <v>#N/A</v>
      </c>
      <c r="BM184" t="e">
        <f t="shared" si="199"/>
        <v>#N/A</v>
      </c>
      <c r="BN184" t="e">
        <f t="shared" si="200"/>
        <v>#N/A</v>
      </c>
      <c r="BO184" t="e">
        <f t="shared" si="201"/>
        <v>#N/A</v>
      </c>
      <c r="BP184" t="e">
        <f t="shared" si="202"/>
        <v>#N/A</v>
      </c>
      <c r="BQ184" t="e">
        <f t="shared" si="203"/>
        <v>#N/A</v>
      </c>
      <c r="BR184" t="e">
        <f t="shared" si="204"/>
        <v>#N/A</v>
      </c>
      <c r="BS184" t="e">
        <f t="shared" si="205"/>
        <v>#N/A</v>
      </c>
      <c r="BT184" t="e">
        <f t="shared" si="206"/>
        <v>#N/A</v>
      </c>
      <c r="BU184" t="e">
        <f t="shared" si="207"/>
        <v>#N/A</v>
      </c>
      <c r="BV184" t="e">
        <f t="shared" si="208"/>
        <v>#N/A</v>
      </c>
      <c r="BW184" t="e">
        <f t="shared" si="209"/>
        <v>#N/A</v>
      </c>
      <c r="BX184" t="e">
        <f t="shared" si="210"/>
        <v>#N/A</v>
      </c>
      <c r="BY184" t="e">
        <f t="shared" si="211"/>
        <v>#N/A</v>
      </c>
      <c r="BZ184" t="e">
        <f t="shared" si="212"/>
        <v>#N/A</v>
      </c>
      <c r="CA184" t="e">
        <f t="shared" si="213"/>
        <v>#N/A</v>
      </c>
      <c r="CB184" t="e">
        <f t="shared" si="214"/>
        <v>#N/A</v>
      </c>
      <c r="CC184" t="e">
        <f t="shared" si="215"/>
        <v>#N/A</v>
      </c>
      <c r="CD184" t="e">
        <f t="shared" si="216"/>
        <v>#N/A</v>
      </c>
      <c r="CE184" t="e">
        <f t="shared" si="217"/>
        <v>#N/A</v>
      </c>
      <c r="CF184" t="e">
        <f t="shared" si="218"/>
        <v>#N/A</v>
      </c>
      <c r="CG184" t="e">
        <f t="shared" si="219"/>
        <v>#N/A</v>
      </c>
      <c r="CI184" t="e">
        <f>AL66</f>
        <v>#N/A</v>
      </c>
      <c r="CJ184" t="e">
        <f>AM66</f>
        <v>#N/A</v>
      </c>
      <c r="CK184">
        <f>IF(ISNUMBER(CI184),IFERROR(MAX(0,AN66-CI184),0),0)</f>
        <v>0</v>
      </c>
      <c r="CL184">
        <f>IF(ISNUMBER(CI184),IFERROR(MAX(0,CI184-AN66),0),0)</f>
        <v>0</v>
      </c>
      <c r="CM184">
        <f>IF(ISNUMBER(CJ184),IFERROR(MAX(0,AO66-CJ184),0),0)</f>
        <v>0</v>
      </c>
      <c r="CN184">
        <f>IF(ISNUMBER(CJ184),IFERROR(MAX(0,CJ184-AO66),0),0)</f>
        <v>0</v>
      </c>
      <c r="CP184" t="e">
        <f>BT66</f>
        <v>#N/A</v>
      </c>
      <c r="CQ184" t="e">
        <f>BU66</f>
        <v>#N/A</v>
      </c>
      <c r="CR184">
        <f>IF(ISNUMBER(CP184),IFERROR(MAX(0,BV66-CP184),0),0)</f>
        <v>0</v>
      </c>
      <c r="CS184">
        <f>IF(ISNUMBER(CP184),IFERROR(MAX(0,CP184-BV66),0),0)</f>
        <v>0</v>
      </c>
      <c r="CT184">
        <f>IF(ISNUMBER(CQ184),IFERROR(MAX(0,BW66-CQ184),0),0)</f>
        <v>0</v>
      </c>
      <c r="CU184">
        <f>IF(ISNUMBER(CQ184),IFERROR(MAX(0,CQ184-BW66),0),0)</f>
        <v>0</v>
      </c>
    </row>
    <row r="185" spans="21:99" x14ac:dyDescent="0.3">
      <c r="U185">
        <v>179</v>
      </c>
      <c r="V185">
        <f t="shared" si="164"/>
        <v>45</v>
      </c>
      <c r="W185">
        <f t="shared" si="165"/>
        <v>3</v>
      </c>
      <c r="X185">
        <f t="shared" si="166"/>
        <v>0</v>
      </c>
      <c r="Y185">
        <f>IF(X185&lt;&gt;1,9999,CHOOSE(W185,INDEX(Gantt!$BQ$7:$BQ$119,V185),INDEX(Gantt!$BR$7:$BR$119,V185),INDEX(Gantt!$BT$7:$BT$119,V185),INDEX(Gantt!$BU$7:$BU$119,V185)))</f>
        <v>9999</v>
      </c>
      <c r="Z185">
        <f t="shared" si="167"/>
        <v>0</v>
      </c>
      <c r="AA185" t="e">
        <f t="shared" si="168"/>
        <v>#N/A</v>
      </c>
      <c r="AB185" t="e">
        <f t="shared" si="169"/>
        <v>#N/A</v>
      </c>
      <c r="AC185" t="e">
        <f t="shared" si="170"/>
        <v>#N/A</v>
      </c>
      <c r="AD185" t="e">
        <f t="shared" si="171"/>
        <v>#N/A</v>
      </c>
      <c r="AE185" t="e">
        <f t="shared" si="172"/>
        <v>#N/A</v>
      </c>
      <c r="AF185" t="e">
        <f t="shared" si="173"/>
        <v>#N/A</v>
      </c>
      <c r="AG185" t="e">
        <f t="shared" si="174"/>
        <v>#N/A</v>
      </c>
      <c r="AH185" t="e">
        <f t="shared" si="175"/>
        <v>#N/A</v>
      </c>
      <c r="AI185" t="e">
        <f t="shared" si="176"/>
        <v>#N/A</v>
      </c>
      <c r="AJ185" t="e">
        <f t="shared" si="177"/>
        <v>#N/A</v>
      </c>
      <c r="AK185" t="e">
        <f t="shared" si="178"/>
        <v>#N/A</v>
      </c>
      <c r="AL185" t="e">
        <f t="shared" si="179"/>
        <v>#N/A</v>
      </c>
      <c r="AM185" t="e">
        <f t="shared" si="180"/>
        <v>#N/A</v>
      </c>
      <c r="AN185" t="e">
        <f t="shared" si="181"/>
        <v>#N/A</v>
      </c>
      <c r="AO185" t="e">
        <f t="shared" si="182"/>
        <v>#N/A</v>
      </c>
      <c r="AP185" t="e">
        <f t="shared" si="183"/>
        <v>#N/A</v>
      </c>
      <c r="AQ185" t="e">
        <f t="shared" si="184"/>
        <v>#N/A</v>
      </c>
      <c r="AR185" t="e">
        <f t="shared" si="185"/>
        <v>#N/A</v>
      </c>
      <c r="AS185" t="e">
        <f t="shared" si="186"/>
        <v>#N/A</v>
      </c>
      <c r="AT185" t="e">
        <f t="shared" si="187"/>
        <v>#N/A</v>
      </c>
      <c r="AU185" t="e">
        <f t="shared" si="188"/>
        <v>#N/A</v>
      </c>
      <c r="AV185" t="e">
        <f t="shared" si="189"/>
        <v>#N/A</v>
      </c>
      <c r="AW185" t="e">
        <f t="shared" si="190"/>
        <v>#N/A</v>
      </c>
      <c r="AX185" t="e">
        <f t="shared" si="191"/>
        <v>#N/A</v>
      </c>
      <c r="AY185" t="e">
        <f t="shared" si="192"/>
        <v>#N/A</v>
      </c>
      <c r="BE185" t="e">
        <f>IF(Z185=1,IF(INDEX($C$7:$C$126,V185)&gt;=Gantt!$BF$6,NA(),MATCH(INDEX($C$7:$C$126,V185),Gantt!$J$6:$BE$6,1)),NA())</f>
        <v>#N/A</v>
      </c>
      <c r="BF185" t="e">
        <f>IF(Z185=1,IF((INDEX($D$7:$D$126,AA185)-1)&gt;=Gantt!$BF$6,NA(),IF((INDEX($D$7:$D$126,AA185)-1)&lt;Gantt!$J$6,0,MATCH((INDEX($D$7:$D$126,AA185)-1),Gantt!$J$6:$BE$6,1))),NA())</f>
        <v>#N/A</v>
      </c>
      <c r="BG185" t="e">
        <f t="shared" si="193"/>
        <v>#N/A</v>
      </c>
      <c r="BH185" t="e">
        <f t="shared" si="194"/>
        <v>#N/A</v>
      </c>
      <c r="BI185" t="e">
        <f t="shared" si="195"/>
        <v>#N/A</v>
      </c>
      <c r="BJ185" t="e">
        <f t="shared" si="196"/>
        <v>#N/A</v>
      </c>
      <c r="BK185" t="e">
        <f t="shared" si="197"/>
        <v>#N/A</v>
      </c>
      <c r="BL185" t="e">
        <f t="shared" si="198"/>
        <v>#N/A</v>
      </c>
      <c r="BM185" t="e">
        <f t="shared" si="199"/>
        <v>#N/A</v>
      </c>
      <c r="BN185" t="e">
        <f t="shared" si="200"/>
        <v>#N/A</v>
      </c>
      <c r="BO185" t="e">
        <f t="shared" si="201"/>
        <v>#N/A</v>
      </c>
      <c r="BP185" t="e">
        <f t="shared" si="202"/>
        <v>#N/A</v>
      </c>
      <c r="BQ185" t="e">
        <f t="shared" si="203"/>
        <v>#N/A</v>
      </c>
      <c r="BR185" t="e">
        <f t="shared" si="204"/>
        <v>#N/A</v>
      </c>
      <c r="BS185" t="e">
        <f t="shared" si="205"/>
        <v>#N/A</v>
      </c>
      <c r="BT185" t="e">
        <f t="shared" si="206"/>
        <v>#N/A</v>
      </c>
      <c r="BU185" t="e">
        <f t="shared" si="207"/>
        <v>#N/A</v>
      </c>
      <c r="BV185" t="e">
        <f t="shared" si="208"/>
        <v>#N/A</v>
      </c>
      <c r="BW185" t="e">
        <f t="shared" si="209"/>
        <v>#N/A</v>
      </c>
      <c r="BX185" t="e">
        <f t="shared" si="210"/>
        <v>#N/A</v>
      </c>
      <c r="BY185" t="e">
        <f t="shared" si="211"/>
        <v>#N/A</v>
      </c>
      <c r="BZ185" t="e">
        <f t="shared" si="212"/>
        <v>#N/A</v>
      </c>
      <c r="CA185" t="e">
        <f t="shared" si="213"/>
        <v>#N/A</v>
      </c>
      <c r="CB185" t="e">
        <f t="shared" si="214"/>
        <v>#N/A</v>
      </c>
      <c r="CC185" t="e">
        <f t="shared" si="215"/>
        <v>#N/A</v>
      </c>
      <c r="CD185" t="e">
        <f t="shared" si="216"/>
        <v>#N/A</v>
      </c>
      <c r="CE185" t="e">
        <f t="shared" si="217"/>
        <v>#N/A</v>
      </c>
      <c r="CF185" t="e">
        <f t="shared" si="218"/>
        <v>#N/A</v>
      </c>
      <c r="CG185" t="e">
        <f t="shared" si="219"/>
        <v>#N/A</v>
      </c>
      <c r="CI185" t="e">
        <f>AP66</f>
        <v>#N/A</v>
      </c>
      <c r="CJ185" t="e">
        <f>AQ66</f>
        <v>#N/A</v>
      </c>
      <c r="CK185">
        <f>IF(ISNUMBER(CI185),IFERROR(MAX(0,AR66-CI185),0),0)</f>
        <v>0</v>
      </c>
      <c r="CL185">
        <f>IF(ISNUMBER(CI185),IFERROR(MAX(0,CI185-AR66),0),0)</f>
        <v>0</v>
      </c>
      <c r="CM185">
        <f>IF(ISNUMBER(CJ185),IFERROR(MAX(0,AS66-CJ185),0),0)</f>
        <v>0</v>
      </c>
      <c r="CN185">
        <f>IF(ISNUMBER(CJ185),IFERROR(MAX(0,CJ185-AS66),0),0)</f>
        <v>0</v>
      </c>
      <c r="CP185" t="e">
        <f>BX66</f>
        <v>#N/A</v>
      </c>
      <c r="CQ185" t="e">
        <f>BY66</f>
        <v>#N/A</v>
      </c>
      <c r="CR185">
        <f>IF(ISNUMBER(CP185),IFERROR(MAX(0,BZ66-CP185),0),0)</f>
        <v>0</v>
      </c>
      <c r="CS185">
        <f>IF(ISNUMBER(CP185),IFERROR(MAX(0,CP185-BZ66),0),0)</f>
        <v>0</v>
      </c>
      <c r="CT185">
        <f>IF(ISNUMBER(CQ185),IFERROR(MAX(0,CA66-CQ185),0),0)</f>
        <v>0</v>
      </c>
      <c r="CU185">
        <f>IF(ISNUMBER(CQ185),IFERROR(MAX(0,CQ185-CA66),0),0)</f>
        <v>0</v>
      </c>
    </row>
    <row r="186" spans="21:99" x14ac:dyDescent="0.3">
      <c r="U186">
        <v>180</v>
      </c>
      <c r="V186">
        <f t="shared" si="164"/>
        <v>45</v>
      </c>
      <c r="W186">
        <f t="shared" si="165"/>
        <v>4</v>
      </c>
      <c r="X186">
        <f t="shared" si="166"/>
        <v>0</v>
      </c>
      <c r="Y186">
        <f>IF(X186&lt;&gt;1,9999,CHOOSE(W186,INDEX(Gantt!$BQ$7:$BQ$119,V186),INDEX(Gantt!$BR$7:$BR$119,V186),INDEX(Gantt!$BT$7:$BT$119,V186),INDEX(Gantt!$BU$7:$BU$119,V186)))</f>
        <v>9999</v>
      </c>
      <c r="Z186">
        <f t="shared" si="167"/>
        <v>0</v>
      </c>
      <c r="AA186" t="e">
        <f t="shared" si="168"/>
        <v>#N/A</v>
      </c>
      <c r="AB186" t="e">
        <f t="shared" si="169"/>
        <v>#N/A</v>
      </c>
      <c r="AC186" t="e">
        <f t="shared" si="170"/>
        <v>#N/A</v>
      </c>
      <c r="AD186" t="e">
        <f t="shared" si="171"/>
        <v>#N/A</v>
      </c>
      <c r="AE186" t="e">
        <f t="shared" si="172"/>
        <v>#N/A</v>
      </c>
      <c r="AF186" t="e">
        <f t="shared" si="173"/>
        <v>#N/A</v>
      </c>
      <c r="AG186" t="e">
        <f t="shared" si="174"/>
        <v>#N/A</v>
      </c>
      <c r="AH186" t="e">
        <f t="shared" si="175"/>
        <v>#N/A</v>
      </c>
      <c r="AI186" t="e">
        <f t="shared" si="176"/>
        <v>#N/A</v>
      </c>
      <c r="AJ186" t="e">
        <f t="shared" si="177"/>
        <v>#N/A</v>
      </c>
      <c r="AK186" t="e">
        <f t="shared" si="178"/>
        <v>#N/A</v>
      </c>
      <c r="AL186" t="e">
        <f t="shared" si="179"/>
        <v>#N/A</v>
      </c>
      <c r="AM186" t="e">
        <f t="shared" si="180"/>
        <v>#N/A</v>
      </c>
      <c r="AN186" t="e">
        <f t="shared" si="181"/>
        <v>#N/A</v>
      </c>
      <c r="AO186" t="e">
        <f t="shared" si="182"/>
        <v>#N/A</v>
      </c>
      <c r="AP186" t="e">
        <f t="shared" si="183"/>
        <v>#N/A</v>
      </c>
      <c r="AQ186" t="e">
        <f t="shared" si="184"/>
        <v>#N/A</v>
      </c>
      <c r="AR186" t="e">
        <f t="shared" si="185"/>
        <v>#N/A</v>
      </c>
      <c r="AS186" t="e">
        <f t="shared" si="186"/>
        <v>#N/A</v>
      </c>
      <c r="AT186" t="e">
        <f t="shared" si="187"/>
        <v>#N/A</v>
      </c>
      <c r="AU186" t="e">
        <f t="shared" si="188"/>
        <v>#N/A</v>
      </c>
      <c r="AV186" t="e">
        <f t="shared" si="189"/>
        <v>#N/A</v>
      </c>
      <c r="AW186" t="e">
        <f t="shared" si="190"/>
        <v>#N/A</v>
      </c>
      <c r="AX186" t="e">
        <f t="shared" si="191"/>
        <v>#N/A</v>
      </c>
      <c r="AY186" t="e">
        <f t="shared" si="192"/>
        <v>#N/A</v>
      </c>
      <c r="BE186" t="e">
        <f>IF(Z186=1,IF(INDEX($C$7:$C$126,V186)&gt;=Gantt!$BF$6,NA(),MATCH(INDEX($C$7:$C$126,V186),Gantt!$J$6:$BE$6,1)),NA())</f>
        <v>#N/A</v>
      </c>
      <c r="BF186" t="e">
        <f>IF(Z186=1,IF((INDEX($D$7:$D$126,AA186)-1)&gt;=Gantt!$BF$6,NA(),IF((INDEX($D$7:$D$126,AA186)-1)&lt;Gantt!$J$6,0,MATCH((INDEX($D$7:$D$126,AA186)-1),Gantt!$J$6:$BE$6,1))),NA())</f>
        <v>#N/A</v>
      </c>
      <c r="BG186" t="e">
        <f t="shared" si="193"/>
        <v>#N/A</v>
      </c>
      <c r="BH186" t="e">
        <f t="shared" si="194"/>
        <v>#N/A</v>
      </c>
      <c r="BI186" t="e">
        <f t="shared" si="195"/>
        <v>#N/A</v>
      </c>
      <c r="BJ186" t="e">
        <f t="shared" si="196"/>
        <v>#N/A</v>
      </c>
      <c r="BK186" t="e">
        <f t="shared" si="197"/>
        <v>#N/A</v>
      </c>
      <c r="BL186" t="e">
        <f t="shared" si="198"/>
        <v>#N/A</v>
      </c>
      <c r="BM186" t="e">
        <f t="shared" si="199"/>
        <v>#N/A</v>
      </c>
      <c r="BN186" t="e">
        <f t="shared" si="200"/>
        <v>#N/A</v>
      </c>
      <c r="BO186" t="e">
        <f t="shared" si="201"/>
        <v>#N/A</v>
      </c>
      <c r="BP186" t="e">
        <f t="shared" si="202"/>
        <v>#N/A</v>
      </c>
      <c r="BQ186" t="e">
        <f t="shared" si="203"/>
        <v>#N/A</v>
      </c>
      <c r="BR186" t="e">
        <f t="shared" si="204"/>
        <v>#N/A</v>
      </c>
      <c r="BS186" t="e">
        <f t="shared" si="205"/>
        <v>#N/A</v>
      </c>
      <c r="BT186" t="e">
        <f t="shared" si="206"/>
        <v>#N/A</v>
      </c>
      <c r="BU186" t="e">
        <f t="shared" si="207"/>
        <v>#N/A</v>
      </c>
      <c r="BV186" t="e">
        <f t="shared" si="208"/>
        <v>#N/A</v>
      </c>
      <c r="BW186" t="e">
        <f t="shared" si="209"/>
        <v>#N/A</v>
      </c>
      <c r="BX186" t="e">
        <f t="shared" si="210"/>
        <v>#N/A</v>
      </c>
      <c r="BY186" t="e">
        <f t="shared" si="211"/>
        <v>#N/A</v>
      </c>
      <c r="BZ186" t="e">
        <f t="shared" si="212"/>
        <v>#N/A</v>
      </c>
      <c r="CA186" t="e">
        <f t="shared" si="213"/>
        <v>#N/A</v>
      </c>
      <c r="CB186" t="e">
        <f t="shared" si="214"/>
        <v>#N/A</v>
      </c>
      <c r="CC186" t="e">
        <f t="shared" si="215"/>
        <v>#N/A</v>
      </c>
      <c r="CD186" t="e">
        <f t="shared" si="216"/>
        <v>#N/A</v>
      </c>
      <c r="CE186" t="e">
        <f t="shared" si="217"/>
        <v>#N/A</v>
      </c>
      <c r="CF186" t="e">
        <f t="shared" si="218"/>
        <v>#N/A</v>
      </c>
      <c r="CG186" t="e">
        <f t="shared" si="219"/>
        <v>#N/A</v>
      </c>
      <c r="CI186" t="e">
        <f>AT66</f>
        <v>#N/A</v>
      </c>
      <c r="CJ186" t="e">
        <f>AU66</f>
        <v>#N/A</v>
      </c>
      <c r="CK186">
        <f>IF(ISNUMBER(CI186),IFERROR(MAX(0,AV66-CI186),0),0)</f>
        <v>0</v>
      </c>
      <c r="CL186">
        <f>IF(ISNUMBER(CI186),IFERROR(MAX(0,CI186-AV66),0),0)</f>
        <v>0</v>
      </c>
      <c r="CM186">
        <f>IF(ISNUMBER(CJ186),IFERROR(MAX(0,AW66-CJ186),0),0)</f>
        <v>0</v>
      </c>
      <c r="CN186">
        <f>IF(ISNUMBER(CJ186),IFERROR(MAX(0,CJ186-AW66),0),0)</f>
        <v>0</v>
      </c>
      <c r="CP186" t="e">
        <f>CB66</f>
        <v>#N/A</v>
      </c>
      <c r="CQ186" t="e">
        <f>CC66</f>
        <v>#N/A</v>
      </c>
      <c r="CR186">
        <f>IF(ISNUMBER(CP186),IFERROR(MAX(0,CD66-CP186),0),0)</f>
        <v>0</v>
      </c>
      <c r="CS186">
        <f>IF(ISNUMBER(CP186),IFERROR(MAX(0,CP186-CD66),0),0)</f>
        <v>0</v>
      </c>
      <c r="CT186">
        <f>IF(ISNUMBER(CQ186),IFERROR(MAX(0,CE66-CQ186),0),0)</f>
        <v>0</v>
      </c>
      <c r="CU186">
        <f>IF(ISNUMBER(CQ186),IFERROR(MAX(0,CQ186-CE66),0),0)</f>
        <v>0</v>
      </c>
    </row>
    <row r="187" spans="21:99" x14ac:dyDescent="0.3">
      <c r="U187">
        <v>181</v>
      </c>
      <c r="V187">
        <f t="shared" si="164"/>
        <v>46</v>
      </c>
      <c r="W187">
        <f t="shared" si="165"/>
        <v>1</v>
      </c>
      <c r="X187">
        <f t="shared" si="166"/>
        <v>0</v>
      </c>
      <c r="Y187">
        <f>IF(X187&lt;&gt;1,9999,CHOOSE(W187,INDEX(Gantt!$BQ$7:$BQ$119,V187),INDEX(Gantt!$BR$7:$BR$119,V187),INDEX(Gantt!$BT$7:$BT$119,V187),INDEX(Gantt!$BU$7:$BU$119,V187)))</f>
        <v>9999</v>
      </c>
      <c r="Z187">
        <f t="shared" si="167"/>
        <v>0</v>
      </c>
      <c r="AA187" t="e">
        <f t="shared" si="168"/>
        <v>#N/A</v>
      </c>
      <c r="AB187" t="e">
        <f t="shared" si="169"/>
        <v>#N/A</v>
      </c>
      <c r="AC187" t="e">
        <f t="shared" si="170"/>
        <v>#N/A</v>
      </c>
      <c r="AD187" t="e">
        <f t="shared" si="171"/>
        <v>#N/A</v>
      </c>
      <c r="AE187" t="e">
        <f t="shared" si="172"/>
        <v>#N/A</v>
      </c>
      <c r="AF187" t="e">
        <f t="shared" si="173"/>
        <v>#N/A</v>
      </c>
      <c r="AG187" t="e">
        <f t="shared" si="174"/>
        <v>#N/A</v>
      </c>
      <c r="AH187" t="e">
        <f t="shared" si="175"/>
        <v>#N/A</v>
      </c>
      <c r="AI187" t="e">
        <f t="shared" si="176"/>
        <v>#N/A</v>
      </c>
      <c r="AJ187" t="e">
        <f t="shared" si="177"/>
        <v>#N/A</v>
      </c>
      <c r="AK187" t="e">
        <f t="shared" si="178"/>
        <v>#N/A</v>
      </c>
      <c r="AL187" t="e">
        <f t="shared" si="179"/>
        <v>#N/A</v>
      </c>
      <c r="AM187" t="e">
        <f t="shared" si="180"/>
        <v>#N/A</v>
      </c>
      <c r="AN187" t="e">
        <f t="shared" si="181"/>
        <v>#N/A</v>
      </c>
      <c r="AO187" t="e">
        <f t="shared" si="182"/>
        <v>#N/A</v>
      </c>
      <c r="AP187" t="e">
        <f t="shared" si="183"/>
        <v>#N/A</v>
      </c>
      <c r="AQ187" t="e">
        <f t="shared" si="184"/>
        <v>#N/A</v>
      </c>
      <c r="AR187" t="e">
        <f t="shared" si="185"/>
        <v>#N/A</v>
      </c>
      <c r="AS187" t="e">
        <f t="shared" si="186"/>
        <v>#N/A</v>
      </c>
      <c r="AT187" t="e">
        <f t="shared" si="187"/>
        <v>#N/A</v>
      </c>
      <c r="AU187" t="e">
        <f t="shared" si="188"/>
        <v>#N/A</v>
      </c>
      <c r="AV187" t="e">
        <f t="shared" si="189"/>
        <v>#N/A</v>
      </c>
      <c r="AW187" t="e">
        <f t="shared" si="190"/>
        <v>#N/A</v>
      </c>
      <c r="AX187" t="e">
        <f t="shared" si="191"/>
        <v>#N/A</v>
      </c>
      <c r="AY187" t="e">
        <f t="shared" si="192"/>
        <v>#N/A</v>
      </c>
      <c r="BE187" t="e">
        <f>IF(Z187=1,IF(INDEX($C$7:$C$126,V187)&gt;=Gantt!$BF$6,NA(),MATCH(INDEX($C$7:$C$126,V187),Gantt!$J$6:$BE$6,1)),NA())</f>
        <v>#N/A</v>
      </c>
      <c r="BF187" t="e">
        <f>IF(Z187=1,IF((INDEX($D$7:$D$126,AA187)-1)&gt;=Gantt!$BF$6,NA(),IF((INDEX($D$7:$D$126,AA187)-1)&lt;Gantt!$J$6,0,MATCH((INDEX($D$7:$D$126,AA187)-1),Gantt!$J$6:$BE$6,1))),NA())</f>
        <v>#N/A</v>
      </c>
      <c r="BG187" t="e">
        <f t="shared" si="193"/>
        <v>#N/A</v>
      </c>
      <c r="BH187" t="e">
        <f t="shared" si="194"/>
        <v>#N/A</v>
      </c>
      <c r="BI187" t="e">
        <f t="shared" si="195"/>
        <v>#N/A</v>
      </c>
      <c r="BJ187" t="e">
        <f t="shared" si="196"/>
        <v>#N/A</v>
      </c>
      <c r="BK187" t="e">
        <f t="shared" si="197"/>
        <v>#N/A</v>
      </c>
      <c r="BL187" t="e">
        <f t="shared" si="198"/>
        <v>#N/A</v>
      </c>
      <c r="BM187" t="e">
        <f t="shared" si="199"/>
        <v>#N/A</v>
      </c>
      <c r="BN187" t="e">
        <f t="shared" si="200"/>
        <v>#N/A</v>
      </c>
      <c r="BO187" t="e">
        <f t="shared" si="201"/>
        <v>#N/A</v>
      </c>
      <c r="BP187" t="e">
        <f t="shared" si="202"/>
        <v>#N/A</v>
      </c>
      <c r="BQ187" t="e">
        <f t="shared" si="203"/>
        <v>#N/A</v>
      </c>
      <c r="BR187" t="e">
        <f t="shared" si="204"/>
        <v>#N/A</v>
      </c>
      <c r="BS187" t="e">
        <f t="shared" si="205"/>
        <v>#N/A</v>
      </c>
      <c r="BT187" t="e">
        <f t="shared" si="206"/>
        <v>#N/A</v>
      </c>
      <c r="BU187" t="e">
        <f t="shared" si="207"/>
        <v>#N/A</v>
      </c>
      <c r="BV187" t="e">
        <f t="shared" si="208"/>
        <v>#N/A</v>
      </c>
      <c r="BW187" t="e">
        <f t="shared" si="209"/>
        <v>#N/A</v>
      </c>
      <c r="BX187" t="e">
        <f t="shared" si="210"/>
        <v>#N/A</v>
      </c>
      <c r="BY187" t="e">
        <f t="shared" si="211"/>
        <v>#N/A</v>
      </c>
      <c r="BZ187" t="e">
        <f t="shared" si="212"/>
        <v>#N/A</v>
      </c>
      <c r="CA187" t="e">
        <f t="shared" si="213"/>
        <v>#N/A</v>
      </c>
      <c r="CB187" t="e">
        <f t="shared" si="214"/>
        <v>#N/A</v>
      </c>
      <c r="CC187" t="e">
        <f t="shared" si="215"/>
        <v>#N/A</v>
      </c>
      <c r="CD187" t="e">
        <f t="shared" si="216"/>
        <v>#N/A</v>
      </c>
      <c r="CE187" t="e">
        <f t="shared" si="217"/>
        <v>#N/A</v>
      </c>
      <c r="CF187" t="e">
        <f t="shared" si="218"/>
        <v>#N/A</v>
      </c>
      <c r="CG187" t="e">
        <f t="shared" si="219"/>
        <v>#N/A</v>
      </c>
      <c r="CI187" t="e">
        <f>AL67</f>
        <v>#N/A</v>
      </c>
      <c r="CJ187" t="e">
        <f>AM67</f>
        <v>#N/A</v>
      </c>
      <c r="CK187">
        <f>IF(ISNUMBER(CI187),IFERROR(MAX(0,AN67-CI187),0),0)</f>
        <v>0</v>
      </c>
      <c r="CL187">
        <f>IF(ISNUMBER(CI187),IFERROR(MAX(0,CI187-AN67),0),0)</f>
        <v>0</v>
      </c>
      <c r="CM187">
        <f>IF(ISNUMBER(CJ187),IFERROR(MAX(0,AO67-CJ187),0),0)</f>
        <v>0</v>
      </c>
      <c r="CN187">
        <f>IF(ISNUMBER(CJ187),IFERROR(MAX(0,CJ187-AO67),0),0)</f>
        <v>0</v>
      </c>
      <c r="CP187" t="e">
        <f>BT67</f>
        <v>#N/A</v>
      </c>
      <c r="CQ187" t="e">
        <f>BU67</f>
        <v>#N/A</v>
      </c>
      <c r="CR187">
        <f>IF(ISNUMBER(CP187),IFERROR(MAX(0,BV67-CP187),0),0)</f>
        <v>0</v>
      </c>
      <c r="CS187">
        <f>IF(ISNUMBER(CP187),IFERROR(MAX(0,CP187-BV67),0),0)</f>
        <v>0</v>
      </c>
      <c r="CT187">
        <f>IF(ISNUMBER(CQ187),IFERROR(MAX(0,BW67-CQ187),0),0)</f>
        <v>0</v>
      </c>
      <c r="CU187">
        <f>IF(ISNUMBER(CQ187),IFERROR(MAX(0,CQ187-BW67),0),0)</f>
        <v>0</v>
      </c>
    </row>
    <row r="188" spans="21:99" x14ac:dyDescent="0.3">
      <c r="U188">
        <v>182</v>
      </c>
      <c r="V188">
        <f t="shared" si="164"/>
        <v>46</v>
      </c>
      <c r="W188">
        <f t="shared" si="165"/>
        <v>2</v>
      </c>
      <c r="X188">
        <f t="shared" si="166"/>
        <v>0</v>
      </c>
      <c r="Y188">
        <f>IF(X188&lt;&gt;1,9999,CHOOSE(W188,INDEX(Gantt!$BQ$7:$BQ$119,V188),INDEX(Gantt!$BR$7:$BR$119,V188),INDEX(Gantt!$BT$7:$BT$119,V188),INDEX(Gantt!$BU$7:$BU$119,V188)))</f>
        <v>9999</v>
      </c>
      <c r="Z188">
        <f t="shared" si="167"/>
        <v>0</v>
      </c>
      <c r="AA188" t="e">
        <f t="shared" si="168"/>
        <v>#N/A</v>
      </c>
      <c r="AB188" t="e">
        <f t="shared" si="169"/>
        <v>#N/A</v>
      </c>
      <c r="AC188" t="e">
        <f t="shared" si="170"/>
        <v>#N/A</v>
      </c>
      <c r="AD188" t="e">
        <f t="shared" si="171"/>
        <v>#N/A</v>
      </c>
      <c r="AE188" t="e">
        <f t="shared" si="172"/>
        <v>#N/A</v>
      </c>
      <c r="AF188" t="e">
        <f t="shared" si="173"/>
        <v>#N/A</v>
      </c>
      <c r="AG188" t="e">
        <f t="shared" si="174"/>
        <v>#N/A</v>
      </c>
      <c r="AH188" t="e">
        <f t="shared" si="175"/>
        <v>#N/A</v>
      </c>
      <c r="AI188" t="e">
        <f t="shared" si="176"/>
        <v>#N/A</v>
      </c>
      <c r="AJ188" t="e">
        <f t="shared" si="177"/>
        <v>#N/A</v>
      </c>
      <c r="AK188" t="e">
        <f t="shared" si="178"/>
        <v>#N/A</v>
      </c>
      <c r="AL188" t="e">
        <f t="shared" si="179"/>
        <v>#N/A</v>
      </c>
      <c r="AM188" t="e">
        <f t="shared" si="180"/>
        <v>#N/A</v>
      </c>
      <c r="AN188" t="e">
        <f t="shared" si="181"/>
        <v>#N/A</v>
      </c>
      <c r="AO188" t="e">
        <f t="shared" si="182"/>
        <v>#N/A</v>
      </c>
      <c r="AP188" t="e">
        <f t="shared" si="183"/>
        <v>#N/A</v>
      </c>
      <c r="AQ188" t="e">
        <f t="shared" si="184"/>
        <v>#N/A</v>
      </c>
      <c r="AR188" t="e">
        <f t="shared" si="185"/>
        <v>#N/A</v>
      </c>
      <c r="AS188" t="e">
        <f t="shared" si="186"/>
        <v>#N/A</v>
      </c>
      <c r="AT188" t="e">
        <f t="shared" si="187"/>
        <v>#N/A</v>
      </c>
      <c r="AU188" t="e">
        <f t="shared" si="188"/>
        <v>#N/A</v>
      </c>
      <c r="AV188" t="e">
        <f t="shared" si="189"/>
        <v>#N/A</v>
      </c>
      <c r="AW188" t="e">
        <f t="shared" si="190"/>
        <v>#N/A</v>
      </c>
      <c r="AX188" t="e">
        <f t="shared" si="191"/>
        <v>#N/A</v>
      </c>
      <c r="AY188" t="e">
        <f t="shared" si="192"/>
        <v>#N/A</v>
      </c>
      <c r="BE188" t="e">
        <f>IF(Z188=1,IF(INDEX($C$7:$C$126,V188)&gt;=Gantt!$BF$6,NA(),MATCH(INDEX($C$7:$C$126,V188),Gantt!$J$6:$BE$6,1)),NA())</f>
        <v>#N/A</v>
      </c>
      <c r="BF188" t="e">
        <f>IF(Z188=1,IF((INDEX($D$7:$D$126,AA188)-1)&gt;=Gantt!$BF$6,NA(),IF((INDEX($D$7:$D$126,AA188)-1)&lt;Gantt!$J$6,0,MATCH((INDEX($D$7:$D$126,AA188)-1),Gantt!$J$6:$BE$6,1))),NA())</f>
        <v>#N/A</v>
      </c>
      <c r="BG188" t="e">
        <f t="shared" si="193"/>
        <v>#N/A</v>
      </c>
      <c r="BH188" t="e">
        <f t="shared" si="194"/>
        <v>#N/A</v>
      </c>
      <c r="BI188" t="e">
        <f t="shared" si="195"/>
        <v>#N/A</v>
      </c>
      <c r="BJ188" t="e">
        <f t="shared" si="196"/>
        <v>#N/A</v>
      </c>
      <c r="BK188" t="e">
        <f t="shared" si="197"/>
        <v>#N/A</v>
      </c>
      <c r="BL188" t="e">
        <f t="shared" si="198"/>
        <v>#N/A</v>
      </c>
      <c r="BM188" t="e">
        <f t="shared" si="199"/>
        <v>#N/A</v>
      </c>
      <c r="BN188" t="e">
        <f t="shared" si="200"/>
        <v>#N/A</v>
      </c>
      <c r="BO188" t="e">
        <f t="shared" si="201"/>
        <v>#N/A</v>
      </c>
      <c r="BP188" t="e">
        <f t="shared" si="202"/>
        <v>#N/A</v>
      </c>
      <c r="BQ188" t="e">
        <f t="shared" si="203"/>
        <v>#N/A</v>
      </c>
      <c r="BR188" t="e">
        <f t="shared" si="204"/>
        <v>#N/A</v>
      </c>
      <c r="BS188" t="e">
        <f t="shared" si="205"/>
        <v>#N/A</v>
      </c>
      <c r="BT188" t="e">
        <f t="shared" si="206"/>
        <v>#N/A</v>
      </c>
      <c r="BU188" t="e">
        <f t="shared" si="207"/>
        <v>#N/A</v>
      </c>
      <c r="BV188" t="e">
        <f t="shared" si="208"/>
        <v>#N/A</v>
      </c>
      <c r="BW188" t="e">
        <f t="shared" si="209"/>
        <v>#N/A</v>
      </c>
      <c r="BX188" t="e">
        <f t="shared" si="210"/>
        <v>#N/A</v>
      </c>
      <c r="BY188" t="e">
        <f t="shared" si="211"/>
        <v>#N/A</v>
      </c>
      <c r="BZ188" t="e">
        <f t="shared" si="212"/>
        <v>#N/A</v>
      </c>
      <c r="CA188" t="e">
        <f t="shared" si="213"/>
        <v>#N/A</v>
      </c>
      <c r="CB188" t="e">
        <f t="shared" si="214"/>
        <v>#N/A</v>
      </c>
      <c r="CC188" t="e">
        <f t="shared" si="215"/>
        <v>#N/A</v>
      </c>
      <c r="CD188" t="e">
        <f t="shared" si="216"/>
        <v>#N/A</v>
      </c>
      <c r="CE188" t="e">
        <f t="shared" si="217"/>
        <v>#N/A</v>
      </c>
      <c r="CF188" t="e">
        <f t="shared" si="218"/>
        <v>#N/A</v>
      </c>
      <c r="CG188" t="e">
        <f t="shared" si="219"/>
        <v>#N/A</v>
      </c>
      <c r="CI188" t="e">
        <f>AP67</f>
        <v>#N/A</v>
      </c>
      <c r="CJ188" t="e">
        <f>AQ67</f>
        <v>#N/A</v>
      </c>
      <c r="CK188">
        <f>IF(ISNUMBER(CI188),IFERROR(MAX(0,AR67-CI188),0),0)</f>
        <v>0</v>
      </c>
      <c r="CL188">
        <f>IF(ISNUMBER(CI188),IFERROR(MAX(0,CI188-AR67),0),0)</f>
        <v>0</v>
      </c>
      <c r="CM188">
        <f>IF(ISNUMBER(CJ188),IFERROR(MAX(0,AS67-CJ188),0),0)</f>
        <v>0</v>
      </c>
      <c r="CN188">
        <f>IF(ISNUMBER(CJ188),IFERROR(MAX(0,CJ188-AS67),0),0)</f>
        <v>0</v>
      </c>
      <c r="CP188" t="e">
        <f>BX67</f>
        <v>#N/A</v>
      </c>
      <c r="CQ188" t="e">
        <f>BY67</f>
        <v>#N/A</v>
      </c>
      <c r="CR188">
        <f>IF(ISNUMBER(CP188),IFERROR(MAX(0,BZ67-CP188),0),0)</f>
        <v>0</v>
      </c>
      <c r="CS188">
        <f>IF(ISNUMBER(CP188),IFERROR(MAX(0,CP188-BZ67),0),0)</f>
        <v>0</v>
      </c>
      <c r="CT188">
        <f>IF(ISNUMBER(CQ188),IFERROR(MAX(0,CA67-CQ188),0),0)</f>
        <v>0</v>
      </c>
      <c r="CU188">
        <f>IF(ISNUMBER(CQ188),IFERROR(MAX(0,CQ188-CA67),0),0)</f>
        <v>0</v>
      </c>
    </row>
    <row r="189" spans="21:99" x14ac:dyDescent="0.3">
      <c r="U189">
        <v>183</v>
      </c>
      <c r="V189">
        <f t="shared" si="164"/>
        <v>46</v>
      </c>
      <c r="W189">
        <f t="shared" si="165"/>
        <v>3</v>
      </c>
      <c r="X189">
        <f t="shared" si="166"/>
        <v>0</v>
      </c>
      <c r="Y189">
        <f>IF(X189&lt;&gt;1,9999,CHOOSE(W189,INDEX(Gantt!$BQ$7:$BQ$119,V189),INDEX(Gantt!$BR$7:$BR$119,V189),INDEX(Gantt!$BT$7:$BT$119,V189),INDEX(Gantt!$BU$7:$BU$119,V189)))</f>
        <v>9999</v>
      </c>
      <c r="Z189">
        <f t="shared" si="167"/>
        <v>0</v>
      </c>
      <c r="AA189" t="e">
        <f t="shared" si="168"/>
        <v>#N/A</v>
      </c>
      <c r="AB189" t="e">
        <f t="shared" si="169"/>
        <v>#N/A</v>
      </c>
      <c r="AC189" t="e">
        <f t="shared" si="170"/>
        <v>#N/A</v>
      </c>
      <c r="AD189" t="e">
        <f t="shared" si="171"/>
        <v>#N/A</v>
      </c>
      <c r="AE189" t="e">
        <f t="shared" si="172"/>
        <v>#N/A</v>
      </c>
      <c r="AF189" t="e">
        <f t="shared" si="173"/>
        <v>#N/A</v>
      </c>
      <c r="AG189" t="e">
        <f t="shared" si="174"/>
        <v>#N/A</v>
      </c>
      <c r="AH189" t="e">
        <f t="shared" si="175"/>
        <v>#N/A</v>
      </c>
      <c r="AI189" t="e">
        <f t="shared" si="176"/>
        <v>#N/A</v>
      </c>
      <c r="AJ189" t="e">
        <f t="shared" si="177"/>
        <v>#N/A</v>
      </c>
      <c r="AK189" t="e">
        <f t="shared" si="178"/>
        <v>#N/A</v>
      </c>
      <c r="AL189" t="e">
        <f t="shared" si="179"/>
        <v>#N/A</v>
      </c>
      <c r="AM189" t="e">
        <f t="shared" si="180"/>
        <v>#N/A</v>
      </c>
      <c r="AN189" t="e">
        <f t="shared" si="181"/>
        <v>#N/A</v>
      </c>
      <c r="AO189" t="e">
        <f t="shared" si="182"/>
        <v>#N/A</v>
      </c>
      <c r="AP189" t="e">
        <f t="shared" si="183"/>
        <v>#N/A</v>
      </c>
      <c r="AQ189" t="e">
        <f t="shared" si="184"/>
        <v>#N/A</v>
      </c>
      <c r="AR189" t="e">
        <f t="shared" si="185"/>
        <v>#N/A</v>
      </c>
      <c r="AS189" t="e">
        <f t="shared" si="186"/>
        <v>#N/A</v>
      </c>
      <c r="AT189" t="e">
        <f t="shared" si="187"/>
        <v>#N/A</v>
      </c>
      <c r="AU189" t="e">
        <f t="shared" si="188"/>
        <v>#N/A</v>
      </c>
      <c r="AV189" t="e">
        <f t="shared" si="189"/>
        <v>#N/A</v>
      </c>
      <c r="AW189" t="e">
        <f t="shared" si="190"/>
        <v>#N/A</v>
      </c>
      <c r="AX189" t="e">
        <f t="shared" si="191"/>
        <v>#N/A</v>
      </c>
      <c r="AY189" t="e">
        <f t="shared" si="192"/>
        <v>#N/A</v>
      </c>
      <c r="BE189" t="e">
        <f>IF(Z189=1,IF(INDEX($C$7:$C$126,V189)&gt;=Gantt!$BF$6,NA(),MATCH(INDEX($C$7:$C$126,V189),Gantt!$J$6:$BE$6,1)),NA())</f>
        <v>#N/A</v>
      </c>
      <c r="BF189" t="e">
        <f>IF(Z189=1,IF((INDEX($D$7:$D$126,AA189)-1)&gt;=Gantt!$BF$6,NA(),IF((INDEX($D$7:$D$126,AA189)-1)&lt;Gantt!$J$6,0,MATCH((INDEX($D$7:$D$126,AA189)-1),Gantt!$J$6:$BE$6,1))),NA())</f>
        <v>#N/A</v>
      </c>
      <c r="BG189" t="e">
        <f t="shared" si="193"/>
        <v>#N/A</v>
      </c>
      <c r="BH189" t="e">
        <f t="shared" si="194"/>
        <v>#N/A</v>
      </c>
      <c r="BI189" t="e">
        <f t="shared" si="195"/>
        <v>#N/A</v>
      </c>
      <c r="BJ189" t="e">
        <f t="shared" si="196"/>
        <v>#N/A</v>
      </c>
      <c r="BK189" t="e">
        <f t="shared" si="197"/>
        <v>#N/A</v>
      </c>
      <c r="BL189" t="e">
        <f t="shared" si="198"/>
        <v>#N/A</v>
      </c>
      <c r="BM189" t="e">
        <f t="shared" si="199"/>
        <v>#N/A</v>
      </c>
      <c r="BN189" t="e">
        <f t="shared" si="200"/>
        <v>#N/A</v>
      </c>
      <c r="BO189" t="e">
        <f t="shared" si="201"/>
        <v>#N/A</v>
      </c>
      <c r="BP189" t="e">
        <f t="shared" si="202"/>
        <v>#N/A</v>
      </c>
      <c r="BQ189" t="e">
        <f t="shared" si="203"/>
        <v>#N/A</v>
      </c>
      <c r="BR189" t="e">
        <f t="shared" si="204"/>
        <v>#N/A</v>
      </c>
      <c r="BS189" t="e">
        <f t="shared" si="205"/>
        <v>#N/A</v>
      </c>
      <c r="BT189" t="e">
        <f t="shared" si="206"/>
        <v>#N/A</v>
      </c>
      <c r="BU189" t="e">
        <f t="shared" si="207"/>
        <v>#N/A</v>
      </c>
      <c r="BV189" t="e">
        <f t="shared" si="208"/>
        <v>#N/A</v>
      </c>
      <c r="BW189" t="e">
        <f t="shared" si="209"/>
        <v>#N/A</v>
      </c>
      <c r="BX189" t="e">
        <f t="shared" si="210"/>
        <v>#N/A</v>
      </c>
      <c r="BY189" t="e">
        <f t="shared" si="211"/>
        <v>#N/A</v>
      </c>
      <c r="BZ189" t="e">
        <f t="shared" si="212"/>
        <v>#N/A</v>
      </c>
      <c r="CA189" t="e">
        <f t="shared" si="213"/>
        <v>#N/A</v>
      </c>
      <c r="CB189" t="e">
        <f t="shared" si="214"/>
        <v>#N/A</v>
      </c>
      <c r="CC189" t="e">
        <f t="shared" si="215"/>
        <v>#N/A</v>
      </c>
      <c r="CD189" t="e">
        <f t="shared" si="216"/>
        <v>#N/A</v>
      </c>
      <c r="CE189" t="e">
        <f t="shared" si="217"/>
        <v>#N/A</v>
      </c>
      <c r="CF189" t="e">
        <f t="shared" si="218"/>
        <v>#N/A</v>
      </c>
      <c r="CG189" t="e">
        <f t="shared" si="219"/>
        <v>#N/A</v>
      </c>
      <c r="CI189" t="e">
        <f>AT67</f>
        <v>#N/A</v>
      </c>
      <c r="CJ189" t="e">
        <f>AU67</f>
        <v>#N/A</v>
      </c>
      <c r="CK189">
        <f>IF(ISNUMBER(CI189),IFERROR(MAX(0,AV67-CI189),0),0)</f>
        <v>0</v>
      </c>
      <c r="CL189">
        <f>IF(ISNUMBER(CI189),IFERROR(MAX(0,CI189-AV67),0),0)</f>
        <v>0</v>
      </c>
      <c r="CM189">
        <f>IF(ISNUMBER(CJ189),IFERROR(MAX(0,AW67-CJ189),0),0)</f>
        <v>0</v>
      </c>
      <c r="CN189">
        <f>IF(ISNUMBER(CJ189),IFERROR(MAX(0,CJ189-AW67),0),0)</f>
        <v>0</v>
      </c>
      <c r="CP189" t="e">
        <f>CB67</f>
        <v>#N/A</v>
      </c>
      <c r="CQ189" t="e">
        <f>CC67</f>
        <v>#N/A</v>
      </c>
      <c r="CR189">
        <f>IF(ISNUMBER(CP189),IFERROR(MAX(0,CD67-CP189),0),0)</f>
        <v>0</v>
      </c>
      <c r="CS189">
        <f>IF(ISNUMBER(CP189),IFERROR(MAX(0,CP189-CD67),0),0)</f>
        <v>0</v>
      </c>
      <c r="CT189">
        <f>IF(ISNUMBER(CQ189),IFERROR(MAX(0,CE67-CQ189),0),0)</f>
        <v>0</v>
      </c>
      <c r="CU189">
        <f>IF(ISNUMBER(CQ189),IFERROR(MAX(0,CQ189-CE67),0),0)</f>
        <v>0</v>
      </c>
    </row>
    <row r="190" spans="21:99" x14ac:dyDescent="0.3">
      <c r="U190">
        <v>184</v>
      </c>
      <c r="V190">
        <f t="shared" si="164"/>
        <v>46</v>
      </c>
      <c r="W190">
        <f t="shared" si="165"/>
        <v>4</v>
      </c>
      <c r="X190">
        <f t="shared" si="166"/>
        <v>0</v>
      </c>
      <c r="Y190">
        <f>IF(X190&lt;&gt;1,9999,CHOOSE(W190,INDEX(Gantt!$BQ$7:$BQ$119,V190),INDEX(Gantt!$BR$7:$BR$119,V190),INDEX(Gantt!$BT$7:$BT$119,V190),INDEX(Gantt!$BU$7:$BU$119,V190)))</f>
        <v>9999</v>
      </c>
      <c r="Z190">
        <f t="shared" si="167"/>
        <v>0</v>
      </c>
      <c r="AA190" t="e">
        <f t="shared" si="168"/>
        <v>#N/A</v>
      </c>
      <c r="AB190" t="e">
        <f t="shared" si="169"/>
        <v>#N/A</v>
      </c>
      <c r="AC190" t="e">
        <f t="shared" si="170"/>
        <v>#N/A</v>
      </c>
      <c r="AD190" t="e">
        <f t="shared" si="171"/>
        <v>#N/A</v>
      </c>
      <c r="AE190" t="e">
        <f t="shared" si="172"/>
        <v>#N/A</v>
      </c>
      <c r="AF190" t="e">
        <f t="shared" si="173"/>
        <v>#N/A</v>
      </c>
      <c r="AG190" t="e">
        <f t="shared" si="174"/>
        <v>#N/A</v>
      </c>
      <c r="AH190" t="e">
        <f t="shared" si="175"/>
        <v>#N/A</v>
      </c>
      <c r="AI190" t="e">
        <f t="shared" si="176"/>
        <v>#N/A</v>
      </c>
      <c r="AJ190" t="e">
        <f t="shared" si="177"/>
        <v>#N/A</v>
      </c>
      <c r="AK190" t="e">
        <f t="shared" si="178"/>
        <v>#N/A</v>
      </c>
      <c r="AL190" t="e">
        <f t="shared" si="179"/>
        <v>#N/A</v>
      </c>
      <c r="AM190" t="e">
        <f t="shared" si="180"/>
        <v>#N/A</v>
      </c>
      <c r="AN190" t="e">
        <f t="shared" si="181"/>
        <v>#N/A</v>
      </c>
      <c r="AO190" t="e">
        <f t="shared" si="182"/>
        <v>#N/A</v>
      </c>
      <c r="AP190" t="e">
        <f t="shared" si="183"/>
        <v>#N/A</v>
      </c>
      <c r="AQ190" t="e">
        <f t="shared" si="184"/>
        <v>#N/A</v>
      </c>
      <c r="AR190" t="e">
        <f t="shared" si="185"/>
        <v>#N/A</v>
      </c>
      <c r="AS190" t="e">
        <f t="shared" si="186"/>
        <v>#N/A</v>
      </c>
      <c r="AT190" t="e">
        <f t="shared" si="187"/>
        <v>#N/A</v>
      </c>
      <c r="AU190" t="e">
        <f t="shared" si="188"/>
        <v>#N/A</v>
      </c>
      <c r="AV190" t="e">
        <f t="shared" si="189"/>
        <v>#N/A</v>
      </c>
      <c r="AW190" t="e">
        <f t="shared" si="190"/>
        <v>#N/A</v>
      </c>
      <c r="AX190" t="e">
        <f t="shared" si="191"/>
        <v>#N/A</v>
      </c>
      <c r="AY190" t="e">
        <f t="shared" si="192"/>
        <v>#N/A</v>
      </c>
      <c r="BE190" t="e">
        <f>IF(Z190=1,IF(INDEX($C$7:$C$126,V190)&gt;=Gantt!$BF$6,NA(),MATCH(INDEX($C$7:$C$126,V190),Gantt!$J$6:$BE$6,1)),NA())</f>
        <v>#N/A</v>
      </c>
      <c r="BF190" t="e">
        <f>IF(Z190=1,IF((INDEX($D$7:$D$126,AA190)-1)&gt;=Gantt!$BF$6,NA(),IF((INDEX($D$7:$D$126,AA190)-1)&lt;Gantt!$J$6,0,MATCH((INDEX($D$7:$D$126,AA190)-1),Gantt!$J$6:$BE$6,1))),NA())</f>
        <v>#N/A</v>
      </c>
      <c r="BG190" t="e">
        <f t="shared" si="193"/>
        <v>#N/A</v>
      </c>
      <c r="BH190" t="e">
        <f t="shared" si="194"/>
        <v>#N/A</v>
      </c>
      <c r="BI190" t="e">
        <f t="shared" si="195"/>
        <v>#N/A</v>
      </c>
      <c r="BJ190" t="e">
        <f t="shared" si="196"/>
        <v>#N/A</v>
      </c>
      <c r="BK190" t="e">
        <f t="shared" si="197"/>
        <v>#N/A</v>
      </c>
      <c r="BL190" t="e">
        <f t="shared" si="198"/>
        <v>#N/A</v>
      </c>
      <c r="BM190" t="e">
        <f t="shared" si="199"/>
        <v>#N/A</v>
      </c>
      <c r="BN190" t="e">
        <f t="shared" si="200"/>
        <v>#N/A</v>
      </c>
      <c r="BO190" t="e">
        <f t="shared" si="201"/>
        <v>#N/A</v>
      </c>
      <c r="BP190" t="e">
        <f t="shared" si="202"/>
        <v>#N/A</v>
      </c>
      <c r="BQ190" t="e">
        <f t="shared" si="203"/>
        <v>#N/A</v>
      </c>
      <c r="BR190" t="e">
        <f t="shared" si="204"/>
        <v>#N/A</v>
      </c>
      <c r="BS190" t="e">
        <f t="shared" si="205"/>
        <v>#N/A</v>
      </c>
      <c r="BT190" t="e">
        <f t="shared" si="206"/>
        <v>#N/A</v>
      </c>
      <c r="BU190" t="e">
        <f t="shared" si="207"/>
        <v>#N/A</v>
      </c>
      <c r="BV190" t="e">
        <f t="shared" si="208"/>
        <v>#N/A</v>
      </c>
      <c r="BW190" t="e">
        <f t="shared" si="209"/>
        <v>#N/A</v>
      </c>
      <c r="BX190" t="e">
        <f t="shared" si="210"/>
        <v>#N/A</v>
      </c>
      <c r="BY190" t="e">
        <f t="shared" si="211"/>
        <v>#N/A</v>
      </c>
      <c r="BZ190" t="e">
        <f t="shared" si="212"/>
        <v>#N/A</v>
      </c>
      <c r="CA190" t="e">
        <f t="shared" si="213"/>
        <v>#N/A</v>
      </c>
      <c r="CB190" t="e">
        <f t="shared" si="214"/>
        <v>#N/A</v>
      </c>
      <c r="CC190" t="e">
        <f t="shared" si="215"/>
        <v>#N/A</v>
      </c>
      <c r="CD190" t="e">
        <f t="shared" si="216"/>
        <v>#N/A</v>
      </c>
      <c r="CE190" t="e">
        <f t="shared" si="217"/>
        <v>#N/A</v>
      </c>
      <c r="CF190" t="e">
        <f t="shared" si="218"/>
        <v>#N/A</v>
      </c>
      <c r="CG190" t="e">
        <f t="shared" si="219"/>
        <v>#N/A</v>
      </c>
      <c r="CI190" t="e">
        <f>AL68</f>
        <v>#N/A</v>
      </c>
      <c r="CJ190" t="e">
        <f>AM68</f>
        <v>#N/A</v>
      </c>
      <c r="CK190">
        <f>IF(ISNUMBER(CI190),IFERROR(MAX(0,AN68-CI190),0),0)</f>
        <v>0</v>
      </c>
      <c r="CL190">
        <f>IF(ISNUMBER(CI190),IFERROR(MAX(0,CI190-AN68),0),0)</f>
        <v>0</v>
      </c>
      <c r="CM190">
        <f>IF(ISNUMBER(CJ190),IFERROR(MAX(0,AO68-CJ190),0),0)</f>
        <v>0</v>
      </c>
      <c r="CN190">
        <f>IF(ISNUMBER(CJ190),IFERROR(MAX(0,CJ190-AO68),0),0)</f>
        <v>0</v>
      </c>
      <c r="CP190" t="e">
        <f>BT68</f>
        <v>#N/A</v>
      </c>
      <c r="CQ190" t="e">
        <f>BU68</f>
        <v>#N/A</v>
      </c>
      <c r="CR190">
        <f>IF(ISNUMBER(CP190),IFERROR(MAX(0,BV68-CP190),0),0)</f>
        <v>0</v>
      </c>
      <c r="CS190">
        <f>IF(ISNUMBER(CP190),IFERROR(MAX(0,CP190-BV68),0),0)</f>
        <v>0</v>
      </c>
      <c r="CT190">
        <f>IF(ISNUMBER(CQ190),IFERROR(MAX(0,BW68-CQ190),0),0)</f>
        <v>0</v>
      </c>
      <c r="CU190">
        <f>IF(ISNUMBER(CQ190),IFERROR(MAX(0,CQ190-BW68),0),0)</f>
        <v>0</v>
      </c>
    </row>
    <row r="191" spans="21:99" x14ac:dyDescent="0.3">
      <c r="U191">
        <v>185</v>
      </c>
      <c r="V191">
        <f t="shared" si="164"/>
        <v>47</v>
      </c>
      <c r="W191">
        <f t="shared" si="165"/>
        <v>1</v>
      </c>
      <c r="X191">
        <f t="shared" si="166"/>
        <v>0</v>
      </c>
      <c r="Y191">
        <f>IF(X191&lt;&gt;1,9999,CHOOSE(W191,INDEX(Gantt!$BQ$7:$BQ$119,V191),INDEX(Gantt!$BR$7:$BR$119,V191),INDEX(Gantt!$BT$7:$BT$119,V191),INDEX(Gantt!$BU$7:$BU$119,V191)))</f>
        <v>9999</v>
      </c>
      <c r="Z191">
        <f t="shared" si="167"/>
        <v>0</v>
      </c>
      <c r="AA191" t="e">
        <f t="shared" si="168"/>
        <v>#N/A</v>
      </c>
      <c r="AB191" t="e">
        <f t="shared" si="169"/>
        <v>#N/A</v>
      </c>
      <c r="AC191" t="e">
        <f t="shared" si="170"/>
        <v>#N/A</v>
      </c>
      <c r="AD191" t="e">
        <f t="shared" si="171"/>
        <v>#N/A</v>
      </c>
      <c r="AE191" t="e">
        <f t="shared" si="172"/>
        <v>#N/A</v>
      </c>
      <c r="AF191" t="e">
        <f t="shared" si="173"/>
        <v>#N/A</v>
      </c>
      <c r="AG191" t="e">
        <f t="shared" si="174"/>
        <v>#N/A</v>
      </c>
      <c r="AH191" t="e">
        <f t="shared" si="175"/>
        <v>#N/A</v>
      </c>
      <c r="AI191" t="e">
        <f t="shared" si="176"/>
        <v>#N/A</v>
      </c>
      <c r="AJ191" t="e">
        <f t="shared" si="177"/>
        <v>#N/A</v>
      </c>
      <c r="AK191" t="e">
        <f t="shared" si="178"/>
        <v>#N/A</v>
      </c>
      <c r="AL191" t="e">
        <f t="shared" si="179"/>
        <v>#N/A</v>
      </c>
      <c r="AM191" t="e">
        <f t="shared" si="180"/>
        <v>#N/A</v>
      </c>
      <c r="AN191" t="e">
        <f t="shared" si="181"/>
        <v>#N/A</v>
      </c>
      <c r="AO191" t="e">
        <f t="shared" si="182"/>
        <v>#N/A</v>
      </c>
      <c r="AP191" t="e">
        <f t="shared" si="183"/>
        <v>#N/A</v>
      </c>
      <c r="AQ191" t="e">
        <f t="shared" si="184"/>
        <v>#N/A</v>
      </c>
      <c r="AR191" t="e">
        <f t="shared" si="185"/>
        <v>#N/A</v>
      </c>
      <c r="AS191" t="e">
        <f t="shared" si="186"/>
        <v>#N/A</v>
      </c>
      <c r="AT191" t="e">
        <f t="shared" si="187"/>
        <v>#N/A</v>
      </c>
      <c r="AU191" t="e">
        <f t="shared" si="188"/>
        <v>#N/A</v>
      </c>
      <c r="AV191" t="e">
        <f t="shared" si="189"/>
        <v>#N/A</v>
      </c>
      <c r="AW191" t="e">
        <f t="shared" si="190"/>
        <v>#N/A</v>
      </c>
      <c r="AX191" t="e">
        <f t="shared" si="191"/>
        <v>#N/A</v>
      </c>
      <c r="AY191" t="e">
        <f t="shared" si="192"/>
        <v>#N/A</v>
      </c>
      <c r="BE191" t="e">
        <f>IF(Z191=1,IF(INDEX($C$7:$C$126,V191)&gt;=Gantt!$BF$6,NA(),MATCH(INDEX($C$7:$C$126,V191),Gantt!$J$6:$BE$6,1)),NA())</f>
        <v>#N/A</v>
      </c>
      <c r="BF191" t="e">
        <f>IF(Z191=1,IF((INDEX($D$7:$D$126,AA191)-1)&gt;=Gantt!$BF$6,NA(),IF((INDEX($D$7:$D$126,AA191)-1)&lt;Gantt!$J$6,0,MATCH((INDEX($D$7:$D$126,AA191)-1),Gantt!$J$6:$BE$6,1))),NA())</f>
        <v>#N/A</v>
      </c>
      <c r="BG191" t="e">
        <f t="shared" si="193"/>
        <v>#N/A</v>
      </c>
      <c r="BH191" t="e">
        <f t="shared" si="194"/>
        <v>#N/A</v>
      </c>
      <c r="BI191" t="e">
        <f t="shared" si="195"/>
        <v>#N/A</v>
      </c>
      <c r="BJ191" t="e">
        <f t="shared" si="196"/>
        <v>#N/A</v>
      </c>
      <c r="BK191" t="e">
        <f t="shared" si="197"/>
        <v>#N/A</v>
      </c>
      <c r="BL191" t="e">
        <f t="shared" si="198"/>
        <v>#N/A</v>
      </c>
      <c r="BM191" t="e">
        <f t="shared" si="199"/>
        <v>#N/A</v>
      </c>
      <c r="BN191" t="e">
        <f t="shared" si="200"/>
        <v>#N/A</v>
      </c>
      <c r="BO191" t="e">
        <f t="shared" si="201"/>
        <v>#N/A</v>
      </c>
      <c r="BP191" t="e">
        <f t="shared" si="202"/>
        <v>#N/A</v>
      </c>
      <c r="BQ191" t="e">
        <f t="shared" si="203"/>
        <v>#N/A</v>
      </c>
      <c r="BR191" t="e">
        <f t="shared" si="204"/>
        <v>#N/A</v>
      </c>
      <c r="BS191" t="e">
        <f t="shared" si="205"/>
        <v>#N/A</v>
      </c>
      <c r="BT191" t="e">
        <f t="shared" si="206"/>
        <v>#N/A</v>
      </c>
      <c r="BU191" t="e">
        <f t="shared" si="207"/>
        <v>#N/A</v>
      </c>
      <c r="BV191" t="e">
        <f t="shared" si="208"/>
        <v>#N/A</v>
      </c>
      <c r="BW191" t="e">
        <f t="shared" si="209"/>
        <v>#N/A</v>
      </c>
      <c r="BX191" t="e">
        <f t="shared" si="210"/>
        <v>#N/A</v>
      </c>
      <c r="BY191" t="e">
        <f t="shared" si="211"/>
        <v>#N/A</v>
      </c>
      <c r="BZ191" t="e">
        <f t="shared" si="212"/>
        <v>#N/A</v>
      </c>
      <c r="CA191" t="e">
        <f t="shared" si="213"/>
        <v>#N/A</v>
      </c>
      <c r="CB191" t="e">
        <f t="shared" si="214"/>
        <v>#N/A</v>
      </c>
      <c r="CC191" t="e">
        <f t="shared" si="215"/>
        <v>#N/A</v>
      </c>
      <c r="CD191" t="e">
        <f t="shared" si="216"/>
        <v>#N/A</v>
      </c>
      <c r="CE191" t="e">
        <f t="shared" si="217"/>
        <v>#N/A</v>
      </c>
      <c r="CF191" t="e">
        <f t="shared" si="218"/>
        <v>#N/A</v>
      </c>
      <c r="CG191" t="e">
        <f t="shared" si="219"/>
        <v>#N/A</v>
      </c>
      <c r="CI191" t="e">
        <f>AP68</f>
        <v>#N/A</v>
      </c>
      <c r="CJ191" t="e">
        <f>AQ68</f>
        <v>#N/A</v>
      </c>
      <c r="CK191">
        <f>IF(ISNUMBER(CI191),IFERROR(MAX(0,AR68-CI191),0),0)</f>
        <v>0</v>
      </c>
      <c r="CL191">
        <f>IF(ISNUMBER(CI191),IFERROR(MAX(0,CI191-AR68),0),0)</f>
        <v>0</v>
      </c>
      <c r="CM191">
        <f>IF(ISNUMBER(CJ191),IFERROR(MAX(0,AS68-CJ191),0),0)</f>
        <v>0</v>
      </c>
      <c r="CN191">
        <f>IF(ISNUMBER(CJ191),IFERROR(MAX(0,CJ191-AS68),0),0)</f>
        <v>0</v>
      </c>
      <c r="CP191" t="e">
        <f>BX68</f>
        <v>#N/A</v>
      </c>
      <c r="CQ191" t="e">
        <f>BY68</f>
        <v>#N/A</v>
      </c>
      <c r="CR191">
        <f>IF(ISNUMBER(CP191),IFERROR(MAX(0,BZ68-CP191),0),0)</f>
        <v>0</v>
      </c>
      <c r="CS191">
        <f>IF(ISNUMBER(CP191),IFERROR(MAX(0,CP191-BZ68),0),0)</f>
        <v>0</v>
      </c>
      <c r="CT191">
        <f>IF(ISNUMBER(CQ191),IFERROR(MAX(0,CA68-CQ191),0),0)</f>
        <v>0</v>
      </c>
      <c r="CU191">
        <f>IF(ISNUMBER(CQ191),IFERROR(MAX(0,CQ191-CA68),0),0)</f>
        <v>0</v>
      </c>
    </row>
    <row r="192" spans="21:99" x14ac:dyDescent="0.3">
      <c r="U192">
        <v>186</v>
      </c>
      <c r="V192">
        <f t="shared" si="164"/>
        <v>47</v>
      </c>
      <c r="W192">
        <f t="shared" si="165"/>
        <v>2</v>
      </c>
      <c r="X192">
        <f t="shared" si="166"/>
        <v>0</v>
      </c>
      <c r="Y192">
        <f>IF(X192&lt;&gt;1,9999,CHOOSE(W192,INDEX(Gantt!$BQ$7:$BQ$119,V192),INDEX(Gantt!$BR$7:$BR$119,V192),INDEX(Gantt!$BT$7:$BT$119,V192),INDEX(Gantt!$BU$7:$BU$119,V192)))</f>
        <v>9999</v>
      </c>
      <c r="Z192">
        <f t="shared" si="167"/>
        <v>0</v>
      </c>
      <c r="AA192" t="e">
        <f t="shared" si="168"/>
        <v>#N/A</v>
      </c>
      <c r="AB192" t="e">
        <f t="shared" si="169"/>
        <v>#N/A</v>
      </c>
      <c r="AC192" t="e">
        <f t="shared" si="170"/>
        <v>#N/A</v>
      </c>
      <c r="AD192" t="e">
        <f t="shared" si="171"/>
        <v>#N/A</v>
      </c>
      <c r="AE192" t="e">
        <f t="shared" si="172"/>
        <v>#N/A</v>
      </c>
      <c r="AF192" t="e">
        <f t="shared" si="173"/>
        <v>#N/A</v>
      </c>
      <c r="AG192" t="e">
        <f t="shared" si="174"/>
        <v>#N/A</v>
      </c>
      <c r="AH192" t="e">
        <f t="shared" si="175"/>
        <v>#N/A</v>
      </c>
      <c r="AI192" t="e">
        <f t="shared" si="176"/>
        <v>#N/A</v>
      </c>
      <c r="AJ192" t="e">
        <f t="shared" si="177"/>
        <v>#N/A</v>
      </c>
      <c r="AK192" t="e">
        <f t="shared" si="178"/>
        <v>#N/A</v>
      </c>
      <c r="AL192" t="e">
        <f t="shared" si="179"/>
        <v>#N/A</v>
      </c>
      <c r="AM192" t="e">
        <f t="shared" si="180"/>
        <v>#N/A</v>
      </c>
      <c r="AN192" t="e">
        <f t="shared" si="181"/>
        <v>#N/A</v>
      </c>
      <c r="AO192" t="e">
        <f t="shared" si="182"/>
        <v>#N/A</v>
      </c>
      <c r="AP192" t="e">
        <f t="shared" si="183"/>
        <v>#N/A</v>
      </c>
      <c r="AQ192" t="e">
        <f t="shared" si="184"/>
        <v>#N/A</v>
      </c>
      <c r="AR192" t="e">
        <f t="shared" si="185"/>
        <v>#N/A</v>
      </c>
      <c r="AS192" t="e">
        <f t="shared" si="186"/>
        <v>#N/A</v>
      </c>
      <c r="AT192" t="e">
        <f t="shared" si="187"/>
        <v>#N/A</v>
      </c>
      <c r="AU192" t="e">
        <f t="shared" si="188"/>
        <v>#N/A</v>
      </c>
      <c r="AV192" t="e">
        <f t="shared" si="189"/>
        <v>#N/A</v>
      </c>
      <c r="AW192" t="e">
        <f t="shared" si="190"/>
        <v>#N/A</v>
      </c>
      <c r="AX192" t="e">
        <f t="shared" si="191"/>
        <v>#N/A</v>
      </c>
      <c r="AY192" t="e">
        <f t="shared" si="192"/>
        <v>#N/A</v>
      </c>
      <c r="BE192" t="e">
        <f>IF(Z192=1,IF(INDEX($C$7:$C$126,V192)&gt;=Gantt!$BF$6,NA(),MATCH(INDEX($C$7:$C$126,V192),Gantt!$J$6:$BE$6,1)),NA())</f>
        <v>#N/A</v>
      </c>
      <c r="BF192" t="e">
        <f>IF(Z192=1,IF((INDEX($D$7:$D$126,AA192)-1)&gt;=Gantt!$BF$6,NA(),IF((INDEX($D$7:$D$126,AA192)-1)&lt;Gantt!$J$6,0,MATCH((INDEX($D$7:$D$126,AA192)-1),Gantt!$J$6:$BE$6,1))),NA())</f>
        <v>#N/A</v>
      </c>
      <c r="BG192" t="e">
        <f t="shared" si="193"/>
        <v>#N/A</v>
      </c>
      <c r="BH192" t="e">
        <f t="shared" si="194"/>
        <v>#N/A</v>
      </c>
      <c r="BI192" t="e">
        <f t="shared" si="195"/>
        <v>#N/A</v>
      </c>
      <c r="BJ192" t="e">
        <f t="shared" si="196"/>
        <v>#N/A</v>
      </c>
      <c r="BK192" t="e">
        <f t="shared" si="197"/>
        <v>#N/A</v>
      </c>
      <c r="BL192" t="e">
        <f t="shared" si="198"/>
        <v>#N/A</v>
      </c>
      <c r="BM192" t="e">
        <f t="shared" si="199"/>
        <v>#N/A</v>
      </c>
      <c r="BN192" t="e">
        <f t="shared" si="200"/>
        <v>#N/A</v>
      </c>
      <c r="BO192" t="e">
        <f t="shared" si="201"/>
        <v>#N/A</v>
      </c>
      <c r="BP192" t="e">
        <f t="shared" si="202"/>
        <v>#N/A</v>
      </c>
      <c r="BQ192" t="e">
        <f t="shared" si="203"/>
        <v>#N/A</v>
      </c>
      <c r="BR192" t="e">
        <f t="shared" si="204"/>
        <v>#N/A</v>
      </c>
      <c r="BS192" t="e">
        <f t="shared" si="205"/>
        <v>#N/A</v>
      </c>
      <c r="BT192" t="e">
        <f t="shared" si="206"/>
        <v>#N/A</v>
      </c>
      <c r="BU192" t="e">
        <f t="shared" si="207"/>
        <v>#N/A</v>
      </c>
      <c r="BV192" t="e">
        <f t="shared" si="208"/>
        <v>#N/A</v>
      </c>
      <c r="BW192" t="e">
        <f t="shared" si="209"/>
        <v>#N/A</v>
      </c>
      <c r="BX192" t="e">
        <f t="shared" si="210"/>
        <v>#N/A</v>
      </c>
      <c r="BY192" t="e">
        <f t="shared" si="211"/>
        <v>#N/A</v>
      </c>
      <c r="BZ192" t="e">
        <f t="shared" si="212"/>
        <v>#N/A</v>
      </c>
      <c r="CA192" t="e">
        <f t="shared" si="213"/>
        <v>#N/A</v>
      </c>
      <c r="CB192" t="e">
        <f t="shared" si="214"/>
        <v>#N/A</v>
      </c>
      <c r="CC192" t="e">
        <f t="shared" si="215"/>
        <v>#N/A</v>
      </c>
      <c r="CD192" t="e">
        <f t="shared" si="216"/>
        <v>#N/A</v>
      </c>
      <c r="CE192" t="e">
        <f t="shared" si="217"/>
        <v>#N/A</v>
      </c>
      <c r="CF192" t="e">
        <f t="shared" si="218"/>
        <v>#N/A</v>
      </c>
      <c r="CG192" t="e">
        <f t="shared" si="219"/>
        <v>#N/A</v>
      </c>
      <c r="CI192" t="e">
        <f>AT68</f>
        <v>#N/A</v>
      </c>
      <c r="CJ192" t="e">
        <f>AU68</f>
        <v>#N/A</v>
      </c>
      <c r="CK192">
        <f>IF(ISNUMBER(CI192),IFERROR(MAX(0,AV68-CI192),0),0)</f>
        <v>0</v>
      </c>
      <c r="CL192">
        <f>IF(ISNUMBER(CI192),IFERROR(MAX(0,CI192-AV68),0),0)</f>
        <v>0</v>
      </c>
      <c r="CM192">
        <f>IF(ISNUMBER(CJ192),IFERROR(MAX(0,AW68-CJ192),0),0)</f>
        <v>0</v>
      </c>
      <c r="CN192">
        <f>IF(ISNUMBER(CJ192),IFERROR(MAX(0,CJ192-AW68),0),0)</f>
        <v>0</v>
      </c>
      <c r="CP192" t="e">
        <f>CB68</f>
        <v>#N/A</v>
      </c>
      <c r="CQ192" t="e">
        <f>CC68</f>
        <v>#N/A</v>
      </c>
      <c r="CR192">
        <f>IF(ISNUMBER(CP192),IFERROR(MAX(0,CD68-CP192),0),0)</f>
        <v>0</v>
      </c>
      <c r="CS192">
        <f>IF(ISNUMBER(CP192),IFERROR(MAX(0,CP192-CD68),0),0)</f>
        <v>0</v>
      </c>
      <c r="CT192">
        <f>IF(ISNUMBER(CQ192),IFERROR(MAX(0,CE68-CQ192),0),0)</f>
        <v>0</v>
      </c>
      <c r="CU192">
        <f>IF(ISNUMBER(CQ192),IFERROR(MAX(0,CQ192-CE68),0),0)</f>
        <v>0</v>
      </c>
    </row>
    <row r="193" spans="21:99" x14ac:dyDescent="0.3">
      <c r="U193">
        <v>187</v>
      </c>
      <c r="V193">
        <f t="shared" si="164"/>
        <v>47</v>
      </c>
      <c r="W193">
        <f t="shared" si="165"/>
        <v>3</v>
      </c>
      <c r="X193">
        <f t="shared" si="166"/>
        <v>0</v>
      </c>
      <c r="Y193">
        <f>IF(X193&lt;&gt;1,9999,CHOOSE(W193,INDEX(Gantt!$BQ$7:$BQ$119,V193),INDEX(Gantt!$BR$7:$BR$119,V193),INDEX(Gantt!$BT$7:$BT$119,V193),INDEX(Gantt!$BU$7:$BU$119,V193)))</f>
        <v>9999</v>
      </c>
      <c r="Z193">
        <f t="shared" si="167"/>
        <v>0</v>
      </c>
      <c r="AA193" t="e">
        <f t="shared" si="168"/>
        <v>#N/A</v>
      </c>
      <c r="AB193" t="e">
        <f t="shared" si="169"/>
        <v>#N/A</v>
      </c>
      <c r="AC193" t="e">
        <f t="shared" si="170"/>
        <v>#N/A</v>
      </c>
      <c r="AD193" t="e">
        <f t="shared" si="171"/>
        <v>#N/A</v>
      </c>
      <c r="AE193" t="e">
        <f t="shared" si="172"/>
        <v>#N/A</v>
      </c>
      <c r="AF193" t="e">
        <f t="shared" si="173"/>
        <v>#N/A</v>
      </c>
      <c r="AG193" t="e">
        <f t="shared" si="174"/>
        <v>#N/A</v>
      </c>
      <c r="AH193" t="e">
        <f t="shared" si="175"/>
        <v>#N/A</v>
      </c>
      <c r="AI193" t="e">
        <f t="shared" si="176"/>
        <v>#N/A</v>
      </c>
      <c r="AJ193" t="e">
        <f t="shared" si="177"/>
        <v>#N/A</v>
      </c>
      <c r="AK193" t="e">
        <f t="shared" si="178"/>
        <v>#N/A</v>
      </c>
      <c r="AL193" t="e">
        <f t="shared" si="179"/>
        <v>#N/A</v>
      </c>
      <c r="AM193" t="e">
        <f t="shared" si="180"/>
        <v>#N/A</v>
      </c>
      <c r="AN193" t="e">
        <f t="shared" si="181"/>
        <v>#N/A</v>
      </c>
      <c r="AO193" t="e">
        <f t="shared" si="182"/>
        <v>#N/A</v>
      </c>
      <c r="AP193" t="e">
        <f t="shared" si="183"/>
        <v>#N/A</v>
      </c>
      <c r="AQ193" t="e">
        <f t="shared" si="184"/>
        <v>#N/A</v>
      </c>
      <c r="AR193" t="e">
        <f t="shared" si="185"/>
        <v>#N/A</v>
      </c>
      <c r="AS193" t="e">
        <f t="shared" si="186"/>
        <v>#N/A</v>
      </c>
      <c r="AT193" t="e">
        <f t="shared" si="187"/>
        <v>#N/A</v>
      </c>
      <c r="AU193" t="e">
        <f t="shared" si="188"/>
        <v>#N/A</v>
      </c>
      <c r="AV193" t="e">
        <f t="shared" si="189"/>
        <v>#N/A</v>
      </c>
      <c r="AW193" t="e">
        <f t="shared" si="190"/>
        <v>#N/A</v>
      </c>
      <c r="AX193" t="e">
        <f t="shared" si="191"/>
        <v>#N/A</v>
      </c>
      <c r="AY193" t="e">
        <f t="shared" si="192"/>
        <v>#N/A</v>
      </c>
      <c r="BE193" t="e">
        <f>IF(Z193=1,IF(INDEX($C$7:$C$126,V193)&gt;=Gantt!$BF$6,NA(),MATCH(INDEX($C$7:$C$126,V193),Gantt!$J$6:$BE$6,1)),NA())</f>
        <v>#N/A</v>
      </c>
      <c r="BF193" t="e">
        <f>IF(Z193=1,IF((INDEX($D$7:$D$126,AA193)-1)&gt;=Gantt!$BF$6,NA(),IF((INDEX($D$7:$D$126,AA193)-1)&lt;Gantt!$J$6,0,MATCH((INDEX($D$7:$D$126,AA193)-1),Gantt!$J$6:$BE$6,1))),NA())</f>
        <v>#N/A</v>
      </c>
      <c r="BG193" t="e">
        <f t="shared" si="193"/>
        <v>#N/A</v>
      </c>
      <c r="BH193" t="e">
        <f t="shared" si="194"/>
        <v>#N/A</v>
      </c>
      <c r="BI193" t="e">
        <f t="shared" si="195"/>
        <v>#N/A</v>
      </c>
      <c r="BJ193" t="e">
        <f t="shared" si="196"/>
        <v>#N/A</v>
      </c>
      <c r="BK193" t="e">
        <f t="shared" si="197"/>
        <v>#N/A</v>
      </c>
      <c r="BL193" t="e">
        <f t="shared" si="198"/>
        <v>#N/A</v>
      </c>
      <c r="BM193" t="e">
        <f t="shared" si="199"/>
        <v>#N/A</v>
      </c>
      <c r="BN193" t="e">
        <f t="shared" si="200"/>
        <v>#N/A</v>
      </c>
      <c r="BO193" t="e">
        <f t="shared" si="201"/>
        <v>#N/A</v>
      </c>
      <c r="BP193" t="e">
        <f t="shared" si="202"/>
        <v>#N/A</v>
      </c>
      <c r="BQ193" t="e">
        <f t="shared" si="203"/>
        <v>#N/A</v>
      </c>
      <c r="BR193" t="e">
        <f t="shared" si="204"/>
        <v>#N/A</v>
      </c>
      <c r="BS193" t="e">
        <f t="shared" si="205"/>
        <v>#N/A</v>
      </c>
      <c r="BT193" t="e">
        <f t="shared" si="206"/>
        <v>#N/A</v>
      </c>
      <c r="BU193" t="e">
        <f t="shared" si="207"/>
        <v>#N/A</v>
      </c>
      <c r="BV193" t="e">
        <f t="shared" si="208"/>
        <v>#N/A</v>
      </c>
      <c r="BW193" t="e">
        <f t="shared" si="209"/>
        <v>#N/A</v>
      </c>
      <c r="BX193" t="e">
        <f t="shared" si="210"/>
        <v>#N/A</v>
      </c>
      <c r="BY193" t="e">
        <f t="shared" si="211"/>
        <v>#N/A</v>
      </c>
      <c r="BZ193" t="e">
        <f t="shared" si="212"/>
        <v>#N/A</v>
      </c>
      <c r="CA193" t="e">
        <f t="shared" si="213"/>
        <v>#N/A</v>
      </c>
      <c r="CB193" t="e">
        <f t="shared" si="214"/>
        <v>#N/A</v>
      </c>
      <c r="CC193" t="e">
        <f t="shared" si="215"/>
        <v>#N/A</v>
      </c>
      <c r="CD193" t="e">
        <f t="shared" si="216"/>
        <v>#N/A</v>
      </c>
      <c r="CE193" t="e">
        <f t="shared" si="217"/>
        <v>#N/A</v>
      </c>
      <c r="CF193" t="e">
        <f t="shared" si="218"/>
        <v>#N/A</v>
      </c>
      <c r="CG193" t="e">
        <f t="shared" si="219"/>
        <v>#N/A</v>
      </c>
      <c r="CI193" t="e">
        <f>AL69</f>
        <v>#N/A</v>
      </c>
      <c r="CJ193" t="e">
        <f>AM69</f>
        <v>#N/A</v>
      </c>
      <c r="CK193">
        <f>IF(ISNUMBER(CI193),IFERROR(MAX(0,AN69-CI193),0),0)</f>
        <v>0</v>
      </c>
      <c r="CL193">
        <f>IF(ISNUMBER(CI193),IFERROR(MAX(0,CI193-AN69),0),0)</f>
        <v>0</v>
      </c>
      <c r="CM193">
        <f>IF(ISNUMBER(CJ193),IFERROR(MAX(0,AO69-CJ193),0),0)</f>
        <v>0</v>
      </c>
      <c r="CN193">
        <f>IF(ISNUMBER(CJ193),IFERROR(MAX(0,CJ193-AO69),0),0)</f>
        <v>0</v>
      </c>
      <c r="CP193" t="e">
        <f>BT69</f>
        <v>#N/A</v>
      </c>
      <c r="CQ193" t="e">
        <f>BU69</f>
        <v>#N/A</v>
      </c>
      <c r="CR193">
        <f>IF(ISNUMBER(CP193),IFERROR(MAX(0,BV69-CP193),0),0)</f>
        <v>0</v>
      </c>
      <c r="CS193">
        <f>IF(ISNUMBER(CP193),IFERROR(MAX(0,CP193-BV69),0),0)</f>
        <v>0</v>
      </c>
      <c r="CT193">
        <f>IF(ISNUMBER(CQ193),IFERROR(MAX(0,BW69-CQ193),0),0)</f>
        <v>0</v>
      </c>
      <c r="CU193">
        <f>IF(ISNUMBER(CQ193),IFERROR(MAX(0,CQ193-BW69),0),0)</f>
        <v>0</v>
      </c>
    </row>
    <row r="194" spans="21:99" x14ac:dyDescent="0.3">
      <c r="U194">
        <v>188</v>
      </c>
      <c r="V194">
        <f t="shared" si="164"/>
        <v>47</v>
      </c>
      <c r="W194">
        <f t="shared" si="165"/>
        <v>4</v>
      </c>
      <c r="X194">
        <f t="shared" si="166"/>
        <v>0</v>
      </c>
      <c r="Y194">
        <f>IF(X194&lt;&gt;1,9999,CHOOSE(W194,INDEX(Gantt!$BQ$7:$BQ$119,V194),INDEX(Gantt!$BR$7:$BR$119,V194),INDEX(Gantt!$BT$7:$BT$119,V194),INDEX(Gantt!$BU$7:$BU$119,V194)))</f>
        <v>9999</v>
      </c>
      <c r="Z194">
        <f t="shared" si="167"/>
        <v>0</v>
      </c>
      <c r="AA194" t="e">
        <f t="shared" si="168"/>
        <v>#N/A</v>
      </c>
      <c r="AB194" t="e">
        <f t="shared" si="169"/>
        <v>#N/A</v>
      </c>
      <c r="AC194" t="e">
        <f t="shared" si="170"/>
        <v>#N/A</v>
      </c>
      <c r="AD194" t="e">
        <f t="shared" si="171"/>
        <v>#N/A</v>
      </c>
      <c r="AE194" t="e">
        <f t="shared" si="172"/>
        <v>#N/A</v>
      </c>
      <c r="AF194" t="e">
        <f t="shared" si="173"/>
        <v>#N/A</v>
      </c>
      <c r="AG194" t="e">
        <f t="shared" si="174"/>
        <v>#N/A</v>
      </c>
      <c r="AH194" t="e">
        <f t="shared" si="175"/>
        <v>#N/A</v>
      </c>
      <c r="AI194" t="e">
        <f t="shared" si="176"/>
        <v>#N/A</v>
      </c>
      <c r="AJ194" t="e">
        <f t="shared" si="177"/>
        <v>#N/A</v>
      </c>
      <c r="AK194" t="e">
        <f t="shared" si="178"/>
        <v>#N/A</v>
      </c>
      <c r="AL194" t="e">
        <f t="shared" si="179"/>
        <v>#N/A</v>
      </c>
      <c r="AM194" t="e">
        <f t="shared" si="180"/>
        <v>#N/A</v>
      </c>
      <c r="AN194" t="e">
        <f t="shared" si="181"/>
        <v>#N/A</v>
      </c>
      <c r="AO194" t="e">
        <f t="shared" si="182"/>
        <v>#N/A</v>
      </c>
      <c r="AP194" t="e">
        <f t="shared" si="183"/>
        <v>#N/A</v>
      </c>
      <c r="AQ194" t="e">
        <f t="shared" si="184"/>
        <v>#N/A</v>
      </c>
      <c r="AR194" t="e">
        <f t="shared" si="185"/>
        <v>#N/A</v>
      </c>
      <c r="AS194" t="e">
        <f t="shared" si="186"/>
        <v>#N/A</v>
      </c>
      <c r="AT194" t="e">
        <f t="shared" si="187"/>
        <v>#N/A</v>
      </c>
      <c r="AU194" t="e">
        <f t="shared" si="188"/>
        <v>#N/A</v>
      </c>
      <c r="AV194" t="e">
        <f t="shared" si="189"/>
        <v>#N/A</v>
      </c>
      <c r="AW194" t="e">
        <f t="shared" si="190"/>
        <v>#N/A</v>
      </c>
      <c r="AX194" t="e">
        <f t="shared" si="191"/>
        <v>#N/A</v>
      </c>
      <c r="AY194" t="e">
        <f t="shared" si="192"/>
        <v>#N/A</v>
      </c>
      <c r="BE194" t="e">
        <f>IF(Z194=1,IF(INDEX($C$7:$C$126,V194)&gt;=Gantt!$BF$6,NA(),MATCH(INDEX($C$7:$C$126,V194),Gantt!$J$6:$BE$6,1)),NA())</f>
        <v>#N/A</v>
      </c>
      <c r="BF194" t="e">
        <f>IF(Z194=1,IF((INDEX($D$7:$D$126,AA194)-1)&gt;=Gantt!$BF$6,NA(),IF((INDEX($D$7:$D$126,AA194)-1)&lt;Gantt!$J$6,0,MATCH((INDEX($D$7:$D$126,AA194)-1),Gantt!$J$6:$BE$6,1))),NA())</f>
        <v>#N/A</v>
      </c>
      <c r="BG194" t="e">
        <f t="shared" si="193"/>
        <v>#N/A</v>
      </c>
      <c r="BH194" t="e">
        <f t="shared" si="194"/>
        <v>#N/A</v>
      </c>
      <c r="BI194" t="e">
        <f t="shared" si="195"/>
        <v>#N/A</v>
      </c>
      <c r="BJ194" t="e">
        <f t="shared" si="196"/>
        <v>#N/A</v>
      </c>
      <c r="BK194" t="e">
        <f t="shared" si="197"/>
        <v>#N/A</v>
      </c>
      <c r="BL194" t="e">
        <f t="shared" si="198"/>
        <v>#N/A</v>
      </c>
      <c r="BM194" t="e">
        <f t="shared" si="199"/>
        <v>#N/A</v>
      </c>
      <c r="BN194" t="e">
        <f t="shared" si="200"/>
        <v>#N/A</v>
      </c>
      <c r="BO194" t="e">
        <f t="shared" si="201"/>
        <v>#N/A</v>
      </c>
      <c r="BP194" t="e">
        <f t="shared" si="202"/>
        <v>#N/A</v>
      </c>
      <c r="BQ194" t="e">
        <f t="shared" si="203"/>
        <v>#N/A</v>
      </c>
      <c r="BR194" t="e">
        <f t="shared" si="204"/>
        <v>#N/A</v>
      </c>
      <c r="BS194" t="e">
        <f t="shared" si="205"/>
        <v>#N/A</v>
      </c>
      <c r="BT194" t="e">
        <f t="shared" si="206"/>
        <v>#N/A</v>
      </c>
      <c r="BU194" t="e">
        <f t="shared" si="207"/>
        <v>#N/A</v>
      </c>
      <c r="BV194" t="e">
        <f t="shared" si="208"/>
        <v>#N/A</v>
      </c>
      <c r="BW194" t="e">
        <f t="shared" si="209"/>
        <v>#N/A</v>
      </c>
      <c r="BX194" t="e">
        <f t="shared" si="210"/>
        <v>#N/A</v>
      </c>
      <c r="BY194" t="e">
        <f t="shared" si="211"/>
        <v>#N/A</v>
      </c>
      <c r="BZ194" t="e">
        <f t="shared" si="212"/>
        <v>#N/A</v>
      </c>
      <c r="CA194" t="e">
        <f t="shared" si="213"/>
        <v>#N/A</v>
      </c>
      <c r="CB194" t="e">
        <f t="shared" si="214"/>
        <v>#N/A</v>
      </c>
      <c r="CC194" t="e">
        <f t="shared" si="215"/>
        <v>#N/A</v>
      </c>
      <c r="CD194" t="e">
        <f t="shared" si="216"/>
        <v>#N/A</v>
      </c>
      <c r="CE194" t="e">
        <f t="shared" si="217"/>
        <v>#N/A</v>
      </c>
      <c r="CF194" t="e">
        <f t="shared" si="218"/>
        <v>#N/A</v>
      </c>
      <c r="CG194" t="e">
        <f t="shared" si="219"/>
        <v>#N/A</v>
      </c>
      <c r="CI194" t="e">
        <f>AP69</f>
        <v>#N/A</v>
      </c>
      <c r="CJ194" t="e">
        <f>AQ69</f>
        <v>#N/A</v>
      </c>
      <c r="CK194">
        <f>IF(ISNUMBER(CI194),IFERROR(MAX(0,AR69-CI194),0),0)</f>
        <v>0</v>
      </c>
      <c r="CL194">
        <f>IF(ISNUMBER(CI194),IFERROR(MAX(0,CI194-AR69),0),0)</f>
        <v>0</v>
      </c>
      <c r="CM194">
        <f>IF(ISNUMBER(CJ194),IFERROR(MAX(0,AS69-CJ194),0),0)</f>
        <v>0</v>
      </c>
      <c r="CN194">
        <f>IF(ISNUMBER(CJ194),IFERROR(MAX(0,CJ194-AS69),0),0)</f>
        <v>0</v>
      </c>
      <c r="CP194" t="e">
        <f>BX69</f>
        <v>#N/A</v>
      </c>
      <c r="CQ194" t="e">
        <f>BY69</f>
        <v>#N/A</v>
      </c>
      <c r="CR194">
        <f>IF(ISNUMBER(CP194),IFERROR(MAX(0,BZ69-CP194),0),0)</f>
        <v>0</v>
      </c>
      <c r="CS194">
        <f>IF(ISNUMBER(CP194),IFERROR(MAX(0,CP194-BZ69),0),0)</f>
        <v>0</v>
      </c>
      <c r="CT194">
        <f>IF(ISNUMBER(CQ194),IFERROR(MAX(0,CA69-CQ194),0),0)</f>
        <v>0</v>
      </c>
      <c r="CU194">
        <f>IF(ISNUMBER(CQ194),IFERROR(MAX(0,CQ194-CA69),0),0)</f>
        <v>0</v>
      </c>
    </row>
    <row r="195" spans="21:99" x14ac:dyDescent="0.3">
      <c r="U195">
        <v>189</v>
      </c>
      <c r="V195">
        <f t="shared" si="164"/>
        <v>48</v>
      </c>
      <c r="W195">
        <f t="shared" si="165"/>
        <v>1</v>
      </c>
      <c r="X195">
        <f t="shared" si="166"/>
        <v>0</v>
      </c>
      <c r="Y195">
        <f>IF(X195&lt;&gt;1,9999,CHOOSE(W195,INDEX(Gantt!$BQ$7:$BQ$119,V195),INDEX(Gantt!$BR$7:$BR$119,V195),INDEX(Gantt!$BT$7:$BT$119,V195),INDEX(Gantt!$BU$7:$BU$119,V195)))</f>
        <v>9999</v>
      </c>
      <c r="Z195">
        <f t="shared" si="167"/>
        <v>0</v>
      </c>
      <c r="AA195" t="e">
        <f t="shared" si="168"/>
        <v>#N/A</v>
      </c>
      <c r="AB195" t="e">
        <f t="shared" si="169"/>
        <v>#N/A</v>
      </c>
      <c r="AC195" t="e">
        <f t="shared" si="170"/>
        <v>#N/A</v>
      </c>
      <c r="AD195" t="e">
        <f t="shared" si="171"/>
        <v>#N/A</v>
      </c>
      <c r="AE195" t="e">
        <f t="shared" si="172"/>
        <v>#N/A</v>
      </c>
      <c r="AF195" t="e">
        <f t="shared" si="173"/>
        <v>#N/A</v>
      </c>
      <c r="AG195" t="e">
        <f t="shared" si="174"/>
        <v>#N/A</v>
      </c>
      <c r="AH195" t="e">
        <f t="shared" si="175"/>
        <v>#N/A</v>
      </c>
      <c r="AI195" t="e">
        <f t="shared" si="176"/>
        <v>#N/A</v>
      </c>
      <c r="AJ195" t="e">
        <f t="shared" si="177"/>
        <v>#N/A</v>
      </c>
      <c r="AK195" t="e">
        <f t="shared" si="178"/>
        <v>#N/A</v>
      </c>
      <c r="AL195" t="e">
        <f t="shared" si="179"/>
        <v>#N/A</v>
      </c>
      <c r="AM195" t="e">
        <f t="shared" si="180"/>
        <v>#N/A</v>
      </c>
      <c r="AN195" t="e">
        <f t="shared" si="181"/>
        <v>#N/A</v>
      </c>
      <c r="AO195" t="e">
        <f t="shared" si="182"/>
        <v>#N/A</v>
      </c>
      <c r="AP195" t="e">
        <f t="shared" si="183"/>
        <v>#N/A</v>
      </c>
      <c r="AQ195" t="e">
        <f t="shared" si="184"/>
        <v>#N/A</v>
      </c>
      <c r="AR195" t="e">
        <f t="shared" si="185"/>
        <v>#N/A</v>
      </c>
      <c r="AS195" t="e">
        <f t="shared" si="186"/>
        <v>#N/A</v>
      </c>
      <c r="AT195" t="e">
        <f t="shared" si="187"/>
        <v>#N/A</v>
      </c>
      <c r="AU195" t="e">
        <f t="shared" si="188"/>
        <v>#N/A</v>
      </c>
      <c r="AV195" t="e">
        <f t="shared" si="189"/>
        <v>#N/A</v>
      </c>
      <c r="AW195" t="e">
        <f t="shared" si="190"/>
        <v>#N/A</v>
      </c>
      <c r="AX195" t="e">
        <f t="shared" si="191"/>
        <v>#N/A</v>
      </c>
      <c r="AY195" t="e">
        <f t="shared" si="192"/>
        <v>#N/A</v>
      </c>
      <c r="BE195" t="e">
        <f>IF(Z195=1,IF(INDEX($C$7:$C$126,V195)&gt;=Gantt!$BF$6,NA(),MATCH(INDEX($C$7:$C$126,V195),Gantt!$J$6:$BE$6,1)),NA())</f>
        <v>#N/A</v>
      </c>
      <c r="BF195" t="e">
        <f>IF(Z195=1,IF((INDEX($D$7:$D$126,AA195)-1)&gt;=Gantt!$BF$6,NA(),IF((INDEX($D$7:$D$126,AA195)-1)&lt;Gantt!$J$6,0,MATCH((INDEX($D$7:$D$126,AA195)-1),Gantt!$J$6:$BE$6,1))),NA())</f>
        <v>#N/A</v>
      </c>
      <c r="BG195" t="e">
        <f t="shared" si="193"/>
        <v>#N/A</v>
      </c>
      <c r="BH195" t="e">
        <f t="shared" si="194"/>
        <v>#N/A</v>
      </c>
      <c r="BI195" t="e">
        <f t="shared" si="195"/>
        <v>#N/A</v>
      </c>
      <c r="BJ195" t="e">
        <f t="shared" si="196"/>
        <v>#N/A</v>
      </c>
      <c r="BK195" t="e">
        <f t="shared" si="197"/>
        <v>#N/A</v>
      </c>
      <c r="BL195" t="e">
        <f t="shared" si="198"/>
        <v>#N/A</v>
      </c>
      <c r="BM195" t="e">
        <f t="shared" si="199"/>
        <v>#N/A</v>
      </c>
      <c r="BN195" t="e">
        <f t="shared" si="200"/>
        <v>#N/A</v>
      </c>
      <c r="BO195" t="e">
        <f t="shared" si="201"/>
        <v>#N/A</v>
      </c>
      <c r="BP195" t="e">
        <f t="shared" si="202"/>
        <v>#N/A</v>
      </c>
      <c r="BQ195" t="e">
        <f t="shared" si="203"/>
        <v>#N/A</v>
      </c>
      <c r="BR195" t="e">
        <f t="shared" si="204"/>
        <v>#N/A</v>
      </c>
      <c r="BS195" t="e">
        <f t="shared" si="205"/>
        <v>#N/A</v>
      </c>
      <c r="BT195" t="e">
        <f t="shared" si="206"/>
        <v>#N/A</v>
      </c>
      <c r="BU195" t="e">
        <f t="shared" si="207"/>
        <v>#N/A</v>
      </c>
      <c r="BV195" t="e">
        <f t="shared" si="208"/>
        <v>#N/A</v>
      </c>
      <c r="BW195" t="e">
        <f t="shared" si="209"/>
        <v>#N/A</v>
      </c>
      <c r="BX195" t="e">
        <f t="shared" si="210"/>
        <v>#N/A</v>
      </c>
      <c r="BY195" t="e">
        <f t="shared" si="211"/>
        <v>#N/A</v>
      </c>
      <c r="BZ195" t="e">
        <f t="shared" si="212"/>
        <v>#N/A</v>
      </c>
      <c r="CA195" t="e">
        <f t="shared" si="213"/>
        <v>#N/A</v>
      </c>
      <c r="CB195" t="e">
        <f t="shared" si="214"/>
        <v>#N/A</v>
      </c>
      <c r="CC195" t="e">
        <f t="shared" si="215"/>
        <v>#N/A</v>
      </c>
      <c r="CD195" t="e">
        <f t="shared" si="216"/>
        <v>#N/A</v>
      </c>
      <c r="CE195" t="e">
        <f t="shared" si="217"/>
        <v>#N/A</v>
      </c>
      <c r="CF195" t="e">
        <f t="shared" si="218"/>
        <v>#N/A</v>
      </c>
      <c r="CG195" t="e">
        <f t="shared" si="219"/>
        <v>#N/A</v>
      </c>
      <c r="CI195" t="e">
        <f>AT69</f>
        <v>#N/A</v>
      </c>
      <c r="CJ195" t="e">
        <f>AU69</f>
        <v>#N/A</v>
      </c>
      <c r="CK195">
        <f>IF(ISNUMBER(CI195),IFERROR(MAX(0,AV69-CI195),0),0)</f>
        <v>0</v>
      </c>
      <c r="CL195">
        <f>IF(ISNUMBER(CI195),IFERROR(MAX(0,CI195-AV69),0),0)</f>
        <v>0</v>
      </c>
      <c r="CM195">
        <f>IF(ISNUMBER(CJ195),IFERROR(MAX(0,AW69-CJ195),0),0)</f>
        <v>0</v>
      </c>
      <c r="CN195">
        <f>IF(ISNUMBER(CJ195),IFERROR(MAX(0,CJ195-AW69),0),0)</f>
        <v>0</v>
      </c>
      <c r="CP195" t="e">
        <f>CB69</f>
        <v>#N/A</v>
      </c>
      <c r="CQ195" t="e">
        <f>CC69</f>
        <v>#N/A</v>
      </c>
      <c r="CR195">
        <f>IF(ISNUMBER(CP195),IFERROR(MAX(0,CD69-CP195),0),0)</f>
        <v>0</v>
      </c>
      <c r="CS195">
        <f>IF(ISNUMBER(CP195),IFERROR(MAX(0,CP195-CD69),0),0)</f>
        <v>0</v>
      </c>
      <c r="CT195">
        <f>IF(ISNUMBER(CQ195),IFERROR(MAX(0,CE69-CQ195),0),0)</f>
        <v>0</v>
      </c>
      <c r="CU195">
        <f>IF(ISNUMBER(CQ195),IFERROR(MAX(0,CQ195-CE69),0),0)</f>
        <v>0</v>
      </c>
    </row>
    <row r="196" spans="21:99" x14ac:dyDescent="0.3">
      <c r="U196">
        <v>190</v>
      </c>
      <c r="V196">
        <f t="shared" si="164"/>
        <v>48</v>
      </c>
      <c r="W196">
        <f t="shared" si="165"/>
        <v>2</v>
      </c>
      <c r="X196">
        <f t="shared" si="166"/>
        <v>0</v>
      </c>
      <c r="Y196">
        <f>IF(X196&lt;&gt;1,9999,CHOOSE(W196,INDEX(Gantt!$BQ$7:$BQ$119,V196),INDEX(Gantt!$BR$7:$BR$119,V196),INDEX(Gantt!$BT$7:$BT$119,V196),INDEX(Gantt!$BU$7:$BU$119,V196)))</f>
        <v>9999</v>
      </c>
      <c r="Z196">
        <f t="shared" si="167"/>
        <v>0</v>
      </c>
      <c r="AA196" t="e">
        <f t="shared" si="168"/>
        <v>#N/A</v>
      </c>
      <c r="AB196" t="e">
        <f t="shared" si="169"/>
        <v>#N/A</v>
      </c>
      <c r="AC196" t="e">
        <f t="shared" si="170"/>
        <v>#N/A</v>
      </c>
      <c r="AD196" t="e">
        <f t="shared" si="171"/>
        <v>#N/A</v>
      </c>
      <c r="AE196" t="e">
        <f t="shared" si="172"/>
        <v>#N/A</v>
      </c>
      <c r="AF196" t="e">
        <f t="shared" si="173"/>
        <v>#N/A</v>
      </c>
      <c r="AG196" t="e">
        <f t="shared" si="174"/>
        <v>#N/A</v>
      </c>
      <c r="AH196" t="e">
        <f t="shared" si="175"/>
        <v>#N/A</v>
      </c>
      <c r="AI196" t="e">
        <f t="shared" si="176"/>
        <v>#N/A</v>
      </c>
      <c r="AJ196" t="e">
        <f t="shared" si="177"/>
        <v>#N/A</v>
      </c>
      <c r="AK196" t="e">
        <f t="shared" si="178"/>
        <v>#N/A</v>
      </c>
      <c r="AL196" t="e">
        <f t="shared" si="179"/>
        <v>#N/A</v>
      </c>
      <c r="AM196" t="e">
        <f t="shared" si="180"/>
        <v>#N/A</v>
      </c>
      <c r="AN196" t="e">
        <f t="shared" si="181"/>
        <v>#N/A</v>
      </c>
      <c r="AO196" t="e">
        <f t="shared" si="182"/>
        <v>#N/A</v>
      </c>
      <c r="AP196" t="e">
        <f t="shared" si="183"/>
        <v>#N/A</v>
      </c>
      <c r="AQ196" t="e">
        <f t="shared" si="184"/>
        <v>#N/A</v>
      </c>
      <c r="AR196" t="e">
        <f t="shared" si="185"/>
        <v>#N/A</v>
      </c>
      <c r="AS196" t="e">
        <f t="shared" si="186"/>
        <v>#N/A</v>
      </c>
      <c r="AT196" t="e">
        <f t="shared" si="187"/>
        <v>#N/A</v>
      </c>
      <c r="AU196" t="e">
        <f t="shared" si="188"/>
        <v>#N/A</v>
      </c>
      <c r="AV196" t="e">
        <f t="shared" si="189"/>
        <v>#N/A</v>
      </c>
      <c r="AW196" t="e">
        <f t="shared" si="190"/>
        <v>#N/A</v>
      </c>
      <c r="AX196" t="e">
        <f t="shared" si="191"/>
        <v>#N/A</v>
      </c>
      <c r="AY196" t="e">
        <f t="shared" si="192"/>
        <v>#N/A</v>
      </c>
      <c r="BE196" t="e">
        <f>IF(Z196=1,IF(INDEX($C$7:$C$126,V196)&gt;=Gantt!$BF$6,NA(),MATCH(INDEX($C$7:$C$126,V196),Gantt!$J$6:$BE$6,1)),NA())</f>
        <v>#N/A</v>
      </c>
      <c r="BF196" t="e">
        <f>IF(Z196=1,IF((INDEX($D$7:$D$126,AA196)-1)&gt;=Gantt!$BF$6,NA(),IF((INDEX($D$7:$D$126,AA196)-1)&lt;Gantt!$J$6,0,MATCH((INDEX($D$7:$D$126,AA196)-1),Gantt!$J$6:$BE$6,1))),NA())</f>
        <v>#N/A</v>
      </c>
      <c r="BG196" t="e">
        <f t="shared" si="193"/>
        <v>#N/A</v>
      </c>
      <c r="BH196" t="e">
        <f t="shared" si="194"/>
        <v>#N/A</v>
      </c>
      <c r="BI196" t="e">
        <f t="shared" si="195"/>
        <v>#N/A</v>
      </c>
      <c r="BJ196" t="e">
        <f t="shared" si="196"/>
        <v>#N/A</v>
      </c>
      <c r="BK196" t="e">
        <f t="shared" si="197"/>
        <v>#N/A</v>
      </c>
      <c r="BL196" t="e">
        <f t="shared" si="198"/>
        <v>#N/A</v>
      </c>
      <c r="BM196" t="e">
        <f t="shared" si="199"/>
        <v>#N/A</v>
      </c>
      <c r="BN196" t="e">
        <f t="shared" si="200"/>
        <v>#N/A</v>
      </c>
      <c r="BO196" t="e">
        <f t="shared" si="201"/>
        <v>#N/A</v>
      </c>
      <c r="BP196" t="e">
        <f t="shared" si="202"/>
        <v>#N/A</v>
      </c>
      <c r="BQ196" t="e">
        <f t="shared" si="203"/>
        <v>#N/A</v>
      </c>
      <c r="BR196" t="e">
        <f t="shared" si="204"/>
        <v>#N/A</v>
      </c>
      <c r="BS196" t="e">
        <f t="shared" si="205"/>
        <v>#N/A</v>
      </c>
      <c r="BT196" t="e">
        <f t="shared" si="206"/>
        <v>#N/A</v>
      </c>
      <c r="BU196" t="e">
        <f t="shared" si="207"/>
        <v>#N/A</v>
      </c>
      <c r="BV196" t="e">
        <f t="shared" si="208"/>
        <v>#N/A</v>
      </c>
      <c r="BW196" t="e">
        <f t="shared" si="209"/>
        <v>#N/A</v>
      </c>
      <c r="BX196" t="e">
        <f t="shared" si="210"/>
        <v>#N/A</v>
      </c>
      <c r="BY196" t="e">
        <f t="shared" si="211"/>
        <v>#N/A</v>
      </c>
      <c r="BZ196" t="e">
        <f t="shared" si="212"/>
        <v>#N/A</v>
      </c>
      <c r="CA196" t="e">
        <f t="shared" si="213"/>
        <v>#N/A</v>
      </c>
      <c r="CB196" t="e">
        <f t="shared" si="214"/>
        <v>#N/A</v>
      </c>
      <c r="CC196" t="e">
        <f t="shared" si="215"/>
        <v>#N/A</v>
      </c>
      <c r="CD196" t="e">
        <f t="shared" si="216"/>
        <v>#N/A</v>
      </c>
      <c r="CE196" t="e">
        <f t="shared" si="217"/>
        <v>#N/A</v>
      </c>
      <c r="CF196" t="e">
        <f t="shared" si="218"/>
        <v>#N/A</v>
      </c>
      <c r="CG196" t="e">
        <f t="shared" si="219"/>
        <v>#N/A</v>
      </c>
      <c r="CI196" t="e">
        <f>AL70</f>
        <v>#N/A</v>
      </c>
      <c r="CJ196" t="e">
        <f>AM70</f>
        <v>#N/A</v>
      </c>
      <c r="CK196">
        <f>IF(ISNUMBER(CI196),IFERROR(MAX(0,AN70-CI196),0),0)</f>
        <v>0</v>
      </c>
      <c r="CL196">
        <f>IF(ISNUMBER(CI196),IFERROR(MAX(0,CI196-AN70),0),0)</f>
        <v>0</v>
      </c>
      <c r="CM196">
        <f>IF(ISNUMBER(CJ196),IFERROR(MAX(0,AO70-CJ196),0),0)</f>
        <v>0</v>
      </c>
      <c r="CN196">
        <f>IF(ISNUMBER(CJ196),IFERROR(MAX(0,CJ196-AO70),0),0)</f>
        <v>0</v>
      </c>
      <c r="CP196" t="e">
        <f>BT70</f>
        <v>#N/A</v>
      </c>
      <c r="CQ196" t="e">
        <f>BU70</f>
        <v>#N/A</v>
      </c>
      <c r="CR196">
        <f>IF(ISNUMBER(CP196),IFERROR(MAX(0,BV70-CP196),0),0)</f>
        <v>0</v>
      </c>
      <c r="CS196">
        <f>IF(ISNUMBER(CP196),IFERROR(MAX(0,CP196-BV70),0),0)</f>
        <v>0</v>
      </c>
      <c r="CT196">
        <f>IF(ISNUMBER(CQ196),IFERROR(MAX(0,BW70-CQ196),0),0)</f>
        <v>0</v>
      </c>
      <c r="CU196">
        <f>IF(ISNUMBER(CQ196),IFERROR(MAX(0,CQ196-BW70),0),0)</f>
        <v>0</v>
      </c>
    </row>
    <row r="197" spans="21:99" x14ac:dyDescent="0.3">
      <c r="U197">
        <v>191</v>
      </c>
      <c r="V197">
        <f t="shared" si="164"/>
        <v>48</v>
      </c>
      <c r="W197">
        <f t="shared" si="165"/>
        <v>3</v>
      </c>
      <c r="X197">
        <f t="shared" si="166"/>
        <v>0</v>
      </c>
      <c r="Y197">
        <f>IF(X197&lt;&gt;1,9999,CHOOSE(W197,INDEX(Gantt!$BQ$7:$BQ$119,V197),INDEX(Gantt!$BR$7:$BR$119,V197),INDEX(Gantt!$BT$7:$BT$119,V197),INDEX(Gantt!$BU$7:$BU$119,V197)))</f>
        <v>9999</v>
      </c>
      <c r="Z197">
        <f t="shared" si="167"/>
        <v>0</v>
      </c>
      <c r="AA197" t="e">
        <f t="shared" si="168"/>
        <v>#N/A</v>
      </c>
      <c r="AB197" t="e">
        <f t="shared" si="169"/>
        <v>#N/A</v>
      </c>
      <c r="AC197" t="e">
        <f t="shared" si="170"/>
        <v>#N/A</v>
      </c>
      <c r="AD197" t="e">
        <f t="shared" si="171"/>
        <v>#N/A</v>
      </c>
      <c r="AE197" t="e">
        <f t="shared" si="172"/>
        <v>#N/A</v>
      </c>
      <c r="AF197" t="e">
        <f t="shared" si="173"/>
        <v>#N/A</v>
      </c>
      <c r="AG197" t="e">
        <f t="shared" si="174"/>
        <v>#N/A</v>
      </c>
      <c r="AH197" t="e">
        <f t="shared" si="175"/>
        <v>#N/A</v>
      </c>
      <c r="AI197" t="e">
        <f t="shared" si="176"/>
        <v>#N/A</v>
      </c>
      <c r="AJ197" t="e">
        <f t="shared" si="177"/>
        <v>#N/A</v>
      </c>
      <c r="AK197" t="e">
        <f t="shared" si="178"/>
        <v>#N/A</v>
      </c>
      <c r="AL197" t="e">
        <f t="shared" si="179"/>
        <v>#N/A</v>
      </c>
      <c r="AM197" t="e">
        <f t="shared" si="180"/>
        <v>#N/A</v>
      </c>
      <c r="AN197" t="e">
        <f t="shared" si="181"/>
        <v>#N/A</v>
      </c>
      <c r="AO197" t="e">
        <f t="shared" si="182"/>
        <v>#N/A</v>
      </c>
      <c r="AP197" t="e">
        <f t="shared" si="183"/>
        <v>#N/A</v>
      </c>
      <c r="AQ197" t="e">
        <f t="shared" si="184"/>
        <v>#N/A</v>
      </c>
      <c r="AR197" t="e">
        <f t="shared" si="185"/>
        <v>#N/A</v>
      </c>
      <c r="AS197" t="e">
        <f t="shared" si="186"/>
        <v>#N/A</v>
      </c>
      <c r="AT197" t="e">
        <f t="shared" si="187"/>
        <v>#N/A</v>
      </c>
      <c r="AU197" t="e">
        <f t="shared" si="188"/>
        <v>#N/A</v>
      </c>
      <c r="AV197" t="e">
        <f t="shared" si="189"/>
        <v>#N/A</v>
      </c>
      <c r="AW197" t="e">
        <f t="shared" si="190"/>
        <v>#N/A</v>
      </c>
      <c r="AX197" t="e">
        <f t="shared" si="191"/>
        <v>#N/A</v>
      </c>
      <c r="AY197" t="e">
        <f t="shared" si="192"/>
        <v>#N/A</v>
      </c>
      <c r="BE197" t="e">
        <f>IF(Z197=1,IF(INDEX($C$7:$C$126,V197)&gt;=Gantt!$BF$6,NA(),MATCH(INDEX($C$7:$C$126,V197),Gantt!$J$6:$BE$6,1)),NA())</f>
        <v>#N/A</v>
      </c>
      <c r="BF197" t="e">
        <f>IF(Z197=1,IF((INDEX($D$7:$D$126,AA197)-1)&gt;=Gantt!$BF$6,NA(),IF((INDEX($D$7:$D$126,AA197)-1)&lt;Gantt!$J$6,0,MATCH((INDEX($D$7:$D$126,AA197)-1),Gantt!$J$6:$BE$6,1))),NA())</f>
        <v>#N/A</v>
      </c>
      <c r="BG197" t="e">
        <f t="shared" si="193"/>
        <v>#N/A</v>
      </c>
      <c r="BH197" t="e">
        <f t="shared" si="194"/>
        <v>#N/A</v>
      </c>
      <c r="BI197" t="e">
        <f t="shared" si="195"/>
        <v>#N/A</v>
      </c>
      <c r="BJ197" t="e">
        <f t="shared" si="196"/>
        <v>#N/A</v>
      </c>
      <c r="BK197" t="e">
        <f t="shared" si="197"/>
        <v>#N/A</v>
      </c>
      <c r="BL197" t="e">
        <f t="shared" si="198"/>
        <v>#N/A</v>
      </c>
      <c r="BM197" t="e">
        <f t="shared" si="199"/>
        <v>#N/A</v>
      </c>
      <c r="BN197" t="e">
        <f t="shared" si="200"/>
        <v>#N/A</v>
      </c>
      <c r="BO197" t="e">
        <f t="shared" si="201"/>
        <v>#N/A</v>
      </c>
      <c r="BP197" t="e">
        <f t="shared" si="202"/>
        <v>#N/A</v>
      </c>
      <c r="BQ197" t="e">
        <f t="shared" si="203"/>
        <v>#N/A</v>
      </c>
      <c r="BR197" t="e">
        <f t="shared" si="204"/>
        <v>#N/A</v>
      </c>
      <c r="BS197" t="e">
        <f t="shared" si="205"/>
        <v>#N/A</v>
      </c>
      <c r="BT197" t="e">
        <f t="shared" si="206"/>
        <v>#N/A</v>
      </c>
      <c r="BU197" t="e">
        <f t="shared" si="207"/>
        <v>#N/A</v>
      </c>
      <c r="BV197" t="e">
        <f t="shared" si="208"/>
        <v>#N/A</v>
      </c>
      <c r="BW197" t="e">
        <f t="shared" si="209"/>
        <v>#N/A</v>
      </c>
      <c r="BX197" t="e">
        <f t="shared" si="210"/>
        <v>#N/A</v>
      </c>
      <c r="BY197" t="e">
        <f t="shared" si="211"/>
        <v>#N/A</v>
      </c>
      <c r="BZ197" t="e">
        <f t="shared" si="212"/>
        <v>#N/A</v>
      </c>
      <c r="CA197" t="e">
        <f t="shared" si="213"/>
        <v>#N/A</v>
      </c>
      <c r="CB197" t="e">
        <f t="shared" si="214"/>
        <v>#N/A</v>
      </c>
      <c r="CC197" t="e">
        <f t="shared" si="215"/>
        <v>#N/A</v>
      </c>
      <c r="CD197" t="e">
        <f t="shared" si="216"/>
        <v>#N/A</v>
      </c>
      <c r="CE197" t="e">
        <f t="shared" si="217"/>
        <v>#N/A</v>
      </c>
      <c r="CF197" t="e">
        <f t="shared" si="218"/>
        <v>#N/A</v>
      </c>
      <c r="CG197" t="e">
        <f t="shared" si="219"/>
        <v>#N/A</v>
      </c>
      <c r="CI197" t="e">
        <f>AP70</f>
        <v>#N/A</v>
      </c>
      <c r="CJ197" t="e">
        <f>AQ70</f>
        <v>#N/A</v>
      </c>
      <c r="CK197">
        <f>IF(ISNUMBER(CI197),IFERROR(MAX(0,AR70-CI197),0),0)</f>
        <v>0</v>
      </c>
      <c r="CL197">
        <f>IF(ISNUMBER(CI197),IFERROR(MAX(0,CI197-AR70),0),0)</f>
        <v>0</v>
      </c>
      <c r="CM197">
        <f>IF(ISNUMBER(CJ197),IFERROR(MAX(0,AS70-CJ197),0),0)</f>
        <v>0</v>
      </c>
      <c r="CN197">
        <f>IF(ISNUMBER(CJ197),IFERROR(MAX(0,CJ197-AS70),0),0)</f>
        <v>0</v>
      </c>
      <c r="CP197" t="e">
        <f>BX70</f>
        <v>#N/A</v>
      </c>
      <c r="CQ197" t="e">
        <f>BY70</f>
        <v>#N/A</v>
      </c>
      <c r="CR197">
        <f>IF(ISNUMBER(CP197),IFERROR(MAX(0,BZ70-CP197),0),0)</f>
        <v>0</v>
      </c>
      <c r="CS197">
        <f>IF(ISNUMBER(CP197),IFERROR(MAX(0,CP197-BZ70),0),0)</f>
        <v>0</v>
      </c>
      <c r="CT197">
        <f>IF(ISNUMBER(CQ197),IFERROR(MAX(0,CA70-CQ197),0),0)</f>
        <v>0</v>
      </c>
      <c r="CU197">
        <f>IF(ISNUMBER(CQ197),IFERROR(MAX(0,CQ197-CA70),0),0)</f>
        <v>0</v>
      </c>
    </row>
    <row r="198" spans="21:99" x14ac:dyDescent="0.3">
      <c r="U198">
        <v>192</v>
      </c>
      <c r="V198">
        <f t="shared" si="164"/>
        <v>48</v>
      </c>
      <c r="W198">
        <f t="shared" si="165"/>
        <v>4</v>
      </c>
      <c r="X198">
        <f t="shared" si="166"/>
        <v>0</v>
      </c>
      <c r="Y198">
        <f>IF(X198&lt;&gt;1,9999,CHOOSE(W198,INDEX(Gantt!$BQ$7:$BQ$119,V198),INDEX(Gantt!$BR$7:$BR$119,V198),INDEX(Gantt!$BT$7:$BT$119,V198),INDEX(Gantt!$BU$7:$BU$119,V198)))</f>
        <v>9999</v>
      </c>
      <c r="Z198">
        <f t="shared" si="167"/>
        <v>0</v>
      </c>
      <c r="AA198" t="e">
        <f t="shared" si="168"/>
        <v>#N/A</v>
      </c>
      <c r="AB198" t="e">
        <f t="shared" si="169"/>
        <v>#N/A</v>
      </c>
      <c r="AC198" t="e">
        <f t="shared" si="170"/>
        <v>#N/A</v>
      </c>
      <c r="AD198" t="e">
        <f t="shared" si="171"/>
        <v>#N/A</v>
      </c>
      <c r="AE198" t="e">
        <f t="shared" si="172"/>
        <v>#N/A</v>
      </c>
      <c r="AF198" t="e">
        <f t="shared" si="173"/>
        <v>#N/A</v>
      </c>
      <c r="AG198" t="e">
        <f t="shared" si="174"/>
        <v>#N/A</v>
      </c>
      <c r="AH198" t="e">
        <f t="shared" si="175"/>
        <v>#N/A</v>
      </c>
      <c r="AI198" t="e">
        <f t="shared" si="176"/>
        <v>#N/A</v>
      </c>
      <c r="AJ198" t="e">
        <f t="shared" si="177"/>
        <v>#N/A</v>
      </c>
      <c r="AK198" t="e">
        <f t="shared" si="178"/>
        <v>#N/A</v>
      </c>
      <c r="AL198" t="e">
        <f t="shared" si="179"/>
        <v>#N/A</v>
      </c>
      <c r="AM198" t="e">
        <f t="shared" si="180"/>
        <v>#N/A</v>
      </c>
      <c r="AN198" t="e">
        <f t="shared" si="181"/>
        <v>#N/A</v>
      </c>
      <c r="AO198" t="e">
        <f t="shared" si="182"/>
        <v>#N/A</v>
      </c>
      <c r="AP198" t="e">
        <f t="shared" si="183"/>
        <v>#N/A</v>
      </c>
      <c r="AQ198" t="e">
        <f t="shared" si="184"/>
        <v>#N/A</v>
      </c>
      <c r="AR198" t="e">
        <f t="shared" si="185"/>
        <v>#N/A</v>
      </c>
      <c r="AS198" t="e">
        <f t="shared" si="186"/>
        <v>#N/A</v>
      </c>
      <c r="AT198" t="e">
        <f t="shared" si="187"/>
        <v>#N/A</v>
      </c>
      <c r="AU198" t="e">
        <f t="shared" si="188"/>
        <v>#N/A</v>
      </c>
      <c r="AV198" t="e">
        <f t="shared" si="189"/>
        <v>#N/A</v>
      </c>
      <c r="AW198" t="e">
        <f t="shared" si="190"/>
        <v>#N/A</v>
      </c>
      <c r="AX198" t="e">
        <f t="shared" si="191"/>
        <v>#N/A</v>
      </c>
      <c r="AY198" t="e">
        <f t="shared" si="192"/>
        <v>#N/A</v>
      </c>
      <c r="BE198" t="e">
        <f>IF(Z198=1,IF(INDEX($C$7:$C$126,V198)&gt;=Gantt!$BF$6,NA(),MATCH(INDEX($C$7:$C$126,V198),Gantt!$J$6:$BE$6,1)),NA())</f>
        <v>#N/A</v>
      </c>
      <c r="BF198" t="e">
        <f>IF(Z198=1,IF((INDEX($D$7:$D$126,AA198)-1)&gt;=Gantt!$BF$6,NA(),IF((INDEX($D$7:$D$126,AA198)-1)&lt;Gantt!$J$6,0,MATCH((INDEX($D$7:$D$126,AA198)-1),Gantt!$J$6:$BE$6,1))),NA())</f>
        <v>#N/A</v>
      </c>
      <c r="BG198" t="e">
        <f t="shared" si="193"/>
        <v>#N/A</v>
      </c>
      <c r="BH198" t="e">
        <f t="shared" si="194"/>
        <v>#N/A</v>
      </c>
      <c r="BI198" t="e">
        <f t="shared" si="195"/>
        <v>#N/A</v>
      </c>
      <c r="BJ198" t="e">
        <f t="shared" si="196"/>
        <v>#N/A</v>
      </c>
      <c r="BK198" t="e">
        <f t="shared" si="197"/>
        <v>#N/A</v>
      </c>
      <c r="BL198" t="e">
        <f t="shared" si="198"/>
        <v>#N/A</v>
      </c>
      <c r="BM198" t="e">
        <f t="shared" si="199"/>
        <v>#N/A</v>
      </c>
      <c r="BN198" t="e">
        <f t="shared" si="200"/>
        <v>#N/A</v>
      </c>
      <c r="BO198" t="e">
        <f t="shared" si="201"/>
        <v>#N/A</v>
      </c>
      <c r="BP198" t="e">
        <f t="shared" si="202"/>
        <v>#N/A</v>
      </c>
      <c r="BQ198" t="e">
        <f t="shared" si="203"/>
        <v>#N/A</v>
      </c>
      <c r="BR198" t="e">
        <f t="shared" si="204"/>
        <v>#N/A</v>
      </c>
      <c r="BS198" t="e">
        <f t="shared" si="205"/>
        <v>#N/A</v>
      </c>
      <c r="BT198" t="e">
        <f t="shared" si="206"/>
        <v>#N/A</v>
      </c>
      <c r="BU198" t="e">
        <f t="shared" si="207"/>
        <v>#N/A</v>
      </c>
      <c r="BV198" t="e">
        <f t="shared" si="208"/>
        <v>#N/A</v>
      </c>
      <c r="BW198" t="e">
        <f t="shared" si="209"/>
        <v>#N/A</v>
      </c>
      <c r="BX198" t="e">
        <f t="shared" si="210"/>
        <v>#N/A</v>
      </c>
      <c r="BY198" t="e">
        <f t="shared" si="211"/>
        <v>#N/A</v>
      </c>
      <c r="BZ198" t="e">
        <f t="shared" si="212"/>
        <v>#N/A</v>
      </c>
      <c r="CA198" t="e">
        <f t="shared" si="213"/>
        <v>#N/A</v>
      </c>
      <c r="CB198" t="e">
        <f t="shared" si="214"/>
        <v>#N/A</v>
      </c>
      <c r="CC198" t="e">
        <f t="shared" si="215"/>
        <v>#N/A</v>
      </c>
      <c r="CD198" t="e">
        <f t="shared" si="216"/>
        <v>#N/A</v>
      </c>
      <c r="CE198" t="e">
        <f t="shared" si="217"/>
        <v>#N/A</v>
      </c>
      <c r="CF198" t="e">
        <f t="shared" si="218"/>
        <v>#N/A</v>
      </c>
      <c r="CG198" t="e">
        <f t="shared" si="219"/>
        <v>#N/A</v>
      </c>
      <c r="CI198" t="e">
        <f>AT70</f>
        <v>#N/A</v>
      </c>
      <c r="CJ198" t="e">
        <f>AU70</f>
        <v>#N/A</v>
      </c>
      <c r="CK198">
        <f>IF(ISNUMBER(CI198),IFERROR(MAX(0,AV70-CI198),0),0)</f>
        <v>0</v>
      </c>
      <c r="CL198">
        <f>IF(ISNUMBER(CI198),IFERROR(MAX(0,CI198-AV70),0),0)</f>
        <v>0</v>
      </c>
      <c r="CM198">
        <f>IF(ISNUMBER(CJ198),IFERROR(MAX(0,AW70-CJ198),0),0)</f>
        <v>0</v>
      </c>
      <c r="CN198">
        <f>IF(ISNUMBER(CJ198),IFERROR(MAX(0,CJ198-AW70),0),0)</f>
        <v>0</v>
      </c>
      <c r="CP198" t="e">
        <f>CB70</f>
        <v>#N/A</v>
      </c>
      <c r="CQ198" t="e">
        <f>CC70</f>
        <v>#N/A</v>
      </c>
      <c r="CR198">
        <f>IF(ISNUMBER(CP198),IFERROR(MAX(0,CD70-CP198),0),0)</f>
        <v>0</v>
      </c>
      <c r="CS198">
        <f>IF(ISNUMBER(CP198),IFERROR(MAX(0,CP198-CD70),0),0)</f>
        <v>0</v>
      </c>
      <c r="CT198">
        <f>IF(ISNUMBER(CQ198),IFERROR(MAX(0,CE70-CQ198),0),0)</f>
        <v>0</v>
      </c>
      <c r="CU198">
        <f>IF(ISNUMBER(CQ198),IFERROR(MAX(0,CQ198-CE70),0),0)</f>
        <v>0</v>
      </c>
    </row>
    <row r="199" spans="21:99" x14ac:dyDescent="0.3">
      <c r="U199">
        <v>193</v>
      </c>
      <c r="V199">
        <f t="shared" ref="V199:V262" si="220">INT((U199-1)/4)+1</f>
        <v>49</v>
      </c>
      <c r="W199">
        <f t="shared" ref="W199:W262" si="221">MOD(U199-1,4)+1</f>
        <v>1</v>
      </c>
      <c r="X199">
        <f t="shared" ref="X199:X262" si="222">INDEX($B$7:$B$126,V199)</f>
        <v>0</v>
      </c>
      <c r="Y199">
        <f>IF(X199&lt;&gt;1,9999,CHOOSE(W199,INDEX(Gantt!$BQ$7:$BQ$119,V199),INDEX(Gantt!$BR$7:$BR$119,V199),INDEX(Gantt!$BT$7:$BT$119,V199),INDEX(Gantt!$BU$7:$BU$119,V199)))</f>
        <v>9999</v>
      </c>
      <c r="Z199">
        <f t="shared" ref="Z199:Z262" si="223">IF(AND(Y199&gt;$B$3,Y199&lt;=$B$3+MIN($B$2,120),Y199&lt;&gt;$B$3+V199),1,0)</f>
        <v>0</v>
      </c>
      <c r="AA199" t="e">
        <f t="shared" ref="AA199:AA262" si="224">IF(Z199=1,Y199-$B$3,NA())</f>
        <v>#N/A</v>
      </c>
      <c r="AB199" t="e">
        <f t="shared" ref="AB199:AB262" si="225">IF(Z199=1,INDEX($H$7:$H$126,V199)-IF(INDEX($G$7:$G$126,V199)=1,1,0),NA())</f>
        <v>#N/A</v>
      </c>
      <c r="AC199" t="e">
        <f t="shared" ref="AC199:AC262" si="226">IF(Z199=1,IF(AD199=1,INDEX($H$7:$H$126,AA199)+2,INDEX($D$7:$D$126,AA199)-$B$1),NA())</f>
        <v>#N/A</v>
      </c>
      <c r="AD199" t="e">
        <f t="shared" ref="AD199:AD262" si="227">IF(Z199=1,INDEX($G$7:$G$126,AA199),NA())</f>
        <v>#N/A</v>
      </c>
      <c r="AE199" t="e">
        <f t="shared" ref="AE199:AE262" si="228">IF(Z199=1,IF(AA199&lt;V199,1,-1),NA())</f>
        <v>#N/A</v>
      </c>
      <c r="AF199" t="e">
        <f t="shared" ref="AF199:AF262" si="229">IF(Z199=1,IF(AB199&gt;=AC199,1,2),NA())</f>
        <v>#N/A</v>
      </c>
      <c r="AG199" t="e">
        <f t="shared" ref="AG199:AG262" si="230">IF(Z199=1,IF(AD199=1,INDEX($H$7:$H$126,AA199)+0.5,AC199-MIN(1.5,INDEX($I$7:$I$126,AA199)/2)),NA())</f>
        <v>#N/A</v>
      </c>
      <c r="AH199" t="e">
        <f t="shared" ref="AH199:AH262" si="231">IF(Z199=1,AA199+AE199*IF(AD199=1,0.3,0.22),NA())</f>
        <v>#N/A</v>
      </c>
      <c r="AI199" t="e">
        <f t="shared" ref="AI199:AI262" si="232">IF(Z199=1,AC199+2,NA())</f>
        <v>#N/A</v>
      </c>
      <c r="AJ199" t="e">
        <f t="shared" ref="AJ199:AJ262" si="233">IF(Z199=1,V199-0.5*AE199,NA())</f>
        <v>#N/A</v>
      </c>
      <c r="AK199" t="e">
        <f t="shared" ref="AK199:AK262" si="234">IF(Z199=1,AB199-3,NA())</f>
        <v>#N/A</v>
      </c>
      <c r="AL199" t="e">
        <f t="shared" ref="AL199:AL262" si="235">IF(Z199=1,CHOOSE(AF199+1,0,AG199,AC199),NA())</f>
        <v>#N/A</v>
      </c>
      <c r="AM199" t="e">
        <f t="shared" ref="AM199:AM262" si="236">IF(Z199=1,CHOOSE(AF199+1,V199,V199,AA199),NA())</f>
        <v>#N/A</v>
      </c>
      <c r="AN199" t="e">
        <f t="shared" ref="AN199:AN262" si="237">IF(Z199=1,CHOOSE(AF199+1,AB199-2.5,AB199-2.5,AI199),NA())</f>
        <v>#N/A</v>
      </c>
      <c r="AO199" t="e">
        <f t="shared" ref="AO199:AO262" si="238">IF(Z199=1,CHOOSE(AF199+1,V199,AH199,AA199),NA())</f>
        <v>#N/A</v>
      </c>
      <c r="AP199" t="e">
        <f t="shared" ref="AP199:AP262" si="239">IF(Z199=1,IF(AF199=2,AI199,NA()),NA())</f>
        <v>#N/A</v>
      </c>
      <c r="AQ199" t="e">
        <f t="shared" ref="AQ199:AQ262" si="240">IF(Z199=1,IF(AF199=2,AJ199,NA()),NA())</f>
        <v>#N/A</v>
      </c>
      <c r="AR199" t="e">
        <f t="shared" ref="AR199:AR262" si="241">IF(Z199=1,AK199,NA())</f>
        <v>#N/A</v>
      </c>
      <c r="AS199" t="e">
        <f t="shared" ref="AS199:AS262" si="242">IF(Z199=1,AA199,NA())</f>
        <v>#N/A</v>
      </c>
      <c r="AT199" t="e">
        <f t="shared" ref="AT199:AT262" si="243">IF(Z199=1,IF(AF199=2,AK199,NA()),NA())</f>
        <v>#N/A</v>
      </c>
      <c r="AU199" t="e">
        <f t="shared" ref="AU199:AU262" si="244">IF(Z199=1,IF(AF199=2,V199,NA()),NA())</f>
        <v>#N/A</v>
      </c>
      <c r="AV199" t="e">
        <f t="shared" ref="AV199:AV262" si="245">IF(Z199=1,AB199-2.5,NA())</f>
        <v>#N/A</v>
      </c>
      <c r="AW199" t="e">
        <f t="shared" ref="AW199:AW262" si="246">IF(Z199=1,AJ199,NA())</f>
        <v>#N/A</v>
      </c>
      <c r="AX199" t="e">
        <f t="shared" ref="AX199:AX262" si="247">IF(Z199=1,IF(ISNUMBER(AF199),AB199-3,NA()),NA())</f>
        <v>#N/A</v>
      </c>
      <c r="AY199" t="e">
        <f t="shared" ref="AY199:AY262" si="248">IF(Z199=1,IF(ISNUMBER(AF199),V199,NA()),NA())</f>
        <v>#N/A</v>
      </c>
      <c r="BE199" t="e">
        <f>IF(Z199=1,IF(INDEX($C$7:$C$126,V199)&gt;=Gantt!$BF$6,NA(),MATCH(INDEX($C$7:$C$126,V199),Gantt!$J$6:$BE$6,1)),NA())</f>
        <v>#N/A</v>
      </c>
      <c r="BF199" t="e">
        <f>IF(Z199=1,IF((INDEX($D$7:$D$126,AA199)-1)&gt;=Gantt!$BF$6,NA(),IF((INDEX($D$7:$D$126,AA199)-1)&lt;Gantt!$J$6,0,MATCH((INDEX($D$7:$D$126,AA199)-1),Gantt!$J$6:$BE$6,1))),NA())</f>
        <v>#N/A</v>
      </c>
      <c r="BG199" t="e">
        <f t="shared" ref="BG199:BG262" si="249">IF(Z199=1,INDEX($G$7:$G$126,AA199),NA())</f>
        <v>#N/A</v>
      </c>
      <c r="BH199" t="e">
        <f t="shared" ref="BH199:BH262" si="250">IF(Z199=1,INDEX($G$7:$G$126,V199),NA())</f>
        <v>#N/A</v>
      </c>
      <c r="BI199" t="e">
        <f t="shared" ref="BI199:BI262" si="251">IF(Z199=1,(V199-0.5)/$B$2,NA())</f>
        <v>#N/A</v>
      </c>
      <c r="BJ199" t="e">
        <f t="shared" ref="BJ199:BJ262" si="252">IF(Z199=1,(AA199-0.5)/$B$2,NA())</f>
        <v>#N/A</v>
      </c>
      <c r="BK199" t="e">
        <f t="shared" ref="BK199:BK262" si="253">IF(Z199=1,IF(AA199&lt;V199,1,-1),NA())</f>
        <v>#N/A</v>
      </c>
      <c r="BL199" t="e">
        <f t="shared" ref="BL199:BL262" si="254">IF(Z199=1,IF(BH199=1,(BE199-1)*7+1.5,(BE199-1)*7),NA())</f>
        <v>#N/A</v>
      </c>
      <c r="BM199" t="e">
        <f t="shared" ref="BM199:BM262" si="255">IF(Z199=1,IF(BF199=0,0,IF(BG199=1,(BF199-1)*7+5.5,BF199*7)),NA())</f>
        <v>#N/A</v>
      </c>
      <c r="BN199" t="e">
        <f t="shared" ref="BN199:BN262" si="256">IF(Z199=1,BL199*0+IF(BF199=0,0,IF(BL199&gt;=BM199,1,2)),NA())</f>
        <v>#N/A</v>
      </c>
      <c r="BO199" t="e">
        <f t="shared" ref="BO199:BO262" si="257">IF(Z199=1,IF(BG199=1,(BF199-1)*7+3.5,BM199-3.5),NA())</f>
        <v>#N/A</v>
      </c>
      <c r="BP199" t="e">
        <f t="shared" ref="BP199:BP262" si="258">IF(Z199=1,IF(BG199=1,BJ199+BK199*0.25/$B$2,IF(BK199=1,AA199/$B$2,(AA199-1)/$B$2)),NA())</f>
        <v>#N/A</v>
      </c>
      <c r="BQ199" t="e">
        <f t="shared" ref="BQ199:BQ262" si="259">IF(Z199=1,BM199+2,NA())</f>
        <v>#N/A</v>
      </c>
      <c r="BR199" t="e">
        <f t="shared" ref="BR199:BR262" si="260">IF(Z199=1,IF(BK199=1,(V199-1)/$B$2,V199/$B$2),NA())</f>
        <v>#N/A</v>
      </c>
      <c r="BS199" t="e">
        <f t="shared" ref="BS199:BS262" si="261">IF(Z199=1,BL199-3,NA())</f>
        <v>#N/A</v>
      </c>
      <c r="BT199" t="e">
        <f t="shared" ref="BT199:BT262" si="262">IF(Z199=1,CHOOSE(BN199+1,0,BO199,BM199),NA())</f>
        <v>#N/A</v>
      </c>
      <c r="BU199" t="e">
        <f t="shared" ref="BU199:BU262" si="263">IF(Z199=1,CHOOSE(BN199+1,BI199,BI199,BJ199),NA())</f>
        <v>#N/A</v>
      </c>
      <c r="BV199" t="e">
        <f t="shared" ref="BV199:BV262" si="264">IF(Z199=1,CHOOSE(BN199+1,BL199-2,BL199-2,BQ199),NA())</f>
        <v>#N/A</v>
      </c>
      <c r="BW199" t="e">
        <f t="shared" ref="BW199:BW262" si="265">IF(Z199=1,CHOOSE(BN199+1,BI199,BP199,BJ199),NA())</f>
        <v>#N/A</v>
      </c>
      <c r="BX199" t="e">
        <f t="shared" ref="BX199:BX262" si="266">IF(Z199=1,IF(BN199=2,BQ199,NA()),NA())</f>
        <v>#N/A</v>
      </c>
      <c r="BY199" t="e">
        <f t="shared" ref="BY199:BY262" si="267">IF(Z199=1,IF(BN199=2,BR199,NA()),NA())</f>
        <v>#N/A</v>
      </c>
      <c r="BZ199" t="e">
        <f t="shared" ref="BZ199:BZ262" si="268">IF(Z199=1,BS199,NA())</f>
        <v>#N/A</v>
      </c>
      <c r="CA199" t="e">
        <f t="shared" ref="CA199:CA262" si="269">IF(Z199=1,BJ199,NA())</f>
        <v>#N/A</v>
      </c>
      <c r="CB199" t="e">
        <f t="shared" ref="CB199:CB262" si="270">IF(Z199=1,IF(BN199=2,BS199,NA()),NA())</f>
        <v>#N/A</v>
      </c>
      <c r="CC199" t="e">
        <f t="shared" ref="CC199:CC262" si="271">IF(Z199=1,IF(BN199=2,BI199,NA()),NA())</f>
        <v>#N/A</v>
      </c>
      <c r="CD199" t="e">
        <f t="shared" ref="CD199:CD262" si="272">IF(Z199=1,BL199-2,NA())</f>
        <v>#N/A</v>
      </c>
      <c r="CE199" t="e">
        <f t="shared" ref="CE199:CE262" si="273">IF(Z199=1,BR199,NA())</f>
        <v>#N/A</v>
      </c>
      <c r="CF199" t="e">
        <f t="shared" ref="CF199:CF262" si="274">IF(Z199=1,IF(ISNUMBER(BN199),BL199-2.5,NA()),NA())</f>
        <v>#N/A</v>
      </c>
      <c r="CG199" t="e">
        <f t="shared" ref="CG199:CG262" si="275">IF(Z199=1,IF(ISNUMBER(BN199),BI199,NA()),NA())</f>
        <v>#N/A</v>
      </c>
      <c r="CI199" t="e">
        <f>AL71</f>
        <v>#N/A</v>
      </c>
      <c r="CJ199" t="e">
        <f>AM71</f>
        <v>#N/A</v>
      </c>
      <c r="CK199">
        <f>IF(ISNUMBER(CI199),IFERROR(MAX(0,AN71-CI199),0),0)</f>
        <v>0</v>
      </c>
      <c r="CL199">
        <f>IF(ISNUMBER(CI199),IFERROR(MAX(0,CI199-AN71),0),0)</f>
        <v>0</v>
      </c>
      <c r="CM199">
        <f>IF(ISNUMBER(CJ199),IFERROR(MAX(0,AO71-CJ199),0),0)</f>
        <v>0</v>
      </c>
      <c r="CN199">
        <f>IF(ISNUMBER(CJ199),IFERROR(MAX(0,CJ199-AO71),0),0)</f>
        <v>0</v>
      </c>
      <c r="CP199" t="e">
        <f>BT71</f>
        <v>#N/A</v>
      </c>
      <c r="CQ199" t="e">
        <f>BU71</f>
        <v>#N/A</v>
      </c>
      <c r="CR199">
        <f>IF(ISNUMBER(CP199),IFERROR(MAX(0,BV71-CP199),0),0)</f>
        <v>0</v>
      </c>
      <c r="CS199">
        <f>IF(ISNUMBER(CP199),IFERROR(MAX(0,CP199-BV71),0),0)</f>
        <v>0</v>
      </c>
      <c r="CT199">
        <f>IF(ISNUMBER(CQ199),IFERROR(MAX(0,BW71-CQ199),0),0)</f>
        <v>0</v>
      </c>
      <c r="CU199">
        <f>IF(ISNUMBER(CQ199),IFERROR(MAX(0,CQ199-BW71),0),0)</f>
        <v>0</v>
      </c>
    </row>
    <row r="200" spans="21:99" x14ac:dyDescent="0.3">
      <c r="U200">
        <v>194</v>
      </c>
      <c r="V200">
        <f t="shared" si="220"/>
        <v>49</v>
      </c>
      <c r="W200">
        <f t="shared" si="221"/>
        <v>2</v>
      </c>
      <c r="X200">
        <f t="shared" si="222"/>
        <v>0</v>
      </c>
      <c r="Y200">
        <f>IF(X200&lt;&gt;1,9999,CHOOSE(W200,INDEX(Gantt!$BQ$7:$BQ$119,V200),INDEX(Gantt!$BR$7:$BR$119,V200),INDEX(Gantt!$BT$7:$BT$119,V200),INDEX(Gantt!$BU$7:$BU$119,V200)))</f>
        <v>9999</v>
      </c>
      <c r="Z200">
        <f t="shared" si="223"/>
        <v>0</v>
      </c>
      <c r="AA200" t="e">
        <f t="shared" si="224"/>
        <v>#N/A</v>
      </c>
      <c r="AB200" t="e">
        <f t="shared" si="225"/>
        <v>#N/A</v>
      </c>
      <c r="AC200" t="e">
        <f t="shared" si="226"/>
        <v>#N/A</v>
      </c>
      <c r="AD200" t="e">
        <f t="shared" si="227"/>
        <v>#N/A</v>
      </c>
      <c r="AE200" t="e">
        <f t="shared" si="228"/>
        <v>#N/A</v>
      </c>
      <c r="AF200" t="e">
        <f t="shared" si="229"/>
        <v>#N/A</v>
      </c>
      <c r="AG200" t="e">
        <f t="shared" si="230"/>
        <v>#N/A</v>
      </c>
      <c r="AH200" t="e">
        <f t="shared" si="231"/>
        <v>#N/A</v>
      </c>
      <c r="AI200" t="e">
        <f t="shared" si="232"/>
        <v>#N/A</v>
      </c>
      <c r="AJ200" t="e">
        <f t="shared" si="233"/>
        <v>#N/A</v>
      </c>
      <c r="AK200" t="e">
        <f t="shared" si="234"/>
        <v>#N/A</v>
      </c>
      <c r="AL200" t="e">
        <f t="shared" si="235"/>
        <v>#N/A</v>
      </c>
      <c r="AM200" t="e">
        <f t="shared" si="236"/>
        <v>#N/A</v>
      </c>
      <c r="AN200" t="e">
        <f t="shared" si="237"/>
        <v>#N/A</v>
      </c>
      <c r="AO200" t="e">
        <f t="shared" si="238"/>
        <v>#N/A</v>
      </c>
      <c r="AP200" t="e">
        <f t="shared" si="239"/>
        <v>#N/A</v>
      </c>
      <c r="AQ200" t="e">
        <f t="shared" si="240"/>
        <v>#N/A</v>
      </c>
      <c r="AR200" t="e">
        <f t="shared" si="241"/>
        <v>#N/A</v>
      </c>
      <c r="AS200" t="e">
        <f t="shared" si="242"/>
        <v>#N/A</v>
      </c>
      <c r="AT200" t="e">
        <f t="shared" si="243"/>
        <v>#N/A</v>
      </c>
      <c r="AU200" t="e">
        <f t="shared" si="244"/>
        <v>#N/A</v>
      </c>
      <c r="AV200" t="e">
        <f t="shared" si="245"/>
        <v>#N/A</v>
      </c>
      <c r="AW200" t="e">
        <f t="shared" si="246"/>
        <v>#N/A</v>
      </c>
      <c r="AX200" t="e">
        <f t="shared" si="247"/>
        <v>#N/A</v>
      </c>
      <c r="AY200" t="e">
        <f t="shared" si="248"/>
        <v>#N/A</v>
      </c>
      <c r="BE200" t="e">
        <f>IF(Z200=1,IF(INDEX($C$7:$C$126,V200)&gt;=Gantt!$BF$6,NA(),MATCH(INDEX($C$7:$C$126,V200),Gantt!$J$6:$BE$6,1)),NA())</f>
        <v>#N/A</v>
      </c>
      <c r="BF200" t="e">
        <f>IF(Z200=1,IF((INDEX($D$7:$D$126,AA200)-1)&gt;=Gantt!$BF$6,NA(),IF((INDEX($D$7:$D$126,AA200)-1)&lt;Gantt!$J$6,0,MATCH((INDEX($D$7:$D$126,AA200)-1),Gantt!$J$6:$BE$6,1))),NA())</f>
        <v>#N/A</v>
      </c>
      <c r="BG200" t="e">
        <f t="shared" si="249"/>
        <v>#N/A</v>
      </c>
      <c r="BH200" t="e">
        <f t="shared" si="250"/>
        <v>#N/A</v>
      </c>
      <c r="BI200" t="e">
        <f t="shared" si="251"/>
        <v>#N/A</v>
      </c>
      <c r="BJ200" t="e">
        <f t="shared" si="252"/>
        <v>#N/A</v>
      </c>
      <c r="BK200" t="e">
        <f t="shared" si="253"/>
        <v>#N/A</v>
      </c>
      <c r="BL200" t="e">
        <f t="shared" si="254"/>
        <v>#N/A</v>
      </c>
      <c r="BM200" t="e">
        <f t="shared" si="255"/>
        <v>#N/A</v>
      </c>
      <c r="BN200" t="e">
        <f t="shared" si="256"/>
        <v>#N/A</v>
      </c>
      <c r="BO200" t="e">
        <f t="shared" si="257"/>
        <v>#N/A</v>
      </c>
      <c r="BP200" t="e">
        <f t="shared" si="258"/>
        <v>#N/A</v>
      </c>
      <c r="BQ200" t="e">
        <f t="shared" si="259"/>
        <v>#N/A</v>
      </c>
      <c r="BR200" t="e">
        <f t="shared" si="260"/>
        <v>#N/A</v>
      </c>
      <c r="BS200" t="e">
        <f t="shared" si="261"/>
        <v>#N/A</v>
      </c>
      <c r="BT200" t="e">
        <f t="shared" si="262"/>
        <v>#N/A</v>
      </c>
      <c r="BU200" t="e">
        <f t="shared" si="263"/>
        <v>#N/A</v>
      </c>
      <c r="BV200" t="e">
        <f t="shared" si="264"/>
        <v>#N/A</v>
      </c>
      <c r="BW200" t="e">
        <f t="shared" si="265"/>
        <v>#N/A</v>
      </c>
      <c r="BX200" t="e">
        <f t="shared" si="266"/>
        <v>#N/A</v>
      </c>
      <c r="BY200" t="e">
        <f t="shared" si="267"/>
        <v>#N/A</v>
      </c>
      <c r="BZ200" t="e">
        <f t="shared" si="268"/>
        <v>#N/A</v>
      </c>
      <c r="CA200" t="e">
        <f t="shared" si="269"/>
        <v>#N/A</v>
      </c>
      <c r="CB200" t="e">
        <f t="shared" si="270"/>
        <v>#N/A</v>
      </c>
      <c r="CC200" t="e">
        <f t="shared" si="271"/>
        <v>#N/A</v>
      </c>
      <c r="CD200" t="e">
        <f t="shared" si="272"/>
        <v>#N/A</v>
      </c>
      <c r="CE200" t="e">
        <f t="shared" si="273"/>
        <v>#N/A</v>
      </c>
      <c r="CF200" t="e">
        <f t="shared" si="274"/>
        <v>#N/A</v>
      </c>
      <c r="CG200" t="e">
        <f t="shared" si="275"/>
        <v>#N/A</v>
      </c>
      <c r="CI200" t="e">
        <f>AP71</f>
        <v>#N/A</v>
      </c>
      <c r="CJ200" t="e">
        <f>AQ71</f>
        <v>#N/A</v>
      </c>
      <c r="CK200">
        <f>IF(ISNUMBER(CI200),IFERROR(MAX(0,AR71-CI200),0),0)</f>
        <v>0</v>
      </c>
      <c r="CL200">
        <f>IF(ISNUMBER(CI200),IFERROR(MAX(0,CI200-AR71),0),0)</f>
        <v>0</v>
      </c>
      <c r="CM200">
        <f>IF(ISNUMBER(CJ200),IFERROR(MAX(0,AS71-CJ200),0),0)</f>
        <v>0</v>
      </c>
      <c r="CN200">
        <f>IF(ISNUMBER(CJ200),IFERROR(MAX(0,CJ200-AS71),0),0)</f>
        <v>0</v>
      </c>
      <c r="CP200" t="e">
        <f>BX71</f>
        <v>#N/A</v>
      </c>
      <c r="CQ200" t="e">
        <f>BY71</f>
        <v>#N/A</v>
      </c>
      <c r="CR200">
        <f>IF(ISNUMBER(CP200),IFERROR(MAX(0,BZ71-CP200),0),0)</f>
        <v>0</v>
      </c>
      <c r="CS200">
        <f>IF(ISNUMBER(CP200),IFERROR(MAX(0,CP200-BZ71),0),0)</f>
        <v>0</v>
      </c>
      <c r="CT200">
        <f>IF(ISNUMBER(CQ200),IFERROR(MAX(0,CA71-CQ200),0),0)</f>
        <v>0</v>
      </c>
      <c r="CU200">
        <f>IF(ISNUMBER(CQ200),IFERROR(MAX(0,CQ200-CA71),0),0)</f>
        <v>0</v>
      </c>
    </row>
    <row r="201" spans="21:99" x14ac:dyDescent="0.3">
      <c r="U201">
        <v>195</v>
      </c>
      <c r="V201">
        <f t="shared" si="220"/>
        <v>49</v>
      </c>
      <c r="W201">
        <f t="shared" si="221"/>
        <v>3</v>
      </c>
      <c r="X201">
        <f t="shared" si="222"/>
        <v>0</v>
      </c>
      <c r="Y201">
        <f>IF(X201&lt;&gt;1,9999,CHOOSE(W201,INDEX(Gantt!$BQ$7:$BQ$119,V201),INDEX(Gantt!$BR$7:$BR$119,V201),INDEX(Gantt!$BT$7:$BT$119,V201),INDEX(Gantt!$BU$7:$BU$119,V201)))</f>
        <v>9999</v>
      </c>
      <c r="Z201">
        <f t="shared" si="223"/>
        <v>0</v>
      </c>
      <c r="AA201" t="e">
        <f t="shared" si="224"/>
        <v>#N/A</v>
      </c>
      <c r="AB201" t="e">
        <f t="shared" si="225"/>
        <v>#N/A</v>
      </c>
      <c r="AC201" t="e">
        <f t="shared" si="226"/>
        <v>#N/A</v>
      </c>
      <c r="AD201" t="e">
        <f t="shared" si="227"/>
        <v>#N/A</v>
      </c>
      <c r="AE201" t="e">
        <f t="shared" si="228"/>
        <v>#N/A</v>
      </c>
      <c r="AF201" t="e">
        <f t="shared" si="229"/>
        <v>#N/A</v>
      </c>
      <c r="AG201" t="e">
        <f t="shared" si="230"/>
        <v>#N/A</v>
      </c>
      <c r="AH201" t="e">
        <f t="shared" si="231"/>
        <v>#N/A</v>
      </c>
      <c r="AI201" t="e">
        <f t="shared" si="232"/>
        <v>#N/A</v>
      </c>
      <c r="AJ201" t="e">
        <f t="shared" si="233"/>
        <v>#N/A</v>
      </c>
      <c r="AK201" t="e">
        <f t="shared" si="234"/>
        <v>#N/A</v>
      </c>
      <c r="AL201" t="e">
        <f t="shared" si="235"/>
        <v>#N/A</v>
      </c>
      <c r="AM201" t="e">
        <f t="shared" si="236"/>
        <v>#N/A</v>
      </c>
      <c r="AN201" t="e">
        <f t="shared" si="237"/>
        <v>#N/A</v>
      </c>
      <c r="AO201" t="e">
        <f t="shared" si="238"/>
        <v>#N/A</v>
      </c>
      <c r="AP201" t="e">
        <f t="shared" si="239"/>
        <v>#N/A</v>
      </c>
      <c r="AQ201" t="e">
        <f t="shared" si="240"/>
        <v>#N/A</v>
      </c>
      <c r="AR201" t="e">
        <f t="shared" si="241"/>
        <v>#N/A</v>
      </c>
      <c r="AS201" t="e">
        <f t="shared" si="242"/>
        <v>#N/A</v>
      </c>
      <c r="AT201" t="e">
        <f t="shared" si="243"/>
        <v>#N/A</v>
      </c>
      <c r="AU201" t="e">
        <f t="shared" si="244"/>
        <v>#N/A</v>
      </c>
      <c r="AV201" t="e">
        <f t="shared" si="245"/>
        <v>#N/A</v>
      </c>
      <c r="AW201" t="e">
        <f t="shared" si="246"/>
        <v>#N/A</v>
      </c>
      <c r="AX201" t="e">
        <f t="shared" si="247"/>
        <v>#N/A</v>
      </c>
      <c r="AY201" t="e">
        <f t="shared" si="248"/>
        <v>#N/A</v>
      </c>
      <c r="BE201" t="e">
        <f>IF(Z201=1,IF(INDEX($C$7:$C$126,V201)&gt;=Gantt!$BF$6,NA(),MATCH(INDEX($C$7:$C$126,V201),Gantt!$J$6:$BE$6,1)),NA())</f>
        <v>#N/A</v>
      </c>
      <c r="BF201" t="e">
        <f>IF(Z201=1,IF((INDEX($D$7:$D$126,AA201)-1)&gt;=Gantt!$BF$6,NA(),IF((INDEX($D$7:$D$126,AA201)-1)&lt;Gantt!$J$6,0,MATCH((INDEX($D$7:$D$126,AA201)-1),Gantt!$J$6:$BE$6,1))),NA())</f>
        <v>#N/A</v>
      </c>
      <c r="BG201" t="e">
        <f t="shared" si="249"/>
        <v>#N/A</v>
      </c>
      <c r="BH201" t="e">
        <f t="shared" si="250"/>
        <v>#N/A</v>
      </c>
      <c r="BI201" t="e">
        <f t="shared" si="251"/>
        <v>#N/A</v>
      </c>
      <c r="BJ201" t="e">
        <f t="shared" si="252"/>
        <v>#N/A</v>
      </c>
      <c r="BK201" t="e">
        <f t="shared" si="253"/>
        <v>#N/A</v>
      </c>
      <c r="BL201" t="e">
        <f t="shared" si="254"/>
        <v>#N/A</v>
      </c>
      <c r="BM201" t="e">
        <f t="shared" si="255"/>
        <v>#N/A</v>
      </c>
      <c r="BN201" t="e">
        <f t="shared" si="256"/>
        <v>#N/A</v>
      </c>
      <c r="BO201" t="e">
        <f t="shared" si="257"/>
        <v>#N/A</v>
      </c>
      <c r="BP201" t="e">
        <f t="shared" si="258"/>
        <v>#N/A</v>
      </c>
      <c r="BQ201" t="e">
        <f t="shared" si="259"/>
        <v>#N/A</v>
      </c>
      <c r="BR201" t="e">
        <f t="shared" si="260"/>
        <v>#N/A</v>
      </c>
      <c r="BS201" t="e">
        <f t="shared" si="261"/>
        <v>#N/A</v>
      </c>
      <c r="BT201" t="e">
        <f t="shared" si="262"/>
        <v>#N/A</v>
      </c>
      <c r="BU201" t="e">
        <f t="shared" si="263"/>
        <v>#N/A</v>
      </c>
      <c r="BV201" t="e">
        <f t="shared" si="264"/>
        <v>#N/A</v>
      </c>
      <c r="BW201" t="e">
        <f t="shared" si="265"/>
        <v>#N/A</v>
      </c>
      <c r="BX201" t="e">
        <f t="shared" si="266"/>
        <v>#N/A</v>
      </c>
      <c r="BY201" t="e">
        <f t="shared" si="267"/>
        <v>#N/A</v>
      </c>
      <c r="BZ201" t="e">
        <f t="shared" si="268"/>
        <v>#N/A</v>
      </c>
      <c r="CA201" t="e">
        <f t="shared" si="269"/>
        <v>#N/A</v>
      </c>
      <c r="CB201" t="e">
        <f t="shared" si="270"/>
        <v>#N/A</v>
      </c>
      <c r="CC201" t="e">
        <f t="shared" si="271"/>
        <v>#N/A</v>
      </c>
      <c r="CD201" t="e">
        <f t="shared" si="272"/>
        <v>#N/A</v>
      </c>
      <c r="CE201" t="e">
        <f t="shared" si="273"/>
        <v>#N/A</v>
      </c>
      <c r="CF201" t="e">
        <f t="shared" si="274"/>
        <v>#N/A</v>
      </c>
      <c r="CG201" t="e">
        <f t="shared" si="275"/>
        <v>#N/A</v>
      </c>
      <c r="CI201" t="e">
        <f>AT71</f>
        <v>#N/A</v>
      </c>
      <c r="CJ201" t="e">
        <f>AU71</f>
        <v>#N/A</v>
      </c>
      <c r="CK201">
        <f>IF(ISNUMBER(CI201),IFERROR(MAX(0,AV71-CI201),0),0)</f>
        <v>0</v>
      </c>
      <c r="CL201">
        <f>IF(ISNUMBER(CI201),IFERROR(MAX(0,CI201-AV71),0),0)</f>
        <v>0</v>
      </c>
      <c r="CM201">
        <f>IF(ISNUMBER(CJ201),IFERROR(MAX(0,AW71-CJ201),0),0)</f>
        <v>0</v>
      </c>
      <c r="CN201">
        <f>IF(ISNUMBER(CJ201),IFERROR(MAX(0,CJ201-AW71),0),0)</f>
        <v>0</v>
      </c>
      <c r="CP201" t="e">
        <f>CB71</f>
        <v>#N/A</v>
      </c>
      <c r="CQ201" t="e">
        <f>CC71</f>
        <v>#N/A</v>
      </c>
      <c r="CR201">
        <f>IF(ISNUMBER(CP201),IFERROR(MAX(0,CD71-CP201),0),0)</f>
        <v>0</v>
      </c>
      <c r="CS201">
        <f>IF(ISNUMBER(CP201),IFERROR(MAX(0,CP201-CD71),0),0)</f>
        <v>0</v>
      </c>
      <c r="CT201">
        <f>IF(ISNUMBER(CQ201),IFERROR(MAX(0,CE71-CQ201),0),0)</f>
        <v>0</v>
      </c>
      <c r="CU201">
        <f>IF(ISNUMBER(CQ201),IFERROR(MAX(0,CQ201-CE71),0),0)</f>
        <v>0</v>
      </c>
    </row>
    <row r="202" spans="21:99" x14ac:dyDescent="0.3">
      <c r="U202">
        <v>196</v>
      </c>
      <c r="V202">
        <f t="shared" si="220"/>
        <v>49</v>
      </c>
      <c r="W202">
        <f t="shared" si="221"/>
        <v>4</v>
      </c>
      <c r="X202">
        <f t="shared" si="222"/>
        <v>0</v>
      </c>
      <c r="Y202">
        <f>IF(X202&lt;&gt;1,9999,CHOOSE(W202,INDEX(Gantt!$BQ$7:$BQ$119,V202),INDEX(Gantt!$BR$7:$BR$119,V202),INDEX(Gantt!$BT$7:$BT$119,V202),INDEX(Gantt!$BU$7:$BU$119,V202)))</f>
        <v>9999</v>
      </c>
      <c r="Z202">
        <f t="shared" si="223"/>
        <v>0</v>
      </c>
      <c r="AA202" t="e">
        <f t="shared" si="224"/>
        <v>#N/A</v>
      </c>
      <c r="AB202" t="e">
        <f t="shared" si="225"/>
        <v>#N/A</v>
      </c>
      <c r="AC202" t="e">
        <f t="shared" si="226"/>
        <v>#N/A</v>
      </c>
      <c r="AD202" t="e">
        <f t="shared" si="227"/>
        <v>#N/A</v>
      </c>
      <c r="AE202" t="e">
        <f t="shared" si="228"/>
        <v>#N/A</v>
      </c>
      <c r="AF202" t="e">
        <f t="shared" si="229"/>
        <v>#N/A</v>
      </c>
      <c r="AG202" t="e">
        <f t="shared" si="230"/>
        <v>#N/A</v>
      </c>
      <c r="AH202" t="e">
        <f t="shared" si="231"/>
        <v>#N/A</v>
      </c>
      <c r="AI202" t="e">
        <f t="shared" si="232"/>
        <v>#N/A</v>
      </c>
      <c r="AJ202" t="e">
        <f t="shared" si="233"/>
        <v>#N/A</v>
      </c>
      <c r="AK202" t="e">
        <f t="shared" si="234"/>
        <v>#N/A</v>
      </c>
      <c r="AL202" t="e">
        <f t="shared" si="235"/>
        <v>#N/A</v>
      </c>
      <c r="AM202" t="e">
        <f t="shared" si="236"/>
        <v>#N/A</v>
      </c>
      <c r="AN202" t="e">
        <f t="shared" si="237"/>
        <v>#N/A</v>
      </c>
      <c r="AO202" t="e">
        <f t="shared" si="238"/>
        <v>#N/A</v>
      </c>
      <c r="AP202" t="e">
        <f t="shared" si="239"/>
        <v>#N/A</v>
      </c>
      <c r="AQ202" t="e">
        <f t="shared" si="240"/>
        <v>#N/A</v>
      </c>
      <c r="AR202" t="e">
        <f t="shared" si="241"/>
        <v>#N/A</v>
      </c>
      <c r="AS202" t="e">
        <f t="shared" si="242"/>
        <v>#N/A</v>
      </c>
      <c r="AT202" t="e">
        <f t="shared" si="243"/>
        <v>#N/A</v>
      </c>
      <c r="AU202" t="e">
        <f t="shared" si="244"/>
        <v>#N/A</v>
      </c>
      <c r="AV202" t="e">
        <f t="shared" si="245"/>
        <v>#N/A</v>
      </c>
      <c r="AW202" t="e">
        <f t="shared" si="246"/>
        <v>#N/A</v>
      </c>
      <c r="AX202" t="e">
        <f t="shared" si="247"/>
        <v>#N/A</v>
      </c>
      <c r="AY202" t="e">
        <f t="shared" si="248"/>
        <v>#N/A</v>
      </c>
      <c r="BE202" t="e">
        <f>IF(Z202=1,IF(INDEX($C$7:$C$126,V202)&gt;=Gantt!$BF$6,NA(),MATCH(INDEX($C$7:$C$126,V202),Gantt!$J$6:$BE$6,1)),NA())</f>
        <v>#N/A</v>
      </c>
      <c r="BF202" t="e">
        <f>IF(Z202=1,IF((INDEX($D$7:$D$126,AA202)-1)&gt;=Gantt!$BF$6,NA(),IF((INDEX($D$7:$D$126,AA202)-1)&lt;Gantt!$J$6,0,MATCH((INDEX($D$7:$D$126,AA202)-1),Gantt!$J$6:$BE$6,1))),NA())</f>
        <v>#N/A</v>
      </c>
      <c r="BG202" t="e">
        <f t="shared" si="249"/>
        <v>#N/A</v>
      </c>
      <c r="BH202" t="e">
        <f t="shared" si="250"/>
        <v>#N/A</v>
      </c>
      <c r="BI202" t="e">
        <f t="shared" si="251"/>
        <v>#N/A</v>
      </c>
      <c r="BJ202" t="e">
        <f t="shared" si="252"/>
        <v>#N/A</v>
      </c>
      <c r="BK202" t="e">
        <f t="shared" si="253"/>
        <v>#N/A</v>
      </c>
      <c r="BL202" t="e">
        <f t="shared" si="254"/>
        <v>#N/A</v>
      </c>
      <c r="BM202" t="e">
        <f t="shared" si="255"/>
        <v>#N/A</v>
      </c>
      <c r="BN202" t="e">
        <f t="shared" si="256"/>
        <v>#N/A</v>
      </c>
      <c r="BO202" t="e">
        <f t="shared" si="257"/>
        <v>#N/A</v>
      </c>
      <c r="BP202" t="e">
        <f t="shared" si="258"/>
        <v>#N/A</v>
      </c>
      <c r="BQ202" t="e">
        <f t="shared" si="259"/>
        <v>#N/A</v>
      </c>
      <c r="BR202" t="e">
        <f t="shared" si="260"/>
        <v>#N/A</v>
      </c>
      <c r="BS202" t="e">
        <f t="shared" si="261"/>
        <v>#N/A</v>
      </c>
      <c r="BT202" t="e">
        <f t="shared" si="262"/>
        <v>#N/A</v>
      </c>
      <c r="BU202" t="e">
        <f t="shared" si="263"/>
        <v>#N/A</v>
      </c>
      <c r="BV202" t="e">
        <f t="shared" si="264"/>
        <v>#N/A</v>
      </c>
      <c r="BW202" t="e">
        <f t="shared" si="265"/>
        <v>#N/A</v>
      </c>
      <c r="BX202" t="e">
        <f t="shared" si="266"/>
        <v>#N/A</v>
      </c>
      <c r="BY202" t="e">
        <f t="shared" si="267"/>
        <v>#N/A</v>
      </c>
      <c r="BZ202" t="e">
        <f t="shared" si="268"/>
        <v>#N/A</v>
      </c>
      <c r="CA202" t="e">
        <f t="shared" si="269"/>
        <v>#N/A</v>
      </c>
      <c r="CB202" t="e">
        <f t="shared" si="270"/>
        <v>#N/A</v>
      </c>
      <c r="CC202" t="e">
        <f t="shared" si="271"/>
        <v>#N/A</v>
      </c>
      <c r="CD202" t="e">
        <f t="shared" si="272"/>
        <v>#N/A</v>
      </c>
      <c r="CE202" t="e">
        <f t="shared" si="273"/>
        <v>#N/A</v>
      </c>
      <c r="CF202" t="e">
        <f t="shared" si="274"/>
        <v>#N/A</v>
      </c>
      <c r="CG202" t="e">
        <f t="shared" si="275"/>
        <v>#N/A</v>
      </c>
      <c r="CI202" t="e">
        <f>AL72</f>
        <v>#N/A</v>
      </c>
      <c r="CJ202" t="e">
        <f>AM72</f>
        <v>#N/A</v>
      </c>
      <c r="CK202">
        <f>IF(ISNUMBER(CI202),IFERROR(MAX(0,AN72-CI202),0),0)</f>
        <v>0</v>
      </c>
      <c r="CL202">
        <f>IF(ISNUMBER(CI202),IFERROR(MAX(0,CI202-AN72),0),0)</f>
        <v>0</v>
      </c>
      <c r="CM202">
        <f>IF(ISNUMBER(CJ202),IFERROR(MAX(0,AO72-CJ202),0),0)</f>
        <v>0</v>
      </c>
      <c r="CN202">
        <f>IF(ISNUMBER(CJ202),IFERROR(MAX(0,CJ202-AO72),0),0)</f>
        <v>0</v>
      </c>
      <c r="CP202" t="e">
        <f>BT72</f>
        <v>#N/A</v>
      </c>
      <c r="CQ202" t="e">
        <f>BU72</f>
        <v>#N/A</v>
      </c>
      <c r="CR202">
        <f>IF(ISNUMBER(CP202),IFERROR(MAX(0,BV72-CP202),0),0)</f>
        <v>0</v>
      </c>
      <c r="CS202">
        <f>IF(ISNUMBER(CP202),IFERROR(MAX(0,CP202-BV72),0),0)</f>
        <v>0</v>
      </c>
      <c r="CT202">
        <f>IF(ISNUMBER(CQ202),IFERROR(MAX(0,BW72-CQ202),0),0)</f>
        <v>0</v>
      </c>
      <c r="CU202">
        <f>IF(ISNUMBER(CQ202),IFERROR(MAX(0,CQ202-BW72),0),0)</f>
        <v>0</v>
      </c>
    </row>
    <row r="203" spans="21:99" x14ac:dyDescent="0.3">
      <c r="U203">
        <v>197</v>
      </c>
      <c r="V203">
        <f t="shared" si="220"/>
        <v>50</v>
      </c>
      <c r="W203">
        <f t="shared" si="221"/>
        <v>1</v>
      </c>
      <c r="X203">
        <f t="shared" si="222"/>
        <v>0</v>
      </c>
      <c r="Y203">
        <f>IF(X203&lt;&gt;1,9999,CHOOSE(W203,INDEX(Gantt!$BQ$7:$BQ$119,V203),INDEX(Gantt!$BR$7:$BR$119,V203),INDEX(Gantt!$BT$7:$BT$119,V203),INDEX(Gantt!$BU$7:$BU$119,V203)))</f>
        <v>9999</v>
      </c>
      <c r="Z203">
        <f t="shared" si="223"/>
        <v>0</v>
      </c>
      <c r="AA203" t="e">
        <f t="shared" si="224"/>
        <v>#N/A</v>
      </c>
      <c r="AB203" t="e">
        <f t="shared" si="225"/>
        <v>#N/A</v>
      </c>
      <c r="AC203" t="e">
        <f t="shared" si="226"/>
        <v>#N/A</v>
      </c>
      <c r="AD203" t="e">
        <f t="shared" si="227"/>
        <v>#N/A</v>
      </c>
      <c r="AE203" t="e">
        <f t="shared" si="228"/>
        <v>#N/A</v>
      </c>
      <c r="AF203" t="e">
        <f t="shared" si="229"/>
        <v>#N/A</v>
      </c>
      <c r="AG203" t="e">
        <f t="shared" si="230"/>
        <v>#N/A</v>
      </c>
      <c r="AH203" t="e">
        <f t="shared" si="231"/>
        <v>#N/A</v>
      </c>
      <c r="AI203" t="e">
        <f t="shared" si="232"/>
        <v>#N/A</v>
      </c>
      <c r="AJ203" t="e">
        <f t="shared" si="233"/>
        <v>#N/A</v>
      </c>
      <c r="AK203" t="e">
        <f t="shared" si="234"/>
        <v>#N/A</v>
      </c>
      <c r="AL203" t="e">
        <f t="shared" si="235"/>
        <v>#N/A</v>
      </c>
      <c r="AM203" t="e">
        <f t="shared" si="236"/>
        <v>#N/A</v>
      </c>
      <c r="AN203" t="e">
        <f t="shared" si="237"/>
        <v>#N/A</v>
      </c>
      <c r="AO203" t="e">
        <f t="shared" si="238"/>
        <v>#N/A</v>
      </c>
      <c r="AP203" t="e">
        <f t="shared" si="239"/>
        <v>#N/A</v>
      </c>
      <c r="AQ203" t="e">
        <f t="shared" si="240"/>
        <v>#N/A</v>
      </c>
      <c r="AR203" t="e">
        <f t="shared" si="241"/>
        <v>#N/A</v>
      </c>
      <c r="AS203" t="e">
        <f t="shared" si="242"/>
        <v>#N/A</v>
      </c>
      <c r="AT203" t="e">
        <f t="shared" si="243"/>
        <v>#N/A</v>
      </c>
      <c r="AU203" t="e">
        <f t="shared" si="244"/>
        <v>#N/A</v>
      </c>
      <c r="AV203" t="e">
        <f t="shared" si="245"/>
        <v>#N/A</v>
      </c>
      <c r="AW203" t="e">
        <f t="shared" si="246"/>
        <v>#N/A</v>
      </c>
      <c r="AX203" t="e">
        <f t="shared" si="247"/>
        <v>#N/A</v>
      </c>
      <c r="AY203" t="e">
        <f t="shared" si="248"/>
        <v>#N/A</v>
      </c>
      <c r="BE203" t="e">
        <f>IF(Z203=1,IF(INDEX($C$7:$C$126,V203)&gt;=Gantt!$BF$6,NA(),MATCH(INDEX($C$7:$C$126,V203),Gantt!$J$6:$BE$6,1)),NA())</f>
        <v>#N/A</v>
      </c>
      <c r="BF203" t="e">
        <f>IF(Z203=1,IF((INDEX($D$7:$D$126,AA203)-1)&gt;=Gantt!$BF$6,NA(),IF((INDEX($D$7:$D$126,AA203)-1)&lt;Gantt!$J$6,0,MATCH((INDEX($D$7:$D$126,AA203)-1),Gantt!$J$6:$BE$6,1))),NA())</f>
        <v>#N/A</v>
      </c>
      <c r="BG203" t="e">
        <f t="shared" si="249"/>
        <v>#N/A</v>
      </c>
      <c r="BH203" t="e">
        <f t="shared" si="250"/>
        <v>#N/A</v>
      </c>
      <c r="BI203" t="e">
        <f t="shared" si="251"/>
        <v>#N/A</v>
      </c>
      <c r="BJ203" t="e">
        <f t="shared" si="252"/>
        <v>#N/A</v>
      </c>
      <c r="BK203" t="e">
        <f t="shared" si="253"/>
        <v>#N/A</v>
      </c>
      <c r="BL203" t="e">
        <f t="shared" si="254"/>
        <v>#N/A</v>
      </c>
      <c r="BM203" t="e">
        <f t="shared" si="255"/>
        <v>#N/A</v>
      </c>
      <c r="BN203" t="e">
        <f t="shared" si="256"/>
        <v>#N/A</v>
      </c>
      <c r="BO203" t="e">
        <f t="shared" si="257"/>
        <v>#N/A</v>
      </c>
      <c r="BP203" t="e">
        <f t="shared" si="258"/>
        <v>#N/A</v>
      </c>
      <c r="BQ203" t="e">
        <f t="shared" si="259"/>
        <v>#N/A</v>
      </c>
      <c r="BR203" t="e">
        <f t="shared" si="260"/>
        <v>#N/A</v>
      </c>
      <c r="BS203" t="e">
        <f t="shared" si="261"/>
        <v>#N/A</v>
      </c>
      <c r="BT203" t="e">
        <f t="shared" si="262"/>
        <v>#N/A</v>
      </c>
      <c r="BU203" t="e">
        <f t="shared" si="263"/>
        <v>#N/A</v>
      </c>
      <c r="BV203" t="e">
        <f t="shared" si="264"/>
        <v>#N/A</v>
      </c>
      <c r="BW203" t="e">
        <f t="shared" si="265"/>
        <v>#N/A</v>
      </c>
      <c r="BX203" t="e">
        <f t="shared" si="266"/>
        <v>#N/A</v>
      </c>
      <c r="BY203" t="e">
        <f t="shared" si="267"/>
        <v>#N/A</v>
      </c>
      <c r="BZ203" t="e">
        <f t="shared" si="268"/>
        <v>#N/A</v>
      </c>
      <c r="CA203" t="e">
        <f t="shared" si="269"/>
        <v>#N/A</v>
      </c>
      <c r="CB203" t="e">
        <f t="shared" si="270"/>
        <v>#N/A</v>
      </c>
      <c r="CC203" t="e">
        <f t="shared" si="271"/>
        <v>#N/A</v>
      </c>
      <c r="CD203" t="e">
        <f t="shared" si="272"/>
        <v>#N/A</v>
      </c>
      <c r="CE203" t="e">
        <f t="shared" si="273"/>
        <v>#N/A</v>
      </c>
      <c r="CF203" t="e">
        <f t="shared" si="274"/>
        <v>#N/A</v>
      </c>
      <c r="CG203" t="e">
        <f t="shared" si="275"/>
        <v>#N/A</v>
      </c>
      <c r="CI203" t="e">
        <f>AP72</f>
        <v>#N/A</v>
      </c>
      <c r="CJ203" t="e">
        <f>AQ72</f>
        <v>#N/A</v>
      </c>
      <c r="CK203">
        <f>IF(ISNUMBER(CI203),IFERROR(MAX(0,AR72-CI203),0),0)</f>
        <v>0</v>
      </c>
      <c r="CL203">
        <f>IF(ISNUMBER(CI203),IFERROR(MAX(0,CI203-AR72),0),0)</f>
        <v>0</v>
      </c>
      <c r="CM203">
        <f>IF(ISNUMBER(CJ203),IFERROR(MAX(0,AS72-CJ203),0),0)</f>
        <v>0</v>
      </c>
      <c r="CN203">
        <f>IF(ISNUMBER(CJ203),IFERROR(MAX(0,CJ203-AS72),0),0)</f>
        <v>0</v>
      </c>
      <c r="CP203" t="e">
        <f>BX72</f>
        <v>#N/A</v>
      </c>
      <c r="CQ203" t="e">
        <f>BY72</f>
        <v>#N/A</v>
      </c>
      <c r="CR203">
        <f>IF(ISNUMBER(CP203),IFERROR(MAX(0,BZ72-CP203),0),0)</f>
        <v>0</v>
      </c>
      <c r="CS203">
        <f>IF(ISNUMBER(CP203),IFERROR(MAX(0,CP203-BZ72),0),0)</f>
        <v>0</v>
      </c>
      <c r="CT203">
        <f>IF(ISNUMBER(CQ203),IFERROR(MAX(0,CA72-CQ203),0),0)</f>
        <v>0</v>
      </c>
      <c r="CU203">
        <f>IF(ISNUMBER(CQ203),IFERROR(MAX(0,CQ203-CA72),0),0)</f>
        <v>0</v>
      </c>
    </row>
    <row r="204" spans="21:99" x14ac:dyDescent="0.3">
      <c r="U204">
        <v>198</v>
      </c>
      <c r="V204">
        <f t="shared" si="220"/>
        <v>50</v>
      </c>
      <c r="W204">
        <f t="shared" si="221"/>
        <v>2</v>
      </c>
      <c r="X204">
        <f t="shared" si="222"/>
        <v>0</v>
      </c>
      <c r="Y204">
        <f>IF(X204&lt;&gt;1,9999,CHOOSE(W204,INDEX(Gantt!$BQ$7:$BQ$119,V204),INDEX(Gantt!$BR$7:$BR$119,V204),INDEX(Gantt!$BT$7:$BT$119,V204),INDEX(Gantt!$BU$7:$BU$119,V204)))</f>
        <v>9999</v>
      </c>
      <c r="Z204">
        <f t="shared" si="223"/>
        <v>0</v>
      </c>
      <c r="AA204" t="e">
        <f t="shared" si="224"/>
        <v>#N/A</v>
      </c>
      <c r="AB204" t="e">
        <f t="shared" si="225"/>
        <v>#N/A</v>
      </c>
      <c r="AC204" t="e">
        <f t="shared" si="226"/>
        <v>#N/A</v>
      </c>
      <c r="AD204" t="e">
        <f t="shared" si="227"/>
        <v>#N/A</v>
      </c>
      <c r="AE204" t="e">
        <f t="shared" si="228"/>
        <v>#N/A</v>
      </c>
      <c r="AF204" t="e">
        <f t="shared" si="229"/>
        <v>#N/A</v>
      </c>
      <c r="AG204" t="e">
        <f t="shared" si="230"/>
        <v>#N/A</v>
      </c>
      <c r="AH204" t="e">
        <f t="shared" si="231"/>
        <v>#N/A</v>
      </c>
      <c r="AI204" t="e">
        <f t="shared" si="232"/>
        <v>#N/A</v>
      </c>
      <c r="AJ204" t="e">
        <f t="shared" si="233"/>
        <v>#N/A</v>
      </c>
      <c r="AK204" t="e">
        <f t="shared" si="234"/>
        <v>#N/A</v>
      </c>
      <c r="AL204" t="e">
        <f t="shared" si="235"/>
        <v>#N/A</v>
      </c>
      <c r="AM204" t="e">
        <f t="shared" si="236"/>
        <v>#N/A</v>
      </c>
      <c r="AN204" t="e">
        <f t="shared" si="237"/>
        <v>#N/A</v>
      </c>
      <c r="AO204" t="e">
        <f t="shared" si="238"/>
        <v>#N/A</v>
      </c>
      <c r="AP204" t="e">
        <f t="shared" si="239"/>
        <v>#N/A</v>
      </c>
      <c r="AQ204" t="e">
        <f t="shared" si="240"/>
        <v>#N/A</v>
      </c>
      <c r="AR204" t="e">
        <f t="shared" si="241"/>
        <v>#N/A</v>
      </c>
      <c r="AS204" t="e">
        <f t="shared" si="242"/>
        <v>#N/A</v>
      </c>
      <c r="AT204" t="e">
        <f t="shared" si="243"/>
        <v>#N/A</v>
      </c>
      <c r="AU204" t="e">
        <f t="shared" si="244"/>
        <v>#N/A</v>
      </c>
      <c r="AV204" t="e">
        <f t="shared" si="245"/>
        <v>#N/A</v>
      </c>
      <c r="AW204" t="e">
        <f t="shared" si="246"/>
        <v>#N/A</v>
      </c>
      <c r="AX204" t="e">
        <f t="shared" si="247"/>
        <v>#N/A</v>
      </c>
      <c r="AY204" t="e">
        <f t="shared" si="248"/>
        <v>#N/A</v>
      </c>
      <c r="BE204" t="e">
        <f>IF(Z204=1,IF(INDEX($C$7:$C$126,V204)&gt;=Gantt!$BF$6,NA(),MATCH(INDEX($C$7:$C$126,V204),Gantt!$J$6:$BE$6,1)),NA())</f>
        <v>#N/A</v>
      </c>
      <c r="BF204" t="e">
        <f>IF(Z204=1,IF((INDEX($D$7:$D$126,AA204)-1)&gt;=Gantt!$BF$6,NA(),IF((INDEX($D$7:$D$126,AA204)-1)&lt;Gantt!$J$6,0,MATCH((INDEX($D$7:$D$126,AA204)-1),Gantt!$J$6:$BE$6,1))),NA())</f>
        <v>#N/A</v>
      </c>
      <c r="BG204" t="e">
        <f t="shared" si="249"/>
        <v>#N/A</v>
      </c>
      <c r="BH204" t="e">
        <f t="shared" si="250"/>
        <v>#N/A</v>
      </c>
      <c r="BI204" t="e">
        <f t="shared" si="251"/>
        <v>#N/A</v>
      </c>
      <c r="BJ204" t="e">
        <f t="shared" si="252"/>
        <v>#N/A</v>
      </c>
      <c r="BK204" t="e">
        <f t="shared" si="253"/>
        <v>#N/A</v>
      </c>
      <c r="BL204" t="e">
        <f t="shared" si="254"/>
        <v>#N/A</v>
      </c>
      <c r="BM204" t="e">
        <f t="shared" si="255"/>
        <v>#N/A</v>
      </c>
      <c r="BN204" t="e">
        <f t="shared" si="256"/>
        <v>#N/A</v>
      </c>
      <c r="BO204" t="e">
        <f t="shared" si="257"/>
        <v>#N/A</v>
      </c>
      <c r="BP204" t="e">
        <f t="shared" si="258"/>
        <v>#N/A</v>
      </c>
      <c r="BQ204" t="e">
        <f t="shared" si="259"/>
        <v>#N/A</v>
      </c>
      <c r="BR204" t="e">
        <f t="shared" si="260"/>
        <v>#N/A</v>
      </c>
      <c r="BS204" t="e">
        <f t="shared" si="261"/>
        <v>#N/A</v>
      </c>
      <c r="BT204" t="e">
        <f t="shared" si="262"/>
        <v>#N/A</v>
      </c>
      <c r="BU204" t="e">
        <f t="shared" si="263"/>
        <v>#N/A</v>
      </c>
      <c r="BV204" t="e">
        <f t="shared" si="264"/>
        <v>#N/A</v>
      </c>
      <c r="BW204" t="e">
        <f t="shared" si="265"/>
        <v>#N/A</v>
      </c>
      <c r="BX204" t="e">
        <f t="shared" si="266"/>
        <v>#N/A</v>
      </c>
      <c r="BY204" t="e">
        <f t="shared" si="267"/>
        <v>#N/A</v>
      </c>
      <c r="BZ204" t="e">
        <f t="shared" si="268"/>
        <v>#N/A</v>
      </c>
      <c r="CA204" t="e">
        <f t="shared" si="269"/>
        <v>#N/A</v>
      </c>
      <c r="CB204" t="e">
        <f t="shared" si="270"/>
        <v>#N/A</v>
      </c>
      <c r="CC204" t="e">
        <f t="shared" si="271"/>
        <v>#N/A</v>
      </c>
      <c r="CD204" t="e">
        <f t="shared" si="272"/>
        <v>#N/A</v>
      </c>
      <c r="CE204" t="e">
        <f t="shared" si="273"/>
        <v>#N/A</v>
      </c>
      <c r="CF204" t="e">
        <f t="shared" si="274"/>
        <v>#N/A</v>
      </c>
      <c r="CG204" t="e">
        <f t="shared" si="275"/>
        <v>#N/A</v>
      </c>
      <c r="CI204" t="e">
        <f>AT72</f>
        <v>#N/A</v>
      </c>
      <c r="CJ204" t="e">
        <f>AU72</f>
        <v>#N/A</v>
      </c>
      <c r="CK204">
        <f>IF(ISNUMBER(CI204),IFERROR(MAX(0,AV72-CI204),0),0)</f>
        <v>0</v>
      </c>
      <c r="CL204">
        <f>IF(ISNUMBER(CI204),IFERROR(MAX(0,CI204-AV72),0),0)</f>
        <v>0</v>
      </c>
      <c r="CM204">
        <f>IF(ISNUMBER(CJ204),IFERROR(MAX(0,AW72-CJ204),0),0)</f>
        <v>0</v>
      </c>
      <c r="CN204">
        <f>IF(ISNUMBER(CJ204),IFERROR(MAX(0,CJ204-AW72),0),0)</f>
        <v>0</v>
      </c>
      <c r="CP204" t="e">
        <f>CB72</f>
        <v>#N/A</v>
      </c>
      <c r="CQ204" t="e">
        <f>CC72</f>
        <v>#N/A</v>
      </c>
      <c r="CR204">
        <f>IF(ISNUMBER(CP204),IFERROR(MAX(0,CD72-CP204),0),0)</f>
        <v>0</v>
      </c>
      <c r="CS204">
        <f>IF(ISNUMBER(CP204),IFERROR(MAX(0,CP204-CD72),0),0)</f>
        <v>0</v>
      </c>
      <c r="CT204">
        <f>IF(ISNUMBER(CQ204),IFERROR(MAX(0,CE72-CQ204),0),0)</f>
        <v>0</v>
      </c>
      <c r="CU204">
        <f>IF(ISNUMBER(CQ204),IFERROR(MAX(0,CQ204-CE72),0),0)</f>
        <v>0</v>
      </c>
    </row>
    <row r="205" spans="21:99" x14ac:dyDescent="0.3">
      <c r="U205">
        <v>199</v>
      </c>
      <c r="V205">
        <f t="shared" si="220"/>
        <v>50</v>
      </c>
      <c r="W205">
        <f t="shared" si="221"/>
        <v>3</v>
      </c>
      <c r="X205">
        <f t="shared" si="222"/>
        <v>0</v>
      </c>
      <c r="Y205">
        <f>IF(X205&lt;&gt;1,9999,CHOOSE(W205,INDEX(Gantt!$BQ$7:$BQ$119,V205),INDEX(Gantt!$BR$7:$BR$119,V205),INDEX(Gantt!$BT$7:$BT$119,V205),INDEX(Gantt!$BU$7:$BU$119,V205)))</f>
        <v>9999</v>
      </c>
      <c r="Z205">
        <f t="shared" si="223"/>
        <v>0</v>
      </c>
      <c r="AA205" t="e">
        <f t="shared" si="224"/>
        <v>#N/A</v>
      </c>
      <c r="AB205" t="e">
        <f t="shared" si="225"/>
        <v>#N/A</v>
      </c>
      <c r="AC205" t="e">
        <f t="shared" si="226"/>
        <v>#N/A</v>
      </c>
      <c r="AD205" t="e">
        <f t="shared" si="227"/>
        <v>#N/A</v>
      </c>
      <c r="AE205" t="e">
        <f t="shared" si="228"/>
        <v>#N/A</v>
      </c>
      <c r="AF205" t="e">
        <f t="shared" si="229"/>
        <v>#N/A</v>
      </c>
      <c r="AG205" t="e">
        <f t="shared" si="230"/>
        <v>#N/A</v>
      </c>
      <c r="AH205" t="e">
        <f t="shared" si="231"/>
        <v>#N/A</v>
      </c>
      <c r="AI205" t="e">
        <f t="shared" si="232"/>
        <v>#N/A</v>
      </c>
      <c r="AJ205" t="e">
        <f t="shared" si="233"/>
        <v>#N/A</v>
      </c>
      <c r="AK205" t="e">
        <f t="shared" si="234"/>
        <v>#N/A</v>
      </c>
      <c r="AL205" t="e">
        <f t="shared" si="235"/>
        <v>#N/A</v>
      </c>
      <c r="AM205" t="e">
        <f t="shared" si="236"/>
        <v>#N/A</v>
      </c>
      <c r="AN205" t="e">
        <f t="shared" si="237"/>
        <v>#N/A</v>
      </c>
      <c r="AO205" t="e">
        <f t="shared" si="238"/>
        <v>#N/A</v>
      </c>
      <c r="AP205" t="e">
        <f t="shared" si="239"/>
        <v>#N/A</v>
      </c>
      <c r="AQ205" t="e">
        <f t="shared" si="240"/>
        <v>#N/A</v>
      </c>
      <c r="AR205" t="e">
        <f t="shared" si="241"/>
        <v>#N/A</v>
      </c>
      <c r="AS205" t="e">
        <f t="shared" si="242"/>
        <v>#N/A</v>
      </c>
      <c r="AT205" t="e">
        <f t="shared" si="243"/>
        <v>#N/A</v>
      </c>
      <c r="AU205" t="e">
        <f t="shared" si="244"/>
        <v>#N/A</v>
      </c>
      <c r="AV205" t="e">
        <f t="shared" si="245"/>
        <v>#N/A</v>
      </c>
      <c r="AW205" t="e">
        <f t="shared" si="246"/>
        <v>#N/A</v>
      </c>
      <c r="AX205" t="e">
        <f t="shared" si="247"/>
        <v>#N/A</v>
      </c>
      <c r="AY205" t="e">
        <f t="shared" si="248"/>
        <v>#N/A</v>
      </c>
      <c r="BE205" t="e">
        <f>IF(Z205=1,IF(INDEX($C$7:$C$126,V205)&gt;=Gantt!$BF$6,NA(),MATCH(INDEX($C$7:$C$126,V205),Gantt!$J$6:$BE$6,1)),NA())</f>
        <v>#N/A</v>
      </c>
      <c r="BF205" t="e">
        <f>IF(Z205=1,IF((INDEX($D$7:$D$126,AA205)-1)&gt;=Gantt!$BF$6,NA(),IF((INDEX($D$7:$D$126,AA205)-1)&lt;Gantt!$J$6,0,MATCH((INDEX($D$7:$D$126,AA205)-1),Gantt!$J$6:$BE$6,1))),NA())</f>
        <v>#N/A</v>
      </c>
      <c r="BG205" t="e">
        <f t="shared" si="249"/>
        <v>#N/A</v>
      </c>
      <c r="BH205" t="e">
        <f t="shared" si="250"/>
        <v>#N/A</v>
      </c>
      <c r="BI205" t="e">
        <f t="shared" si="251"/>
        <v>#N/A</v>
      </c>
      <c r="BJ205" t="e">
        <f t="shared" si="252"/>
        <v>#N/A</v>
      </c>
      <c r="BK205" t="e">
        <f t="shared" si="253"/>
        <v>#N/A</v>
      </c>
      <c r="BL205" t="e">
        <f t="shared" si="254"/>
        <v>#N/A</v>
      </c>
      <c r="BM205" t="e">
        <f t="shared" si="255"/>
        <v>#N/A</v>
      </c>
      <c r="BN205" t="e">
        <f t="shared" si="256"/>
        <v>#N/A</v>
      </c>
      <c r="BO205" t="e">
        <f t="shared" si="257"/>
        <v>#N/A</v>
      </c>
      <c r="BP205" t="e">
        <f t="shared" si="258"/>
        <v>#N/A</v>
      </c>
      <c r="BQ205" t="e">
        <f t="shared" si="259"/>
        <v>#N/A</v>
      </c>
      <c r="BR205" t="e">
        <f t="shared" si="260"/>
        <v>#N/A</v>
      </c>
      <c r="BS205" t="e">
        <f t="shared" si="261"/>
        <v>#N/A</v>
      </c>
      <c r="BT205" t="e">
        <f t="shared" si="262"/>
        <v>#N/A</v>
      </c>
      <c r="BU205" t="e">
        <f t="shared" si="263"/>
        <v>#N/A</v>
      </c>
      <c r="BV205" t="e">
        <f t="shared" si="264"/>
        <v>#N/A</v>
      </c>
      <c r="BW205" t="e">
        <f t="shared" si="265"/>
        <v>#N/A</v>
      </c>
      <c r="BX205" t="e">
        <f t="shared" si="266"/>
        <v>#N/A</v>
      </c>
      <c r="BY205" t="e">
        <f t="shared" si="267"/>
        <v>#N/A</v>
      </c>
      <c r="BZ205" t="e">
        <f t="shared" si="268"/>
        <v>#N/A</v>
      </c>
      <c r="CA205" t="e">
        <f t="shared" si="269"/>
        <v>#N/A</v>
      </c>
      <c r="CB205" t="e">
        <f t="shared" si="270"/>
        <v>#N/A</v>
      </c>
      <c r="CC205" t="e">
        <f t="shared" si="271"/>
        <v>#N/A</v>
      </c>
      <c r="CD205" t="e">
        <f t="shared" si="272"/>
        <v>#N/A</v>
      </c>
      <c r="CE205" t="e">
        <f t="shared" si="273"/>
        <v>#N/A</v>
      </c>
      <c r="CF205" t="e">
        <f t="shared" si="274"/>
        <v>#N/A</v>
      </c>
      <c r="CG205" t="e">
        <f t="shared" si="275"/>
        <v>#N/A</v>
      </c>
      <c r="CI205" t="e">
        <f>AL73</f>
        <v>#N/A</v>
      </c>
      <c r="CJ205" t="e">
        <f>AM73</f>
        <v>#N/A</v>
      </c>
      <c r="CK205">
        <f>IF(ISNUMBER(CI205),IFERROR(MAX(0,AN73-CI205),0),0)</f>
        <v>0</v>
      </c>
      <c r="CL205">
        <f>IF(ISNUMBER(CI205),IFERROR(MAX(0,CI205-AN73),0),0)</f>
        <v>0</v>
      </c>
      <c r="CM205">
        <f>IF(ISNUMBER(CJ205),IFERROR(MAX(0,AO73-CJ205),0),0)</f>
        <v>0</v>
      </c>
      <c r="CN205">
        <f>IF(ISNUMBER(CJ205),IFERROR(MAX(0,CJ205-AO73),0),0)</f>
        <v>0</v>
      </c>
      <c r="CP205" t="e">
        <f>BT73</f>
        <v>#N/A</v>
      </c>
      <c r="CQ205" t="e">
        <f>BU73</f>
        <v>#N/A</v>
      </c>
      <c r="CR205">
        <f>IF(ISNUMBER(CP205),IFERROR(MAX(0,BV73-CP205),0),0)</f>
        <v>0</v>
      </c>
      <c r="CS205">
        <f>IF(ISNUMBER(CP205),IFERROR(MAX(0,CP205-BV73),0),0)</f>
        <v>0</v>
      </c>
      <c r="CT205">
        <f>IF(ISNUMBER(CQ205),IFERROR(MAX(0,BW73-CQ205),0),0)</f>
        <v>0</v>
      </c>
      <c r="CU205">
        <f>IF(ISNUMBER(CQ205),IFERROR(MAX(0,CQ205-BW73),0),0)</f>
        <v>0</v>
      </c>
    </row>
    <row r="206" spans="21:99" x14ac:dyDescent="0.3">
      <c r="U206">
        <v>200</v>
      </c>
      <c r="V206">
        <f t="shared" si="220"/>
        <v>50</v>
      </c>
      <c r="W206">
        <f t="shared" si="221"/>
        <v>4</v>
      </c>
      <c r="X206">
        <f t="shared" si="222"/>
        <v>0</v>
      </c>
      <c r="Y206">
        <f>IF(X206&lt;&gt;1,9999,CHOOSE(W206,INDEX(Gantt!$BQ$7:$BQ$119,V206),INDEX(Gantt!$BR$7:$BR$119,V206),INDEX(Gantt!$BT$7:$BT$119,V206),INDEX(Gantt!$BU$7:$BU$119,V206)))</f>
        <v>9999</v>
      </c>
      <c r="Z206">
        <f t="shared" si="223"/>
        <v>0</v>
      </c>
      <c r="AA206" t="e">
        <f t="shared" si="224"/>
        <v>#N/A</v>
      </c>
      <c r="AB206" t="e">
        <f t="shared" si="225"/>
        <v>#N/A</v>
      </c>
      <c r="AC206" t="e">
        <f t="shared" si="226"/>
        <v>#N/A</v>
      </c>
      <c r="AD206" t="e">
        <f t="shared" si="227"/>
        <v>#N/A</v>
      </c>
      <c r="AE206" t="e">
        <f t="shared" si="228"/>
        <v>#N/A</v>
      </c>
      <c r="AF206" t="e">
        <f t="shared" si="229"/>
        <v>#N/A</v>
      </c>
      <c r="AG206" t="e">
        <f t="shared" si="230"/>
        <v>#N/A</v>
      </c>
      <c r="AH206" t="e">
        <f t="shared" si="231"/>
        <v>#N/A</v>
      </c>
      <c r="AI206" t="e">
        <f t="shared" si="232"/>
        <v>#N/A</v>
      </c>
      <c r="AJ206" t="e">
        <f t="shared" si="233"/>
        <v>#N/A</v>
      </c>
      <c r="AK206" t="e">
        <f t="shared" si="234"/>
        <v>#N/A</v>
      </c>
      <c r="AL206" t="e">
        <f t="shared" si="235"/>
        <v>#N/A</v>
      </c>
      <c r="AM206" t="e">
        <f t="shared" si="236"/>
        <v>#N/A</v>
      </c>
      <c r="AN206" t="e">
        <f t="shared" si="237"/>
        <v>#N/A</v>
      </c>
      <c r="AO206" t="e">
        <f t="shared" si="238"/>
        <v>#N/A</v>
      </c>
      <c r="AP206" t="e">
        <f t="shared" si="239"/>
        <v>#N/A</v>
      </c>
      <c r="AQ206" t="e">
        <f t="shared" si="240"/>
        <v>#N/A</v>
      </c>
      <c r="AR206" t="e">
        <f t="shared" si="241"/>
        <v>#N/A</v>
      </c>
      <c r="AS206" t="e">
        <f t="shared" si="242"/>
        <v>#N/A</v>
      </c>
      <c r="AT206" t="e">
        <f t="shared" si="243"/>
        <v>#N/A</v>
      </c>
      <c r="AU206" t="e">
        <f t="shared" si="244"/>
        <v>#N/A</v>
      </c>
      <c r="AV206" t="e">
        <f t="shared" si="245"/>
        <v>#N/A</v>
      </c>
      <c r="AW206" t="e">
        <f t="shared" si="246"/>
        <v>#N/A</v>
      </c>
      <c r="AX206" t="e">
        <f t="shared" si="247"/>
        <v>#N/A</v>
      </c>
      <c r="AY206" t="e">
        <f t="shared" si="248"/>
        <v>#N/A</v>
      </c>
      <c r="BE206" t="e">
        <f>IF(Z206=1,IF(INDEX($C$7:$C$126,V206)&gt;=Gantt!$BF$6,NA(),MATCH(INDEX($C$7:$C$126,V206),Gantt!$J$6:$BE$6,1)),NA())</f>
        <v>#N/A</v>
      </c>
      <c r="BF206" t="e">
        <f>IF(Z206=1,IF((INDEX($D$7:$D$126,AA206)-1)&gt;=Gantt!$BF$6,NA(),IF((INDEX($D$7:$D$126,AA206)-1)&lt;Gantt!$J$6,0,MATCH((INDEX($D$7:$D$126,AA206)-1),Gantt!$J$6:$BE$6,1))),NA())</f>
        <v>#N/A</v>
      </c>
      <c r="BG206" t="e">
        <f t="shared" si="249"/>
        <v>#N/A</v>
      </c>
      <c r="BH206" t="e">
        <f t="shared" si="250"/>
        <v>#N/A</v>
      </c>
      <c r="BI206" t="e">
        <f t="shared" si="251"/>
        <v>#N/A</v>
      </c>
      <c r="BJ206" t="e">
        <f t="shared" si="252"/>
        <v>#N/A</v>
      </c>
      <c r="BK206" t="e">
        <f t="shared" si="253"/>
        <v>#N/A</v>
      </c>
      <c r="BL206" t="e">
        <f t="shared" si="254"/>
        <v>#N/A</v>
      </c>
      <c r="BM206" t="e">
        <f t="shared" si="255"/>
        <v>#N/A</v>
      </c>
      <c r="BN206" t="e">
        <f t="shared" si="256"/>
        <v>#N/A</v>
      </c>
      <c r="BO206" t="e">
        <f t="shared" si="257"/>
        <v>#N/A</v>
      </c>
      <c r="BP206" t="e">
        <f t="shared" si="258"/>
        <v>#N/A</v>
      </c>
      <c r="BQ206" t="e">
        <f t="shared" si="259"/>
        <v>#N/A</v>
      </c>
      <c r="BR206" t="e">
        <f t="shared" si="260"/>
        <v>#N/A</v>
      </c>
      <c r="BS206" t="e">
        <f t="shared" si="261"/>
        <v>#N/A</v>
      </c>
      <c r="BT206" t="e">
        <f t="shared" si="262"/>
        <v>#N/A</v>
      </c>
      <c r="BU206" t="e">
        <f t="shared" si="263"/>
        <v>#N/A</v>
      </c>
      <c r="BV206" t="e">
        <f t="shared" si="264"/>
        <v>#N/A</v>
      </c>
      <c r="BW206" t="e">
        <f t="shared" si="265"/>
        <v>#N/A</v>
      </c>
      <c r="BX206" t="e">
        <f t="shared" si="266"/>
        <v>#N/A</v>
      </c>
      <c r="BY206" t="e">
        <f t="shared" si="267"/>
        <v>#N/A</v>
      </c>
      <c r="BZ206" t="e">
        <f t="shared" si="268"/>
        <v>#N/A</v>
      </c>
      <c r="CA206" t="e">
        <f t="shared" si="269"/>
        <v>#N/A</v>
      </c>
      <c r="CB206" t="e">
        <f t="shared" si="270"/>
        <v>#N/A</v>
      </c>
      <c r="CC206" t="e">
        <f t="shared" si="271"/>
        <v>#N/A</v>
      </c>
      <c r="CD206" t="e">
        <f t="shared" si="272"/>
        <v>#N/A</v>
      </c>
      <c r="CE206" t="e">
        <f t="shared" si="273"/>
        <v>#N/A</v>
      </c>
      <c r="CF206" t="e">
        <f t="shared" si="274"/>
        <v>#N/A</v>
      </c>
      <c r="CG206" t="e">
        <f t="shared" si="275"/>
        <v>#N/A</v>
      </c>
      <c r="CI206" t="e">
        <f>AP73</f>
        <v>#N/A</v>
      </c>
      <c r="CJ206" t="e">
        <f>AQ73</f>
        <v>#N/A</v>
      </c>
      <c r="CK206">
        <f>IF(ISNUMBER(CI206),IFERROR(MAX(0,AR73-CI206),0),0)</f>
        <v>0</v>
      </c>
      <c r="CL206">
        <f>IF(ISNUMBER(CI206),IFERROR(MAX(0,CI206-AR73),0),0)</f>
        <v>0</v>
      </c>
      <c r="CM206">
        <f>IF(ISNUMBER(CJ206),IFERROR(MAX(0,AS73-CJ206),0),0)</f>
        <v>0</v>
      </c>
      <c r="CN206">
        <f>IF(ISNUMBER(CJ206),IFERROR(MAX(0,CJ206-AS73),0),0)</f>
        <v>0</v>
      </c>
      <c r="CP206" t="e">
        <f>BX73</f>
        <v>#N/A</v>
      </c>
      <c r="CQ206" t="e">
        <f>BY73</f>
        <v>#N/A</v>
      </c>
      <c r="CR206">
        <f>IF(ISNUMBER(CP206),IFERROR(MAX(0,BZ73-CP206),0),0)</f>
        <v>0</v>
      </c>
      <c r="CS206">
        <f>IF(ISNUMBER(CP206),IFERROR(MAX(0,CP206-BZ73),0),0)</f>
        <v>0</v>
      </c>
      <c r="CT206">
        <f>IF(ISNUMBER(CQ206),IFERROR(MAX(0,CA73-CQ206),0),0)</f>
        <v>0</v>
      </c>
      <c r="CU206">
        <f>IF(ISNUMBER(CQ206),IFERROR(MAX(0,CQ206-CA73),0),0)</f>
        <v>0</v>
      </c>
    </row>
    <row r="207" spans="21:99" x14ac:dyDescent="0.3">
      <c r="U207">
        <v>201</v>
      </c>
      <c r="V207">
        <f t="shared" si="220"/>
        <v>51</v>
      </c>
      <c r="W207">
        <f t="shared" si="221"/>
        <v>1</v>
      </c>
      <c r="X207">
        <f t="shared" si="222"/>
        <v>0</v>
      </c>
      <c r="Y207">
        <f>IF(X207&lt;&gt;1,9999,CHOOSE(W207,INDEX(Gantt!$BQ$7:$BQ$119,V207),INDEX(Gantt!$BR$7:$BR$119,V207),INDEX(Gantt!$BT$7:$BT$119,V207),INDEX(Gantt!$BU$7:$BU$119,V207)))</f>
        <v>9999</v>
      </c>
      <c r="Z207">
        <f t="shared" si="223"/>
        <v>0</v>
      </c>
      <c r="AA207" t="e">
        <f t="shared" si="224"/>
        <v>#N/A</v>
      </c>
      <c r="AB207" t="e">
        <f t="shared" si="225"/>
        <v>#N/A</v>
      </c>
      <c r="AC207" t="e">
        <f t="shared" si="226"/>
        <v>#N/A</v>
      </c>
      <c r="AD207" t="e">
        <f t="shared" si="227"/>
        <v>#N/A</v>
      </c>
      <c r="AE207" t="e">
        <f t="shared" si="228"/>
        <v>#N/A</v>
      </c>
      <c r="AF207" t="e">
        <f t="shared" si="229"/>
        <v>#N/A</v>
      </c>
      <c r="AG207" t="e">
        <f t="shared" si="230"/>
        <v>#N/A</v>
      </c>
      <c r="AH207" t="e">
        <f t="shared" si="231"/>
        <v>#N/A</v>
      </c>
      <c r="AI207" t="e">
        <f t="shared" si="232"/>
        <v>#N/A</v>
      </c>
      <c r="AJ207" t="e">
        <f t="shared" si="233"/>
        <v>#N/A</v>
      </c>
      <c r="AK207" t="e">
        <f t="shared" si="234"/>
        <v>#N/A</v>
      </c>
      <c r="AL207" t="e">
        <f t="shared" si="235"/>
        <v>#N/A</v>
      </c>
      <c r="AM207" t="e">
        <f t="shared" si="236"/>
        <v>#N/A</v>
      </c>
      <c r="AN207" t="e">
        <f t="shared" si="237"/>
        <v>#N/A</v>
      </c>
      <c r="AO207" t="e">
        <f t="shared" si="238"/>
        <v>#N/A</v>
      </c>
      <c r="AP207" t="e">
        <f t="shared" si="239"/>
        <v>#N/A</v>
      </c>
      <c r="AQ207" t="e">
        <f t="shared" si="240"/>
        <v>#N/A</v>
      </c>
      <c r="AR207" t="e">
        <f t="shared" si="241"/>
        <v>#N/A</v>
      </c>
      <c r="AS207" t="e">
        <f t="shared" si="242"/>
        <v>#N/A</v>
      </c>
      <c r="AT207" t="e">
        <f t="shared" si="243"/>
        <v>#N/A</v>
      </c>
      <c r="AU207" t="e">
        <f t="shared" si="244"/>
        <v>#N/A</v>
      </c>
      <c r="AV207" t="e">
        <f t="shared" si="245"/>
        <v>#N/A</v>
      </c>
      <c r="AW207" t="e">
        <f t="shared" si="246"/>
        <v>#N/A</v>
      </c>
      <c r="AX207" t="e">
        <f t="shared" si="247"/>
        <v>#N/A</v>
      </c>
      <c r="AY207" t="e">
        <f t="shared" si="248"/>
        <v>#N/A</v>
      </c>
      <c r="BE207" t="e">
        <f>IF(Z207=1,IF(INDEX($C$7:$C$126,V207)&gt;=Gantt!$BF$6,NA(),MATCH(INDEX($C$7:$C$126,V207),Gantt!$J$6:$BE$6,1)),NA())</f>
        <v>#N/A</v>
      </c>
      <c r="BF207" t="e">
        <f>IF(Z207=1,IF((INDEX($D$7:$D$126,AA207)-1)&gt;=Gantt!$BF$6,NA(),IF((INDEX($D$7:$D$126,AA207)-1)&lt;Gantt!$J$6,0,MATCH((INDEX($D$7:$D$126,AA207)-1),Gantt!$J$6:$BE$6,1))),NA())</f>
        <v>#N/A</v>
      </c>
      <c r="BG207" t="e">
        <f t="shared" si="249"/>
        <v>#N/A</v>
      </c>
      <c r="BH207" t="e">
        <f t="shared" si="250"/>
        <v>#N/A</v>
      </c>
      <c r="BI207" t="e">
        <f t="shared" si="251"/>
        <v>#N/A</v>
      </c>
      <c r="BJ207" t="e">
        <f t="shared" si="252"/>
        <v>#N/A</v>
      </c>
      <c r="BK207" t="e">
        <f t="shared" si="253"/>
        <v>#N/A</v>
      </c>
      <c r="BL207" t="e">
        <f t="shared" si="254"/>
        <v>#N/A</v>
      </c>
      <c r="BM207" t="e">
        <f t="shared" si="255"/>
        <v>#N/A</v>
      </c>
      <c r="BN207" t="e">
        <f t="shared" si="256"/>
        <v>#N/A</v>
      </c>
      <c r="BO207" t="e">
        <f t="shared" si="257"/>
        <v>#N/A</v>
      </c>
      <c r="BP207" t="e">
        <f t="shared" si="258"/>
        <v>#N/A</v>
      </c>
      <c r="BQ207" t="e">
        <f t="shared" si="259"/>
        <v>#N/A</v>
      </c>
      <c r="BR207" t="e">
        <f t="shared" si="260"/>
        <v>#N/A</v>
      </c>
      <c r="BS207" t="e">
        <f t="shared" si="261"/>
        <v>#N/A</v>
      </c>
      <c r="BT207" t="e">
        <f t="shared" si="262"/>
        <v>#N/A</v>
      </c>
      <c r="BU207" t="e">
        <f t="shared" si="263"/>
        <v>#N/A</v>
      </c>
      <c r="BV207" t="e">
        <f t="shared" si="264"/>
        <v>#N/A</v>
      </c>
      <c r="BW207" t="e">
        <f t="shared" si="265"/>
        <v>#N/A</v>
      </c>
      <c r="BX207" t="e">
        <f t="shared" si="266"/>
        <v>#N/A</v>
      </c>
      <c r="BY207" t="e">
        <f t="shared" si="267"/>
        <v>#N/A</v>
      </c>
      <c r="BZ207" t="e">
        <f t="shared" si="268"/>
        <v>#N/A</v>
      </c>
      <c r="CA207" t="e">
        <f t="shared" si="269"/>
        <v>#N/A</v>
      </c>
      <c r="CB207" t="e">
        <f t="shared" si="270"/>
        <v>#N/A</v>
      </c>
      <c r="CC207" t="e">
        <f t="shared" si="271"/>
        <v>#N/A</v>
      </c>
      <c r="CD207" t="e">
        <f t="shared" si="272"/>
        <v>#N/A</v>
      </c>
      <c r="CE207" t="e">
        <f t="shared" si="273"/>
        <v>#N/A</v>
      </c>
      <c r="CF207" t="e">
        <f t="shared" si="274"/>
        <v>#N/A</v>
      </c>
      <c r="CG207" t="e">
        <f t="shared" si="275"/>
        <v>#N/A</v>
      </c>
      <c r="CI207" t="e">
        <f>AT73</f>
        <v>#N/A</v>
      </c>
      <c r="CJ207" t="e">
        <f>AU73</f>
        <v>#N/A</v>
      </c>
      <c r="CK207">
        <f>IF(ISNUMBER(CI207),IFERROR(MAX(0,AV73-CI207),0),0)</f>
        <v>0</v>
      </c>
      <c r="CL207">
        <f>IF(ISNUMBER(CI207),IFERROR(MAX(0,CI207-AV73),0),0)</f>
        <v>0</v>
      </c>
      <c r="CM207">
        <f>IF(ISNUMBER(CJ207),IFERROR(MAX(0,AW73-CJ207),0),0)</f>
        <v>0</v>
      </c>
      <c r="CN207">
        <f>IF(ISNUMBER(CJ207),IFERROR(MAX(0,CJ207-AW73),0),0)</f>
        <v>0</v>
      </c>
      <c r="CP207" t="e">
        <f>CB73</f>
        <v>#N/A</v>
      </c>
      <c r="CQ207" t="e">
        <f>CC73</f>
        <v>#N/A</v>
      </c>
      <c r="CR207">
        <f>IF(ISNUMBER(CP207),IFERROR(MAX(0,CD73-CP207),0),0)</f>
        <v>0</v>
      </c>
      <c r="CS207">
        <f>IF(ISNUMBER(CP207),IFERROR(MAX(0,CP207-CD73),0),0)</f>
        <v>0</v>
      </c>
      <c r="CT207">
        <f>IF(ISNUMBER(CQ207),IFERROR(MAX(0,CE73-CQ207),0),0)</f>
        <v>0</v>
      </c>
      <c r="CU207">
        <f>IF(ISNUMBER(CQ207),IFERROR(MAX(0,CQ207-CE73),0),0)</f>
        <v>0</v>
      </c>
    </row>
    <row r="208" spans="21:99" x14ac:dyDescent="0.3">
      <c r="U208">
        <v>202</v>
      </c>
      <c r="V208">
        <f t="shared" si="220"/>
        <v>51</v>
      </c>
      <c r="W208">
        <f t="shared" si="221"/>
        <v>2</v>
      </c>
      <c r="X208">
        <f t="shared" si="222"/>
        <v>0</v>
      </c>
      <c r="Y208">
        <f>IF(X208&lt;&gt;1,9999,CHOOSE(W208,INDEX(Gantt!$BQ$7:$BQ$119,V208),INDEX(Gantt!$BR$7:$BR$119,V208),INDEX(Gantt!$BT$7:$BT$119,V208),INDEX(Gantt!$BU$7:$BU$119,V208)))</f>
        <v>9999</v>
      </c>
      <c r="Z208">
        <f t="shared" si="223"/>
        <v>0</v>
      </c>
      <c r="AA208" t="e">
        <f t="shared" si="224"/>
        <v>#N/A</v>
      </c>
      <c r="AB208" t="e">
        <f t="shared" si="225"/>
        <v>#N/A</v>
      </c>
      <c r="AC208" t="e">
        <f t="shared" si="226"/>
        <v>#N/A</v>
      </c>
      <c r="AD208" t="e">
        <f t="shared" si="227"/>
        <v>#N/A</v>
      </c>
      <c r="AE208" t="e">
        <f t="shared" si="228"/>
        <v>#N/A</v>
      </c>
      <c r="AF208" t="e">
        <f t="shared" si="229"/>
        <v>#N/A</v>
      </c>
      <c r="AG208" t="e">
        <f t="shared" si="230"/>
        <v>#N/A</v>
      </c>
      <c r="AH208" t="e">
        <f t="shared" si="231"/>
        <v>#N/A</v>
      </c>
      <c r="AI208" t="e">
        <f t="shared" si="232"/>
        <v>#N/A</v>
      </c>
      <c r="AJ208" t="e">
        <f t="shared" si="233"/>
        <v>#N/A</v>
      </c>
      <c r="AK208" t="e">
        <f t="shared" si="234"/>
        <v>#N/A</v>
      </c>
      <c r="AL208" t="e">
        <f t="shared" si="235"/>
        <v>#N/A</v>
      </c>
      <c r="AM208" t="e">
        <f t="shared" si="236"/>
        <v>#N/A</v>
      </c>
      <c r="AN208" t="e">
        <f t="shared" si="237"/>
        <v>#N/A</v>
      </c>
      <c r="AO208" t="e">
        <f t="shared" si="238"/>
        <v>#N/A</v>
      </c>
      <c r="AP208" t="e">
        <f t="shared" si="239"/>
        <v>#N/A</v>
      </c>
      <c r="AQ208" t="e">
        <f t="shared" si="240"/>
        <v>#N/A</v>
      </c>
      <c r="AR208" t="e">
        <f t="shared" si="241"/>
        <v>#N/A</v>
      </c>
      <c r="AS208" t="e">
        <f t="shared" si="242"/>
        <v>#N/A</v>
      </c>
      <c r="AT208" t="e">
        <f t="shared" si="243"/>
        <v>#N/A</v>
      </c>
      <c r="AU208" t="e">
        <f t="shared" si="244"/>
        <v>#N/A</v>
      </c>
      <c r="AV208" t="e">
        <f t="shared" si="245"/>
        <v>#N/A</v>
      </c>
      <c r="AW208" t="e">
        <f t="shared" si="246"/>
        <v>#N/A</v>
      </c>
      <c r="AX208" t="e">
        <f t="shared" si="247"/>
        <v>#N/A</v>
      </c>
      <c r="AY208" t="e">
        <f t="shared" si="248"/>
        <v>#N/A</v>
      </c>
      <c r="BE208" t="e">
        <f>IF(Z208=1,IF(INDEX($C$7:$C$126,V208)&gt;=Gantt!$BF$6,NA(),MATCH(INDEX($C$7:$C$126,V208),Gantt!$J$6:$BE$6,1)),NA())</f>
        <v>#N/A</v>
      </c>
      <c r="BF208" t="e">
        <f>IF(Z208=1,IF((INDEX($D$7:$D$126,AA208)-1)&gt;=Gantt!$BF$6,NA(),IF((INDEX($D$7:$D$126,AA208)-1)&lt;Gantt!$J$6,0,MATCH((INDEX($D$7:$D$126,AA208)-1),Gantt!$J$6:$BE$6,1))),NA())</f>
        <v>#N/A</v>
      </c>
      <c r="BG208" t="e">
        <f t="shared" si="249"/>
        <v>#N/A</v>
      </c>
      <c r="BH208" t="e">
        <f t="shared" si="250"/>
        <v>#N/A</v>
      </c>
      <c r="BI208" t="e">
        <f t="shared" si="251"/>
        <v>#N/A</v>
      </c>
      <c r="BJ208" t="e">
        <f t="shared" si="252"/>
        <v>#N/A</v>
      </c>
      <c r="BK208" t="e">
        <f t="shared" si="253"/>
        <v>#N/A</v>
      </c>
      <c r="BL208" t="e">
        <f t="shared" si="254"/>
        <v>#N/A</v>
      </c>
      <c r="BM208" t="e">
        <f t="shared" si="255"/>
        <v>#N/A</v>
      </c>
      <c r="BN208" t="e">
        <f t="shared" si="256"/>
        <v>#N/A</v>
      </c>
      <c r="BO208" t="e">
        <f t="shared" si="257"/>
        <v>#N/A</v>
      </c>
      <c r="BP208" t="e">
        <f t="shared" si="258"/>
        <v>#N/A</v>
      </c>
      <c r="BQ208" t="e">
        <f t="shared" si="259"/>
        <v>#N/A</v>
      </c>
      <c r="BR208" t="e">
        <f t="shared" si="260"/>
        <v>#N/A</v>
      </c>
      <c r="BS208" t="e">
        <f t="shared" si="261"/>
        <v>#N/A</v>
      </c>
      <c r="BT208" t="e">
        <f t="shared" si="262"/>
        <v>#N/A</v>
      </c>
      <c r="BU208" t="e">
        <f t="shared" si="263"/>
        <v>#N/A</v>
      </c>
      <c r="BV208" t="e">
        <f t="shared" si="264"/>
        <v>#N/A</v>
      </c>
      <c r="BW208" t="e">
        <f t="shared" si="265"/>
        <v>#N/A</v>
      </c>
      <c r="BX208" t="e">
        <f t="shared" si="266"/>
        <v>#N/A</v>
      </c>
      <c r="BY208" t="e">
        <f t="shared" si="267"/>
        <v>#N/A</v>
      </c>
      <c r="BZ208" t="e">
        <f t="shared" si="268"/>
        <v>#N/A</v>
      </c>
      <c r="CA208" t="e">
        <f t="shared" si="269"/>
        <v>#N/A</v>
      </c>
      <c r="CB208" t="e">
        <f t="shared" si="270"/>
        <v>#N/A</v>
      </c>
      <c r="CC208" t="e">
        <f t="shared" si="271"/>
        <v>#N/A</v>
      </c>
      <c r="CD208" t="e">
        <f t="shared" si="272"/>
        <v>#N/A</v>
      </c>
      <c r="CE208" t="e">
        <f t="shared" si="273"/>
        <v>#N/A</v>
      </c>
      <c r="CF208" t="e">
        <f t="shared" si="274"/>
        <v>#N/A</v>
      </c>
      <c r="CG208" t="e">
        <f t="shared" si="275"/>
        <v>#N/A</v>
      </c>
      <c r="CI208" t="e">
        <f>AL74</f>
        <v>#N/A</v>
      </c>
      <c r="CJ208" t="e">
        <f>AM74</f>
        <v>#N/A</v>
      </c>
      <c r="CK208">
        <f>IF(ISNUMBER(CI208),IFERROR(MAX(0,AN74-CI208),0),0)</f>
        <v>0</v>
      </c>
      <c r="CL208">
        <f>IF(ISNUMBER(CI208),IFERROR(MAX(0,CI208-AN74),0),0)</f>
        <v>0</v>
      </c>
      <c r="CM208">
        <f>IF(ISNUMBER(CJ208),IFERROR(MAX(0,AO74-CJ208),0),0)</f>
        <v>0</v>
      </c>
      <c r="CN208">
        <f>IF(ISNUMBER(CJ208),IFERROR(MAX(0,CJ208-AO74),0),0)</f>
        <v>0</v>
      </c>
      <c r="CP208" t="e">
        <f>BT74</f>
        <v>#N/A</v>
      </c>
      <c r="CQ208" t="e">
        <f>BU74</f>
        <v>#N/A</v>
      </c>
      <c r="CR208">
        <f>IF(ISNUMBER(CP208),IFERROR(MAX(0,BV74-CP208),0),0)</f>
        <v>0</v>
      </c>
      <c r="CS208">
        <f>IF(ISNUMBER(CP208),IFERROR(MAX(0,CP208-BV74),0),0)</f>
        <v>0</v>
      </c>
      <c r="CT208">
        <f>IF(ISNUMBER(CQ208),IFERROR(MAX(0,BW74-CQ208),0),0)</f>
        <v>0</v>
      </c>
      <c r="CU208">
        <f>IF(ISNUMBER(CQ208),IFERROR(MAX(0,CQ208-BW74),0),0)</f>
        <v>0</v>
      </c>
    </row>
    <row r="209" spans="21:99" x14ac:dyDescent="0.3">
      <c r="U209">
        <v>203</v>
      </c>
      <c r="V209">
        <f t="shared" si="220"/>
        <v>51</v>
      </c>
      <c r="W209">
        <f t="shared" si="221"/>
        <v>3</v>
      </c>
      <c r="X209">
        <f t="shared" si="222"/>
        <v>0</v>
      </c>
      <c r="Y209">
        <f>IF(X209&lt;&gt;1,9999,CHOOSE(W209,INDEX(Gantt!$BQ$7:$BQ$119,V209),INDEX(Gantt!$BR$7:$BR$119,V209),INDEX(Gantt!$BT$7:$BT$119,V209),INDEX(Gantt!$BU$7:$BU$119,V209)))</f>
        <v>9999</v>
      </c>
      <c r="Z209">
        <f t="shared" si="223"/>
        <v>0</v>
      </c>
      <c r="AA209" t="e">
        <f t="shared" si="224"/>
        <v>#N/A</v>
      </c>
      <c r="AB209" t="e">
        <f t="shared" si="225"/>
        <v>#N/A</v>
      </c>
      <c r="AC209" t="e">
        <f t="shared" si="226"/>
        <v>#N/A</v>
      </c>
      <c r="AD209" t="e">
        <f t="shared" si="227"/>
        <v>#N/A</v>
      </c>
      <c r="AE209" t="e">
        <f t="shared" si="228"/>
        <v>#N/A</v>
      </c>
      <c r="AF209" t="e">
        <f t="shared" si="229"/>
        <v>#N/A</v>
      </c>
      <c r="AG209" t="e">
        <f t="shared" si="230"/>
        <v>#N/A</v>
      </c>
      <c r="AH209" t="e">
        <f t="shared" si="231"/>
        <v>#N/A</v>
      </c>
      <c r="AI209" t="e">
        <f t="shared" si="232"/>
        <v>#N/A</v>
      </c>
      <c r="AJ209" t="e">
        <f t="shared" si="233"/>
        <v>#N/A</v>
      </c>
      <c r="AK209" t="e">
        <f t="shared" si="234"/>
        <v>#N/A</v>
      </c>
      <c r="AL209" t="e">
        <f t="shared" si="235"/>
        <v>#N/A</v>
      </c>
      <c r="AM209" t="e">
        <f t="shared" si="236"/>
        <v>#N/A</v>
      </c>
      <c r="AN209" t="e">
        <f t="shared" si="237"/>
        <v>#N/A</v>
      </c>
      <c r="AO209" t="e">
        <f t="shared" si="238"/>
        <v>#N/A</v>
      </c>
      <c r="AP209" t="e">
        <f t="shared" si="239"/>
        <v>#N/A</v>
      </c>
      <c r="AQ209" t="e">
        <f t="shared" si="240"/>
        <v>#N/A</v>
      </c>
      <c r="AR209" t="e">
        <f t="shared" si="241"/>
        <v>#N/A</v>
      </c>
      <c r="AS209" t="e">
        <f t="shared" si="242"/>
        <v>#N/A</v>
      </c>
      <c r="AT209" t="e">
        <f t="shared" si="243"/>
        <v>#N/A</v>
      </c>
      <c r="AU209" t="e">
        <f t="shared" si="244"/>
        <v>#N/A</v>
      </c>
      <c r="AV209" t="e">
        <f t="shared" si="245"/>
        <v>#N/A</v>
      </c>
      <c r="AW209" t="e">
        <f t="shared" si="246"/>
        <v>#N/A</v>
      </c>
      <c r="AX209" t="e">
        <f t="shared" si="247"/>
        <v>#N/A</v>
      </c>
      <c r="AY209" t="e">
        <f t="shared" si="248"/>
        <v>#N/A</v>
      </c>
      <c r="BE209" t="e">
        <f>IF(Z209=1,IF(INDEX($C$7:$C$126,V209)&gt;=Gantt!$BF$6,NA(),MATCH(INDEX($C$7:$C$126,V209),Gantt!$J$6:$BE$6,1)),NA())</f>
        <v>#N/A</v>
      </c>
      <c r="BF209" t="e">
        <f>IF(Z209=1,IF((INDEX($D$7:$D$126,AA209)-1)&gt;=Gantt!$BF$6,NA(),IF((INDEX($D$7:$D$126,AA209)-1)&lt;Gantt!$J$6,0,MATCH((INDEX($D$7:$D$126,AA209)-1),Gantt!$J$6:$BE$6,1))),NA())</f>
        <v>#N/A</v>
      </c>
      <c r="BG209" t="e">
        <f t="shared" si="249"/>
        <v>#N/A</v>
      </c>
      <c r="BH209" t="e">
        <f t="shared" si="250"/>
        <v>#N/A</v>
      </c>
      <c r="BI209" t="e">
        <f t="shared" si="251"/>
        <v>#N/A</v>
      </c>
      <c r="BJ209" t="e">
        <f t="shared" si="252"/>
        <v>#N/A</v>
      </c>
      <c r="BK209" t="e">
        <f t="shared" si="253"/>
        <v>#N/A</v>
      </c>
      <c r="BL209" t="e">
        <f t="shared" si="254"/>
        <v>#N/A</v>
      </c>
      <c r="BM209" t="e">
        <f t="shared" si="255"/>
        <v>#N/A</v>
      </c>
      <c r="BN209" t="e">
        <f t="shared" si="256"/>
        <v>#N/A</v>
      </c>
      <c r="BO209" t="e">
        <f t="shared" si="257"/>
        <v>#N/A</v>
      </c>
      <c r="BP209" t="e">
        <f t="shared" si="258"/>
        <v>#N/A</v>
      </c>
      <c r="BQ209" t="e">
        <f t="shared" si="259"/>
        <v>#N/A</v>
      </c>
      <c r="BR209" t="e">
        <f t="shared" si="260"/>
        <v>#N/A</v>
      </c>
      <c r="BS209" t="e">
        <f t="shared" si="261"/>
        <v>#N/A</v>
      </c>
      <c r="BT209" t="e">
        <f t="shared" si="262"/>
        <v>#N/A</v>
      </c>
      <c r="BU209" t="e">
        <f t="shared" si="263"/>
        <v>#N/A</v>
      </c>
      <c r="BV209" t="e">
        <f t="shared" si="264"/>
        <v>#N/A</v>
      </c>
      <c r="BW209" t="e">
        <f t="shared" si="265"/>
        <v>#N/A</v>
      </c>
      <c r="BX209" t="e">
        <f t="shared" si="266"/>
        <v>#N/A</v>
      </c>
      <c r="BY209" t="e">
        <f t="shared" si="267"/>
        <v>#N/A</v>
      </c>
      <c r="BZ209" t="e">
        <f t="shared" si="268"/>
        <v>#N/A</v>
      </c>
      <c r="CA209" t="e">
        <f t="shared" si="269"/>
        <v>#N/A</v>
      </c>
      <c r="CB209" t="e">
        <f t="shared" si="270"/>
        <v>#N/A</v>
      </c>
      <c r="CC209" t="e">
        <f t="shared" si="271"/>
        <v>#N/A</v>
      </c>
      <c r="CD209" t="e">
        <f t="shared" si="272"/>
        <v>#N/A</v>
      </c>
      <c r="CE209" t="e">
        <f t="shared" si="273"/>
        <v>#N/A</v>
      </c>
      <c r="CF209" t="e">
        <f t="shared" si="274"/>
        <v>#N/A</v>
      </c>
      <c r="CG209" t="e">
        <f t="shared" si="275"/>
        <v>#N/A</v>
      </c>
      <c r="CI209" t="e">
        <f>AP74</f>
        <v>#N/A</v>
      </c>
      <c r="CJ209" t="e">
        <f>AQ74</f>
        <v>#N/A</v>
      </c>
      <c r="CK209">
        <f>IF(ISNUMBER(CI209),IFERROR(MAX(0,AR74-CI209),0),0)</f>
        <v>0</v>
      </c>
      <c r="CL209">
        <f>IF(ISNUMBER(CI209),IFERROR(MAX(0,CI209-AR74),0),0)</f>
        <v>0</v>
      </c>
      <c r="CM209">
        <f>IF(ISNUMBER(CJ209),IFERROR(MAX(0,AS74-CJ209),0),0)</f>
        <v>0</v>
      </c>
      <c r="CN209">
        <f>IF(ISNUMBER(CJ209),IFERROR(MAX(0,CJ209-AS74),0),0)</f>
        <v>0</v>
      </c>
      <c r="CP209" t="e">
        <f>BX74</f>
        <v>#N/A</v>
      </c>
      <c r="CQ209" t="e">
        <f>BY74</f>
        <v>#N/A</v>
      </c>
      <c r="CR209">
        <f>IF(ISNUMBER(CP209),IFERROR(MAX(0,BZ74-CP209),0),0)</f>
        <v>0</v>
      </c>
      <c r="CS209">
        <f>IF(ISNUMBER(CP209),IFERROR(MAX(0,CP209-BZ74),0),0)</f>
        <v>0</v>
      </c>
      <c r="CT209">
        <f>IF(ISNUMBER(CQ209),IFERROR(MAX(0,CA74-CQ209),0),0)</f>
        <v>0</v>
      </c>
      <c r="CU209">
        <f>IF(ISNUMBER(CQ209),IFERROR(MAX(0,CQ209-CA74),0),0)</f>
        <v>0</v>
      </c>
    </row>
    <row r="210" spans="21:99" x14ac:dyDescent="0.3">
      <c r="U210">
        <v>204</v>
      </c>
      <c r="V210">
        <f t="shared" si="220"/>
        <v>51</v>
      </c>
      <c r="W210">
        <f t="shared" si="221"/>
        <v>4</v>
      </c>
      <c r="X210">
        <f t="shared" si="222"/>
        <v>0</v>
      </c>
      <c r="Y210">
        <f>IF(X210&lt;&gt;1,9999,CHOOSE(W210,INDEX(Gantt!$BQ$7:$BQ$119,V210),INDEX(Gantt!$BR$7:$BR$119,V210),INDEX(Gantt!$BT$7:$BT$119,V210),INDEX(Gantt!$BU$7:$BU$119,V210)))</f>
        <v>9999</v>
      </c>
      <c r="Z210">
        <f t="shared" si="223"/>
        <v>0</v>
      </c>
      <c r="AA210" t="e">
        <f t="shared" si="224"/>
        <v>#N/A</v>
      </c>
      <c r="AB210" t="e">
        <f t="shared" si="225"/>
        <v>#N/A</v>
      </c>
      <c r="AC210" t="e">
        <f t="shared" si="226"/>
        <v>#N/A</v>
      </c>
      <c r="AD210" t="e">
        <f t="shared" si="227"/>
        <v>#N/A</v>
      </c>
      <c r="AE210" t="e">
        <f t="shared" si="228"/>
        <v>#N/A</v>
      </c>
      <c r="AF210" t="e">
        <f t="shared" si="229"/>
        <v>#N/A</v>
      </c>
      <c r="AG210" t="e">
        <f t="shared" si="230"/>
        <v>#N/A</v>
      </c>
      <c r="AH210" t="e">
        <f t="shared" si="231"/>
        <v>#N/A</v>
      </c>
      <c r="AI210" t="e">
        <f t="shared" si="232"/>
        <v>#N/A</v>
      </c>
      <c r="AJ210" t="e">
        <f t="shared" si="233"/>
        <v>#N/A</v>
      </c>
      <c r="AK210" t="e">
        <f t="shared" si="234"/>
        <v>#N/A</v>
      </c>
      <c r="AL210" t="e">
        <f t="shared" si="235"/>
        <v>#N/A</v>
      </c>
      <c r="AM210" t="e">
        <f t="shared" si="236"/>
        <v>#N/A</v>
      </c>
      <c r="AN210" t="e">
        <f t="shared" si="237"/>
        <v>#N/A</v>
      </c>
      <c r="AO210" t="e">
        <f t="shared" si="238"/>
        <v>#N/A</v>
      </c>
      <c r="AP210" t="e">
        <f t="shared" si="239"/>
        <v>#N/A</v>
      </c>
      <c r="AQ210" t="e">
        <f t="shared" si="240"/>
        <v>#N/A</v>
      </c>
      <c r="AR210" t="e">
        <f t="shared" si="241"/>
        <v>#N/A</v>
      </c>
      <c r="AS210" t="e">
        <f t="shared" si="242"/>
        <v>#N/A</v>
      </c>
      <c r="AT210" t="e">
        <f t="shared" si="243"/>
        <v>#N/A</v>
      </c>
      <c r="AU210" t="e">
        <f t="shared" si="244"/>
        <v>#N/A</v>
      </c>
      <c r="AV210" t="e">
        <f t="shared" si="245"/>
        <v>#N/A</v>
      </c>
      <c r="AW210" t="e">
        <f t="shared" si="246"/>
        <v>#N/A</v>
      </c>
      <c r="AX210" t="e">
        <f t="shared" si="247"/>
        <v>#N/A</v>
      </c>
      <c r="AY210" t="e">
        <f t="shared" si="248"/>
        <v>#N/A</v>
      </c>
      <c r="BE210" t="e">
        <f>IF(Z210=1,IF(INDEX($C$7:$C$126,V210)&gt;=Gantt!$BF$6,NA(),MATCH(INDEX($C$7:$C$126,V210),Gantt!$J$6:$BE$6,1)),NA())</f>
        <v>#N/A</v>
      </c>
      <c r="BF210" t="e">
        <f>IF(Z210=1,IF((INDEX($D$7:$D$126,AA210)-1)&gt;=Gantt!$BF$6,NA(),IF((INDEX($D$7:$D$126,AA210)-1)&lt;Gantt!$J$6,0,MATCH((INDEX($D$7:$D$126,AA210)-1),Gantt!$J$6:$BE$6,1))),NA())</f>
        <v>#N/A</v>
      </c>
      <c r="BG210" t="e">
        <f t="shared" si="249"/>
        <v>#N/A</v>
      </c>
      <c r="BH210" t="e">
        <f t="shared" si="250"/>
        <v>#N/A</v>
      </c>
      <c r="BI210" t="e">
        <f t="shared" si="251"/>
        <v>#N/A</v>
      </c>
      <c r="BJ210" t="e">
        <f t="shared" si="252"/>
        <v>#N/A</v>
      </c>
      <c r="BK210" t="e">
        <f t="shared" si="253"/>
        <v>#N/A</v>
      </c>
      <c r="BL210" t="e">
        <f t="shared" si="254"/>
        <v>#N/A</v>
      </c>
      <c r="BM210" t="e">
        <f t="shared" si="255"/>
        <v>#N/A</v>
      </c>
      <c r="BN210" t="e">
        <f t="shared" si="256"/>
        <v>#N/A</v>
      </c>
      <c r="BO210" t="e">
        <f t="shared" si="257"/>
        <v>#N/A</v>
      </c>
      <c r="BP210" t="e">
        <f t="shared" si="258"/>
        <v>#N/A</v>
      </c>
      <c r="BQ210" t="e">
        <f t="shared" si="259"/>
        <v>#N/A</v>
      </c>
      <c r="BR210" t="e">
        <f t="shared" si="260"/>
        <v>#N/A</v>
      </c>
      <c r="BS210" t="e">
        <f t="shared" si="261"/>
        <v>#N/A</v>
      </c>
      <c r="BT210" t="e">
        <f t="shared" si="262"/>
        <v>#N/A</v>
      </c>
      <c r="BU210" t="e">
        <f t="shared" si="263"/>
        <v>#N/A</v>
      </c>
      <c r="BV210" t="e">
        <f t="shared" si="264"/>
        <v>#N/A</v>
      </c>
      <c r="BW210" t="e">
        <f t="shared" si="265"/>
        <v>#N/A</v>
      </c>
      <c r="BX210" t="e">
        <f t="shared" si="266"/>
        <v>#N/A</v>
      </c>
      <c r="BY210" t="e">
        <f t="shared" si="267"/>
        <v>#N/A</v>
      </c>
      <c r="BZ210" t="e">
        <f t="shared" si="268"/>
        <v>#N/A</v>
      </c>
      <c r="CA210" t="e">
        <f t="shared" si="269"/>
        <v>#N/A</v>
      </c>
      <c r="CB210" t="e">
        <f t="shared" si="270"/>
        <v>#N/A</v>
      </c>
      <c r="CC210" t="e">
        <f t="shared" si="271"/>
        <v>#N/A</v>
      </c>
      <c r="CD210" t="e">
        <f t="shared" si="272"/>
        <v>#N/A</v>
      </c>
      <c r="CE210" t="e">
        <f t="shared" si="273"/>
        <v>#N/A</v>
      </c>
      <c r="CF210" t="e">
        <f t="shared" si="274"/>
        <v>#N/A</v>
      </c>
      <c r="CG210" t="e">
        <f t="shared" si="275"/>
        <v>#N/A</v>
      </c>
      <c r="CI210" t="e">
        <f>AT74</f>
        <v>#N/A</v>
      </c>
      <c r="CJ210" t="e">
        <f>AU74</f>
        <v>#N/A</v>
      </c>
      <c r="CK210">
        <f>IF(ISNUMBER(CI210),IFERROR(MAX(0,AV74-CI210),0),0)</f>
        <v>0</v>
      </c>
      <c r="CL210">
        <f>IF(ISNUMBER(CI210),IFERROR(MAX(0,CI210-AV74),0),0)</f>
        <v>0</v>
      </c>
      <c r="CM210">
        <f>IF(ISNUMBER(CJ210),IFERROR(MAX(0,AW74-CJ210),0),0)</f>
        <v>0</v>
      </c>
      <c r="CN210">
        <f>IF(ISNUMBER(CJ210),IFERROR(MAX(0,CJ210-AW74),0),0)</f>
        <v>0</v>
      </c>
      <c r="CP210" t="e">
        <f>CB74</f>
        <v>#N/A</v>
      </c>
      <c r="CQ210" t="e">
        <f>CC74</f>
        <v>#N/A</v>
      </c>
      <c r="CR210">
        <f>IF(ISNUMBER(CP210),IFERROR(MAX(0,CD74-CP210),0),0)</f>
        <v>0</v>
      </c>
      <c r="CS210">
        <f>IF(ISNUMBER(CP210),IFERROR(MAX(0,CP210-CD74),0),0)</f>
        <v>0</v>
      </c>
      <c r="CT210">
        <f>IF(ISNUMBER(CQ210),IFERROR(MAX(0,CE74-CQ210),0),0)</f>
        <v>0</v>
      </c>
      <c r="CU210">
        <f>IF(ISNUMBER(CQ210),IFERROR(MAX(0,CQ210-CE74),0),0)</f>
        <v>0</v>
      </c>
    </row>
    <row r="211" spans="21:99" x14ac:dyDescent="0.3">
      <c r="U211">
        <v>205</v>
      </c>
      <c r="V211">
        <f t="shared" si="220"/>
        <v>52</v>
      </c>
      <c r="W211">
        <f t="shared" si="221"/>
        <v>1</v>
      </c>
      <c r="X211">
        <f t="shared" si="222"/>
        <v>0</v>
      </c>
      <c r="Y211">
        <f>IF(X211&lt;&gt;1,9999,CHOOSE(W211,INDEX(Gantt!$BQ$7:$BQ$119,V211),INDEX(Gantt!$BR$7:$BR$119,V211),INDEX(Gantt!$BT$7:$BT$119,V211),INDEX(Gantt!$BU$7:$BU$119,V211)))</f>
        <v>9999</v>
      </c>
      <c r="Z211">
        <f t="shared" si="223"/>
        <v>0</v>
      </c>
      <c r="AA211" t="e">
        <f t="shared" si="224"/>
        <v>#N/A</v>
      </c>
      <c r="AB211" t="e">
        <f t="shared" si="225"/>
        <v>#N/A</v>
      </c>
      <c r="AC211" t="e">
        <f t="shared" si="226"/>
        <v>#N/A</v>
      </c>
      <c r="AD211" t="e">
        <f t="shared" si="227"/>
        <v>#N/A</v>
      </c>
      <c r="AE211" t="e">
        <f t="shared" si="228"/>
        <v>#N/A</v>
      </c>
      <c r="AF211" t="e">
        <f t="shared" si="229"/>
        <v>#N/A</v>
      </c>
      <c r="AG211" t="e">
        <f t="shared" si="230"/>
        <v>#N/A</v>
      </c>
      <c r="AH211" t="e">
        <f t="shared" si="231"/>
        <v>#N/A</v>
      </c>
      <c r="AI211" t="e">
        <f t="shared" si="232"/>
        <v>#N/A</v>
      </c>
      <c r="AJ211" t="e">
        <f t="shared" si="233"/>
        <v>#N/A</v>
      </c>
      <c r="AK211" t="e">
        <f t="shared" si="234"/>
        <v>#N/A</v>
      </c>
      <c r="AL211" t="e">
        <f t="shared" si="235"/>
        <v>#N/A</v>
      </c>
      <c r="AM211" t="e">
        <f t="shared" si="236"/>
        <v>#N/A</v>
      </c>
      <c r="AN211" t="e">
        <f t="shared" si="237"/>
        <v>#N/A</v>
      </c>
      <c r="AO211" t="e">
        <f t="shared" si="238"/>
        <v>#N/A</v>
      </c>
      <c r="AP211" t="e">
        <f t="shared" si="239"/>
        <v>#N/A</v>
      </c>
      <c r="AQ211" t="e">
        <f t="shared" si="240"/>
        <v>#N/A</v>
      </c>
      <c r="AR211" t="e">
        <f t="shared" si="241"/>
        <v>#N/A</v>
      </c>
      <c r="AS211" t="e">
        <f t="shared" si="242"/>
        <v>#N/A</v>
      </c>
      <c r="AT211" t="e">
        <f t="shared" si="243"/>
        <v>#N/A</v>
      </c>
      <c r="AU211" t="e">
        <f t="shared" si="244"/>
        <v>#N/A</v>
      </c>
      <c r="AV211" t="e">
        <f t="shared" si="245"/>
        <v>#N/A</v>
      </c>
      <c r="AW211" t="e">
        <f t="shared" si="246"/>
        <v>#N/A</v>
      </c>
      <c r="AX211" t="e">
        <f t="shared" si="247"/>
        <v>#N/A</v>
      </c>
      <c r="AY211" t="e">
        <f t="shared" si="248"/>
        <v>#N/A</v>
      </c>
      <c r="BE211" t="e">
        <f>IF(Z211=1,IF(INDEX($C$7:$C$126,V211)&gt;=Gantt!$BF$6,NA(),MATCH(INDEX($C$7:$C$126,V211),Gantt!$J$6:$BE$6,1)),NA())</f>
        <v>#N/A</v>
      </c>
      <c r="BF211" t="e">
        <f>IF(Z211=1,IF((INDEX($D$7:$D$126,AA211)-1)&gt;=Gantt!$BF$6,NA(),IF((INDEX($D$7:$D$126,AA211)-1)&lt;Gantt!$J$6,0,MATCH((INDEX($D$7:$D$126,AA211)-1),Gantt!$J$6:$BE$6,1))),NA())</f>
        <v>#N/A</v>
      </c>
      <c r="BG211" t="e">
        <f t="shared" si="249"/>
        <v>#N/A</v>
      </c>
      <c r="BH211" t="e">
        <f t="shared" si="250"/>
        <v>#N/A</v>
      </c>
      <c r="BI211" t="e">
        <f t="shared" si="251"/>
        <v>#N/A</v>
      </c>
      <c r="BJ211" t="e">
        <f t="shared" si="252"/>
        <v>#N/A</v>
      </c>
      <c r="BK211" t="e">
        <f t="shared" si="253"/>
        <v>#N/A</v>
      </c>
      <c r="BL211" t="e">
        <f t="shared" si="254"/>
        <v>#N/A</v>
      </c>
      <c r="BM211" t="e">
        <f t="shared" si="255"/>
        <v>#N/A</v>
      </c>
      <c r="BN211" t="e">
        <f t="shared" si="256"/>
        <v>#N/A</v>
      </c>
      <c r="BO211" t="e">
        <f t="shared" si="257"/>
        <v>#N/A</v>
      </c>
      <c r="BP211" t="e">
        <f t="shared" si="258"/>
        <v>#N/A</v>
      </c>
      <c r="BQ211" t="e">
        <f t="shared" si="259"/>
        <v>#N/A</v>
      </c>
      <c r="BR211" t="e">
        <f t="shared" si="260"/>
        <v>#N/A</v>
      </c>
      <c r="BS211" t="e">
        <f t="shared" si="261"/>
        <v>#N/A</v>
      </c>
      <c r="BT211" t="e">
        <f t="shared" si="262"/>
        <v>#N/A</v>
      </c>
      <c r="BU211" t="e">
        <f t="shared" si="263"/>
        <v>#N/A</v>
      </c>
      <c r="BV211" t="e">
        <f t="shared" si="264"/>
        <v>#N/A</v>
      </c>
      <c r="BW211" t="e">
        <f t="shared" si="265"/>
        <v>#N/A</v>
      </c>
      <c r="BX211" t="e">
        <f t="shared" si="266"/>
        <v>#N/A</v>
      </c>
      <c r="BY211" t="e">
        <f t="shared" si="267"/>
        <v>#N/A</v>
      </c>
      <c r="BZ211" t="e">
        <f t="shared" si="268"/>
        <v>#N/A</v>
      </c>
      <c r="CA211" t="e">
        <f t="shared" si="269"/>
        <v>#N/A</v>
      </c>
      <c r="CB211" t="e">
        <f t="shared" si="270"/>
        <v>#N/A</v>
      </c>
      <c r="CC211" t="e">
        <f t="shared" si="271"/>
        <v>#N/A</v>
      </c>
      <c r="CD211" t="e">
        <f t="shared" si="272"/>
        <v>#N/A</v>
      </c>
      <c r="CE211" t="e">
        <f t="shared" si="273"/>
        <v>#N/A</v>
      </c>
      <c r="CF211" t="e">
        <f t="shared" si="274"/>
        <v>#N/A</v>
      </c>
      <c r="CG211" t="e">
        <f t="shared" si="275"/>
        <v>#N/A</v>
      </c>
      <c r="CI211" t="e">
        <f>AL75</f>
        <v>#N/A</v>
      </c>
      <c r="CJ211" t="e">
        <f>AM75</f>
        <v>#N/A</v>
      </c>
      <c r="CK211">
        <f>IF(ISNUMBER(CI211),IFERROR(MAX(0,AN75-CI211),0),0)</f>
        <v>0</v>
      </c>
      <c r="CL211">
        <f>IF(ISNUMBER(CI211),IFERROR(MAX(0,CI211-AN75),0),0)</f>
        <v>0</v>
      </c>
      <c r="CM211">
        <f>IF(ISNUMBER(CJ211),IFERROR(MAX(0,AO75-CJ211),0),0)</f>
        <v>0</v>
      </c>
      <c r="CN211">
        <f>IF(ISNUMBER(CJ211),IFERROR(MAX(0,CJ211-AO75),0),0)</f>
        <v>0</v>
      </c>
      <c r="CP211" t="e">
        <f>BT75</f>
        <v>#N/A</v>
      </c>
      <c r="CQ211" t="e">
        <f>BU75</f>
        <v>#N/A</v>
      </c>
      <c r="CR211">
        <f>IF(ISNUMBER(CP211),IFERROR(MAX(0,BV75-CP211),0),0)</f>
        <v>0</v>
      </c>
      <c r="CS211">
        <f>IF(ISNUMBER(CP211),IFERROR(MAX(0,CP211-BV75),0),0)</f>
        <v>0</v>
      </c>
      <c r="CT211">
        <f>IF(ISNUMBER(CQ211),IFERROR(MAX(0,BW75-CQ211),0),0)</f>
        <v>0</v>
      </c>
      <c r="CU211">
        <f>IF(ISNUMBER(CQ211),IFERROR(MAX(0,CQ211-BW75),0),0)</f>
        <v>0</v>
      </c>
    </row>
    <row r="212" spans="21:99" x14ac:dyDescent="0.3">
      <c r="U212">
        <v>206</v>
      </c>
      <c r="V212">
        <f t="shared" si="220"/>
        <v>52</v>
      </c>
      <c r="W212">
        <f t="shared" si="221"/>
        <v>2</v>
      </c>
      <c r="X212">
        <f t="shared" si="222"/>
        <v>0</v>
      </c>
      <c r="Y212">
        <f>IF(X212&lt;&gt;1,9999,CHOOSE(W212,INDEX(Gantt!$BQ$7:$BQ$119,V212),INDEX(Gantt!$BR$7:$BR$119,V212),INDEX(Gantt!$BT$7:$BT$119,V212),INDEX(Gantt!$BU$7:$BU$119,V212)))</f>
        <v>9999</v>
      </c>
      <c r="Z212">
        <f t="shared" si="223"/>
        <v>0</v>
      </c>
      <c r="AA212" t="e">
        <f t="shared" si="224"/>
        <v>#N/A</v>
      </c>
      <c r="AB212" t="e">
        <f t="shared" si="225"/>
        <v>#N/A</v>
      </c>
      <c r="AC212" t="e">
        <f t="shared" si="226"/>
        <v>#N/A</v>
      </c>
      <c r="AD212" t="e">
        <f t="shared" si="227"/>
        <v>#N/A</v>
      </c>
      <c r="AE212" t="e">
        <f t="shared" si="228"/>
        <v>#N/A</v>
      </c>
      <c r="AF212" t="e">
        <f t="shared" si="229"/>
        <v>#N/A</v>
      </c>
      <c r="AG212" t="e">
        <f t="shared" si="230"/>
        <v>#N/A</v>
      </c>
      <c r="AH212" t="e">
        <f t="shared" si="231"/>
        <v>#N/A</v>
      </c>
      <c r="AI212" t="e">
        <f t="shared" si="232"/>
        <v>#N/A</v>
      </c>
      <c r="AJ212" t="e">
        <f t="shared" si="233"/>
        <v>#N/A</v>
      </c>
      <c r="AK212" t="e">
        <f t="shared" si="234"/>
        <v>#N/A</v>
      </c>
      <c r="AL212" t="e">
        <f t="shared" si="235"/>
        <v>#N/A</v>
      </c>
      <c r="AM212" t="e">
        <f t="shared" si="236"/>
        <v>#N/A</v>
      </c>
      <c r="AN212" t="e">
        <f t="shared" si="237"/>
        <v>#N/A</v>
      </c>
      <c r="AO212" t="e">
        <f t="shared" si="238"/>
        <v>#N/A</v>
      </c>
      <c r="AP212" t="e">
        <f t="shared" si="239"/>
        <v>#N/A</v>
      </c>
      <c r="AQ212" t="e">
        <f t="shared" si="240"/>
        <v>#N/A</v>
      </c>
      <c r="AR212" t="e">
        <f t="shared" si="241"/>
        <v>#N/A</v>
      </c>
      <c r="AS212" t="e">
        <f t="shared" si="242"/>
        <v>#N/A</v>
      </c>
      <c r="AT212" t="e">
        <f t="shared" si="243"/>
        <v>#N/A</v>
      </c>
      <c r="AU212" t="e">
        <f t="shared" si="244"/>
        <v>#N/A</v>
      </c>
      <c r="AV212" t="e">
        <f t="shared" si="245"/>
        <v>#N/A</v>
      </c>
      <c r="AW212" t="e">
        <f t="shared" si="246"/>
        <v>#N/A</v>
      </c>
      <c r="AX212" t="e">
        <f t="shared" si="247"/>
        <v>#N/A</v>
      </c>
      <c r="AY212" t="e">
        <f t="shared" si="248"/>
        <v>#N/A</v>
      </c>
      <c r="BE212" t="e">
        <f>IF(Z212=1,IF(INDEX($C$7:$C$126,V212)&gt;=Gantt!$BF$6,NA(),MATCH(INDEX($C$7:$C$126,V212),Gantt!$J$6:$BE$6,1)),NA())</f>
        <v>#N/A</v>
      </c>
      <c r="BF212" t="e">
        <f>IF(Z212=1,IF((INDEX($D$7:$D$126,AA212)-1)&gt;=Gantt!$BF$6,NA(),IF((INDEX($D$7:$D$126,AA212)-1)&lt;Gantt!$J$6,0,MATCH((INDEX($D$7:$D$126,AA212)-1),Gantt!$J$6:$BE$6,1))),NA())</f>
        <v>#N/A</v>
      </c>
      <c r="BG212" t="e">
        <f t="shared" si="249"/>
        <v>#N/A</v>
      </c>
      <c r="BH212" t="e">
        <f t="shared" si="250"/>
        <v>#N/A</v>
      </c>
      <c r="BI212" t="e">
        <f t="shared" si="251"/>
        <v>#N/A</v>
      </c>
      <c r="BJ212" t="e">
        <f t="shared" si="252"/>
        <v>#N/A</v>
      </c>
      <c r="BK212" t="e">
        <f t="shared" si="253"/>
        <v>#N/A</v>
      </c>
      <c r="BL212" t="e">
        <f t="shared" si="254"/>
        <v>#N/A</v>
      </c>
      <c r="BM212" t="e">
        <f t="shared" si="255"/>
        <v>#N/A</v>
      </c>
      <c r="BN212" t="e">
        <f t="shared" si="256"/>
        <v>#N/A</v>
      </c>
      <c r="BO212" t="e">
        <f t="shared" si="257"/>
        <v>#N/A</v>
      </c>
      <c r="BP212" t="e">
        <f t="shared" si="258"/>
        <v>#N/A</v>
      </c>
      <c r="BQ212" t="e">
        <f t="shared" si="259"/>
        <v>#N/A</v>
      </c>
      <c r="BR212" t="e">
        <f t="shared" si="260"/>
        <v>#N/A</v>
      </c>
      <c r="BS212" t="e">
        <f t="shared" si="261"/>
        <v>#N/A</v>
      </c>
      <c r="BT212" t="e">
        <f t="shared" si="262"/>
        <v>#N/A</v>
      </c>
      <c r="BU212" t="e">
        <f t="shared" si="263"/>
        <v>#N/A</v>
      </c>
      <c r="BV212" t="e">
        <f t="shared" si="264"/>
        <v>#N/A</v>
      </c>
      <c r="BW212" t="e">
        <f t="shared" si="265"/>
        <v>#N/A</v>
      </c>
      <c r="BX212" t="e">
        <f t="shared" si="266"/>
        <v>#N/A</v>
      </c>
      <c r="BY212" t="e">
        <f t="shared" si="267"/>
        <v>#N/A</v>
      </c>
      <c r="BZ212" t="e">
        <f t="shared" si="268"/>
        <v>#N/A</v>
      </c>
      <c r="CA212" t="e">
        <f t="shared" si="269"/>
        <v>#N/A</v>
      </c>
      <c r="CB212" t="e">
        <f t="shared" si="270"/>
        <v>#N/A</v>
      </c>
      <c r="CC212" t="e">
        <f t="shared" si="271"/>
        <v>#N/A</v>
      </c>
      <c r="CD212" t="e">
        <f t="shared" si="272"/>
        <v>#N/A</v>
      </c>
      <c r="CE212" t="e">
        <f t="shared" si="273"/>
        <v>#N/A</v>
      </c>
      <c r="CF212" t="e">
        <f t="shared" si="274"/>
        <v>#N/A</v>
      </c>
      <c r="CG212" t="e">
        <f t="shared" si="275"/>
        <v>#N/A</v>
      </c>
      <c r="CI212" t="e">
        <f>AP75</f>
        <v>#N/A</v>
      </c>
      <c r="CJ212" t="e">
        <f>AQ75</f>
        <v>#N/A</v>
      </c>
      <c r="CK212">
        <f>IF(ISNUMBER(CI212),IFERROR(MAX(0,AR75-CI212),0),0)</f>
        <v>0</v>
      </c>
      <c r="CL212">
        <f>IF(ISNUMBER(CI212),IFERROR(MAX(0,CI212-AR75),0),0)</f>
        <v>0</v>
      </c>
      <c r="CM212">
        <f>IF(ISNUMBER(CJ212),IFERROR(MAX(0,AS75-CJ212),0),0)</f>
        <v>0</v>
      </c>
      <c r="CN212">
        <f>IF(ISNUMBER(CJ212),IFERROR(MAX(0,CJ212-AS75),0),0)</f>
        <v>0</v>
      </c>
      <c r="CP212" t="e">
        <f>BX75</f>
        <v>#N/A</v>
      </c>
      <c r="CQ212" t="e">
        <f>BY75</f>
        <v>#N/A</v>
      </c>
      <c r="CR212">
        <f>IF(ISNUMBER(CP212),IFERROR(MAX(0,BZ75-CP212),0),0)</f>
        <v>0</v>
      </c>
      <c r="CS212">
        <f>IF(ISNUMBER(CP212),IFERROR(MAX(0,CP212-BZ75),0),0)</f>
        <v>0</v>
      </c>
      <c r="CT212">
        <f>IF(ISNUMBER(CQ212),IFERROR(MAX(0,CA75-CQ212),0),0)</f>
        <v>0</v>
      </c>
      <c r="CU212">
        <f>IF(ISNUMBER(CQ212),IFERROR(MAX(0,CQ212-CA75),0),0)</f>
        <v>0</v>
      </c>
    </row>
    <row r="213" spans="21:99" x14ac:dyDescent="0.3">
      <c r="U213">
        <v>207</v>
      </c>
      <c r="V213">
        <f t="shared" si="220"/>
        <v>52</v>
      </c>
      <c r="W213">
        <f t="shared" si="221"/>
        <v>3</v>
      </c>
      <c r="X213">
        <f t="shared" si="222"/>
        <v>0</v>
      </c>
      <c r="Y213">
        <f>IF(X213&lt;&gt;1,9999,CHOOSE(W213,INDEX(Gantt!$BQ$7:$BQ$119,V213),INDEX(Gantt!$BR$7:$BR$119,V213),INDEX(Gantt!$BT$7:$BT$119,V213),INDEX(Gantt!$BU$7:$BU$119,V213)))</f>
        <v>9999</v>
      </c>
      <c r="Z213">
        <f t="shared" si="223"/>
        <v>0</v>
      </c>
      <c r="AA213" t="e">
        <f t="shared" si="224"/>
        <v>#N/A</v>
      </c>
      <c r="AB213" t="e">
        <f t="shared" si="225"/>
        <v>#N/A</v>
      </c>
      <c r="AC213" t="e">
        <f t="shared" si="226"/>
        <v>#N/A</v>
      </c>
      <c r="AD213" t="e">
        <f t="shared" si="227"/>
        <v>#N/A</v>
      </c>
      <c r="AE213" t="e">
        <f t="shared" si="228"/>
        <v>#N/A</v>
      </c>
      <c r="AF213" t="e">
        <f t="shared" si="229"/>
        <v>#N/A</v>
      </c>
      <c r="AG213" t="e">
        <f t="shared" si="230"/>
        <v>#N/A</v>
      </c>
      <c r="AH213" t="e">
        <f t="shared" si="231"/>
        <v>#N/A</v>
      </c>
      <c r="AI213" t="e">
        <f t="shared" si="232"/>
        <v>#N/A</v>
      </c>
      <c r="AJ213" t="e">
        <f t="shared" si="233"/>
        <v>#N/A</v>
      </c>
      <c r="AK213" t="e">
        <f t="shared" si="234"/>
        <v>#N/A</v>
      </c>
      <c r="AL213" t="e">
        <f t="shared" si="235"/>
        <v>#N/A</v>
      </c>
      <c r="AM213" t="e">
        <f t="shared" si="236"/>
        <v>#N/A</v>
      </c>
      <c r="AN213" t="e">
        <f t="shared" si="237"/>
        <v>#N/A</v>
      </c>
      <c r="AO213" t="e">
        <f t="shared" si="238"/>
        <v>#N/A</v>
      </c>
      <c r="AP213" t="e">
        <f t="shared" si="239"/>
        <v>#N/A</v>
      </c>
      <c r="AQ213" t="e">
        <f t="shared" si="240"/>
        <v>#N/A</v>
      </c>
      <c r="AR213" t="e">
        <f t="shared" si="241"/>
        <v>#N/A</v>
      </c>
      <c r="AS213" t="e">
        <f t="shared" si="242"/>
        <v>#N/A</v>
      </c>
      <c r="AT213" t="e">
        <f t="shared" si="243"/>
        <v>#N/A</v>
      </c>
      <c r="AU213" t="e">
        <f t="shared" si="244"/>
        <v>#N/A</v>
      </c>
      <c r="AV213" t="e">
        <f t="shared" si="245"/>
        <v>#N/A</v>
      </c>
      <c r="AW213" t="e">
        <f t="shared" si="246"/>
        <v>#N/A</v>
      </c>
      <c r="AX213" t="e">
        <f t="shared" si="247"/>
        <v>#N/A</v>
      </c>
      <c r="AY213" t="e">
        <f t="shared" si="248"/>
        <v>#N/A</v>
      </c>
      <c r="BE213" t="e">
        <f>IF(Z213=1,IF(INDEX($C$7:$C$126,V213)&gt;=Gantt!$BF$6,NA(),MATCH(INDEX($C$7:$C$126,V213),Gantt!$J$6:$BE$6,1)),NA())</f>
        <v>#N/A</v>
      </c>
      <c r="BF213" t="e">
        <f>IF(Z213=1,IF((INDEX($D$7:$D$126,AA213)-1)&gt;=Gantt!$BF$6,NA(),IF((INDEX($D$7:$D$126,AA213)-1)&lt;Gantt!$J$6,0,MATCH((INDEX($D$7:$D$126,AA213)-1),Gantt!$J$6:$BE$6,1))),NA())</f>
        <v>#N/A</v>
      </c>
      <c r="BG213" t="e">
        <f t="shared" si="249"/>
        <v>#N/A</v>
      </c>
      <c r="BH213" t="e">
        <f t="shared" si="250"/>
        <v>#N/A</v>
      </c>
      <c r="BI213" t="e">
        <f t="shared" si="251"/>
        <v>#N/A</v>
      </c>
      <c r="BJ213" t="e">
        <f t="shared" si="252"/>
        <v>#N/A</v>
      </c>
      <c r="BK213" t="e">
        <f t="shared" si="253"/>
        <v>#N/A</v>
      </c>
      <c r="BL213" t="e">
        <f t="shared" si="254"/>
        <v>#N/A</v>
      </c>
      <c r="BM213" t="e">
        <f t="shared" si="255"/>
        <v>#N/A</v>
      </c>
      <c r="BN213" t="e">
        <f t="shared" si="256"/>
        <v>#N/A</v>
      </c>
      <c r="BO213" t="e">
        <f t="shared" si="257"/>
        <v>#N/A</v>
      </c>
      <c r="BP213" t="e">
        <f t="shared" si="258"/>
        <v>#N/A</v>
      </c>
      <c r="BQ213" t="e">
        <f t="shared" si="259"/>
        <v>#N/A</v>
      </c>
      <c r="BR213" t="e">
        <f t="shared" si="260"/>
        <v>#N/A</v>
      </c>
      <c r="BS213" t="e">
        <f t="shared" si="261"/>
        <v>#N/A</v>
      </c>
      <c r="BT213" t="e">
        <f t="shared" si="262"/>
        <v>#N/A</v>
      </c>
      <c r="BU213" t="e">
        <f t="shared" si="263"/>
        <v>#N/A</v>
      </c>
      <c r="BV213" t="e">
        <f t="shared" si="264"/>
        <v>#N/A</v>
      </c>
      <c r="BW213" t="e">
        <f t="shared" si="265"/>
        <v>#N/A</v>
      </c>
      <c r="BX213" t="e">
        <f t="shared" si="266"/>
        <v>#N/A</v>
      </c>
      <c r="BY213" t="e">
        <f t="shared" si="267"/>
        <v>#N/A</v>
      </c>
      <c r="BZ213" t="e">
        <f t="shared" si="268"/>
        <v>#N/A</v>
      </c>
      <c r="CA213" t="e">
        <f t="shared" si="269"/>
        <v>#N/A</v>
      </c>
      <c r="CB213" t="e">
        <f t="shared" si="270"/>
        <v>#N/A</v>
      </c>
      <c r="CC213" t="e">
        <f t="shared" si="271"/>
        <v>#N/A</v>
      </c>
      <c r="CD213" t="e">
        <f t="shared" si="272"/>
        <v>#N/A</v>
      </c>
      <c r="CE213" t="e">
        <f t="shared" si="273"/>
        <v>#N/A</v>
      </c>
      <c r="CF213" t="e">
        <f t="shared" si="274"/>
        <v>#N/A</v>
      </c>
      <c r="CG213" t="e">
        <f t="shared" si="275"/>
        <v>#N/A</v>
      </c>
      <c r="CI213" t="e">
        <f>AT75</f>
        <v>#N/A</v>
      </c>
      <c r="CJ213" t="e">
        <f>AU75</f>
        <v>#N/A</v>
      </c>
      <c r="CK213">
        <f>IF(ISNUMBER(CI213),IFERROR(MAX(0,AV75-CI213),0),0)</f>
        <v>0</v>
      </c>
      <c r="CL213">
        <f>IF(ISNUMBER(CI213),IFERROR(MAX(0,CI213-AV75),0),0)</f>
        <v>0</v>
      </c>
      <c r="CM213">
        <f>IF(ISNUMBER(CJ213),IFERROR(MAX(0,AW75-CJ213),0),0)</f>
        <v>0</v>
      </c>
      <c r="CN213">
        <f>IF(ISNUMBER(CJ213),IFERROR(MAX(0,CJ213-AW75),0),0)</f>
        <v>0</v>
      </c>
      <c r="CP213" t="e">
        <f>CB75</f>
        <v>#N/A</v>
      </c>
      <c r="CQ213" t="e">
        <f>CC75</f>
        <v>#N/A</v>
      </c>
      <c r="CR213">
        <f>IF(ISNUMBER(CP213),IFERROR(MAX(0,CD75-CP213),0),0)</f>
        <v>0</v>
      </c>
      <c r="CS213">
        <f>IF(ISNUMBER(CP213),IFERROR(MAX(0,CP213-CD75),0),0)</f>
        <v>0</v>
      </c>
      <c r="CT213">
        <f>IF(ISNUMBER(CQ213),IFERROR(MAX(0,CE75-CQ213),0),0)</f>
        <v>0</v>
      </c>
      <c r="CU213">
        <f>IF(ISNUMBER(CQ213),IFERROR(MAX(0,CQ213-CE75),0),0)</f>
        <v>0</v>
      </c>
    </row>
    <row r="214" spans="21:99" x14ac:dyDescent="0.3">
      <c r="U214">
        <v>208</v>
      </c>
      <c r="V214">
        <f t="shared" si="220"/>
        <v>52</v>
      </c>
      <c r="W214">
        <f t="shared" si="221"/>
        <v>4</v>
      </c>
      <c r="X214">
        <f t="shared" si="222"/>
        <v>0</v>
      </c>
      <c r="Y214">
        <f>IF(X214&lt;&gt;1,9999,CHOOSE(W214,INDEX(Gantt!$BQ$7:$BQ$119,V214),INDEX(Gantt!$BR$7:$BR$119,V214),INDEX(Gantt!$BT$7:$BT$119,V214),INDEX(Gantt!$BU$7:$BU$119,V214)))</f>
        <v>9999</v>
      </c>
      <c r="Z214">
        <f t="shared" si="223"/>
        <v>0</v>
      </c>
      <c r="AA214" t="e">
        <f t="shared" si="224"/>
        <v>#N/A</v>
      </c>
      <c r="AB214" t="e">
        <f t="shared" si="225"/>
        <v>#N/A</v>
      </c>
      <c r="AC214" t="e">
        <f t="shared" si="226"/>
        <v>#N/A</v>
      </c>
      <c r="AD214" t="e">
        <f t="shared" si="227"/>
        <v>#N/A</v>
      </c>
      <c r="AE214" t="e">
        <f t="shared" si="228"/>
        <v>#N/A</v>
      </c>
      <c r="AF214" t="e">
        <f t="shared" si="229"/>
        <v>#N/A</v>
      </c>
      <c r="AG214" t="e">
        <f t="shared" si="230"/>
        <v>#N/A</v>
      </c>
      <c r="AH214" t="e">
        <f t="shared" si="231"/>
        <v>#N/A</v>
      </c>
      <c r="AI214" t="e">
        <f t="shared" si="232"/>
        <v>#N/A</v>
      </c>
      <c r="AJ214" t="e">
        <f t="shared" si="233"/>
        <v>#N/A</v>
      </c>
      <c r="AK214" t="e">
        <f t="shared" si="234"/>
        <v>#N/A</v>
      </c>
      <c r="AL214" t="e">
        <f t="shared" si="235"/>
        <v>#N/A</v>
      </c>
      <c r="AM214" t="e">
        <f t="shared" si="236"/>
        <v>#N/A</v>
      </c>
      <c r="AN214" t="e">
        <f t="shared" si="237"/>
        <v>#N/A</v>
      </c>
      <c r="AO214" t="e">
        <f t="shared" si="238"/>
        <v>#N/A</v>
      </c>
      <c r="AP214" t="e">
        <f t="shared" si="239"/>
        <v>#N/A</v>
      </c>
      <c r="AQ214" t="e">
        <f t="shared" si="240"/>
        <v>#N/A</v>
      </c>
      <c r="AR214" t="e">
        <f t="shared" si="241"/>
        <v>#N/A</v>
      </c>
      <c r="AS214" t="e">
        <f t="shared" si="242"/>
        <v>#N/A</v>
      </c>
      <c r="AT214" t="e">
        <f t="shared" si="243"/>
        <v>#N/A</v>
      </c>
      <c r="AU214" t="e">
        <f t="shared" si="244"/>
        <v>#N/A</v>
      </c>
      <c r="AV214" t="e">
        <f t="shared" si="245"/>
        <v>#N/A</v>
      </c>
      <c r="AW214" t="e">
        <f t="shared" si="246"/>
        <v>#N/A</v>
      </c>
      <c r="AX214" t="e">
        <f t="shared" si="247"/>
        <v>#N/A</v>
      </c>
      <c r="AY214" t="e">
        <f t="shared" si="248"/>
        <v>#N/A</v>
      </c>
      <c r="BE214" t="e">
        <f>IF(Z214=1,IF(INDEX($C$7:$C$126,V214)&gt;=Gantt!$BF$6,NA(),MATCH(INDEX($C$7:$C$126,V214),Gantt!$J$6:$BE$6,1)),NA())</f>
        <v>#N/A</v>
      </c>
      <c r="BF214" t="e">
        <f>IF(Z214=1,IF((INDEX($D$7:$D$126,AA214)-1)&gt;=Gantt!$BF$6,NA(),IF((INDEX($D$7:$D$126,AA214)-1)&lt;Gantt!$J$6,0,MATCH((INDEX($D$7:$D$126,AA214)-1),Gantt!$J$6:$BE$6,1))),NA())</f>
        <v>#N/A</v>
      </c>
      <c r="BG214" t="e">
        <f t="shared" si="249"/>
        <v>#N/A</v>
      </c>
      <c r="BH214" t="e">
        <f t="shared" si="250"/>
        <v>#N/A</v>
      </c>
      <c r="BI214" t="e">
        <f t="shared" si="251"/>
        <v>#N/A</v>
      </c>
      <c r="BJ214" t="e">
        <f t="shared" si="252"/>
        <v>#N/A</v>
      </c>
      <c r="BK214" t="e">
        <f t="shared" si="253"/>
        <v>#N/A</v>
      </c>
      <c r="BL214" t="e">
        <f t="shared" si="254"/>
        <v>#N/A</v>
      </c>
      <c r="BM214" t="e">
        <f t="shared" si="255"/>
        <v>#N/A</v>
      </c>
      <c r="BN214" t="e">
        <f t="shared" si="256"/>
        <v>#N/A</v>
      </c>
      <c r="BO214" t="e">
        <f t="shared" si="257"/>
        <v>#N/A</v>
      </c>
      <c r="BP214" t="e">
        <f t="shared" si="258"/>
        <v>#N/A</v>
      </c>
      <c r="BQ214" t="e">
        <f t="shared" si="259"/>
        <v>#N/A</v>
      </c>
      <c r="BR214" t="e">
        <f t="shared" si="260"/>
        <v>#N/A</v>
      </c>
      <c r="BS214" t="e">
        <f t="shared" si="261"/>
        <v>#N/A</v>
      </c>
      <c r="BT214" t="e">
        <f t="shared" si="262"/>
        <v>#N/A</v>
      </c>
      <c r="BU214" t="e">
        <f t="shared" si="263"/>
        <v>#N/A</v>
      </c>
      <c r="BV214" t="e">
        <f t="shared" si="264"/>
        <v>#N/A</v>
      </c>
      <c r="BW214" t="e">
        <f t="shared" si="265"/>
        <v>#N/A</v>
      </c>
      <c r="BX214" t="e">
        <f t="shared" si="266"/>
        <v>#N/A</v>
      </c>
      <c r="BY214" t="e">
        <f t="shared" si="267"/>
        <v>#N/A</v>
      </c>
      <c r="BZ214" t="e">
        <f t="shared" si="268"/>
        <v>#N/A</v>
      </c>
      <c r="CA214" t="e">
        <f t="shared" si="269"/>
        <v>#N/A</v>
      </c>
      <c r="CB214" t="e">
        <f t="shared" si="270"/>
        <v>#N/A</v>
      </c>
      <c r="CC214" t="e">
        <f t="shared" si="271"/>
        <v>#N/A</v>
      </c>
      <c r="CD214" t="e">
        <f t="shared" si="272"/>
        <v>#N/A</v>
      </c>
      <c r="CE214" t="e">
        <f t="shared" si="273"/>
        <v>#N/A</v>
      </c>
      <c r="CF214" t="e">
        <f t="shared" si="274"/>
        <v>#N/A</v>
      </c>
      <c r="CG214" t="e">
        <f t="shared" si="275"/>
        <v>#N/A</v>
      </c>
      <c r="CI214" t="e">
        <f>AL76</f>
        <v>#N/A</v>
      </c>
      <c r="CJ214" t="e">
        <f>AM76</f>
        <v>#N/A</v>
      </c>
      <c r="CK214">
        <f>IF(ISNUMBER(CI214),IFERROR(MAX(0,AN76-CI214),0),0)</f>
        <v>0</v>
      </c>
      <c r="CL214">
        <f>IF(ISNUMBER(CI214),IFERROR(MAX(0,CI214-AN76),0),0)</f>
        <v>0</v>
      </c>
      <c r="CM214">
        <f>IF(ISNUMBER(CJ214),IFERROR(MAX(0,AO76-CJ214),0),0)</f>
        <v>0</v>
      </c>
      <c r="CN214">
        <f>IF(ISNUMBER(CJ214),IFERROR(MAX(0,CJ214-AO76),0),0)</f>
        <v>0</v>
      </c>
      <c r="CP214" t="e">
        <f>BT76</f>
        <v>#N/A</v>
      </c>
      <c r="CQ214" t="e">
        <f>BU76</f>
        <v>#N/A</v>
      </c>
      <c r="CR214">
        <f>IF(ISNUMBER(CP214),IFERROR(MAX(0,BV76-CP214),0),0)</f>
        <v>0</v>
      </c>
      <c r="CS214">
        <f>IF(ISNUMBER(CP214),IFERROR(MAX(0,CP214-BV76),0),0)</f>
        <v>0</v>
      </c>
      <c r="CT214">
        <f>IF(ISNUMBER(CQ214),IFERROR(MAX(0,BW76-CQ214),0),0)</f>
        <v>0</v>
      </c>
      <c r="CU214">
        <f>IF(ISNUMBER(CQ214),IFERROR(MAX(0,CQ214-BW76),0),0)</f>
        <v>0</v>
      </c>
    </row>
    <row r="215" spans="21:99" x14ac:dyDescent="0.3">
      <c r="U215">
        <v>209</v>
      </c>
      <c r="V215">
        <f t="shared" si="220"/>
        <v>53</v>
      </c>
      <c r="W215">
        <f t="shared" si="221"/>
        <v>1</v>
      </c>
      <c r="X215">
        <f t="shared" si="222"/>
        <v>0</v>
      </c>
      <c r="Y215">
        <f>IF(X215&lt;&gt;1,9999,CHOOSE(W215,INDEX(Gantt!$BQ$7:$BQ$119,V215),INDEX(Gantt!$BR$7:$BR$119,V215),INDEX(Gantt!$BT$7:$BT$119,V215),INDEX(Gantt!$BU$7:$BU$119,V215)))</f>
        <v>9999</v>
      </c>
      <c r="Z215">
        <f t="shared" si="223"/>
        <v>0</v>
      </c>
      <c r="AA215" t="e">
        <f t="shared" si="224"/>
        <v>#N/A</v>
      </c>
      <c r="AB215" t="e">
        <f t="shared" si="225"/>
        <v>#N/A</v>
      </c>
      <c r="AC215" t="e">
        <f t="shared" si="226"/>
        <v>#N/A</v>
      </c>
      <c r="AD215" t="e">
        <f t="shared" si="227"/>
        <v>#N/A</v>
      </c>
      <c r="AE215" t="e">
        <f t="shared" si="228"/>
        <v>#N/A</v>
      </c>
      <c r="AF215" t="e">
        <f t="shared" si="229"/>
        <v>#N/A</v>
      </c>
      <c r="AG215" t="e">
        <f t="shared" si="230"/>
        <v>#N/A</v>
      </c>
      <c r="AH215" t="e">
        <f t="shared" si="231"/>
        <v>#N/A</v>
      </c>
      <c r="AI215" t="e">
        <f t="shared" si="232"/>
        <v>#N/A</v>
      </c>
      <c r="AJ215" t="e">
        <f t="shared" si="233"/>
        <v>#N/A</v>
      </c>
      <c r="AK215" t="e">
        <f t="shared" si="234"/>
        <v>#N/A</v>
      </c>
      <c r="AL215" t="e">
        <f t="shared" si="235"/>
        <v>#N/A</v>
      </c>
      <c r="AM215" t="e">
        <f t="shared" si="236"/>
        <v>#N/A</v>
      </c>
      <c r="AN215" t="e">
        <f t="shared" si="237"/>
        <v>#N/A</v>
      </c>
      <c r="AO215" t="e">
        <f t="shared" si="238"/>
        <v>#N/A</v>
      </c>
      <c r="AP215" t="e">
        <f t="shared" si="239"/>
        <v>#N/A</v>
      </c>
      <c r="AQ215" t="e">
        <f t="shared" si="240"/>
        <v>#N/A</v>
      </c>
      <c r="AR215" t="e">
        <f t="shared" si="241"/>
        <v>#N/A</v>
      </c>
      <c r="AS215" t="e">
        <f t="shared" si="242"/>
        <v>#N/A</v>
      </c>
      <c r="AT215" t="e">
        <f t="shared" si="243"/>
        <v>#N/A</v>
      </c>
      <c r="AU215" t="e">
        <f t="shared" si="244"/>
        <v>#N/A</v>
      </c>
      <c r="AV215" t="e">
        <f t="shared" si="245"/>
        <v>#N/A</v>
      </c>
      <c r="AW215" t="e">
        <f t="shared" si="246"/>
        <v>#N/A</v>
      </c>
      <c r="AX215" t="e">
        <f t="shared" si="247"/>
        <v>#N/A</v>
      </c>
      <c r="AY215" t="e">
        <f t="shared" si="248"/>
        <v>#N/A</v>
      </c>
      <c r="BE215" t="e">
        <f>IF(Z215=1,IF(INDEX($C$7:$C$126,V215)&gt;=Gantt!$BF$6,NA(),MATCH(INDEX($C$7:$C$126,V215),Gantt!$J$6:$BE$6,1)),NA())</f>
        <v>#N/A</v>
      </c>
      <c r="BF215" t="e">
        <f>IF(Z215=1,IF((INDEX($D$7:$D$126,AA215)-1)&gt;=Gantt!$BF$6,NA(),IF((INDEX($D$7:$D$126,AA215)-1)&lt;Gantt!$J$6,0,MATCH((INDEX($D$7:$D$126,AA215)-1),Gantt!$J$6:$BE$6,1))),NA())</f>
        <v>#N/A</v>
      </c>
      <c r="BG215" t="e">
        <f t="shared" si="249"/>
        <v>#N/A</v>
      </c>
      <c r="BH215" t="e">
        <f t="shared" si="250"/>
        <v>#N/A</v>
      </c>
      <c r="BI215" t="e">
        <f t="shared" si="251"/>
        <v>#N/A</v>
      </c>
      <c r="BJ215" t="e">
        <f t="shared" si="252"/>
        <v>#N/A</v>
      </c>
      <c r="BK215" t="e">
        <f t="shared" si="253"/>
        <v>#N/A</v>
      </c>
      <c r="BL215" t="e">
        <f t="shared" si="254"/>
        <v>#N/A</v>
      </c>
      <c r="BM215" t="e">
        <f t="shared" si="255"/>
        <v>#N/A</v>
      </c>
      <c r="BN215" t="e">
        <f t="shared" si="256"/>
        <v>#N/A</v>
      </c>
      <c r="BO215" t="e">
        <f t="shared" si="257"/>
        <v>#N/A</v>
      </c>
      <c r="BP215" t="e">
        <f t="shared" si="258"/>
        <v>#N/A</v>
      </c>
      <c r="BQ215" t="e">
        <f t="shared" si="259"/>
        <v>#N/A</v>
      </c>
      <c r="BR215" t="e">
        <f t="shared" si="260"/>
        <v>#N/A</v>
      </c>
      <c r="BS215" t="e">
        <f t="shared" si="261"/>
        <v>#N/A</v>
      </c>
      <c r="BT215" t="e">
        <f t="shared" si="262"/>
        <v>#N/A</v>
      </c>
      <c r="BU215" t="e">
        <f t="shared" si="263"/>
        <v>#N/A</v>
      </c>
      <c r="BV215" t="e">
        <f t="shared" si="264"/>
        <v>#N/A</v>
      </c>
      <c r="BW215" t="e">
        <f t="shared" si="265"/>
        <v>#N/A</v>
      </c>
      <c r="BX215" t="e">
        <f t="shared" si="266"/>
        <v>#N/A</v>
      </c>
      <c r="BY215" t="e">
        <f t="shared" si="267"/>
        <v>#N/A</v>
      </c>
      <c r="BZ215" t="e">
        <f t="shared" si="268"/>
        <v>#N/A</v>
      </c>
      <c r="CA215" t="e">
        <f t="shared" si="269"/>
        <v>#N/A</v>
      </c>
      <c r="CB215" t="e">
        <f t="shared" si="270"/>
        <v>#N/A</v>
      </c>
      <c r="CC215" t="e">
        <f t="shared" si="271"/>
        <v>#N/A</v>
      </c>
      <c r="CD215" t="e">
        <f t="shared" si="272"/>
        <v>#N/A</v>
      </c>
      <c r="CE215" t="e">
        <f t="shared" si="273"/>
        <v>#N/A</v>
      </c>
      <c r="CF215" t="e">
        <f t="shared" si="274"/>
        <v>#N/A</v>
      </c>
      <c r="CG215" t="e">
        <f t="shared" si="275"/>
        <v>#N/A</v>
      </c>
      <c r="CI215" t="e">
        <f>AP76</f>
        <v>#N/A</v>
      </c>
      <c r="CJ215" t="e">
        <f>AQ76</f>
        <v>#N/A</v>
      </c>
      <c r="CK215">
        <f>IF(ISNUMBER(CI215),IFERROR(MAX(0,AR76-CI215),0),0)</f>
        <v>0</v>
      </c>
      <c r="CL215">
        <f>IF(ISNUMBER(CI215),IFERROR(MAX(0,CI215-AR76),0),0)</f>
        <v>0</v>
      </c>
      <c r="CM215">
        <f>IF(ISNUMBER(CJ215),IFERROR(MAX(0,AS76-CJ215),0),0)</f>
        <v>0</v>
      </c>
      <c r="CN215">
        <f>IF(ISNUMBER(CJ215),IFERROR(MAX(0,CJ215-AS76),0),0)</f>
        <v>0</v>
      </c>
      <c r="CP215" t="e">
        <f>BX76</f>
        <v>#N/A</v>
      </c>
      <c r="CQ215" t="e">
        <f>BY76</f>
        <v>#N/A</v>
      </c>
      <c r="CR215">
        <f>IF(ISNUMBER(CP215),IFERROR(MAX(0,BZ76-CP215),0),0)</f>
        <v>0</v>
      </c>
      <c r="CS215">
        <f>IF(ISNUMBER(CP215),IFERROR(MAX(0,CP215-BZ76),0),0)</f>
        <v>0</v>
      </c>
      <c r="CT215">
        <f>IF(ISNUMBER(CQ215),IFERROR(MAX(0,CA76-CQ215),0),0)</f>
        <v>0</v>
      </c>
      <c r="CU215">
        <f>IF(ISNUMBER(CQ215),IFERROR(MAX(0,CQ215-CA76),0),0)</f>
        <v>0</v>
      </c>
    </row>
    <row r="216" spans="21:99" x14ac:dyDescent="0.3">
      <c r="U216">
        <v>210</v>
      </c>
      <c r="V216">
        <f t="shared" si="220"/>
        <v>53</v>
      </c>
      <c r="W216">
        <f t="shared" si="221"/>
        <v>2</v>
      </c>
      <c r="X216">
        <f t="shared" si="222"/>
        <v>0</v>
      </c>
      <c r="Y216">
        <f>IF(X216&lt;&gt;1,9999,CHOOSE(W216,INDEX(Gantt!$BQ$7:$BQ$119,V216),INDEX(Gantt!$BR$7:$BR$119,V216),INDEX(Gantt!$BT$7:$BT$119,V216),INDEX(Gantt!$BU$7:$BU$119,V216)))</f>
        <v>9999</v>
      </c>
      <c r="Z216">
        <f t="shared" si="223"/>
        <v>0</v>
      </c>
      <c r="AA216" t="e">
        <f t="shared" si="224"/>
        <v>#N/A</v>
      </c>
      <c r="AB216" t="e">
        <f t="shared" si="225"/>
        <v>#N/A</v>
      </c>
      <c r="AC216" t="e">
        <f t="shared" si="226"/>
        <v>#N/A</v>
      </c>
      <c r="AD216" t="e">
        <f t="shared" si="227"/>
        <v>#N/A</v>
      </c>
      <c r="AE216" t="e">
        <f t="shared" si="228"/>
        <v>#N/A</v>
      </c>
      <c r="AF216" t="e">
        <f t="shared" si="229"/>
        <v>#N/A</v>
      </c>
      <c r="AG216" t="e">
        <f t="shared" si="230"/>
        <v>#N/A</v>
      </c>
      <c r="AH216" t="e">
        <f t="shared" si="231"/>
        <v>#N/A</v>
      </c>
      <c r="AI216" t="e">
        <f t="shared" si="232"/>
        <v>#N/A</v>
      </c>
      <c r="AJ216" t="e">
        <f t="shared" si="233"/>
        <v>#N/A</v>
      </c>
      <c r="AK216" t="e">
        <f t="shared" si="234"/>
        <v>#N/A</v>
      </c>
      <c r="AL216" t="e">
        <f t="shared" si="235"/>
        <v>#N/A</v>
      </c>
      <c r="AM216" t="e">
        <f t="shared" si="236"/>
        <v>#N/A</v>
      </c>
      <c r="AN216" t="e">
        <f t="shared" si="237"/>
        <v>#N/A</v>
      </c>
      <c r="AO216" t="e">
        <f t="shared" si="238"/>
        <v>#N/A</v>
      </c>
      <c r="AP216" t="e">
        <f t="shared" si="239"/>
        <v>#N/A</v>
      </c>
      <c r="AQ216" t="e">
        <f t="shared" si="240"/>
        <v>#N/A</v>
      </c>
      <c r="AR216" t="e">
        <f t="shared" si="241"/>
        <v>#N/A</v>
      </c>
      <c r="AS216" t="e">
        <f t="shared" si="242"/>
        <v>#N/A</v>
      </c>
      <c r="AT216" t="e">
        <f t="shared" si="243"/>
        <v>#N/A</v>
      </c>
      <c r="AU216" t="e">
        <f t="shared" si="244"/>
        <v>#N/A</v>
      </c>
      <c r="AV216" t="e">
        <f t="shared" si="245"/>
        <v>#N/A</v>
      </c>
      <c r="AW216" t="e">
        <f t="shared" si="246"/>
        <v>#N/A</v>
      </c>
      <c r="AX216" t="e">
        <f t="shared" si="247"/>
        <v>#N/A</v>
      </c>
      <c r="AY216" t="e">
        <f t="shared" si="248"/>
        <v>#N/A</v>
      </c>
      <c r="BE216" t="e">
        <f>IF(Z216=1,IF(INDEX($C$7:$C$126,V216)&gt;=Gantt!$BF$6,NA(),MATCH(INDEX($C$7:$C$126,V216),Gantt!$J$6:$BE$6,1)),NA())</f>
        <v>#N/A</v>
      </c>
      <c r="BF216" t="e">
        <f>IF(Z216=1,IF((INDEX($D$7:$D$126,AA216)-1)&gt;=Gantt!$BF$6,NA(),IF((INDEX($D$7:$D$126,AA216)-1)&lt;Gantt!$J$6,0,MATCH((INDEX($D$7:$D$126,AA216)-1),Gantt!$J$6:$BE$6,1))),NA())</f>
        <v>#N/A</v>
      </c>
      <c r="BG216" t="e">
        <f t="shared" si="249"/>
        <v>#N/A</v>
      </c>
      <c r="BH216" t="e">
        <f t="shared" si="250"/>
        <v>#N/A</v>
      </c>
      <c r="BI216" t="e">
        <f t="shared" si="251"/>
        <v>#N/A</v>
      </c>
      <c r="BJ216" t="e">
        <f t="shared" si="252"/>
        <v>#N/A</v>
      </c>
      <c r="BK216" t="e">
        <f t="shared" si="253"/>
        <v>#N/A</v>
      </c>
      <c r="BL216" t="e">
        <f t="shared" si="254"/>
        <v>#N/A</v>
      </c>
      <c r="BM216" t="e">
        <f t="shared" si="255"/>
        <v>#N/A</v>
      </c>
      <c r="BN216" t="e">
        <f t="shared" si="256"/>
        <v>#N/A</v>
      </c>
      <c r="BO216" t="e">
        <f t="shared" si="257"/>
        <v>#N/A</v>
      </c>
      <c r="BP216" t="e">
        <f t="shared" si="258"/>
        <v>#N/A</v>
      </c>
      <c r="BQ216" t="e">
        <f t="shared" si="259"/>
        <v>#N/A</v>
      </c>
      <c r="BR216" t="e">
        <f t="shared" si="260"/>
        <v>#N/A</v>
      </c>
      <c r="BS216" t="e">
        <f t="shared" si="261"/>
        <v>#N/A</v>
      </c>
      <c r="BT216" t="e">
        <f t="shared" si="262"/>
        <v>#N/A</v>
      </c>
      <c r="BU216" t="e">
        <f t="shared" si="263"/>
        <v>#N/A</v>
      </c>
      <c r="BV216" t="e">
        <f t="shared" si="264"/>
        <v>#N/A</v>
      </c>
      <c r="BW216" t="e">
        <f t="shared" si="265"/>
        <v>#N/A</v>
      </c>
      <c r="BX216" t="e">
        <f t="shared" si="266"/>
        <v>#N/A</v>
      </c>
      <c r="BY216" t="e">
        <f t="shared" si="267"/>
        <v>#N/A</v>
      </c>
      <c r="BZ216" t="e">
        <f t="shared" si="268"/>
        <v>#N/A</v>
      </c>
      <c r="CA216" t="e">
        <f t="shared" si="269"/>
        <v>#N/A</v>
      </c>
      <c r="CB216" t="e">
        <f t="shared" si="270"/>
        <v>#N/A</v>
      </c>
      <c r="CC216" t="e">
        <f t="shared" si="271"/>
        <v>#N/A</v>
      </c>
      <c r="CD216" t="e">
        <f t="shared" si="272"/>
        <v>#N/A</v>
      </c>
      <c r="CE216" t="e">
        <f t="shared" si="273"/>
        <v>#N/A</v>
      </c>
      <c r="CF216" t="e">
        <f t="shared" si="274"/>
        <v>#N/A</v>
      </c>
      <c r="CG216" t="e">
        <f t="shared" si="275"/>
        <v>#N/A</v>
      </c>
      <c r="CI216" t="e">
        <f>AT76</f>
        <v>#N/A</v>
      </c>
      <c r="CJ216" t="e">
        <f>AU76</f>
        <v>#N/A</v>
      </c>
      <c r="CK216">
        <f>IF(ISNUMBER(CI216),IFERROR(MAX(0,AV76-CI216),0),0)</f>
        <v>0</v>
      </c>
      <c r="CL216">
        <f>IF(ISNUMBER(CI216),IFERROR(MAX(0,CI216-AV76),0),0)</f>
        <v>0</v>
      </c>
      <c r="CM216">
        <f>IF(ISNUMBER(CJ216),IFERROR(MAX(0,AW76-CJ216),0),0)</f>
        <v>0</v>
      </c>
      <c r="CN216">
        <f>IF(ISNUMBER(CJ216),IFERROR(MAX(0,CJ216-AW76),0),0)</f>
        <v>0</v>
      </c>
      <c r="CP216" t="e">
        <f>CB76</f>
        <v>#N/A</v>
      </c>
      <c r="CQ216" t="e">
        <f>CC76</f>
        <v>#N/A</v>
      </c>
      <c r="CR216">
        <f>IF(ISNUMBER(CP216),IFERROR(MAX(0,CD76-CP216),0),0)</f>
        <v>0</v>
      </c>
      <c r="CS216">
        <f>IF(ISNUMBER(CP216),IFERROR(MAX(0,CP216-CD76),0),0)</f>
        <v>0</v>
      </c>
      <c r="CT216">
        <f>IF(ISNUMBER(CQ216),IFERROR(MAX(0,CE76-CQ216),0),0)</f>
        <v>0</v>
      </c>
      <c r="CU216">
        <f>IF(ISNUMBER(CQ216),IFERROR(MAX(0,CQ216-CE76),0),0)</f>
        <v>0</v>
      </c>
    </row>
    <row r="217" spans="21:99" x14ac:dyDescent="0.3">
      <c r="U217">
        <v>211</v>
      </c>
      <c r="V217">
        <f t="shared" si="220"/>
        <v>53</v>
      </c>
      <c r="W217">
        <f t="shared" si="221"/>
        <v>3</v>
      </c>
      <c r="X217">
        <f t="shared" si="222"/>
        <v>0</v>
      </c>
      <c r="Y217">
        <f>IF(X217&lt;&gt;1,9999,CHOOSE(W217,INDEX(Gantt!$BQ$7:$BQ$119,V217),INDEX(Gantt!$BR$7:$BR$119,V217),INDEX(Gantt!$BT$7:$BT$119,V217),INDEX(Gantt!$BU$7:$BU$119,V217)))</f>
        <v>9999</v>
      </c>
      <c r="Z217">
        <f t="shared" si="223"/>
        <v>0</v>
      </c>
      <c r="AA217" t="e">
        <f t="shared" si="224"/>
        <v>#N/A</v>
      </c>
      <c r="AB217" t="e">
        <f t="shared" si="225"/>
        <v>#N/A</v>
      </c>
      <c r="AC217" t="e">
        <f t="shared" si="226"/>
        <v>#N/A</v>
      </c>
      <c r="AD217" t="e">
        <f t="shared" si="227"/>
        <v>#N/A</v>
      </c>
      <c r="AE217" t="e">
        <f t="shared" si="228"/>
        <v>#N/A</v>
      </c>
      <c r="AF217" t="e">
        <f t="shared" si="229"/>
        <v>#N/A</v>
      </c>
      <c r="AG217" t="e">
        <f t="shared" si="230"/>
        <v>#N/A</v>
      </c>
      <c r="AH217" t="e">
        <f t="shared" si="231"/>
        <v>#N/A</v>
      </c>
      <c r="AI217" t="e">
        <f t="shared" si="232"/>
        <v>#N/A</v>
      </c>
      <c r="AJ217" t="e">
        <f t="shared" si="233"/>
        <v>#N/A</v>
      </c>
      <c r="AK217" t="e">
        <f t="shared" si="234"/>
        <v>#N/A</v>
      </c>
      <c r="AL217" t="e">
        <f t="shared" si="235"/>
        <v>#N/A</v>
      </c>
      <c r="AM217" t="e">
        <f t="shared" si="236"/>
        <v>#N/A</v>
      </c>
      <c r="AN217" t="e">
        <f t="shared" si="237"/>
        <v>#N/A</v>
      </c>
      <c r="AO217" t="e">
        <f t="shared" si="238"/>
        <v>#N/A</v>
      </c>
      <c r="AP217" t="e">
        <f t="shared" si="239"/>
        <v>#N/A</v>
      </c>
      <c r="AQ217" t="e">
        <f t="shared" si="240"/>
        <v>#N/A</v>
      </c>
      <c r="AR217" t="e">
        <f t="shared" si="241"/>
        <v>#N/A</v>
      </c>
      <c r="AS217" t="e">
        <f t="shared" si="242"/>
        <v>#N/A</v>
      </c>
      <c r="AT217" t="e">
        <f t="shared" si="243"/>
        <v>#N/A</v>
      </c>
      <c r="AU217" t="e">
        <f t="shared" si="244"/>
        <v>#N/A</v>
      </c>
      <c r="AV217" t="e">
        <f t="shared" si="245"/>
        <v>#N/A</v>
      </c>
      <c r="AW217" t="e">
        <f t="shared" si="246"/>
        <v>#N/A</v>
      </c>
      <c r="AX217" t="e">
        <f t="shared" si="247"/>
        <v>#N/A</v>
      </c>
      <c r="AY217" t="e">
        <f t="shared" si="248"/>
        <v>#N/A</v>
      </c>
      <c r="BE217" t="e">
        <f>IF(Z217=1,IF(INDEX($C$7:$C$126,V217)&gt;=Gantt!$BF$6,NA(),MATCH(INDEX($C$7:$C$126,V217),Gantt!$J$6:$BE$6,1)),NA())</f>
        <v>#N/A</v>
      </c>
      <c r="BF217" t="e">
        <f>IF(Z217=1,IF((INDEX($D$7:$D$126,AA217)-1)&gt;=Gantt!$BF$6,NA(),IF((INDEX($D$7:$D$126,AA217)-1)&lt;Gantt!$J$6,0,MATCH((INDEX($D$7:$D$126,AA217)-1),Gantt!$J$6:$BE$6,1))),NA())</f>
        <v>#N/A</v>
      </c>
      <c r="BG217" t="e">
        <f t="shared" si="249"/>
        <v>#N/A</v>
      </c>
      <c r="BH217" t="e">
        <f t="shared" si="250"/>
        <v>#N/A</v>
      </c>
      <c r="BI217" t="e">
        <f t="shared" si="251"/>
        <v>#N/A</v>
      </c>
      <c r="BJ217" t="e">
        <f t="shared" si="252"/>
        <v>#N/A</v>
      </c>
      <c r="BK217" t="e">
        <f t="shared" si="253"/>
        <v>#N/A</v>
      </c>
      <c r="BL217" t="e">
        <f t="shared" si="254"/>
        <v>#N/A</v>
      </c>
      <c r="BM217" t="e">
        <f t="shared" si="255"/>
        <v>#N/A</v>
      </c>
      <c r="BN217" t="e">
        <f t="shared" si="256"/>
        <v>#N/A</v>
      </c>
      <c r="BO217" t="e">
        <f t="shared" si="257"/>
        <v>#N/A</v>
      </c>
      <c r="BP217" t="e">
        <f t="shared" si="258"/>
        <v>#N/A</v>
      </c>
      <c r="BQ217" t="e">
        <f t="shared" si="259"/>
        <v>#N/A</v>
      </c>
      <c r="BR217" t="e">
        <f t="shared" si="260"/>
        <v>#N/A</v>
      </c>
      <c r="BS217" t="e">
        <f t="shared" si="261"/>
        <v>#N/A</v>
      </c>
      <c r="BT217" t="e">
        <f t="shared" si="262"/>
        <v>#N/A</v>
      </c>
      <c r="BU217" t="e">
        <f t="shared" si="263"/>
        <v>#N/A</v>
      </c>
      <c r="BV217" t="e">
        <f t="shared" si="264"/>
        <v>#N/A</v>
      </c>
      <c r="BW217" t="e">
        <f t="shared" si="265"/>
        <v>#N/A</v>
      </c>
      <c r="BX217" t="e">
        <f t="shared" si="266"/>
        <v>#N/A</v>
      </c>
      <c r="BY217" t="e">
        <f t="shared" si="267"/>
        <v>#N/A</v>
      </c>
      <c r="BZ217" t="e">
        <f t="shared" si="268"/>
        <v>#N/A</v>
      </c>
      <c r="CA217" t="e">
        <f t="shared" si="269"/>
        <v>#N/A</v>
      </c>
      <c r="CB217" t="e">
        <f t="shared" si="270"/>
        <v>#N/A</v>
      </c>
      <c r="CC217" t="e">
        <f t="shared" si="271"/>
        <v>#N/A</v>
      </c>
      <c r="CD217" t="e">
        <f t="shared" si="272"/>
        <v>#N/A</v>
      </c>
      <c r="CE217" t="e">
        <f t="shared" si="273"/>
        <v>#N/A</v>
      </c>
      <c r="CF217" t="e">
        <f t="shared" si="274"/>
        <v>#N/A</v>
      </c>
      <c r="CG217" t="e">
        <f t="shared" si="275"/>
        <v>#N/A</v>
      </c>
      <c r="CI217" t="e">
        <f>AL77</f>
        <v>#N/A</v>
      </c>
      <c r="CJ217" t="e">
        <f>AM77</f>
        <v>#N/A</v>
      </c>
      <c r="CK217">
        <f>IF(ISNUMBER(CI217),IFERROR(MAX(0,AN77-CI217),0),0)</f>
        <v>0</v>
      </c>
      <c r="CL217">
        <f>IF(ISNUMBER(CI217),IFERROR(MAX(0,CI217-AN77),0),0)</f>
        <v>0</v>
      </c>
      <c r="CM217">
        <f>IF(ISNUMBER(CJ217),IFERROR(MAX(0,AO77-CJ217),0),0)</f>
        <v>0</v>
      </c>
      <c r="CN217">
        <f>IF(ISNUMBER(CJ217),IFERROR(MAX(0,CJ217-AO77),0),0)</f>
        <v>0</v>
      </c>
      <c r="CP217" t="e">
        <f>BT77</f>
        <v>#N/A</v>
      </c>
      <c r="CQ217" t="e">
        <f>BU77</f>
        <v>#N/A</v>
      </c>
      <c r="CR217">
        <f>IF(ISNUMBER(CP217),IFERROR(MAX(0,BV77-CP217),0),0)</f>
        <v>0</v>
      </c>
      <c r="CS217">
        <f>IF(ISNUMBER(CP217),IFERROR(MAX(0,CP217-BV77),0),0)</f>
        <v>0</v>
      </c>
      <c r="CT217">
        <f>IF(ISNUMBER(CQ217),IFERROR(MAX(0,BW77-CQ217),0),0)</f>
        <v>0</v>
      </c>
      <c r="CU217">
        <f>IF(ISNUMBER(CQ217),IFERROR(MAX(0,CQ217-BW77),0),0)</f>
        <v>0</v>
      </c>
    </row>
    <row r="218" spans="21:99" x14ac:dyDescent="0.3">
      <c r="U218">
        <v>212</v>
      </c>
      <c r="V218">
        <f t="shared" si="220"/>
        <v>53</v>
      </c>
      <c r="W218">
        <f t="shared" si="221"/>
        <v>4</v>
      </c>
      <c r="X218">
        <f t="shared" si="222"/>
        <v>0</v>
      </c>
      <c r="Y218">
        <f>IF(X218&lt;&gt;1,9999,CHOOSE(W218,INDEX(Gantt!$BQ$7:$BQ$119,V218),INDEX(Gantt!$BR$7:$BR$119,V218),INDEX(Gantt!$BT$7:$BT$119,V218),INDEX(Gantt!$BU$7:$BU$119,V218)))</f>
        <v>9999</v>
      </c>
      <c r="Z218">
        <f t="shared" si="223"/>
        <v>0</v>
      </c>
      <c r="AA218" t="e">
        <f t="shared" si="224"/>
        <v>#N/A</v>
      </c>
      <c r="AB218" t="e">
        <f t="shared" si="225"/>
        <v>#N/A</v>
      </c>
      <c r="AC218" t="e">
        <f t="shared" si="226"/>
        <v>#N/A</v>
      </c>
      <c r="AD218" t="e">
        <f t="shared" si="227"/>
        <v>#N/A</v>
      </c>
      <c r="AE218" t="e">
        <f t="shared" si="228"/>
        <v>#N/A</v>
      </c>
      <c r="AF218" t="e">
        <f t="shared" si="229"/>
        <v>#N/A</v>
      </c>
      <c r="AG218" t="e">
        <f t="shared" si="230"/>
        <v>#N/A</v>
      </c>
      <c r="AH218" t="e">
        <f t="shared" si="231"/>
        <v>#N/A</v>
      </c>
      <c r="AI218" t="e">
        <f t="shared" si="232"/>
        <v>#N/A</v>
      </c>
      <c r="AJ218" t="e">
        <f t="shared" si="233"/>
        <v>#N/A</v>
      </c>
      <c r="AK218" t="e">
        <f t="shared" si="234"/>
        <v>#N/A</v>
      </c>
      <c r="AL218" t="e">
        <f t="shared" si="235"/>
        <v>#N/A</v>
      </c>
      <c r="AM218" t="e">
        <f t="shared" si="236"/>
        <v>#N/A</v>
      </c>
      <c r="AN218" t="e">
        <f t="shared" si="237"/>
        <v>#N/A</v>
      </c>
      <c r="AO218" t="e">
        <f t="shared" si="238"/>
        <v>#N/A</v>
      </c>
      <c r="AP218" t="e">
        <f t="shared" si="239"/>
        <v>#N/A</v>
      </c>
      <c r="AQ218" t="e">
        <f t="shared" si="240"/>
        <v>#N/A</v>
      </c>
      <c r="AR218" t="e">
        <f t="shared" si="241"/>
        <v>#N/A</v>
      </c>
      <c r="AS218" t="e">
        <f t="shared" si="242"/>
        <v>#N/A</v>
      </c>
      <c r="AT218" t="e">
        <f t="shared" si="243"/>
        <v>#N/A</v>
      </c>
      <c r="AU218" t="e">
        <f t="shared" si="244"/>
        <v>#N/A</v>
      </c>
      <c r="AV218" t="e">
        <f t="shared" si="245"/>
        <v>#N/A</v>
      </c>
      <c r="AW218" t="e">
        <f t="shared" si="246"/>
        <v>#N/A</v>
      </c>
      <c r="AX218" t="e">
        <f t="shared" si="247"/>
        <v>#N/A</v>
      </c>
      <c r="AY218" t="e">
        <f t="shared" si="248"/>
        <v>#N/A</v>
      </c>
      <c r="BE218" t="e">
        <f>IF(Z218=1,IF(INDEX($C$7:$C$126,V218)&gt;=Gantt!$BF$6,NA(),MATCH(INDEX($C$7:$C$126,V218),Gantt!$J$6:$BE$6,1)),NA())</f>
        <v>#N/A</v>
      </c>
      <c r="BF218" t="e">
        <f>IF(Z218=1,IF((INDEX($D$7:$D$126,AA218)-1)&gt;=Gantt!$BF$6,NA(),IF((INDEX($D$7:$D$126,AA218)-1)&lt;Gantt!$J$6,0,MATCH((INDEX($D$7:$D$126,AA218)-1),Gantt!$J$6:$BE$6,1))),NA())</f>
        <v>#N/A</v>
      </c>
      <c r="BG218" t="e">
        <f t="shared" si="249"/>
        <v>#N/A</v>
      </c>
      <c r="BH218" t="e">
        <f t="shared" si="250"/>
        <v>#N/A</v>
      </c>
      <c r="BI218" t="e">
        <f t="shared" si="251"/>
        <v>#N/A</v>
      </c>
      <c r="BJ218" t="e">
        <f t="shared" si="252"/>
        <v>#N/A</v>
      </c>
      <c r="BK218" t="e">
        <f t="shared" si="253"/>
        <v>#N/A</v>
      </c>
      <c r="BL218" t="e">
        <f t="shared" si="254"/>
        <v>#N/A</v>
      </c>
      <c r="BM218" t="e">
        <f t="shared" si="255"/>
        <v>#N/A</v>
      </c>
      <c r="BN218" t="e">
        <f t="shared" si="256"/>
        <v>#N/A</v>
      </c>
      <c r="BO218" t="e">
        <f t="shared" si="257"/>
        <v>#N/A</v>
      </c>
      <c r="BP218" t="e">
        <f t="shared" si="258"/>
        <v>#N/A</v>
      </c>
      <c r="BQ218" t="e">
        <f t="shared" si="259"/>
        <v>#N/A</v>
      </c>
      <c r="BR218" t="e">
        <f t="shared" si="260"/>
        <v>#N/A</v>
      </c>
      <c r="BS218" t="e">
        <f t="shared" si="261"/>
        <v>#N/A</v>
      </c>
      <c r="BT218" t="e">
        <f t="shared" si="262"/>
        <v>#N/A</v>
      </c>
      <c r="BU218" t="e">
        <f t="shared" si="263"/>
        <v>#N/A</v>
      </c>
      <c r="BV218" t="e">
        <f t="shared" si="264"/>
        <v>#N/A</v>
      </c>
      <c r="BW218" t="e">
        <f t="shared" si="265"/>
        <v>#N/A</v>
      </c>
      <c r="BX218" t="e">
        <f t="shared" si="266"/>
        <v>#N/A</v>
      </c>
      <c r="BY218" t="e">
        <f t="shared" si="267"/>
        <v>#N/A</v>
      </c>
      <c r="BZ218" t="e">
        <f t="shared" si="268"/>
        <v>#N/A</v>
      </c>
      <c r="CA218" t="e">
        <f t="shared" si="269"/>
        <v>#N/A</v>
      </c>
      <c r="CB218" t="e">
        <f t="shared" si="270"/>
        <v>#N/A</v>
      </c>
      <c r="CC218" t="e">
        <f t="shared" si="271"/>
        <v>#N/A</v>
      </c>
      <c r="CD218" t="e">
        <f t="shared" si="272"/>
        <v>#N/A</v>
      </c>
      <c r="CE218" t="e">
        <f t="shared" si="273"/>
        <v>#N/A</v>
      </c>
      <c r="CF218" t="e">
        <f t="shared" si="274"/>
        <v>#N/A</v>
      </c>
      <c r="CG218" t="e">
        <f t="shared" si="275"/>
        <v>#N/A</v>
      </c>
      <c r="CI218" t="e">
        <f>AP77</f>
        <v>#N/A</v>
      </c>
      <c r="CJ218" t="e">
        <f>AQ77</f>
        <v>#N/A</v>
      </c>
      <c r="CK218">
        <f>IF(ISNUMBER(CI218),IFERROR(MAX(0,AR77-CI218),0),0)</f>
        <v>0</v>
      </c>
      <c r="CL218">
        <f>IF(ISNUMBER(CI218),IFERROR(MAX(0,CI218-AR77),0),0)</f>
        <v>0</v>
      </c>
      <c r="CM218">
        <f>IF(ISNUMBER(CJ218),IFERROR(MAX(0,AS77-CJ218),0),0)</f>
        <v>0</v>
      </c>
      <c r="CN218">
        <f>IF(ISNUMBER(CJ218),IFERROR(MAX(0,CJ218-AS77),0),0)</f>
        <v>0</v>
      </c>
      <c r="CP218" t="e">
        <f>BX77</f>
        <v>#N/A</v>
      </c>
      <c r="CQ218" t="e">
        <f>BY77</f>
        <v>#N/A</v>
      </c>
      <c r="CR218">
        <f>IF(ISNUMBER(CP218),IFERROR(MAX(0,BZ77-CP218),0),0)</f>
        <v>0</v>
      </c>
      <c r="CS218">
        <f>IF(ISNUMBER(CP218),IFERROR(MAX(0,CP218-BZ77),0),0)</f>
        <v>0</v>
      </c>
      <c r="CT218">
        <f>IF(ISNUMBER(CQ218),IFERROR(MAX(0,CA77-CQ218),0),0)</f>
        <v>0</v>
      </c>
      <c r="CU218">
        <f>IF(ISNUMBER(CQ218),IFERROR(MAX(0,CQ218-CA77),0),0)</f>
        <v>0</v>
      </c>
    </row>
    <row r="219" spans="21:99" x14ac:dyDescent="0.3">
      <c r="U219">
        <v>213</v>
      </c>
      <c r="V219">
        <f t="shared" si="220"/>
        <v>54</v>
      </c>
      <c r="W219">
        <f t="shared" si="221"/>
        <v>1</v>
      </c>
      <c r="X219">
        <f t="shared" si="222"/>
        <v>0</v>
      </c>
      <c r="Y219">
        <f>IF(X219&lt;&gt;1,9999,CHOOSE(W219,INDEX(Gantt!$BQ$7:$BQ$119,V219),INDEX(Gantt!$BR$7:$BR$119,V219),INDEX(Gantt!$BT$7:$BT$119,V219),INDEX(Gantt!$BU$7:$BU$119,V219)))</f>
        <v>9999</v>
      </c>
      <c r="Z219">
        <f t="shared" si="223"/>
        <v>0</v>
      </c>
      <c r="AA219" t="e">
        <f t="shared" si="224"/>
        <v>#N/A</v>
      </c>
      <c r="AB219" t="e">
        <f t="shared" si="225"/>
        <v>#N/A</v>
      </c>
      <c r="AC219" t="e">
        <f t="shared" si="226"/>
        <v>#N/A</v>
      </c>
      <c r="AD219" t="e">
        <f t="shared" si="227"/>
        <v>#N/A</v>
      </c>
      <c r="AE219" t="e">
        <f t="shared" si="228"/>
        <v>#N/A</v>
      </c>
      <c r="AF219" t="e">
        <f t="shared" si="229"/>
        <v>#N/A</v>
      </c>
      <c r="AG219" t="e">
        <f t="shared" si="230"/>
        <v>#N/A</v>
      </c>
      <c r="AH219" t="e">
        <f t="shared" si="231"/>
        <v>#N/A</v>
      </c>
      <c r="AI219" t="e">
        <f t="shared" si="232"/>
        <v>#N/A</v>
      </c>
      <c r="AJ219" t="e">
        <f t="shared" si="233"/>
        <v>#N/A</v>
      </c>
      <c r="AK219" t="e">
        <f t="shared" si="234"/>
        <v>#N/A</v>
      </c>
      <c r="AL219" t="e">
        <f t="shared" si="235"/>
        <v>#N/A</v>
      </c>
      <c r="AM219" t="e">
        <f t="shared" si="236"/>
        <v>#N/A</v>
      </c>
      <c r="AN219" t="e">
        <f t="shared" si="237"/>
        <v>#N/A</v>
      </c>
      <c r="AO219" t="e">
        <f t="shared" si="238"/>
        <v>#N/A</v>
      </c>
      <c r="AP219" t="e">
        <f t="shared" si="239"/>
        <v>#N/A</v>
      </c>
      <c r="AQ219" t="e">
        <f t="shared" si="240"/>
        <v>#N/A</v>
      </c>
      <c r="AR219" t="e">
        <f t="shared" si="241"/>
        <v>#N/A</v>
      </c>
      <c r="AS219" t="e">
        <f t="shared" si="242"/>
        <v>#N/A</v>
      </c>
      <c r="AT219" t="e">
        <f t="shared" si="243"/>
        <v>#N/A</v>
      </c>
      <c r="AU219" t="e">
        <f t="shared" si="244"/>
        <v>#N/A</v>
      </c>
      <c r="AV219" t="e">
        <f t="shared" si="245"/>
        <v>#N/A</v>
      </c>
      <c r="AW219" t="e">
        <f t="shared" si="246"/>
        <v>#N/A</v>
      </c>
      <c r="AX219" t="e">
        <f t="shared" si="247"/>
        <v>#N/A</v>
      </c>
      <c r="AY219" t="e">
        <f t="shared" si="248"/>
        <v>#N/A</v>
      </c>
      <c r="BE219" t="e">
        <f>IF(Z219=1,IF(INDEX($C$7:$C$126,V219)&gt;=Gantt!$BF$6,NA(),MATCH(INDEX($C$7:$C$126,V219),Gantt!$J$6:$BE$6,1)),NA())</f>
        <v>#N/A</v>
      </c>
      <c r="BF219" t="e">
        <f>IF(Z219=1,IF((INDEX($D$7:$D$126,AA219)-1)&gt;=Gantt!$BF$6,NA(),IF((INDEX($D$7:$D$126,AA219)-1)&lt;Gantt!$J$6,0,MATCH((INDEX($D$7:$D$126,AA219)-1),Gantt!$J$6:$BE$6,1))),NA())</f>
        <v>#N/A</v>
      </c>
      <c r="BG219" t="e">
        <f t="shared" si="249"/>
        <v>#N/A</v>
      </c>
      <c r="BH219" t="e">
        <f t="shared" si="250"/>
        <v>#N/A</v>
      </c>
      <c r="BI219" t="e">
        <f t="shared" si="251"/>
        <v>#N/A</v>
      </c>
      <c r="BJ219" t="e">
        <f t="shared" si="252"/>
        <v>#N/A</v>
      </c>
      <c r="BK219" t="e">
        <f t="shared" si="253"/>
        <v>#N/A</v>
      </c>
      <c r="BL219" t="e">
        <f t="shared" si="254"/>
        <v>#N/A</v>
      </c>
      <c r="BM219" t="e">
        <f t="shared" si="255"/>
        <v>#N/A</v>
      </c>
      <c r="BN219" t="e">
        <f t="shared" si="256"/>
        <v>#N/A</v>
      </c>
      <c r="BO219" t="e">
        <f t="shared" si="257"/>
        <v>#N/A</v>
      </c>
      <c r="BP219" t="e">
        <f t="shared" si="258"/>
        <v>#N/A</v>
      </c>
      <c r="BQ219" t="e">
        <f t="shared" si="259"/>
        <v>#N/A</v>
      </c>
      <c r="BR219" t="e">
        <f t="shared" si="260"/>
        <v>#N/A</v>
      </c>
      <c r="BS219" t="e">
        <f t="shared" si="261"/>
        <v>#N/A</v>
      </c>
      <c r="BT219" t="e">
        <f t="shared" si="262"/>
        <v>#N/A</v>
      </c>
      <c r="BU219" t="e">
        <f t="shared" si="263"/>
        <v>#N/A</v>
      </c>
      <c r="BV219" t="e">
        <f t="shared" si="264"/>
        <v>#N/A</v>
      </c>
      <c r="BW219" t="e">
        <f t="shared" si="265"/>
        <v>#N/A</v>
      </c>
      <c r="BX219" t="e">
        <f t="shared" si="266"/>
        <v>#N/A</v>
      </c>
      <c r="BY219" t="e">
        <f t="shared" si="267"/>
        <v>#N/A</v>
      </c>
      <c r="BZ219" t="e">
        <f t="shared" si="268"/>
        <v>#N/A</v>
      </c>
      <c r="CA219" t="e">
        <f t="shared" si="269"/>
        <v>#N/A</v>
      </c>
      <c r="CB219" t="e">
        <f t="shared" si="270"/>
        <v>#N/A</v>
      </c>
      <c r="CC219" t="e">
        <f t="shared" si="271"/>
        <v>#N/A</v>
      </c>
      <c r="CD219" t="e">
        <f t="shared" si="272"/>
        <v>#N/A</v>
      </c>
      <c r="CE219" t="e">
        <f t="shared" si="273"/>
        <v>#N/A</v>
      </c>
      <c r="CF219" t="e">
        <f t="shared" si="274"/>
        <v>#N/A</v>
      </c>
      <c r="CG219" t="e">
        <f t="shared" si="275"/>
        <v>#N/A</v>
      </c>
      <c r="CI219" t="e">
        <f>AT77</f>
        <v>#N/A</v>
      </c>
      <c r="CJ219" t="e">
        <f>AU77</f>
        <v>#N/A</v>
      </c>
      <c r="CK219">
        <f>IF(ISNUMBER(CI219),IFERROR(MAX(0,AV77-CI219),0),0)</f>
        <v>0</v>
      </c>
      <c r="CL219">
        <f>IF(ISNUMBER(CI219),IFERROR(MAX(0,CI219-AV77),0),0)</f>
        <v>0</v>
      </c>
      <c r="CM219">
        <f>IF(ISNUMBER(CJ219),IFERROR(MAX(0,AW77-CJ219),0),0)</f>
        <v>0</v>
      </c>
      <c r="CN219">
        <f>IF(ISNUMBER(CJ219),IFERROR(MAX(0,CJ219-AW77),0),0)</f>
        <v>0</v>
      </c>
      <c r="CP219" t="e">
        <f>CB77</f>
        <v>#N/A</v>
      </c>
      <c r="CQ219" t="e">
        <f>CC77</f>
        <v>#N/A</v>
      </c>
      <c r="CR219">
        <f>IF(ISNUMBER(CP219),IFERROR(MAX(0,CD77-CP219),0),0)</f>
        <v>0</v>
      </c>
      <c r="CS219">
        <f>IF(ISNUMBER(CP219),IFERROR(MAX(0,CP219-CD77),0),0)</f>
        <v>0</v>
      </c>
      <c r="CT219">
        <f>IF(ISNUMBER(CQ219),IFERROR(MAX(0,CE77-CQ219),0),0)</f>
        <v>0</v>
      </c>
      <c r="CU219">
        <f>IF(ISNUMBER(CQ219),IFERROR(MAX(0,CQ219-CE77),0),0)</f>
        <v>0</v>
      </c>
    </row>
    <row r="220" spans="21:99" x14ac:dyDescent="0.3">
      <c r="U220">
        <v>214</v>
      </c>
      <c r="V220">
        <f t="shared" si="220"/>
        <v>54</v>
      </c>
      <c r="W220">
        <f t="shared" si="221"/>
        <v>2</v>
      </c>
      <c r="X220">
        <f t="shared" si="222"/>
        <v>0</v>
      </c>
      <c r="Y220">
        <f>IF(X220&lt;&gt;1,9999,CHOOSE(W220,INDEX(Gantt!$BQ$7:$BQ$119,V220),INDEX(Gantt!$BR$7:$BR$119,V220),INDEX(Gantt!$BT$7:$BT$119,V220),INDEX(Gantt!$BU$7:$BU$119,V220)))</f>
        <v>9999</v>
      </c>
      <c r="Z220">
        <f t="shared" si="223"/>
        <v>0</v>
      </c>
      <c r="AA220" t="e">
        <f t="shared" si="224"/>
        <v>#N/A</v>
      </c>
      <c r="AB220" t="e">
        <f t="shared" si="225"/>
        <v>#N/A</v>
      </c>
      <c r="AC220" t="e">
        <f t="shared" si="226"/>
        <v>#N/A</v>
      </c>
      <c r="AD220" t="e">
        <f t="shared" si="227"/>
        <v>#N/A</v>
      </c>
      <c r="AE220" t="e">
        <f t="shared" si="228"/>
        <v>#N/A</v>
      </c>
      <c r="AF220" t="e">
        <f t="shared" si="229"/>
        <v>#N/A</v>
      </c>
      <c r="AG220" t="e">
        <f t="shared" si="230"/>
        <v>#N/A</v>
      </c>
      <c r="AH220" t="e">
        <f t="shared" si="231"/>
        <v>#N/A</v>
      </c>
      <c r="AI220" t="e">
        <f t="shared" si="232"/>
        <v>#N/A</v>
      </c>
      <c r="AJ220" t="e">
        <f t="shared" si="233"/>
        <v>#N/A</v>
      </c>
      <c r="AK220" t="e">
        <f t="shared" si="234"/>
        <v>#N/A</v>
      </c>
      <c r="AL220" t="e">
        <f t="shared" si="235"/>
        <v>#N/A</v>
      </c>
      <c r="AM220" t="e">
        <f t="shared" si="236"/>
        <v>#N/A</v>
      </c>
      <c r="AN220" t="e">
        <f t="shared" si="237"/>
        <v>#N/A</v>
      </c>
      <c r="AO220" t="e">
        <f t="shared" si="238"/>
        <v>#N/A</v>
      </c>
      <c r="AP220" t="e">
        <f t="shared" si="239"/>
        <v>#N/A</v>
      </c>
      <c r="AQ220" t="e">
        <f t="shared" si="240"/>
        <v>#N/A</v>
      </c>
      <c r="AR220" t="e">
        <f t="shared" si="241"/>
        <v>#N/A</v>
      </c>
      <c r="AS220" t="e">
        <f t="shared" si="242"/>
        <v>#N/A</v>
      </c>
      <c r="AT220" t="e">
        <f t="shared" si="243"/>
        <v>#N/A</v>
      </c>
      <c r="AU220" t="e">
        <f t="shared" si="244"/>
        <v>#N/A</v>
      </c>
      <c r="AV220" t="e">
        <f t="shared" si="245"/>
        <v>#N/A</v>
      </c>
      <c r="AW220" t="e">
        <f t="shared" si="246"/>
        <v>#N/A</v>
      </c>
      <c r="AX220" t="e">
        <f t="shared" si="247"/>
        <v>#N/A</v>
      </c>
      <c r="AY220" t="e">
        <f t="shared" si="248"/>
        <v>#N/A</v>
      </c>
      <c r="BE220" t="e">
        <f>IF(Z220=1,IF(INDEX($C$7:$C$126,V220)&gt;=Gantt!$BF$6,NA(),MATCH(INDEX($C$7:$C$126,V220),Gantt!$J$6:$BE$6,1)),NA())</f>
        <v>#N/A</v>
      </c>
      <c r="BF220" t="e">
        <f>IF(Z220=1,IF((INDEX($D$7:$D$126,AA220)-1)&gt;=Gantt!$BF$6,NA(),IF((INDEX($D$7:$D$126,AA220)-1)&lt;Gantt!$J$6,0,MATCH((INDEX($D$7:$D$126,AA220)-1),Gantt!$J$6:$BE$6,1))),NA())</f>
        <v>#N/A</v>
      </c>
      <c r="BG220" t="e">
        <f t="shared" si="249"/>
        <v>#N/A</v>
      </c>
      <c r="BH220" t="e">
        <f t="shared" si="250"/>
        <v>#N/A</v>
      </c>
      <c r="BI220" t="e">
        <f t="shared" si="251"/>
        <v>#N/A</v>
      </c>
      <c r="BJ220" t="e">
        <f t="shared" si="252"/>
        <v>#N/A</v>
      </c>
      <c r="BK220" t="e">
        <f t="shared" si="253"/>
        <v>#N/A</v>
      </c>
      <c r="BL220" t="e">
        <f t="shared" si="254"/>
        <v>#N/A</v>
      </c>
      <c r="BM220" t="e">
        <f t="shared" si="255"/>
        <v>#N/A</v>
      </c>
      <c r="BN220" t="e">
        <f t="shared" si="256"/>
        <v>#N/A</v>
      </c>
      <c r="BO220" t="e">
        <f t="shared" si="257"/>
        <v>#N/A</v>
      </c>
      <c r="BP220" t="e">
        <f t="shared" si="258"/>
        <v>#N/A</v>
      </c>
      <c r="BQ220" t="e">
        <f t="shared" si="259"/>
        <v>#N/A</v>
      </c>
      <c r="BR220" t="e">
        <f t="shared" si="260"/>
        <v>#N/A</v>
      </c>
      <c r="BS220" t="e">
        <f t="shared" si="261"/>
        <v>#N/A</v>
      </c>
      <c r="BT220" t="e">
        <f t="shared" si="262"/>
        <v>#N/A</v>
      </c>
      <c r="BU220" t="e">
        <f t="shared" si="263"/>
        <v>#N/A</v>
      </c>
      <c r="BV220" t="e">
        <f t="shared" si="264"/>
        <v>#N/A</v>
      </c>
      <c r="BW220" t="e">
        <f t="shared" si="265"/>
        <v>#N/A</v>
      </c>
      <c r="BX220" t="e">
        <f t="shared" si="266"/>
        <v>#N/A</v>
      </c>
      <c r="BY220" t="e">
        <f t="shared" si="267"/>
        <v>#N/A</v>
      </c>
      <c r="BZ220" t="e">
        <f t="shared" si="268"/>
        <v>#N/A</v>
      </c>
      <c r="CA220" t="e">
        <f t="shared" si="269"/>
        <v>#N/A</v>
      </c>
      <c r="CB220" t="e">
        <f t="shared" si="270"/>
        <v>#N/A</v>
      </c>
      <c r="CC220" t="e">
        <f t="shared" si="271"/>
        <v>#N/A</v>
      </c>
      <c r="CD220" t="e">
        <f t="shared" si="272"/>
        <v>#N/A</v>
      </c>
      <c r="CE220" t="e">
        <f t="shared" si="273"/>
        <v>#N/A</v>
      </c>
      <c r="CF220" t="e">
        <f t="shared" si="274"/>
        <v>#N/A</v>
      </c>
      <c r="CG220" t="e">
        <f t="shared" si="275"/>
        <v>#N/A</v>
      </c>
      <c r="CI220" t="e">
        <f>AL78</f>
        <v>#N/A</v>
      </c>
      <c r="CJ220" t="e">
        <f>AM78</f>
        <v>#N/A</v>
      </c>
      <c r="CK220">
        <f>IF(ISNUMBER(CI220),IFERROR(MAX(0,AN78-CI220),0),0)</f>
        <v>0</v>
      </c>
      <c r="CL220">
        <f>IF(ISNUMBER(CI220),IFERROR(MAX(0,CI220-AN78),0),0)</f>
        <v>0</v>
      </c>
      <c r="CM220">
        <f>IF(ISNUMBER(CJ220),IFERROR(MAX(0,AO78-CJ220),0),0)</f>
        <v>0</v>
      </c>
      <c r="CN220">
        <f>IF(ISNUMBER(CJ220),IFERROR(MAX(0,CJ220-AO78),0),0)</f>
        <v>0</v>
      </c>
      <c r="CP220" t="e">
        <f>BT78</f>
        <v>#N/A</v>
      </c>
      <c r="CQ220" t="e">
        <f>BU78</f>
        <v>#N/A</v>
      </c>
      <c r="CR220">
        <f>IF(ISNUMBER(CP220),IFERROR(MAX(0,BV78-CP220),0),0)</f>
        <v>0</v>
      </c>
      <c r="CS220">
        <f>IF(ISNUMBER(CP220),IFERROR(MAX(0,CP220-BV78),0),0)</f>
        <v>0</v>
      </c>
      <c r="CT220">
        <f>IF(ISNUMBER(CQ220),IFERROR(MAX(0,BW78-CQ220),0),0)</f>
        <v>0</v>
      </c>
      <c r="CU220">
        <f>IF(ISNUMBER(CQ220),IFERROR(MAX(0,CQ220-BW78),0),0)</f>
        <v>0</v>
      </c>
    </row>
    <row r="221" spans="21:99" x14ac:dyDescent="0.3">
      <c r="U221">
        <v>215</v>
      </c>
      <c r="V221">
        <f t="shared" si="220"/>
        <v>54</v>
      </c>
      <c r="W221">
        <f t="shared" si="221"/>
        <v>3</v>
      </c>
      <c r="X221">
        <f t="shared" si="222"/>
        <v>0</v>
      </c>
      <c r="Y221">
        <f>IF(X221&lt;&gt;1,9999,CHOOSE(W221,INDEX(Gantt!$BQ$7:$BQ$119,V221),INDEX(Gantt!$BR$7:$BR$119,V221),INDEX(Gantt!$BT$7:$BT$119,V221),INDEX(Gantt!$BU$7:$BU$119,V221)))</f>
        <v>9999</v>
      </c>
      <c r="Z221">
        <f t="shared" si="223"/>
        <v>0</v>
      </c>
      <c r="AA221" t="e">
        <f t="shared" si="224"/>
        <v>#N/A</v>
      </c>
      <c r="AB221" t="e">
        <f t="shared" si="225"/>
        <v>#N/A</v>
      </c>
      <c r="AC221" t="e">
        <f t="shared" si="226"/>
        <v>#N/A</v>
      </c>
      <c r="AD221" t="e">
        <f t="shared" si="227"/>
        <v>#N/A</v>
      </c>
      <c r="AE221" t="e">
        <f t="shared" si="228"/>
        <v>#N/A</v>
      </c>
      <c r="AF221" t="e">
        <f t="shared" si="229"/>
        <v>#N/A</v>
      </c>
      <c r="AG221" t="e">
        <f t="shared" si="230"/>
        <v>#N/A</v>
      </c>
      <c r="AH221" t="e">
        <f t="shared" si="231"/>
        <v>#N/A</v>
      </c>
      <c r="AI221" t="e">
        <f t="shared" si="232"/>
        <v>#N/A</v>
      </c>
      <c r="AJ221" t="e">
        <f t="shared" si="233"/>
        <v>#N/A</v>
      </c>
      <c r="AK221" t="e">
        <f t="shared" si="234"/>
        <v>#N/A</v>
      </c>
      <c r="AL221" t="e">
        <f t="shared" si="235"/>
        <v>#N/A</v>
      </c>
      <c r="AM221" t="e">
        <f t="shared" si="236"/>
        <v>#N/A</v>
      </c>
      <c r="AN221" t="e">
        <f t="shared" si="237"/>
        <v>#N/A</v>
      </c>
      <c r="AO221" t="e">
        <f t="shared" si="238"/>
        <v>#N/A</v>
      </c>
      <c r="AP221" t="e">
        <f t="shared" si="239"/>
        <v>#N/A</v>
      </c>
      <c r="AQ221" t="e">
        <f t="shared" si="240"/>
        <v>#N/A</v>
      </c>
      <c r="AR221" t="e">
        <f t="shared" si="241"/>
        <v>#N/A</v>
      </c>
      <c r="AS221" t="e">
        <f t="shared" si="242"/>
        <v>#N/A</v>
      </c>
      <c r="AT221" t="e">
        <f t="shared" si="243"/>
        <v>#N/A</v>
      </c>
      <c r="AU221" t="e">
        <f t="shared" si="244"/>
        <v>#N/A</v>
      </c>
      <c r="AV221" t="e">
        <f t="shared" si="245"/>
        <v>#N/A</v>
      </c>
      <c r="AW221" t="e">
        <f t="shared" si="246"/>
        <v>#N/A</v>
      </c>
      <c r="AX221" t="e">
        <f t="shared" si="247"/>
        <v>#N/A</v>
      </c>
      <c r="AY221" t="e">
        <f t="shared" si="248"/>
        <v>#N/A</v>
      </c>
      <c r="BE221" t="e">
        <f>IF(Z221=1,IF(INDEX($C$7:$C$126,V221)&gt;=Gantt!$BF$6,NA(),MATCH(INDEX($C$7:$C$126,V221),Gantt!$J$6:$BE$6,1)),NA())</f>
        <v>#N/A</v>
      </c>
      <c r="BF221" t="e">
        <f>IF(Z221=1,IF((INDEX($D$7:$D$126,AA221)-1)&gt;=Gantt!$BF$6,NA(),IF((INDEX($D$7:$D$126,AA221)-1)&lt;Gantt!$J$6,0,MATCH((INDEX($D$7:$D$126,AA221)-1),Gantt!$J$6:$BE$6,1))),NA())</f>
        <v>#N/A</v>
      </c>
      <c r="BG221" t="e">
        <f t="shared" si="249"/>
        <v>#N/A</v>
      </c>
      <c r="BH221" t="e">
        <f t="shared" si="250"/>
        <v>#N/A</v>
      </c>
      <c r="BI221" t="e">
        <f t="shared" si="251"/>
        <v>#N/A</v>
      </c>
      <c r="BJ221" t="e">
        <f t="shared" si="252"/>
        <v>#N/A</v>
      </c>
      <c r="BK221" t="e">
        <f t="shared" si="253"/>
        <v>#N/A</v>
      </c>
      <c r="BL221" t="e">
        <f t="shared" si="254"/>
        <v>#N/A</v>
      </c>
      <c r="BM221" t="e">
        <f t="shared" si="255"/>
        <v>#N/A</v>
      </c>
      <c r="BN221" t="e">
        <f t="shared" si="256"/>
        <v>#N/A</v>
      </c>
      <c r="BO221" t="e">
        <f t="shared" si="257"/>
        <v>#N/A</v>
      </c>
      <c r="BP221" t="e">
        <f t="shared" si="258"/>
        <v>#N/A</v>
      </c>
      <c r="BQ221" t="e">
        <f t="shared" si="259"/>
        <v>#N/A</v>
      </c>
      <c r="BR221" t="e">
        <f t="shared" si="260"/>
        <v>#N/A</v>
      </c>
      <c r="BS221" t="e">
        <f t="shared" si="261"/>
        <v>#N/A</v>
      </c>
      <c r="BT221" t="e">
        <f t="shared" si="262"/>
        <v>#N/A</v>
      </c>
      <c r="BU221" t="e">
        <f t="shared" si="263"/>
        <v>#N/A</v>
      </c>
      <c r="BV221" t="e">
        <f t="shared" si="264"/>
        <v>#N/A</v>
      </c>
      <c r="BW221" t="e">
        <f t="shared" si="265"/>
        <v>#N/A</v>
      </c>
      <c r="BX221" t="e">
        <f t="shared" si="266"/>
        <v>#N/A</v>
      </c>
      <c r="BY221" t="e">
        <f t="shared" si="267"/>
        <v>#N/A</v>
      </c>
      <c r="BZ221" t="e">
        <f t="shared" si="268"/>
        <v>#N/A</v>
      </c>
      <c r="CA221" t="e">
        <f t="shared" si="269"/>
        <v>#N/A</v>
      </c>
      <c r="CB221" t="e">
        <f t="shared" si="270"/>
        <v>#N/A</v>
      </c>
      <c r="CC221" t="e">
        <f t="shared" si="271"/>
        <v>#N/A</v>
      </c>
      <c r="CD221" t="e">
        <f t="shared" si="272"/>
        <v>#N/A</v>
      </c>
      <c r="CE221" t="e">
        <f t="shared" si="273"/>
        <v>#N/A</v>
      </c>
      <c r="CF221" t="e">
        <f t="shared" si="274"/>
        <v>#N/A</v>
      </c>
      <c r="CG221" t="e">
        <f t="shared" si="275"/>
        <v>#N/A</v>
      </c>
      <c r="CI221" t="e">
        <f>AP78</f>
        <v>#N/A</v>
      </c>
      <c r="CJ221" t="e">
        <f>AQ78</f>
        <v>#N/A</v>
      </c>
      <c r="CK221">
        <f>IF(ISNUMBER(CI221),IFERROR(MAX(0,AR78-CI221),0),0)</f>
        <v>0</v>
      </c>
      <c r="CL221">
        <f>IF(ISNUMBER(CI221),IFERROR(MAX(0,CI221-AR78),0),0)</f>
        <v>0</v>
      </c>
      <c r="CM221">
        <f>IF(ISNUMBER(CJ221),IFERROR(MAX(0,AS78-CJ221),0),0)</f>
        <v>0</v>
      </c>
      <c r="CN221">
        <f>IF(ISNUMBER(CJ221),IFERROR(MAX(0,CJ221-AS78),0),0)</f>
        <v>0</v>
      </c>
      <c r="CP221" t="e">
        <f>BX78</f>
        <v>#N/A</v>
      </c>
      <c r="CQ221" t="e">
        <f>BY78</f>
        <v>#N/A</v>
      </c>
      <c r="CR221">
        <f>IF(ISNUMBER(CP221),IFERROR(MAX(0,BZ78-CP221),0),0)</f>
        <v>0</v>
      </c>
      <c r="CS221">
        <f>IF(ISNUMBER(CP221),IFERROR(MAX(0,CP221-BZ78),0),0)</f>
        <v>0</v>
      </c>
      <c r="CT221">
        <f>IF(ISNUMBER(CQ221),IFERROR(MAX(0,CA78-CQ221),0),0)</f>
        <v>0</v>
      </c>
      <c r="CU221">
        <f>IF(ISNUMBER(CQ221),IFERROR(MAX(0,CQ221-CA78),0),0)</f>
        <v>0</v>
      </c>
    </row>
    <row r="222" spans="21:99" x14ac:dyDescent="0.3">
      <c r="U222">
        <v>216</v>
      </c>
      <c r="V222">
        <f t="shared" si="220"/>
        <v>54</v>
      </c>
      <c r="W222">
        <f t="shared" si="221"/>
        <v>4</v>
      </c>
      <c r="X222">
        <f t="shared" si="222"/>
        <v>0</v>
      </c>
      <c r="Y222">
        <f>IF(X222&lt;&gt;1,9999,CHOOSE(W222,INDEX(Gantt!$BQ$7:$BQ$119,V222),INDEX(Gantt!$BR$7:$BR$119,V222),INDEX(Gantt!$BT$7:$BT$119,V222),INDEX(Gantt!$BU$7:$BU$119,V222)))</f>
        <v>9999</v>
      </c>
      <c r="Z222">
        <f t="shared" si="223"/>
        <v>0</v>
      </c>
      <c r="AA222" t="e">
        <f t="shared" si="224"/>
        <v>#N/A</v>
      </c>
      <c r="AB222" t="e">
        <f t="shared" si="225"/>
        <v>#N/A</v>
      </c>
      <c r="AC222" t="e">
        <f t="shared" si="226"/>
        <v>#N/A</v>
      </c>
      <c r="AD222" t="e">
        <f t="shared" si="227"/>
        <v>#N/A</v>
      </c>
      <c r="AE222" t="e">
        <f t="shared" si="228"/>
        <v>#N/A</v>
      </c>
      <c r="AF222" t="e">
        <f t="shared" si="229"/>
        <v>#N/A</v>
      </c>
      <c r="AG222" t="e">
        <f t="shared" si="230"/>
        <v>#N/A</v>
      </c>
      <c r="AH222" t="e">
        <f t="shared" si="231"/>
        <v>#N/A</v>
      </c>
      <c r="AI222" t="e">
        <f t="shared" si="232"/>
        <v>#N/A</v>
      </c>
      <c r="AJ222" t="e">
        <f t="shared" si="233"/>
        <v>#N/A</v>
      </c>
      <c r="AK222" t="e">
        <f t="shared" si="234"/>
        <v>#N/A</v>
      </c>
      <c r="AL222" t="e">
        <f t="shared" si="235"/>
        <v>#N/A</v>
      </c>
      <c r="AM222" t="e">
        <f t="shared" si="236"/>
        <v>#N/A</v>
      </c>
      <c r="AN222" t="e">
        <f t="shared" si="237"/>
        <v>#N/A</v>
      </c>
      <c r="AO222" t="e">
        <f t="shared" si="238"/>
        <v>#N/A</v>
      </c>
      <c r="AP222" t="e">
        <f t="shared" si="239"/>
        <v>#N/A</v>
      </c>
      <c r="AQ222" t="e">
        <f t="shared" si="240"/>
        <v>#N/A</v>
      </c>
      <c r="AR222" t="e">
        <f t="shared" si="241"/>
        <v>#N/A</v>
      </c>
      <c r="AS222" t="e">
        <f t="shared" si="242"/>
        <v>#N/A</v>
      </c>
      <c r="AT222" t="e">
        <f t="shared" si="243"/>
        <v>#N/A</v>
      </c>
      <c r="AU222" t="e">
        <f t="shared" si="244"/>
        <v>#N/A</v>
      </c>
      <c r="AV222" t="e">
        <f t="shared" si="245"/>
        <v>#N/A</v>
      </c>
      <c r="AW222" t="e">
        <f t="shared" si="246"/>
        <v>#N/A</v>
      </c>
      <c r="AX222" t="e">
        <f t="shared" si="247"/>
        <v>#N/A</v>
      </c>
      <c r="AY222" t="e">
        <f t="shared" si="248"/>
        <v>#N/A</v>
      </c>
      <c r="BE222" t="e">
        <f>IF(Z222=1,IF(INDEX($C$7:$C$126,V222)&gt;=Gantt!$BF$6,NA(),MATCH(INDEX($C$7:$C$126,V222),Gantt!$J$6:$BE$6,1)),NA())</f>
        <v>#N/A</v>
      </c>
      <c r="BF222" t="e">
        <f>IF(Z222=1,IF((INDEX($D$7:$D$126,AA222)-1)&gt;=Gantt!$BF$6,NA(),IF((INDEX($D$7:$D$126,AA222)-1)&lt;Gantt!$J$6,0,MATCH((INDEX($D$7:$D$126,AA222)-1),Gantt!$J$6:$BE$6,1))),NA())</f>
        <v>#N/A</v>
      </c>
      <c r="BG222" t="e">
        <f t="shared" si="249"/>
        <v>#N/A</v>
      </c>
      <c r="BH222" t="e">
        <f t="shared" si="250"/>
        <v>#N/A</v>
      </c>
      <c r="BI222" t="e">
        <f t="shared" si="251"/>
        <v>#N/A</v>
      </c>
      <c r="BJ222" t="e">
        <f t="shared" si="252"/>
        <v>#N/A</v>
      </c>
      <c r="BK222" t="e">
        <f t="shared" si="253"/>
        <v>#N/A</v>
      </c>
      <c r="BL222" t="e">
        <f t="shared" si="254"/>
        <v>#N/A</v>
      </c>
      <c r="BM222" t="e">
        <f t="shared" si="255"/>
        <v>#N/A</v>
      </c>
      <c r="BN222" t="e">
        <f t="shared" si="256"/>
        <v>#N/A</v>
      </c>
      <c r="BO222" t="e">
        <f t="shared" si="257"/>
        <v>#N/A</v>
      </c>
      <c r="BP222" t="e">
        <f t="shared" si="258"/>
        <v>#N/A</v>
      </c>
      <c r="BQ222" t="e">
        <f t="shared" si="259"/>
        <v>#N/A</v>
      </c>
      <c r="BR222" t="e">
        <f t="shared" si="260"/>
        <v>#N/A</v>
      </c>
      <c r="BS222" t="e">
        <f t="shared" si="261"/>
        <v>#N/A</v>
      </c>
      <c r="BT222" t="e">
        <f t="shared" si="262"/>
        <v>#N/A</v>
      </c>
      <c r="BU222" t="e">
        <f t="shared" si="263"/>
        <v>#N/A</v>
      </c>
      <c r="BV222" t="e">
        <f t="shared" si="264"/>
        <v>#N/A</v>
      </c>
      <c r="BW222" t="e">
        <f t="shared" si="265"/>
        <v>#N/A</v>
      </c>
      <c r="BX222" t="e">
        <f t="shared" si="266"/>
        <v>#N/A</v>
      </c>
      <c r="BY222" t="e">
        <f t="shared" si="267"/>
        <v>#N/A</v>
      </c>
      <c r="BZ222" t="e">
        <f t="shared" si="268"/>
        <v>#N/A</v>
      </c>
      <c r="CA222" t="e">
        <f t="shared" si="269"/>
        <v>#N/A</v>
      </c>
      <c r="CB222" t="e">
        <f t="shared" si="270"/>
        <v>#N/A</v>
      </c>
      <c r="CC222" t="e">
        <f t="shared" si="271"/>
        <v>#N/A</v>
      </c>
      <c r="CD222" t="e">
        <f t="shared" si="272"/>
        <v>#N/A</v>
      </c>
      <c r="CE222" t="e">
        <f t="shared" si="273"/>
        <v>#N/A</v>
      </c>
      <c r="CF222" t="e">
        <f t="shared" si="274"/>
        <v>#N/A</v>
      </c>
      <c r="CG222" t="e">
        <f t="shared" si="275"/>
        <v>#N/A</v>
      </c>
      <c r="CI222" t="e">
        <f>AT78</f>
        <v>#N/A</v>
      </c>
      <c r="CJ222" t="e">
        <f>AU78</f>
        <v>#N/A</v>
      </c>
      <c r="CK222">
        <f>IF(ISNUMBER(CI222),IFERROR(MAX(0,AV78-CI222),0),0)</f>
        <v>0</v>
      </c>
      <c r="CL222">
        <f>IF(ISNUMBER(CI222),IFERROR(MAX(0,CI222-AV78),0),0)</f>
        <v>0</v>
      </c>
      <c r="CM222">
        <f>IF(ISNUMBER(CJ222),IFERROR(MAX(0,AW78-CJ222),0),0)</f>
        <v>0</v>
      </c>
      <c r="CN222">
        <f>IF(ISNUMBER(CJ222),IFERROR(MAX(0,CJ222-AW78),0),0)</f>
        <v>0</v>
      </c>
      <c r="CP222" t="e">
        <f>CB78</f>
        <v>#N/A</v>
      </c>
      <c r="CQ222" t="e">
        <f>CC78</f>
        <v>#N/A</v>
      </c>
      <c r="CR222">
        <f>IF(ISNUMBER(CP222),IFERROR(MAX(0,CD78-CP222),0),0)</f>
        <v>0</v>
      </c>
      <c r="CS222">
        <f>IF(ISNUMBER(CP222),IFERROR(MAX(0,CP222-CD78),0),0)</f>
        <v>0</v>
      </c>
      <c r="CT222">
        <f>IF(ISNUMBER(CQ222),IFERROR(MAX(0,CE78-CQ222),0),0)</f>
        <v>0</v>
      </c>
      <c r="CU222">
        <f>IF(ISNUMBER(CQ222),IFERROR(MAX(0,CQ222-CE78),0),0)</f>
        <v>0</v>
      </c>
    </row>
    <row r="223" spans="21:99" x14ac:dyDescent="0.3">
      <c r="U223">
        <v>217</v>
      </c>
      <c r="V223">
        <f t="shared" si="220"/>
        <v>55</v>
      </c>
      <c r="W223">
        <f t="shared" si="221"/>
        <v>1</v>
      </c>
      <c r="X223">
        <f t="shared" si="222"/>
        <v>0</v>
      </c>
      <c r="Y223">
        <f>IF(X223&lt;&gt;1,9999,CHOOSE(W223,INDEX(Gantt!$BQ$7:$BQ$119,V223),INDEX(Gantt!$BR$7:$BR$119,V223),INDEX(Gantt!$BT$7:$BT$119,V223),INDEX(Gantt!$BU$7:$BU$119,V223)))</f>
        <v>9999</v>
      </c>
      <c r="Z223">
        <f t="shared" si="223"/>
        <v>0</v>
      </c>
      <c r="AA223" t="e">
        <f t="shared" si="224"/>
        <v>#N/A</v>
      </c>
      <c r="AB223" t="e">
        <f t="shared" si="225"/>
        <v>#N/A</v>
      </c>
      <c r="AC223" t="e">
        <f t="shared" si="226"/>
        <v>#N/A</v>
      </c>
      <c r="AD223" t="e">
        <f t="shared" si="227"/>
        <v>#N/A</v>
      </c>
      <c r="AE223" t="e">
        <f t="shared" si="228"/>
        <v>#N/A</v>
      </c>
      <c r="AF223" t="e">
        <f t="shared" si="229"/>
        <v>#N/A</v>
      </c>
      <c r="AG223" t="e">
        <f t="shared" si="230"/>
        <v>#N/A</v>
      </c>
      <c r="AH223" t="e">
        <f t="shared" si="231"/>
        <v>#N/A</v>
      </c>
      <c r="AI223" t="e">
        <f t="shared" si="232"/>
        <v>#N/A</v>
      </c>
      <c r="AJ223" t="e">
        <f t="shared" si="233"/>
        <v>#N/A</v>
      </c>
      <c r="AK223" t="e">
        <f t="shared" si="234"/>
        <v>#N/A</v>
      </c>
      <c r="AL223" t="e">
        <f t="shared" si="235"/>
        <v>#N/A</v>
      </c>
      <c r="AM223" t="e">
        <f t="shared" si="236"/>
        <v>#N/A</v>
      </c>
      <c r="AN223" t="e">
        <f t="shared" si="237"/>
        <v>#N/A</v>
      </c>
      <c r="AO223" t="e">
        <f t="shared" si="238"/>
        <v>#N/A</v>
      </c>
      <c r="AP223" t="e">
        <f t="shared" si="239"/>
        <v>#N/A</v>
      </c>
      <c r="AQ223" t="e">
        <f t="shared" si="240"/>
        <v>#N/A</v>
      </c>
      <c r="AR223" t="e">
        <f t="shared" si="241"/>
        <v>#N/A</v>
      </c>
      <c r="AS223" t="e">
        <f t="shared" si="242"/>
        <v>#N/A</v>
      </c>
      <c r="AT223" t="e">
        <f t="shared" si="243"/>
        <v>#N/A</v>
      </c>
      <c r="AU223" t="e">
        <f t="shared" si="244"/>
        <v>#N/A</v>
      </c>
      <c r="AV223" t="e">
        <f t="shared" si="245"/>
        <v>#N/A</v>
      </c>
      <c r="AW223" t="e">
        <f t="shared" si="246"/>
        <v>#N/A</v>
      </c>
      <c r="AX223" t="e">
        <f t="shared" si="247"/>
        <v>#N/A</v>
      </c>
      <c r="AY223" t="e">
        <f t="shared" si="248"/>
        <v>#N/A</v>
      </c>
      <c r="BE223" t="e">
        <f>IF(Z223=1,IF(INDEX($C$7:$C$126,V223)&gt;=Gantt!$BF$6,NA(),MATCH(INDEX($C$7:$C$126,V223),Gantt!$J$6:$BE$6,1)),NA())</f>
        <v>#N/A</v>
      </c>
      <c r="BF223" t="e">
        <f>IF(Z223=1,IF((INDEX($D$7:$D$126,AA223)-1)&gt;=Gantt!$BF$6,NA(),IF((INDEX($D$7:$D$126,AA223)-1)&lt;Gantt!$J$6,0,MATCH((INDEX($D$7:$D$126,AA223)-1),Gantt!$J$6:$BE$6,1))),NA())</f>
        <v>#N/A</v>
      </c>
      <c r="BG223" t="e">
        <f t="shared" si="249"/>
        <v>#N/A</v>
      </c>
      <c r="BH223" t="e">
        <f t="shared" si="250"/>
        <v>#N/A</v>
      </c>
      <c r="BI223" t="e">
        <f t="shared" si="251"/>
        <v>#N/A</v>
      </c>
      <c r="BJ223" t="e">
        <f t="shared" si="252"/>
        <v>#N/A</v>
      </c>
      <c r="BK223" t="e">
        <f t="shared" si="253"/>
        <v>#N/A</v>
      </c>
      <c r="BL223" t="e">
        <f t="shared" si="254"/>
        <v>#N/A</v>
      </c>
      <c r="BM223" t="e">
        <f t="shared" si="255"/>
        <v>#N/A</v>
      </c>
      <c r="BN223" t="e">
        <f t="shared" si="256"/>
        <v>#N/A</v>
      </c>
      <c r="BO223" t="e">
        <f t="shared" si="257"/>
        <v>#N/A</v>
      </c>
      <c r="BP223" t="e">
        <f t="shared" si="258"/>
        <v>#N/A</v>
      </c>
      <c r="BQ223" t="e">
        <f t="shared" si="259"/>
        <v>#N/A</v>
      </c>
      <c r="BR223" t="e">
        <f t="shared" si="260"/>
        <v>#N/A</v>
      </c>
      <c r="BS223" t="e">
        <f t="shared" si="261"/>
        <v>#N/A</v>
      </c>
      <c r="BT223" t="e">
        <f t="shared" si="262"/>
        <v>#N/A</v>
      </c>
      <c r="BU223" t="e">
        <f t="shared" si="263"/>
        <v>#N/A</v>
      </c>
      <c r="BV223" t="e">
        <f t="shared" si="264"/>
        <v>#N/A</v>
      </c>
      <c r="BW223" t="e">
        <f t="shared" si="265"/>
        <v>#N/A</v>
      </c>
      <c r="BX223" t="e">
        <f t="shared" si="266"/>
        <v>#N/A</v>
      </c>
      <c r="BY223" t="e">
        <f t="shared" si="267"/>
        <v>#N/A</v>
      </c>
      <c r="BZ223" t="e">
        <f t="shared" si="268"/>
        <v>#N/A</v>
      </c>
      <c r="CA223" t="e">
        <f t="shared" si="269"/>
        <v>#N/A</v>
      </c>
      <c r="CB223" t="e">
        <f t="shared" si="270"/>
        <v>#N/A</v>
      </c>
      <c r="CC223" t="e">
        <f t="shared" si="271"/>
        <v>#N/A</v>
      </c>
      <c r="CD223" t="e">
        <f t="shared" si="272"/>
        <v>#N/A</v>
      </c>
      <c r="CE223" t="e">
        <f t="shared" si="273"/>
        <v>#N/A</v>
      </c>
      <c r="CF223" t="e">
        <f t="shared" si="274"/>
        <v>#N/A</v>
      </c>
      <c r="CG223" t="e">
        <f t="shared" si="275"/>
        <v>#N/A</v>
      </c>
      <c r="CI223" t="e">
        <f>AL79</f>
        <v>#N/A</v>
      </c>
      <c r="CJ223" t="e">
        <f>AM79</f>
        <v>#N/A</v>
      </c>
      <c r="CK223">
        <f>IF(ISNUMBER(CI223),IFERROR(MAX(0,AN79-CI223),0),0)</f>
        <v>0</v>
      </c>
      <c r="CL223">
        <f>IF(ISNUMBER(CI223),IFERROR(MAX(0,CI223-AN79),0),0)</f>
        <v>0</v>
      </c>
      <c r="CM223">
        <f>IF(ISNUMBER(CJ223),IFERROR(MAX(0,AO79-CJ223),0),0)</f>
        <v>0</v>
      </c>
      <c r="CN223">
        <f>IF(ISNUMBER(CJ223),IFERROR(MAX(0,CJ223-AO79),0),0)</f>
        <v>0</v>
      </c>
      <c r="CP223" t="e">
        <f>BT79</f>
        <v>#N/A</v>
      </c>
      <c r="CQ223" t="e">
        <f>BU79</f>
        <v>#N/A</v>
      </c>
      <c r="CR223">
        <f>IF(ISNUMBER(CP223),IFERROR(MAX(0,BV79-CP223),0),0)</f>
        <v>0</v>
      </c>
      <c r="CS223">
        <f>IF(ISNUMBER(CP223),IFERROR(MAX(0,CP223-BV79),0),0)</f>
        <v>0</v>
      </c>
      <c r="CT223">
        <f>IF(ISNUMBER(CQ223),IFERROR(MAX(0,BW79-CQ223),0),0)</f>
        <v>0</v>
      </c>
      <c r="CU223">
        <f>IF(ISNUMBER(CQ223),IFERROR(MAX(0,CQ223-BW79),0),0)</f>
        <v>0</v>
      </c>
    </row>
    <row r="224" spans="21:99" x14ac:dyDescent="0.3">
      <c r="U224">
        <v>218</v>
      </c>
      <c r="V224">
        <f t="shared" si="220"/>
        <v>55</v>
      </c>
      <c r="W224">
        <f t="shared" si="221"/>
        <v>2</v>
      </c>
      <c r="X224">
        <f t="shared" si="222"/>
        <v>0</v>
      </c>
      <c r="Y224">
        <f>IF(X224&lt;&gt;1,9999,CHOOSE(W224,INDEX(Gantt!$BQ$7:$BQ$119,V224),INDEX(Gantt!$BR$7:$BR$119,V224),INDEX(Gantt!$BT$7:$BT$119,V224),INDEX(Gantt!$BU$7:$BU$119,V224)))</f>
        <v>9999</v>
      </c>
      <c r="Z224">
        <f t="shared" si="223"/>
        <v>0</v>
      </c>
      <c r="AA224" t="e">
        <f t="shared" si="224"/>
        <v>#N/A</v>
      </c>
      <c r="AB224" t="e">
        <f t="shared" si="225"/>
        <v>#N/A</v>
      </c>
      <c r="AC224" t="e">
        <f t="shared" si="226"/>
        <v>#N/A</v>
      </c>
      <c r="AD224" t="e">
        <f t="shared" si="227"/>
        <v>#N/A</v>
      </c>
      <c r="AE224" t="e">
        <f t="shared" si="228"/>
        <v>#N/A</v>
      </c>
      <c r="AF224" t="e">
        <f t="shared" si="229"/>
        <v>#N/A</v>
      </c>
      <c r="AG224" t="e">
        <f t="shared" si="230"/>
        <v>#N/A</v>
      </c>
      <c r="AH224" t="e">
        <f t="shared" si="231"/>
        <v>#N/A</v>
      </c>
      <c r="AI224" t="e">
        <f t="shared" si="232"/>
        <v>#N/A</v>
      </c>
      <c r="AJ224" t="e">
        <f t="shared" si="233"/>
        <v>#N/A</v>
      </c>
      <c r="AK224" t="e">
        <f t="shared" si="234"/>
        <v>#N/A</v>
      </c>
      <c r="AL224" t="e">
        <f t="shared" si="235"/>
        <v>#N/A</v>
      </c>
      <c r="AM224" t="e">
        <f t="shared" si="236"/>
        <v>#N/A</v>
      </c>
      <c r="AN224" t="e">
        <f t="shared" si="237"/>
        <v>#N/A</v>
      </c>
      <c r="AO224" t="e">
        <f t="shared" si="238"/>
        <v>#N/A</v>
      </c>
      <c r="AP224" t="e">
        <f t="shared" si="239"/>
        <v>#N/A</v>
      </c>
      <c r="AQ224" t="e">
        <f t="shared" si="240"/>
        <v>#N/A</v>
      </c>
      <c r="AR224" t="e">
        <f t="shared" si="241"/>
        <v>#N/A</v>
      </c>
      <c r="AS224" t="e">
        <f t="shared" si="242"/>
        <v>#N/A</v>
      </c>
      <c r="AT224" t="e">
        <f t="shared" si="243"/>
        <v>#N/A</v>
      </c>
      <c r="AU224" t="e">
        <f t="shared" si="244"/>
        <v>#N/A</v>
      </c>
      <c r="AV224" t="e">
        <f t="shared" si="245"/>
        <v>#N/A</v>
      </c>
      <c r="AW224" t="e">
        <f t="shared" si="246"/>
        <v>#N/A</v>
      </c>
      <c r="AX224" t="e">
        <f t="shared" si="247"/>
        <v>#N/A</v>
      </c>
      <c r="AY224" t="e">
        <f t="shared" si="248"/>
        <v>#N/A</v>
      </c>
      <c r="BE224" t="e">
        <f>IF(Z224=1,IF(INDEX($C$7:$C$126,V224)&gt;=Gantt!$BF$6,NA(),MATCH(INDEX($C$7:$C$126,V224),Gantt!$J$6:$BE$6,1)),NA())</f>
        <v>#N/A</v>
      </c>
      <c r="BF224" t="e">
        <f>IF(Z224=1,IF((INDEX($D$7:$D$126,AA224)-1)&gt;=Gantt!$BF$6,NA(),IF((INDEX($D$7:$D$126,AA224)-1)&lt;Gantt!$J$6,0,MATCH((INDEX($D$7:$D$126,AA224)-1),Gantt!$J$6:$BE$6,1))),NA())</f>
        <v>#N/A</v>
      </c>
      <c r="BG224" t="e">
        <f t="shared" si="249"/>
        <v>#N/A</v>
      </c>
      <c r="BH224" t="e">
        <f t="shared" si="250"/>
        <v>#N/A</v>
      </c>
      <c r="BI224" t="e">
        <f t="shared" si="251"/>
        <v>#N/A</v>
      </c>
      <c r="BJ224" t="e">
        <f t="shared" si="252"/>
        <v>#N/A</v>
      </c>
      <c r="BK224" t="e">
        <f t="shared" si="253"/>
        <v>#N/A</v>
      </c>
      <c r="BL224" t="e">
        <f t="shared" si="254"/>
        <v>#N/A</v>
      </c>
      <c r="BM224" t="e">
        <f t="shared" si="255"/>
        <v>#N/A</v>
      </c>
      <c r="BN224" t="e">
        <f t="shared" si="256"/>
        <v>#N/A</v>
      </c>
      <c r="BO224" t="e">
        <f t="shared" si="257"/>
        <v>#N/A</v>
      </c>
      <c r="BP224" t="e">
        <f t="shared" si="258"/>
        <v>#N/A</v>
      </c>
      <c r="BQ224" t="e">
        <f t="shared" si="259"/>
        <v>#N/A</v>
      </c>
      <c r="BR224" t="e">
        <f t="shared" si="260"/>
        <v>#N/A</v>
      </c>
      <c r="BS224" t="e">
        <f t="shared" si="261"/>
        <v>#N/A</v>
      </c>
      <c r="BT224" t="e">
        <f t="shared" si="262"/>
        <v>#N/A</v>
      </c>
      <c r="BU224" t="e">
        <f t="shared" si="263"/>
        <v>#N/A</v>
      </c>
      <c r="BV224" t="e">
        <f t="shared" si="264"/>
        <v>#N/A</v>
      </c>
      <c r="BW224" t="e">
        <f t="shared" si="265"/>
        <v>#N/A</v>
      </c>
      <c r="BX224" t="e">
        <f t="shared" si="266"/>
        <v>#N/A</v>
      </c>
      <c r="BY224" t="e">
        <f t="shared" si="267"/>
        <v>#N/A</v>
      </c>
      <c r="BZ224" t="e">
        <f t="shared" si="268"/>
        <v>#N/A</v>
      </c>
      <c r="CA224" t="e">
        <f t="shared" si="269"/>
        <v>#N/A</v>
      </c>
      <c r="CB224" t="e">
        <f t="shared" si="270"/>
        <v>#N/A</v>
      </c>
      <c r="CC224" t="e">
        <f t="shared" si="271"/>
        <v>#N/A</v>
      </c>
      <c r="CD224" t="e">
        <f t="shared" si="272"/>
        <v>#N/A</v>
      </c>
      <c r="CE224" t="e">
        <f t="shared" si="273"/>
        <v>#N/A</v>
      </c>
      <c r="CF224" t="e">
        <f t="shared" si="274"/>
        <v>#N/A</v>
      </c>
      <c r="CG224" t="e">
        <f t="shared" si="275"/>
        <v>#N/A</v>
      </c>
      <c r="CI224" t="e">
        <f>AP79</f>
        <v>#N/A</v>
      </c>
      <c r="CJ224" t="e">
        <f>AQ79</f>
        <v>#N/A</v>
      </c>
      <c r="CK224">
        <f>IF(ISNUMBER(CI224),IFERROR(MAX(0,AR79-CI224),0),0)</f>
        <v>0</v>
      </c>
      <c r="CL224">
        <f>IF(ISNUMBER(CI224),IFERROR(MAX(0,CI224-AR79),0),0)</f>
        <v>0</v>
      </c>
      <c r="CM224">
        <f>IF(ISNUMBER(CJ224),IFERROR(MAX(0,AS79-CJ224),0),0)</f>
        <v>0</v>
      </c>
      <c r="CN224">
        <f>IF(ISNUMBER(CJ224),IFERROR(MAX(0,CJ224-AS79),0),0)</f>
        <v>0</v>
      </c>
      <c r="CP224" t="e">
        <f>BX79</f>
        <v>#N/A</v>
      </c>
      <c r="CQ224" t="e">
        <f>BY79</f>
        <v>#N/A</v>
      </c>
      <c r="CR224">
        <f>IF(ISNUMBER(CP224),IFERROR(MAX(0,BZ79-CP224),0),0)</f>
        <v>0</v>
      </c>
      <c r="CS224">
        <f>IF(ISNUMBER(CP224),IFERROR(MAX(0,CP224-BZ79),0),0)</f>
        <v>0</v>
      </c>
      <c r="CT224">
        <f>IF(ISNUMBER(CQ224),IFERROR(MAX(0,CA79-CQ224),0),0)</f>
        <v>0</v>
      </c>
      <c r="CU224">
        <f>IF(ISNUMBER(CQ224),IFERROR(MAX(0,CQ224-CA79),0),0)</f>
        <v>0</v>
      </c>
    </row>
    <row r="225" spans="21:99" x14ac:dyDescent="0.3">
      <c r="U225">
        <v>219</v>
      </c>
      <c r="V225">
        <f t="shared" si="220"/>
        <v>55</v>
      </c>
      <c r="W225">
        <f t="shared" si="221"/>
        <v>3</v>
      </c>
      <c r="X225">
        <f t="shared" si="222"/>
        <v>0</v>
      </c>
      <c r="Y225">
        <f>IF(X225&lt;&gt;1,9999,CHOOSE(W225,INDEX(Gantt!$BQ$7:$BQ$119,V225),INDEX(Gantt!$BR$7:$BR$119,V225),INDEX(Gantt!$BT$7:$BT$119,V225),INDEX(Gantt!$BU$7:$BU$119,V225)))</f>
        <v>9999</v>
      </c>
      <c r="Z225">
        <f t="shared" si="223"/>
        <v>0</v>
      </c>
      <c r="AA225" t="e">
        <f t="shared" si="224"/>
        <v>#N/A</v>
      </c>
      <c r="AB225" t="e">
        <f t="shared" si="225"/>
        <v>#N/A</v>
      </c>
      <c r="AC225" t="e">
        <f t="shared" si="226"/>
        <v>#N/A</v>
      </c>
      <c r="AD225" t="e">
        <f t="shared" si="227"/>
        <v>#N/A</v>
      </c>
      <c r="AE225" t="e">
        <f t="shared" si="228"/>
        <v>#N/A</v>
      </c>
      <c r="AF225" t="e">
        <f t="shared" si="229"/>
        <v>#N/A</v>
      </c>
      <c r="AG225" t="e">
        <f t="shared" si="230"/>
        <v>#N/A</v>
      </c>
      <c r="AH225" t="e">
        <f t="shared" si="231"/>
        <v>#N/A</v>
      </c>
      <c r="AI225" t="e">
        <f t="shared" si="232"/>
        <v>#N/A</v>
      </c>
      <c r="AJ225" t="e">
        <f t="shared" si="233"/>
        <v>#N/A</v>
      </c>
      <c r="AK225" t="e">
        <f t="shared" si="234"/>
        <v>#N/A</v>
      </c>
      <c r="AL225" t="e">
        <f t="shared" si="235"/>
        <v>#N/A</v>
      </c>
      <c r="AM225" t="e">
        <f t="shared" si="236"/>
        <v>#N/A</v>
      </c>
      <c r="AN225" t="e">
        <f t="shared" si="237"/>
        <v>#N/A</v>
      </c>
      <c r="AO225" t="e">
        <f t="shared" si="238"/>
        <v>#N/A</v>
      </c>
      <c r="AP225" t="e">
        <f t="shared" si="239"/>
        <v>#N/A</v>
      </c>
      <c r="AQ225" t="e">
        <f t="shared" si="240"/>
        <v>#N/A</v>
      </c>
      <c r="AR225" t="e">
        <f t="shared" si="241"/>
        <v>#N/A</v>
      </c>
      <c r="AS225" t="e">
        <f t="shared" si="242"/>
        <v>#N/A</v>
      </c>
      <c r="AT225" t="e">
        <f t="shared" si="243"/>
        <v>#N/A</v>
      </c>
      <c r="AU225" t="e">
        <f t="shared" si="244"/>
        <v>#N/A</v>
      </c>
      <c r="AV225" t="e">
        <f t="shared" si="245"/>
        <v>#N/A</v>
      </c>
      <c r="AW225" t="e">
        <f t="shared" si="246"/>
        <v>#N/A</v>
      </c>
      <c r="AX225" t="e">
        <f t="shared" si="247"/>
        <v>#N/A</v>
      </c>
      <c r="AY225" t="e">
        <f t="shared" si="248"/>
        <v>#N/A</v>
      </c>
      <c r="BE225" t="e">
        <f>IF(Z225=1,IF(INDEX($C$7:$C$126,V225)&gt;=Gantt!$BF$6,NA(),MATCH(INDEX($C$7:$C$126,V225),Gantt!$J$6:$BE$6,1)),NA())</f>
        <v>#N/A</v>
      </c>
      <c r="BF225" t="e">
        <f>IF(Z225=1,IF((INDEX($D$7:$D$126,AA225)-1)&gt;=Gantt!$BF$6,NA(),IF((INDEX($D$7:$D$126,AA225)-1)&lt;Gantt!$J$6,0,MATCH((INDEX($D$7:$D$126,AA225)-1),Gantt!$J$6:$BE$6,1))),NA())</f>
        <v>#N/A</v>
      </c>
      <c r="BG225" t="e">
        <f t="shared" si="249"/>
        <v>#N/A</v>
      </c>
      <c r="BH225" t="e">
        <f t="shared" si="250"/>
        <v>#N/A</v>
      </c>
      <c r="BI225" t="e">
        <f t="shared" si="251"/>
        <v>#N/A</v>
      </c>
      <c r="BJ225" t="e">
        <f t="shared" si="252"/>
        <v>#N/A</v>
      </c>
      <c r="BK225" t="e">
        <f t="shared" si="253"/>
        <v>#N/A</v>
      </c>
      <c r="BL225" t="e">
        <f t="shared" si="254"/>
        <v>#N/A</v>
      </c>
      <c r="BM225" t="e">
        <f t="shared" si="255"/>
        <v>#N/A</v>
      </c>
      <c r="BN225" t="e">
        <f t="shared" si="256"/>
        <v>#N/A</v>
      </c>
      <c r="BO225" t="e">
        <f t="shared" si="257"/>
        <v>#N/A</v>
      </c>
      <c r="BP225" t="e">
        <f t="shared" si="258"/>
        <v>#N/A</v>
      </c>
      <c r="BQ225" t="e">
        <f t="shared" si="259"/>
        <v>#N/A</v>
      </c>
      <c r="BR225" t="e">
        <f t="shared" si="260"/>
        <v>#N/A</v>
      </c>
      <c r="BS225" t="e">
        <f t="shared" si="261"/>
        <v>#N/A</v>
      </c>
      <c r="BT225" t="e">
        <f t="shared" si="262"/>
        <v>#N/A</v>
      </c>
      <c r="BU225" t="e">
        <f t="shared" si="263"/>
        <v>#N/A</v>
      </c>
      <c r="BV225" t="e">
        <f t="shared" si="264"/>
        <v>#N/A</v>
      </c>
      <c r="BW225" t="e">
        <f t="shared" si="265"/>
        <v>#N/A</v>
      </c>
      <c r="BX225" t="e">
        <f t="shared" si="266"/>
        <v>#N/A</v>
      </c>
      <c r="BY225" t="e">
        <f t="shared" si="267"/>
        <v>#N/A</v>
      </c>
      <c r="BZ225" t="e">
        <f t="shared" si="268"/>
        <v>#N/A</v>
      </c>
      <c r="CA225" t="e">
        <f t="shared" si="269"/>
        <v>#N/A</v>
      </c>
      <c r="CB225" t="e">
        <f t="shared" si="270"/>
        <v>#N/A</v>
      </c>
      <c r="CC225" t="e">
        <f t="shared" si="271"/>
        <v>#N/A</v>
      </c>
      <c r="CD225" t="e">
        <f t="shared" si="272"/>
        <v>#N/A</v>
      </c>
      <c r="CE225" t="e">
        <f t="shared" si="273"/>
        <v>#N/A</v>
      </c>
      <c r="CF225" t="e">
        <f t="shared" si="274"/>
        <v>#N/A</v>
      </c>
      <c r="CG225" t="e">
        <f t="shared" si="275"/>
        <v>#N/A</v>
      </c>
      <c r="CI225" t="e">
        <f>AT79</f>
        <v>#N/A</v>
      </c>
      <c r="CJ225" t="e">
        <f>AU79</f>
        <v>#N/A</v>
      </c>
      <c r="CK225">
        <f>IF(ISNUMBER(CI225),IFERROR(MAX(0,AV79-CI225),0),0)</f>
        <v>0</v>
      </c>
      <c r="CL225">
        <f>IF(ISNUMBER(CI225),IFERROR(MAX(0,CI225-AV79),0),0)</f>
        <v>0</v>
      </c>
      <c r="CM225">
        <f>IF(ISNUMBER(CJ225),IFERROR(MAX(0,AW79-CJ225),0),0)</f>
        <v>0</v>
      </c>
      <c r="CN225">
        <f>IF(ISNUMBER(CJ225),IFERROR(MAX(0,CJ225-AW79),0),0)</f>
        <v>0</v>
      </c>
      <c r="CP225" t="e">
        <f>CB79</f>
        <v>#N/A</v>
      </c>
      <c r="CQ225" t="e">
        <f>CC79</f>
        <v>#N/A</v>
      </c>
      <c r="CR225">
        <f>IF(ISNUMBER(CP225),IFERROR(MAX(0,CD79-CP225),0),0)</f>
        <v>0</v>
      </c>
      <c r="CS225">
        <f>IF(ISNUMBER(CP225),IFERROR(MAX(0,CP225-CD79),0),0)</f>
        <v>0</v>
      </c>
      <c r="CT225">
        <f>IF(ISNUMBER(CQ225),IFERROR(MAX(0,CE79-CQ225),0),0)</f>
        <v>0</v>
      </c>
      <c r="CU225">
        <f>IF(ISNUMBER(CQ225),IFERROR(MAX(0,CQ225-CE79),0),0)</f>
        <v>0</v>
      </c>
    </row>
    <row r="226" spans="21:99" x14ac:dyDescent="0.3">
      <c r="U226">
        <v>220</v>
      </c>
      <c r="V226">
        <f t="shared" si="220"/>
        <v>55</v>
      </c>
      <c r="W226">
        <f t="shared" si="221"/>
        <v>4</v>
      </c>
      <c r="X226">
        <f t="shared" si="222"/>
        <v>0</v>
      </c>
      <c r="Y226">
        <f>IF(X226&lt;&gt;1,9999,CHOOSE(W226,INDEX(Gantt!$BQ$7:$BQ$119,V226),INDEX(Gantt!$BR$7:$BR$119,V226),INDEX(Gantt!$BT$7:$BT$119,V226),INDEX(Gantt!$BU$7:$BU$119,V226)))</f>
        <v>9999</v>
      </c>
      <c r="Z226">
        <f t="shared" si="223"/>
        <v>0</v>
      </c>
      <c r="AA226" t="e">
        <f t="shared" si="224"/>
        <v>#N/A</v>
      </c>
      <c r="AB226" t="e">
        <f t="shared" si="225"/>
        <v>#N/A</v>
      </c>
      <c r="AC226" t="e">
        <f t="shared" si="226"/>
        <v>#N/A</v>
      </c>
      <c r="AD226" t="e">
        <f t="shared" si="227"/>
        <v>#N/A</v>
      </c>
      <c r="AE226" t="e">
        <f t="shared" si="228"/>
        <v>#N/A</v>
      </c>
      <c r="AF226" t="e">
        <f t="shared" si="229"/>
        <v>#N/A</v>
      </c>
      <c r="AG226" t="e">
        <f t="shared" si="230"/>
        <v>#N/A</v>
      </c>
      <c r="AH226" t="e">
        <f t="shared" si="231"/>
        <v>#N/A</v>
      </c>
      <c r="AI226" t="e">
        <f t="shared" si="232"/>
        <v>#N/A</v>
      </c>
      <c r="AJ226" t="e">
        <f t="shared" si="233"/>
        <v>#N/A</v>
      </c>
      <c r="AK226" t="e">
        <f t="shared" si="234"/>
        <v>#N/A</v>
      </c>
      <c r="AL226" t="e">
        <f t="shared" si="235"/>
        <v>#N/A</v>
      </c>
      <c r="AM226" t="e">
        <f t="shared" si="236"/>
        <v>#N/A</v>
      </c>
      <c r="AN226" t="e">
        <f t="shared" si="237"/>
        <v>#N/A</v>
      </c>
      <c r="AO226" t="e">
        <f t="shared" si="238"/>
        <v>#N/A</v>
      </c>
      <c r="AP226" t="e">
        <f t="shared" si="239"/>
        <v>#N/A</v>
      </c>
      <c r="AQ226" t="e">
        <f t="shared" si="240"/>
        <v>#N/A</v>
      </c>
      <c r="AR226" t="e">
        <f t="shared" si="241"/>
        <v>#N/A</v>
      </c>
      <c r="AS226" t="e">
        <f t="shared" si="242"/>
        <v>#N/A</v>
      </c>
      <c r="AT226" t="e">
        <f t="shared" si="243"/>
        <v>#N/A</v>
      </c>
      <c r="AU226" t="e">
        <f t="shared" si="244"/>
        <v>#N/A</v>
      </c>
      <c r="AV226" t="e">
        <f t="shared" si="245"/>
        <v>#N/A</v>
      </c>
      <c r="AW226" t="e">
        <f t="shared" si="246"/>
        <v>#N/A</v>
      </c>
      <c r="AX226" t="e">
        <f t="shared" si="247"/>
        <v>#N/A</v>
      </c>
      <c r="AY226" t="e">
        <f t="shared" si="248"/>
        <v>#N/A</v>
      </c>
      <c r="BE226" t="e">
        <f>IF(Z226=1,IF(INDEX($C$7:$C$126,V226)&gt;=Gantt!$BF$6,NA(),MATCH(INDEX($C$7:$C$126,V226),Gantt!$J$6:$BE$6,1)),NA())</f>
        <v>#N/A</v>
      </c>
      <c r="BF226" t="e">
        <f>IF(Z226=1,IF((INDEX($D$7:$D$126,AA226)-1)&gt;=Gantt!$BF$6,NA(),IF((INDEX($D$7:$D$126,AA226)-1)&lt;Gantt!$J$6,0,MATCH((INDEX($D$7:$D$126,AA226)-1),Gantt!$J$6:$BE$6,1))),NA())</f>
        <v>#N/A</v>
      </c>
      <c r="BG226" t="e">
        <f t="shared" si="249"/>
        <v>#N/A</v>
      </c>
      <c r="BH226" t="e">
        <f t="shared" si="250"/>
        <v>#N/A</v>
      </c>
      <c r="BI226" t="e">
        <f t="shared" si="251"/>
        <v>#N/A</v>
      </c>
      <c r="BJ226" t="e">
        <f t="shared" si="252"/>
        <v>#N/A</v>
      </c>
      <c r="BK226" t="e">
        <f t="shared" si="253"/>
        <v>#N/A</v>
      </c>
      <c r="BL226" t="e">
        <f t="shared" si="254"/>
        <v>#N/A</v>
      </c>
      <c r="BM226" t="e">
        <f t="shared" si="255"/>
        <v>#N/A</v>
      </c>
      <c r="BN226" t="e">
        <f t="shared" si="256"/>
        <v>#N/A</v>
      </c>
      <c r="BO226" t="e">
        <f t="shared" si="257"/>
        <v>#N/A</v>
      </c>
      <c r="BP226" t="e">
        <f t="shared" si="258"/>
        <v>#N/A</v>
      </c>
      <c r="BQ226" t="e">
        <f t="shared" si="259"/>
        <v>#N/A</v>
      </c>
      <c r="BR226" t="e">
        <f t="shared" si="260"/>
        <v>#N/A</v>
      </c>
      <c r="BS226" t="e">
        <f t="shared" si="261"/>
        <v>#N/A</v>
      </c>
      <c r="BT226" t="e">
        <f t="shared" si="262"/>
        <v>#N/A</v>
      </c>
      <c r="BU226" t="e">
        <f t="shared" si="263"/>
        <v>#N/A</v>
      </c>
      <c r="BV226" t="e">
        <f t="shared" si="264"/>
        <v>#N/A</v>
      </c>
      <c r="BW226" t="e">
        <f t="shared" si="265"/>
        <v>#N/A</v>
      </c>
      <c r="BX226" t="e">
        <f t="shared" si="266"/>
        <v>#N/A</v>
      </c>
      <c r="BY226" t="e">
        <f t="shared" si="267"/>
        <v>#N/A</v>
      </c>
      <c r="BZ226" t="e">
        <f t="shared" si="268"/>
        <v>#N/A</v>
      </c>
      <c r="CA226" t="e">
        <f t="shared" si="269"/>
        <v>#N/A</v>
      </c>
      <c r="CB226" t="e">
        <f t="shared" si="270"/>
        <v>#N/A</v>
      </c>
      <c r="CC226" t="e">
        <f t="shared" si="271"/>
        <v>#N/A</v>
      </c>
      <c r="CD226" t="e">
        <f t="shared" si="272"/>
        <v>#N/A</v>
      </c>
      <c r="CE226" t="e">
        <f t="shared" si="273"/>
        <v>#N/A</v>
      </c>
      <c r="CF226" t="e">
        <f t="shared" si="274"/>
        <v>#N/A</v>
      </c>
      <c r="CG226" t="e">
        <f t="shared" si="275"/>
        <v>#N/A</v>
      </c>
      <c r="CI226" t="e">
        <f>AL80</f>
        <v>#N/A</v>
      </c>
      <c r="CJ226" t="e">
        <f>AM80</f>
        <v>#N/A</v>
      </c>
      <c r="CK226">
        <f>IF(ISNUMBER(CI226),IFERROR(MAX(0,AN80-CI226),0),0)</f>
        <v>0</v>
      </c>
      <c r="CL226">
        <f>IF(ISNUMBER(CI226),IFERROR(MAX(0,CI226-AN80),0),0)</f>
        <v>0</v>
      </c>
      <c r="CM226">
        <f>IF(ISNUMBER(CJ226),IFERROR(MAX(0,AO80-CJ226),0),0)</f>
        <v>0</v>
      </c>
      <c r="CN226">
        <f>IF(ISNUMBER(CJ226),IFERROR(MAX(0,CJ226-AO80),0),0)</f>
        <v>0</v>
      </c>
      <c r="CP226" t="e">
        <f>BT80</f>
        <v>#N/A</v>
      </c>
      <c r="CQ226" t="e">
        <f>BU80</f>
        <v>#N/A</v>
      </c>
      <c r="CR226">
        <f>IF(ISNUMBER(CP226),IFERROR(MAX(0,BV80-CP226),0),0)</f>
        <v>0</v>
      </c>
      <c r="CS226">
        <f>IF(ISNUMBER(CP226),IFERROR(MAX(0,CP226-BV80),0),0)</f>
        <v>0</v>
      </c>
      <c r="CT226">
        <f>IF(ISNUMBER(CQ226),IFERROR(MAX(0,BW80-CQ226),0),0)</f>
        <v>0</v>
      </c>
      <c r="CU226">
        <f>IF(ISNUMBER(CQ226),IFERROR(MAX(0,CQ226-BW80),0),0)</f>
        <v>0</v>
      </c>
    </row>
    <row r="227" spans="21:99" x14ac:dyDescent="0.3">
      <c r="U227">
        <v>221</v>
      </c>
      <c r="V227">
        <f t="shared" si="220"/>
        <v>56</v>
      </c>
      <c r="W227">
        <f t="shared" si="221"/>
        <v>1</v>
      </c>
      <c r="X227">
        <f t="shared" si="222"/>
        <v>0</v>
      </c>
      <c r="Y227">
        <f>IF(X227&lt;&gt;1,9999,CHOOSE(W227,INDEX(Gantt!$BQ$7:$BQ$119,V227),INDEX(Gantt!$BR$7:$BR$119,V227),INDEX(Gantt!$BT$7:$BT$119,V227),INDEX(Gantt!$BU$7:$BU$119,V227)))</f>
        <v>9999</v>
      </c>
      <c r="Z227">
        <f t="shared" si="223"/>
        <v>0</v>
      </c>
      <c r="AA227" t="e">
        <f t="shared" si="224"/>
        <v>#N/A</v>
      </c>
      <c r="AB227" t="e">
        <f t="shared" si="225"/>
        <v>#N/A</v>
      </c>
      <c r="AC227" t="e">
        <f t="shared" si="226"/>
        <v>#N/A</v>
      </c>
      <c r="AD227" t="e">
        <f t="shared" si="227"/>
        <v>#N/A</v>
      </c>
      <c r="AE227" t="e">
        <f t="shared" si="228"/>
        <v>#N/A</v>
      </c>
      <c r="AF227" t="e">
        <f t="shared" si="229"/>
        <v>#N/A</v>
      </c>
      <c r="AG227" t="e">
        <f t="shared" si="230"/>
        <v>#N/A</v>
      </c>
      <c r="AH227" t="e">
        <f t="shared" si="231"/>
        <v>#N/A</v>
      </c>
      <c r="AI227" t="e">
        <f t="shared" si="232"/>
        <v>#N/A</v>
      </c>
      <c r="AJ227" t="e">
        <f t="shared" si="233"/>
        <v>#N/A</v>
      </c>
      <c r="AK227" t="e">
        <f t="shared" si="234"/>
        <v>#N/A</v>
      </c>
      <c r="AL227" t="e">
        <f t="shared" si="235"/>
        <v>#N/A</v>
      </c>
      <c r="AM227" t="e">
        <f t="shared" si="236"/>
        <v>#N/A</v>
      </c>
      <c r="AN227" t="e">
        <f t="shared" si="237"/>
        <v>#N/A</v>
      </c>
      <c r="AO227" t="e">
        <f t="shared" si="238"/>
        <v>#N/A</v>
      </c>
      <c r="AP227" t="e">
        <f t="shared" si="239"/>
        <v>#N/A</v>
      </c>
      <c r="AQ227" t="e">
        <f t="shared" si="240"/>
        <v>#N/A</v>
      </c>
      <c r="AR227" t="e">
        <f t="shared" si="241"/>
        <v>#N/A</v>
      </c>
      <c r="AS227" t="e">
        <f t="shared" si="242"/>
        <v>#N/A</v>
      </c>
      <c r="AT227" t="e">
        <f t="shared" si="243"/>
        <v>#N/A</v>
      </c>
      <c r="AU227" t="e">
        <f t="shared" si="244"/>
        <v>#N/A</v>
      </c>
      <c r="AV227" t="e">
        <f t="shared" si="245"/>
        <v>#N/A</v>
      </c>
      <c r="AW227" t="e">
        <f t="shared" si="246"/>
        <v>#N/A</v>
      </c>
      <c r="AX227" t="e">
        <f t="shared" si="247"/>
        <v>#N/A</v>
      </c>
      <c r="AY227" t="e">
        <f t="shared" si="248"/>
        <v>#N/A</v>
      </c>
      <c r="BE227" t="e">
        <f>IF(Z227=1,IF(INDEX($C$7:$C$126,V227)&gt;=Gantt!$BF$6,NA(),MATCH(INDEX($C$7:$C$126,V227),Gantt!$J$6:$BE$6,1)),NA())</f>
        <v>#N/A</v>
      </c>
      <c r="BF227" t="e">
        <f>IF(Z227=1,IF((INDEX($D$7:$D$126,AA227)-1)&gt;=Gantt!$BF$6,NA(),IF((INDEX($D$7:$D$126,AA227)-1)&lt;Gantt!$J$6,0,MATCH((INDEX($D$7:$D$126,AA227)-1),Gantt!$J$6:$BE$6,1))),NA())</f>
        <v>#N/A</v>
      </c>
      <c r="BG227" t="e">
        <f t="shared" si="249"/>
        <v>#N/A</v>
      </c>
      <c r="BH227" t="e">
        <f t="shared" si="250"/>
        <v>#N/A</v>
      </c>
      <c r="BI227" t="e">
        <f t="shared" si="251"/>
        <v>#N/A</v>
      </c>
      <c r="BJ227" t="e">
        <f t="shared" si="252"/>
        <v>#N/A</v>
      </c>
      <c r="BK227" t="e">
        <f t="shared" si="253"/>
        <v>#N/A</v>
      </c>
      <c r="BL227" t="e">
        <f t="shared" si="254"/>
        <v>#N/A</v>
      </c>
      <c r="BM227" t="e">
        <f t="shared" si="255"/>
        <v>#N/A</v>
      </c>
      <c r="BN227" t="e">
        <f t="shared" si="256"/>
        <v>#N/A</v>
      </c>
      <c r="BO227" t="e">
        <f t="shared" si="257"/>
        <v>#N/A</v>
      </c>
      <c r="BP227" t="e">
        <f t="shared" si="258"/>
        <v>#N/A</v>
      </c>
      <c r="BQ227" t="e">
        <f t="shared" si="259"/>
        <v>#N/A</v>
      </c>
      <c r="BR227" t="e">
        <f t="shared" si="260"/>
        <v>#N/A</v>
      </c>
      <c r="BS227" t="e">
        <f t="shared" si="261"/>
        <v>#N/A</v>
      </c>
      <c r="BT227" t="e">
        <f t="shared" si="262"/>
        <v>#N/A</v>
      </c>
      <c r="BU227" t="e">
        <f t="shared" si="263"/>
        <v>#N/A</v>
      </c>
      <c r="BV227" t="e">
        <f t="shared" si="264"/>
        <v>#N/A</v>
      </c>
      <c r="BW227" t="e">
        <f t="shared" si="265"/>
        <v>#N/A</v>
      </c>
      <c r="BX227" t="e">
        <f t="shared" si="266"/>
        <v>#N/A</v>
      </c>
      <c r="BY227" t="e">
        <f t="shared" si="267"/>
        <v>#N/A</v>
      </c>
      <c r="BZ227" t="e">
        <f t="shared" si="268"/>
        <v>#N/A</v>
      </c>
      <c r="CA227" t="e">
        <f t="shared" si="269"/>
        <v>#N/A</v>
      </c>
      <c r="CB227" t="e">
        <f t="shared" si="270"/>
        <v>#N/A</v>
      </c>
      <c r="CC227" t="e">
        <f t="shared" si="271"/>
        <v>#N/A</v>
      </c>
      <c r="CD227" t="e">
        <f t="shared" si="272"/>
        <v>#N/A</v>
      </c>
      <c r="CE227" t="e">
        <f t="shared" si="273"/>
        <v>#N/A</v>
      </c>
      <c r="CF227" t="e">
        <f t="shared" si="274"/>
        <v>#N/A</v>
      </c>
      <c r="CG227" t="e">
        <f t="shared" si="275"/>
        <v>#N/A</v>
      </c>
      <c r="CI227" t="e">
        <f>AP80</f>
        <v>#N/A</v>
      </c>
      <c r="CJ227" t="e">
        <f>AQ80</f>
        <v>#N/A</v>
      </c>
      <c r="CK227">
        <f>IF(ISNUMBER(CI227),IFERROR(MAX(0,AR80-CI227),0),0)</f>
        <v>0</v>
      </c>
      <c r="CL227">
        <f>IF(ISNUMBER(CI227),IFERROR(MAX(0,CI227-AR80),0),0)</f>
        <v>0</v>
      </c>
      <c r="CM227">
        <f>IF(ISNUMBER(CJ227),IFERROR(MAX(0,AS80-CJ227),0),0)</f>
        <v>0</v>
      </c>
      <c r="CN227">
        <f>IF(ISNUMBER(CJ227),IFERROR(MAX(0,CJ227-AS80),0),0)</f>
        <v>0</v>
      </c>
      <c r="CP227" t="e">
        <f>BX80</f>
        <v>#N/A</v>
      </c>
      <c r="CQ227" t="e">
        <f>BY80</f>
        <v>#N/A</v>
      </c>
      <c r="CR227">
        <f>IF(ISNUMBER(CP227),IFERROR(MAX(0,BZ80-CP227),0),0)</f>
        <v>0</v>
      </c>
      <c r="CS227">
        <f>IF(ISNUMBER(CP227),IFERROR(MAX(0,CP227-BZ80),0),0)</f>
        <v>0</v>
      </c>
      <c r="CT227">
        <f>IF(ISNUMBER(CQ227),IFERROR(MAX(0,CA80-CQ227),0),0)</f>
        <v>0</v>
      </c>
      <c r="CU227">
        <f>IF(ISNUMBER(CQ227),IFERROR(MAX(0,CQ227-CA80),0),0)</f>
        <v>0</v>
      </c>
    </row>
    <row r="228" spans="21:99" x14ac:dyDescent="0.3">
      <c r="U228">
        <v>222</v>
      </c>
      <c r="V228">
        <f t="shared" si="220"/>
        <v>56</v>
      </c>
      <c r="W228">
        <f t="shared" si="221"/>
        <v>2</v>
      </c>
      <c r="X228">
        <f t="shared" si="222"/>
        <v>0</v>
      </c>
      <c r="Y228">
        <f>IF(X228&lt;&gt;1,9999,CHOOSE(W228,INDEX(Gantt!$BQ$7:$BQ$119,V228),INDEX(Gantt!$BR$7:$BR$119,V228),INDEX(Gantt!$BT$7:$BT$119,V228),INDEX(Gantt!$BU$7:$BU$119,V228)))</f>
        <v>9999</v>
      </c>
      <c r="Z228">
        <f t="shared" si="223"/>
        <v>0</v>
      </c>
      <c r="AA228" t="e">
        <f t="shared" si="224"/>
        <v>#N/A</v>
      </c>
      <c r="AB228" t="e">
        <f t="shared" si="225"/>
        <v>#N/A</v>
      </c>
      <c r="AC228" t="e">
        <f t="shared" si="226"/>
        <v>#N/A</v>
      </c>
      <c r="AD228" t="e">
        <f t="shared" si="227"/>
        <v>#N/A</v>
      </c>
      <c r="AE228" t="e">
        <f t="shared" si="228"/>
        <v>#N/A</v>
      </c>
      <c r="AF228" t="e">
        <f t="shared" si="229"/>
        <v>#N/A</v>
      </c>
      <c r="AG228" t="e">
        <f t="shared" si="230"/>
        <v>#N/A</v>
      </c>
      <c r="AH228" t="e">
        <f t="shared" si="231"/>
        <v>#N/A</v>
      </c>
      <c r="AI228" t="e">
        <f t="shared" si="232"/>
        <v>#N/A</v>
      </c>
      <c r="AJ228" t="e">
        <f t="shared" si="233"/>
        <v>#N/A</v>
      </c>
      <c r="AK228" t="e">
        <f t="shared" si="234"/>
        <v>#N/A</v>
      </c>
      <c r="AL228" t="e">
        <f t="shared" si="235"/>
        <v>#N/A</v>
      </c>
      <c r="AM228" t="e">
        <f t="shared" si="236"/>
        <v>#N/A</v>
      </c>
      <c r="AN228" t="e">
        <f t="shared" si="237"/>
        <v>#N/A</v>
      </c>
      <c r="AO228" t="e">
        <f t="shared" si="238"/>
        <v>#N/A</v>
      </c>
      <c r="AP228" t="e">
        <f t="shared" si="239"/>
        <v>#N/A</v>
      </c>
      <c r="AQ228" t="e">
        <f t="shared" si="240"/>
        <v>#N/A</v>
      </c>
      <c r="AR228" t="e">
        <f t="shared" si="241"/>
        <v>#N/A</v>
      </c>
      <c r="AS228" t="e">
        <f t="shared" si="242"/>
        <v>#N/A</v>
      </c>
      <c r="AT228" t="e">
        <f t="shared" si="243"/>
        <v>#N/A</v>
      </c>
      <c r="AU228" t="e">
        <f t="shared" si="244"/>
        <v>#N/A</v>
      </c>
      <c r="AV228" t="e">
        <f t="shared" si="245"/>
        <v>#N/A</v>
      </c>
      <c r="AW228" t="e">
        <f t="shared" si="246"/>
        <v>#N/A</v>
      </c>
      <c r="AX228" t="e">
        <f t="shared" si="247"/>
        <v>#N/A</v>
      </c>
      <c r="AY228" t="e">
        <f t="shared" si="248"/>
        <v>#N/A</v>
      </c>
      <c r="BE228" t="e">
        <f>IF(Z228=1,IF(INDEX($C$7:$C$126,V228)&gt;=Gantt!$BF$6,NA(),MATCH(INDEX($C$7:$C$126,V228),Gantt!$J$6:$BE$6,1)),NA())</f>
        <v>#N/A</v>
      </c>
      <c r="BF228" t="e">
        <f>IF(Z228=1,IF((INDEX($D$7:$D$126,AA228)-1)&gt;=Gantt!$BF$6,NA(),IF((INDEX($D$7:$D$126,AA228)-1)&lt;Gantt!$J$6,0,MATCH((INDEX($D$7:$D$126,AA228)-1),Gantt!$J$6:$BE$6,1))),NA())</f>
        <v>#N/A</v>
      </c>
      <c r="BG228" t="e">
        <f t="shared" si="249"/>
        <v>#N/A</v>
      </c>
      <c r="BH228" t="e">
        <f t="shared" si="250"/>
        <v>#N/A</v>
      </c>
      <c r="BI228" t="e">
        <f t="shared" si="251"/>
        <v>#N/A</v>
      </c>
      <c r="BJ228" t="e">
        <f t="shared" si="252"/>
        <v>#N/A</v>
      </c>
      <c r="BK228" t="e">
        <f t="shared" si="253"/>
        <v>#N/A</v>
      </c>
      <c r="BL228" t="e">
        <f t="shared" si="254"/>
        <v>#N/A</v>
      </c>
      <c r="BM228" t="e">
        <f t="shared" si="255"/>
        <v>#N/A</v>
      </c>
      <c r="BN228" t="e">
        <f t="shared" si="256"/>
        <v>#N/A</v>
      </c>
      <c r="BO228" t="e">
        <f t="shared" si="257"/>
        <v>#N/A</v>
      </c>
      <c r="BP228" t="e">
        <f t="shared" si="258"/>
        <v>#N/A</v>
      </c>
      <c r="BQ228" t="e">
        <f t="shared" si="259"/>
        <v>#N/A</v>
      </c>
      <c r="BR228" t="e">
        <f t="shared" si="260"/>
        <v>#N/A</v>
      </c>
      <c r="BS228" t="e">
        <f t="shared" si="261"/>
        <v>#N/A</v>
      </c>
      <c r="BT228" t="e">
        <f t="shared" si="262"/>
        <v>#N/A</v>
      </c>
      <c r="BU228" t="e">
        <f t="shared" si="263"/>
        <v>#N/A</v>
      </c>
      <c r="BV228" t="e">
        <f t="shared" si="264"/>
        <v>#N/A</v>
      </c>
      <c r="BW228" t="e">
        <f t="shared" si="265"/>
        <v>#N/A</v>
      </c>
      <c r="BX228" t="e">
        <f t="shared" si="266"/>
        <v>#N/A</v>
      </c>
      <c r="BY228" t="e">
        <f t="shared" si="267"/>
        <v>#N/A</v>
      </c>
      <c r="BZ228" t="e">
        <f t="shared" si="268"/>
        <v>#N/A</v>
      </c>
      <c r="CA228" t="e">
        <f t="shared" si="269"/>
        <v>#N/A</v>
      </c>
      <c r="CB228" t="e">
        <f t="shared" si="270"/>
        <v>#N/A</v>
      </c>
      <c r="CC228" t="e">
        <f t="shared" si="271"/>
        <v>#N/A</v>
      </c>
      <c r="CD228" t="e">
        <f t="shared" si="272"/>
        <v>#N/A</v>
      </c>
      <c r="CE228" t="e">
        <f t="shared" si="273"/>
        <v>#N/A</v>
      </c>
      <c r="CF228" t="e">
        <f t="shared" si="274"/>
        <v>#N/A</v>
      </c>
      <c r="CG228" t="e">
        <f t="shared" si="275"/>
        <v>#N/A</v>
      </c>
      <c r="CI228" t="e">
        <f>AT80</f>
        <v>#N/A</v>
      </c>
      <c r="CJ228" t="e">
        <f>AU80</f>
        <v>#N/A</v>
      </c>
      <c r="CK228">
        <f>IF(ISNUMBER(CI228),IFERROR(MAX(0,AV80-CI228),0),0)</f>
        <v>0</v>
      </c>
      <c r="CL228">
        <f>IF(ISNUMBER(CI228),IFERROR(MAX(0,CI228-AV80),0),0)</f>
        <v>0</v>
      </c>
      <c r="CM228">
        <f>IF(ISNUMBER(CJ228),IFERROR(MAX(0,AW80-CJ228),0),0)</f>
        <v>0</v>
      </c>
      <c r="CN228">
        <f>IF(ISNUMBER(CJ228),IFERROR(MAX(0,CJ228-AW80),0),0)</f>
        <v>0</v>
      </c>
      <c r="CP228" t="e">
        <f>CB80</f>
        <v>#N/A</v>
      </c>
      <c r="CQ228" t="e">
        <f>CC80</f>
        <v>#N/A</v>
      </c>
      <c r="CR228">
        <f>IF(ISNUMBER(CP228),IFERROR(MAX(0,CD80-CP228),0),0)</f>
        <v>0</v>
      </c>
      <c r="CS228">
        <f>IF(ISNUMBER(CP228),IFERROR(MAX(0,CP228-CD80),0),0)</f>
        <v>0</v>
      </c>
      <c r="CT228">
        <f>IF(ISNUMBER(CQ228),IFERROR(MAX(0,CE80-CQ228),0),0)</f>
        <v>0</v>
      </c>
      <c r="CU228">
        <f>IF(ISNUMBER(CQ228),IFERROR(MAX(0,CQ228-CE80),0),0)</f>
        <v>0</v>
      </c>
    </row>
    <row r="229" spans="21:99" x14ac:dyDescent="0.3">
      <c r="U229">
        <v>223</v>
      </c>
      <c r="V229">
        <f t="shared" si="220"/>
        <v>56</v>
      </c>
      <c r="W229">
        <f t="shared" si="221"/>
        <v>3</v>
      </c>
      <c r="X229">
        <f t="shared" si="222"/>
        <v>0</v>
      </c>
      <c r="Y229">
        <f>IF(X229&lt;&gt;1,9999,CHOOSE(W229,INDEX(Gantt!$BQ$7:$BQ$119,V229),INDEX(Gantt!$BR$7:$BR$119,V229),INDEX(Gantt!$BT$7:$BT$119,V229),INDEX(Gantt!$BU$7:$BU$119,V229)))</f>
        <v>9999</v>
      </c>
      <c r="Z229">
        <f t="shared" si="223"/>
        <v>0</v>
      </c>
      <c r="AA229" t="e">
        <f t="shared" si="224"/>
        <v>#N/A</v>
      </c>
      <c r="AB229" t="e">
        <f t="shared" si="225"/>
        <v>#N/A</v>
      </c>
      <c r="AC229" t="e">
        <f t="shared" si="226"/>
        <v>#N/A</v>
      </c>
      <c r="AD229" t="e">
        <f t="shared" si="227"/>
        <v>#N/A</v>
      </c>
      <c r="AE229" t="e">
        <f t="shared" si="228"/>
        <v>#N/A</v>
      </c>
      <c r="AF229" t="e">
        <f t="shared" si="229"/>
        <v>#N/A</v>
      </c>
      <c r="AG229" t="e">
        <f t="shared" si="230"/>
        <v>#N/A</v>
      </c>
      <c r="AH229" t="e">
        <f t="shared" si="231"/>
        <v>#N/A</v>
      </c>
      <c r="AI229" t="e">
        <f t="shared" si="232"/>
        <v>#N/A</v>
      </c>
      <c r="AJ229" t="e">
        <f t="shared" si="233"/>
        <v>#N/A</v>
      </c>
      <c r="AK229" t="e">
        <f t="shared" si="234"/>
        <v>#N/A</v>
      </c>
      <c r="AL229" t="e">
        <f t="shared" si="235"/>
        <v>#N/A</v>
      </c>
      <c r="AM229" t="e">
        <f t="shared" si="236"/>
        <v>#N/A</v>
      </c>
      <c r="AN229" t="e">
        <f t="shared" si="237"/>
        <v>#N/A</v>
      </c>
      <c r="AO229" t="e">
        <f t="shared" si="238"/>
        <v>#N/A</v>
      </c>
      <c r="AP229" t="e">
        <f t="shared" si="239"/>
        <v>#N/A</v>
      </c>
      <c r="AQ229" t="e">
        <f t="shared" si="240"/>
        <v>#N/A</v>
      </c>
      <c r="AR229" t="e">
        <f t="shared" si="241"/>
        <v>#N/A</v>
      </c>
      <c r="AS229" t="e">
        <f t="shared" si="242"/>
        <v>#N/A</v>
      </c>
      <c r="AT229" t="e">
        <f t="shared" si="243"/>
        <v>#N/A</v>
      </c>
      <c r="AU229" t="e">
        <f t="shared" si="244"/>
        <v>#N/A</v>
      </c>
      <c r="AV229" t="e">
        <f t="shared" si="245"/>
        <v>#N/A</v>
      </c>
      <c r="AW229" t="e">
        <f t="shared" si="246"/>
        <v>#N/A</v>
      </c>
      <c r="AX229" t="e">
        <f t="shared" si="247"/>
        <v>#N/A</v>
      </c>
      <c r="AY229" t="e">
        <f t="shared" si="248"/>
        <v>#N/A</v>
      </c>
      <c r="BE229" t="e">
        <f>IF(Z229=1,IF(INDEX($C$7:$C$126,V229)&gt;=Gantt!$BF$6,NA(),MATCH(INDEX($C$7:$C$126,V229),Gantt!$J$6:$BE$6,1)),NA())</f>
        <v>#N/A</v>
      </c>
      <c r="BF229" t="e">
        <f>IF(Z229=1,IF((INDEX($D$7:$D$126,AA229)-1)&gt;=Gantt!$BF$6,NA(),IF((INDEX($D$7:$D$126,AA229)-1)&lt;Gantt!$J$6,0,MATCH((INDEX($D$7:$D$126,AA229)-1),Gantt!$J$6:$BE$6,1))),NA())</f>
        <v>#N/A</v>
      </c>
      <c r="BG229" t="e">
        <f t="shared" si="249"/>
        <v>#N/A</v>
      </c>
      <c r="BH229" t="e">
        <f t="shared" si="250"/>
        <v>#N/A</v>
      </c>
      <c r="BI229" t="e">
        <f t="shared" si="251"/>
        <v>#N/A</v>
      </c>
      <c r="BJ229" t="e">
        <f t="shared" si="252"/>
        <v>#N/A</v>
      </c>
      <c r="BK229" t="e">
        <f t="shared" si="253"/>
        <v>#N/A</v>
      </c>
      <c r="BL229" t="e">
        <f t="shared" si="254"/>
        <v>#N/A</v>
      </c>
      <c r="BM229" t="e">
        <f t="shared" si="255"/>
        <v>#N/A</v>
      </c>
      <c r="BN229" t="e">
        <f t="shared" si="256"/>
        <v>#N/A</v>
      </c>
      <c r="BO229" t="e">
        <f t="shared" si="257"/>
        <v>#N/A</v>
      </c>
      <c r="BP229" t="e">
        <f t="shared" si="258"/>
        <v>#N/A</v>
      </c>
      <c r="BQ229" t="e">
        <f t="shared" si="259"/>
        <v>#N/A</v>
      </c>
      <c r="BR229" t="e">
        <f t="shared" si="260"/>
        <v>#N/A</v>
      </c>
      <c r="BS229" t="e">
        <f t="shared" si="261"/>
        <v>#N/A</v>
      </c>
      <c r="BT229" t="e">
        <f t="shared" si="262"/>
        <v>#N/A</v>
      </c>
      <c r="BU229" t="e">
        <f t="shared" si="263"/>
        <v>#N/A</v>
      </c>
      <c r="BV229" t="e">
        <f t="shared" si="264"/>
        <v>#N/A</v>
      </c>
      <c r="BW229" t="e">
        <f t="shared" si="265"/>
        <v>#N/A</v>
      </c>
      <c r="BX229" t="e">
        <f t="shared" si="266"/>
        <v>#N/A</v>
      </c>
      <c r="BY229" t="e">
        <f t="shared" si="267"/>
        <v>#N/A</v>
      </c>
      <c r="BZ229" t="e">
        <f t="shared" si="268"/>
        <v>#N/A</v>
      </c>
      <c r="CA229" t="e">
        <f t="shared" si="269"/>
        <v>#N/A</v>
      </c>
      <c r="CB229" t="e">
        <f t="shared" si="270"/>
        <v>#N/A</v>
      </c>
      <c r="CC229" t="e">
        <f t="shared" si="271"/>
        <v>#N/A</v>
      </c>
      <c r="CD229" t="e">
        <f t="shared" si="272"/>
        <v>#N/A</v>
      </c>
      <c r="CE229" t="e">
        <f t="shared" si="273"/>
        <v>#N/A</v>
      </c>
      <c r="CF229" t="e">
        <f t="shared" si="274"/>
        <v>#N/A</v>
      </c>
      <c r="CG229" t="e">
        <f t="shared" si="275"/>
        <v>#N/A</v>
      </c>
      <c r="CI229" t="e">
        <f>AL81</f>
        <v>#N/A</v>
      </c>
      <c r="CJ229" t="e">
        <f>AM81</f>
        <v>#N/A</v>
      </c>
      <c r="CK229">
        <f>IF(ISNUMBER(CI229),IFERROR(MAX(0,AN81-CI229),0),0)</f>
        <v>0</v>
      </c>
      <c r="CL229">
        <f>IF(ISNUMBER(CI229),IFERROR(MAX(0,CI229-AN81),0),0)</f>
        <v>0</v>
      </c>
      <c r="CM229">
        <f>IF(ISNUMBER(CJ229),IFERROR(MAX(0,AO81-CJ229),0),0)</f>
        <v>0</v>
      </c>
      <c r="CN229">
        <f>IF(ISNUMBER(CJ229),IFERROR(MAX(0,CJ229-AO81),0),0)</f>
        <v>0</v>
      </c>
      <c r="CP229" t="e">
        <f>BT81</f>
        <v>#N/A</v>
      </c>
      <c r="CQ229" t="e">
        <f>BU81</f>
        <v>#N/A</v>
      </c>
      <c r="CR229">
        <f>IF(ISNUMBER(CP229),IFERROR(MAX(0,BV81-CP229),0),0)</f>
        <v>0</v>
      </c>
      <c r="CS229">
        <f>IF(ISNUMBER(CP229),IFERROR(MAX(0,CP229-BV81),0),0)</f>
        <v>0</v>
      </c>
      <c r="CT229">
        <f>IF(ISNUMBER(CQ229),IFERROR(MAX(0,BW81-CQ229),0),0)</f>
        <v>0</v>
      </c>
      <c r="CU229">
        <f>IF(ISNUMBER(CQ229),IFERROR(MAX(0,CQ229-BW81),0),0)</f>
        <v>0</v>
      </c>
    </row>
    <row r="230" spans="21:99" x14ac:dyDescent="0.3">
      <c r="U230">
        <v>224</v>
      </c>
      <c r="V230">
        <f t="shared" si="220"/>
        <v>56</v>
      </c>
      <c r="W230">
        <f t="shared" si="221"/>
        <v>4</v>
      </c>
      <c r="X230">
        <f t="shared" si="222"/>
        <v>0</v>
      </c>
      <c r="Y230">
        <f>IF(X230&lt;&gt;1,9999,CHOOSE(W230,INDEX(Gantt!$BQ$7:$BQ$119,V230),INDEX(Gantt!$BR$7:$BR$119,V230),INDEX(Gantt!$BT$7:$BT$119,V230),INDEX(Gantt!$BU$7:$BU$119,V230)))</f>
        <v>9999</v>
      </c>
      <c r="Z230">
        <f t="shared" si="223"/>
        <v>0</v>
      </c>
      <c r="AA230" t="e">
        <f t="shared" si="224"/>
        <v>#N/A</v>
      </c>
      <c r="AB230" t="e">
        <f t="shared" si="225"/>
        <v>#N/A</v>
      </c>
      <c r="AC230" t="e">
        <f t="shared" si="226"/>
        <v>#N/A</v>
      </c>
      <c r="AD230" t="e">
        <f t="shared" si="227"/>
        <v>#N/A</v>
      </c>
      <c r="AE230" t="e">
        <f t="shared" si="228"/>
        <v>#N/A</v>
      </c>
      <c r="AF230" t="e">
        <f t="shared" si="229"/>
        <v>#N/A</v>
      </c>
      <c r="AG230" t="e">
        <f t="shared" si="230"/>
        <v>#N/A</v>
      </c>
      <c r="AH230" t="e">
        <f t="shared" si="231"/>
        <v>#N/A</v>
      </c>
      <c r="AI230" t="e">
        <f t="shared" si="232"/>
        <v>#N/A</v>
      </c>
      <c r="AJ230" t="e">
        <f t="shared" si="233"/>
        <v>#N/A</v>
      </c>
      <c r="AK230" t="e">
        <f t="shared" si="234"/>
        <v>#N/A</v>
      </c>
      <c r="AL230" t="e">
        <f t="shared" si="235"/>
        <v>#N/A</v>
      </c>
      <c r="AM230" t="e">
        <f t="shared" si="236"/>
        <v>#N/A</v>
      </c>
      <c r="AN230" t="e">
        <f t="shared" si="237"/>
        <v>#N/A</v>
      </c>
      <c r="AO230" t="e">
        <f t="shared" si="238"/>
        <v>#N/A</v>
      </c>
      <c r="AP230" t="e">
        <f t="shared" si="239"/>
        <v>#N/A</v>
      </c>
      <c r="AQ230" t="e">
        <f t="shared" si="240"/>
        <v>#N/A</v>
      </c>
      <c r="AR230" t="e">
        <f t="shared" si="241"/>
        <v>#N/A</v>
      </c>
      <c r="AS230" t="e">
        <f t="shared" si="242"/>
        <v>#N/A</v>
      </c>
      <c r="AT230" t="e">
        <f t="shared" si="243"/>
        <v>#N/A</v>
      </c>
      <c r="AU230" t="e">
        <f t="shared" si="244"/>
        <v>#N/A</v>
      </c>
      <c r="AV230" t="e">
        <f t="shared" si="245"/>
        <v>#N/A</v>
      </c>
      <c r="AW230" t="e">
        <f t="shared" si="246"/>
        <v>#N/A</v>
      </c>
      <c r="AX230" t="e">
        <f t="shared" si="247"/>
        <v>#N/A</v>
      </c>
      <c r="AY230" t="e">
        <f t="shared" si="248"/>
        <v>#N/A</v>
      </c>
      <c r="BE230" t="e">
        <f>IF(Z230=1,IF(INDEX($C$7:$C$126,V230)&gt;=Gantt!$BF$6,NA(),MATCH(INDEX($C$7:$C$126,V230),Gantt!$J$6:$BE$6,1)),NA())</f>
        <v>#N/A</v>
      </c>
      <c r="BF230" t="e">
        <f>IF(Z230=1,IF((INDEX($D$7:$D$126,AA230)-1)&gt;=Gantt!$BF$6,NA(),IF((INDEX($D$7:$D$126,AA230)-1)&lt;Gantt!$J$6,0,MATCH((INDEX($D$7:$D$126,AA230)-1),Gantt!$J$6:$BE$6,1))),NA())</f>
        <v>#N/A</v>
      </c>
      <c r="BG230" t="e">
        <f t="shared" si="249"/>
        <v>#N/A</v>
      </c>
      <c r="BH230" t="e">
        <f t="shared" si="250"/>
        <v>#N/A</v>
      </c>
      <c r="BI230" t="e">
        <f t="shared" si="251"/>
        <v>#N/A</v>
      </c>
      <c r="BJ230" t="e">
        <f t="shared" si="252"/>
        <v>#N/A</v>
      </c>
      <c r="BK230" t="e">
        <f t="shared" si="253"/>
        <v>#N/A</v>
      </c>
      <c r="BL230" t="e">
        <f t="shared" si="254"/>
        <v>#N/A</v>
      </c>
      <c r="BM230" t="e">
        <f t="shared" si="255"/>
        <v>#N/A</v>
      </c>
      <c r="BN230" t="e">
        <f t="shared" si="256"/>
        <v>#N/A</v>
      </c>
      <c r="BO230" t="e">
        <f t="shared" si="257"/>
        <v>#N/A</v>
      </c>
      <c r="BP230" t="e">
        <f t="shared" si="258"/>
        <v>#N/A</v>
      </c>
      <c r="BQ230" t="e">
        <f t="shared" si="259"/>
        <v>#N/A</v>
      </c>
      <c r="BR230" t="e">
        <f t="shared" si="260"/>
        <v>#N/A</v>
      </c>
      <c r="BS230" t="e">
        <f t="shared" si="261"/>
        <v>#N/A</v>
      </c>
      <c r="BT230" t="e">
        <f t="shared" si="262"/>
        <v>#N/A</v>
      </c>
      <c r="BU230" t="e">
        <f t="shared" si="263"/>
        <v>#N/A</v>
      </c>
      <c r="BV230" t="e">
        <f t="shared" si="264"/>
        <v>#N/A</v>
      </c>
      <c r="BW230" t="e">
        <f t="shared" si="265"/>
        <v>#N/A</v>
      </c>
      <c r="BX230" t="e">
        <f t="shared" si="266"/>
        <v>#N/A</v>
      </c>
      <c r="BY230" t="e">
        <f t="shared" si="267"/>
        <v>#N/A</v>
      </c>
      <c r="BZ230" t="e">
        <f t="shared" si="268"/>
        <v>#N/A</v>
      </c>
      <c r="CA230" t="e">
        <f t="shared" si="269"/>
        <v>#N/A</v>
      </c>
      <c r="CB230" t="e">
        <f t="shared" si="270"/>
        <v>#N/A</v>
      </c>
      <c r="CC230" t="e">
        <f t="shared" si="271"/>
        <v>#N/A</v>
      </c>
      <c r="CD230" t="e">
        <f t="shared" si="272"/>
        <v>#N/A</v>
      </c>
      <c r="CE230" t="e">
        <f t="shared" si="273"/>
        <v>#N/A</v>
      </c>
      <c r="CF230" t="e">
        <f t="shared" si="274"/>
        <v>#N/A</v>
      </c>
      <c r="CG230" t="e">
        <f t="shared" si="275"/>
        <v>#N/A</v>
      </c>
      <c r="CI230" t="e">
        <f>AP81</f>
        <v>#N/A</v>
      </c>
      <c r="CJ230" t="e">
        <f>AQ81</f>
        <v>#N/A</v>
      </c>
      <c r="CK230">
        <f>IF(ISNUMBER(CI230),IFERROR(MAX(0,AR81-CI230),0),0)</f>
        <v>0</v>
      </c>
      <c r="CL230">
        <f>IF(ISNUMBER(CI230),IFERROR(MAX(0,CI230-AR81),0),0)</f>
        <v>0</v>
      </c>
      <c r="CM230">
        <f>IF(ISNUMBER(CJ230),IFERROR(MAX(0,AS81-CJ230),0),0)</f>
        <v>0</v>
      </c>
      <c r="CN230">
        <f>IF(ISNUMBER(CJ230),IFERROR(MAX(0,CJ230-AS81),0),0)</f>
        <v>0</v>
      </c>
      <c r="CP230" t="e">
        <f>BX81</f>
        <v>#N/A</v>
      </c>
      <c r="CQ230" t="e">
        <f>BY81</f>
        <v>#N/A</v>
      </c>
      <c r="CR230">
        <f>IF(ISNUMBER(CP230),IFERROR(MAX(0,BZ81-CP230),0),0)</f>
        <v>0</v>
      </c>
      <c r="CS230">
        <f>IF(ISNUMBER(CP230),IFERROR(MAX(0,CP230-BZ81),0),0)</f>
        <v>0</v>
      </c>
      <c r="CT230">
        <f>IF(ISNUMBER(CQ230),IFERROR(MAX(0,CA81-CQ230),0),0)</f>
        <v>0</v>
      </c>
      <c r="CU230">
        <f>IF(ISNUMBER(CQ230),IFERROR(MAX(0,CQ230-CA81),0),0)</f>
        <v>0</v>
      </c>
    </row>
    <row r="231" spans="21:99" x14ac:dyDescent="0.3">
      <c r="U231">
        <v>225</v>
      </c>
      <c r="V231">
        <f t="shared" si="220"/>
        <v>57</v>
      </c>
      <c r="W231">
        <f t="shared" si="221"/>
        <v>1</v>
      </c>
      <c r="X231">
        <f t="shared" si="222"/>
        <v>0</v>
      </c>
      <c r="Y231">
        <f>IF(X231&lt;&gt;1,9999,CHOOSE(W231,INDEX(Gantt!$BQ$7:$BQ$119,V231),INDEX(Gantt!$BR$7:$BR$119,V231),INDEX(Gantt!$BT$7:$BT$119,V231),INDEX(Gantt!$BU$7:$BU$119,V231)))</f>
        <v>9999</v>
      </c>
      <c r="Z231">
        <f t="shared" si="223"/>
        <v>0</v>
      </c>
      <c r="AA231" t="e">
        <f t="shared" si="224"/>
        <v>#N/A</v>
      </c>
      <c r="AB231" t="e">
        <f t="shared" si="225"/>
        <v>#N/A</v>
      </c>
      <c r="AC231" t="e">
        <f t="shared" si="226"/>
        <v>#N/A</v>
      </c>
      <c r="AD231" t="e">
        <f t="shared" si="227"/>
        <v>#N/A</v>
      </c>
      <c r="AE231" t="e">
        <f t="shared" si="228"/>
        <v>#N/A</v>
      </c>
      <c r="AF231" t="e">
        <f t="shared" si="229"/>
        <v>#N/A</v>
      </c>
      <c r="AG231" t="e">
        <f t="shared" si="230"/>
        <v>#N/A</v>
      </c>
      <c r="AH231" t="e">
        <f t="shared" si="231"/>
        <v>#N/A</v>
      </c>
      <c r="AI231" t="e">
        <f t="shared" si="232"/>
        <v>#N/A</v>
      </c>
      <c r="AJ231" t="e">
        <f t="shared" si="233"/>
        <v>#N/A</v>
      </c>
      <c r="AK231" t="e">
        <f t="shared" si="234"/>
        <v>#N/A</v>
      </c>
      <c r="AL231" t="e">
        <f t="shared" si="235"/>
        <v>#N/A</v>
      </c>
      <c r="AM231" t="e">
        <f t="shared" si="236"/>
        <v>#N/A</v>
      </c>
      <c r="AN231" t="e">
        <f t="shared" si="237"/>
        <v>#N/A</v>
      </c>
      <c r="AO231" t="e">
        <f t="shared" si="238"/>
        <v>#N/A</v>
      </c>
      <c r="AP231" t="e">
        <f t="shared" si="239"/>
        <v>#N/A</v>
      </c>
      <c r="AQ231" t="e">
        <f t="shared" si="240"/>
        <v>#N/A</v>
      </c>
      <c r="AR231" t="e">
        <f t="shared" si="241"/>
        <v>#N/A</v>
      </c>
      <c r="AS231" t="e">
        <f t="shared" si="242"/>
        <v>#N/A</v>
      </c>
      <c r="AT231" t="e">
        <f t="shared" si="243"/>
        <v>#N/A</v>
      </c>
      <c r="AU231" t="e">
        <f t="shared" si="244"/>
        <v>#N/A</v>
      </c>
      <c r="AV231" t="e">
        <f t="shared" si="245"/>
        <v>#N/A</v>
      </c>
      <c r="AW231" t="e">
        <f t="shared" si="246"/>
        <v>#N/A</v>
      </c>
      <c r="AX231" t="e">
        <f t="shared" si="247"/>
        <v>#N/A</v>
      </c>
      <c r="AY231" t="e">
        <f t="shared" si="248"/>
        <v>#N/A</v>
      </c>
      <c r="BE231" t="e">
        <f>IF(Z231=1,IF(INDEX($C$7:$C$126,V231)&gt;=Gantt!$BF$6,NA(),MATCH(INDEX($C$7:$C$126,V231),Gantt!$J$6:$BE$6,1)),NA())</f>
        <v>#N/A</v>
      </c>
      <c r="BF231" t="e">
        <f>IF(Z231=1,IF((INDEX($D$7:$D$126,AA231)-1)&gt;=Gantt!$BF$6,NA(),IF((INDEX($D$7:$D$126,AA231)-1)&lt;Gantt!$J$6,0,MATCH((INDEX($D$7:$D$126,AA231)-1),Gantt!$J$6:$BE$6,1))),NA())</f>
        <v>#N/A</v>
      </c>
      <c r="BG231" t="e">
        <f t="shared" si="249"/>
        <v>#N/A</v>
      </c>
      <c r="BH231" t="e">
        <f t="shared" si="250"/>
        <v>#N/A</v>
      </c>
      <c r="BI231" t="e">
        <f t="shared" si="251"/>
        <v>#N/A</v>
      </c>
      <c r="BJ231" t="e">
        <f t="shared" si="252"/>
        <v>#N/A</v>
      </c>
      <c r="BK231" t="e">
        <f t="shared" si="253"/>
        <v>#N/A</v>
      </c>
      <c r="BL231" t="e">
        <f t="shared" si="254"/>
        <v>#N/A</v>
      </c>
      <c r="BM231" t="e">
        <f t="shared" si="255"/>
        <v>#N/A</v>
      </c>
      <c r="BN231" t="e">
        <f t="shared" si="256"/>
        <v>#N/A</v>
      </c>
      <c r="BO231" t="e">
        <f t="shared" si="257"/>
        <v>#N/A</v>
      </c>
      <c r="BP231" t="e">
        <f t="shared" si="258"/>
        <v>#N/A</v>
      </c>
      <c r="BQ231" t="e">
        <f t="shared" si="259"/>
        <v>#N/A</v>
      </c>
      <c r="BR231" t="e">
        <f t="shared" si="260"/>
        <v>#N/A</v>
      </c>
      <c r="BS231" t="e">
        <f t="shared" si="261"/>
        <v>#N/A</v>
      </c>
      <c r="BT231" t="e">
        <f t="shared" si="262"/>
        <v>#N/A</v>
      </c>
      <c r="BU231" t="e">
        <f t="shared" si="263"/>
        <v>#N/A</v>
      </c>
      <c r="BV231" t="e">
        <f t="shared" si="264"/>
        <v>#N/A</v>
      </c>
      <c r="BW231" t="e">
        <f t="shared" si="265"/>
        <v>#N/A</v>
      </c>
      <c r="BX231" t="e">
        <f t="shared" si="266"/>
        <v>#N/A</v>
      </c>
      <c r="BY231" t="e">
        <f t="shared" si="267"/>
        <v>#N/A</v>
      </c>
      <c r="BZ231" t="e">
        <f t="shared" si="268"/>
        <v>#N/A</v>
      </c>
      <c r="CA231" t="e">
        <f t="shared" si="269"/>
        <v>#N/A</v>
      </c>
      <c r="CB231" t="e">
        <f t="shared" si="270"/>
        <v>#N/A</v>
      </c>
      <c r="CC231" t="e">
        <f t="shared" si="271"/>
        <v>#N/A</v>
      </c>
      <c r="CD231" t="e">
        <f t="shared" si="272"/>
        <v>#N/A</v>
      </c>
      <c r="CE231" t="e">
        <f t="shared" si="273"/>
        <v>#N/A</v>
      </c>
      <c r="CF231" t="e">
        <f t="shared" si="274"/>
        <v>#N/A</v>
      </c>
      <c r="CG231" t="e">
        <f t="shared" si="275"/>
        <v>#N/A</v>
      </c>
      <c r="CI231" t="e">
        <f>AT81</f>
        <v>#N/A</v>
      </c>
      <c r="CJ231" t="e">
        <f>AU81</f>
        <v>#N/A</v>
      </c>
      <c r="CK231">
        <f>IF(ISNUMBER(CI231),IFERROR(MAX(0,AV81-CI231),0),0)</f>
        <v>0</v>
      </c>
      <c r="CL231">
        <f>IF(ISNUMBER(CI231),IFERROR(MAX(0,CI231-AV81),0),0)</f>
        <v>0</v>
      </c>
      <c r="CM231">
        <f>IF(ISNUMBER(CJ231),IFERROR(MAX(0,AW81-CJ231),0),0)</f>
        <v>0</v>
      </c>
      <c r="CN231">
        <f>IF(ISNUMBER(CJ231),IFERROR(MAX(0,CJ231-AW81),0),0)</f>
        <v>0</v>
      </c>
      <c r="CP231" t="e">
        <f>CB81</f>
        <v>#N/A</v>
      </c>
      <c r="CQ231" t="e">
        <f>CC81</f>
        <v>#N/A</v>
      </c>
      <c r="CR231">
        <f>IF(ISNUMBER(CP231),IFERROR(MAX(0,CD81-CP231),0),0)</f>
        <v>0</v>
      </c>
      <c r="CS231">
        <f>IF(ISNUMBER(CP231),IFERROR(MAX(0,CP231-CD81),0),0)</f>
        <v>0</v>
      </c>
      <c r="CT231">
        <f>IF(ISNUMBER(CQ231),IFERROR(MAX(0,CE81-CQ231),0),0)</f>
        <v>0</v>
      </c>
      <c r="CU231">
        <f>IF(ISNUMBER(CQ231),IFERROR(MAX(0,CQ231-CE81),0),0)</f>
        <v>0</v>
      </c>
    </row>
    <row r="232" spans="21:99" x14ac:dyDescent="0.3">
      <c r="U232">
        <v>226</v>
      </c>
      <c r="V232">
        <f t="shared" si="220"/>
        <v>57</v>
      </c>
      <c r="W232">
        <f t="shared" si="221"/>
        <v>2</v>
      </c>
      <c r="X232">
        <f t="shared" si="222"/>
        <v>0</v>
      </c>
      <c r="Y232">
        <f>IF(X232&lt;&gt;1,9999,CHOOSE(W232,INDEX(Gantt!$BQ$7:$BQ$119,V232),INDEX(Gantt!$BR$7:$BR$119,V232),INDEX(Gantt!$BT$7:$BT$119,V232),INDEX(Gantt!$BU$7:$BU$119,V232)))</f>
        <v>9999</v>
      </c>
      <c r="Z232">
        <f t="shared" si="223"/>
        <v>0</v>
      </c>
      <c r="AA232" t="e">
        <f t="shared" si="224"/>
        <v>#N/A</v>
      </c>
      <c r="AB232" t="e">
        <f t="shared" si="225"/>
        <v>#N/A</v>
      </c>
      <c r="AC232" t="e">
        <f t="shared" si="226"/>
        <v>#N/A</v>
      </c>
      <c r="AD232" t="e">
        <f t="shared" si="227"/>
        <v>#N/A</v>
      </c>
      <c r="AE232" t="e">
        <f t="shared" si="228"/>
        <v>#N/A</v>
      </c>
      <c r="AF232" t="e">
        <f t="shared" si="229"/>
        <v>#N/A</v>
      </c>
      <c r="AG232" t="e">
        <f t="shared" si="230"/>
        <v>#N/A</v>
      </c>
      <c r="AH232" t="e">
        <f t="shared" si="231"/>
        <v>#N/A</v>
      </c>
      <c r="AI232" t="e">
        <f t="shared" si="232"/>
        <v>#N/A</v>
      </c>
      <c r="AJ232" t="e">
        <f t="shared" si="233"/>
        <v>#N/A</v>
      </c>
      <c r="AK232" t="e">
        <f t="shared" si="234"/>
        <v>#N/A</v>
      </c>
      <c r="AL232" t="e">
        <f t="shared" si="235"/>
        <v>#N/A</v>
      </c>
      <c r="AM232" t="e">
        <f t="shared" si="236"/>
        <v>#N/A</v>
      </c>
      <c r="AN232" t="e">
        <f t="shared" si="237"/>
        <v>#N/A</v>
      </c>
      <c r="AO232" t="e">
        <f t="shared" si="238"/>
        <v>#N/A</v>
      </c>
      <c r="AP232" t="e">
        <f t="shared" si="239"/>
        <v>#N/A</v>
      </c>
      <c r="AQ232" t="e">
        <f t="shared" si="240"/>
        <v>#N/A</v>
      </c>
      <c r="AR232" t="e">
        <f t="shared" si="241"/>
        <v>#N/A</v>
      </c>
      <c r="AS232" t="e">
        <f t="shared" si="242"/>
        <v>#N/A</v>
      </c>
      <c r="AT232" t="e">
        <f t="shared" si="243"/>
        <v>#N/A</v>
      </c>
      <c r="AU232" t="e">
        <f t="shared" si="244"/>
        <v>#N/A</v>
      </c>
      <c r="AV232" t="e">
        <f t="shared" si="245"/>
        <v>#N/A</v>
      </c>
      <c r="AW232" t="e">
        <f t="shared" si="246"/>
        <v>#N/A</v>
      </c>
      <c r="AX232" t="e">
        <f t="shared" si="247"/>
        <v>#N/A</v>
      </c>
      <c r="AY232" t="e">
        <f t="shared" si="248"/>
        <v>#N/A</v>
      </c>
      <c r="BE232" t="e">
        <f>IF(Z232=1,IF(INDEX($C$7:$C$126,V232)&gt;=Gantt!$BF$6,NA(),MATCH(INDEX($C$7:$C$126,V232),Gantt!$J$6:$BE$6,1)),NA())</f>
        <v>#N/A</v>
      </c>
      <c r="BF232" t="e">
        <f>IF(Z232=1,IF((INDEX($D$7:$D$126,AA232)-1)&gt;=Gantt!$BF$6,NA(),IF((INDEX($D$7:$D$126,AA232)-1)&lt;Gantt!$J$6,0,MATCH((INDEX($D$7:$D$126,AA232)-1),Gantt!$J$6:$BE$6,1))),NA())</f>
        <v>#N/A</v>
      </c>
      <c r="BG232" t="e">
        <f t="shared" si="249"/>
        <v>#N/A</v>
      </c>
      <c r="BH232" t="e">
        <f t="shared" si="250"/>
        <v>#N/A</v>
      </c>
      <c r="BI232" t="e">
        <f t="shared" si="251"/>
        <v>#N/A</v>
      </c>
      <c r="BJ232" t="e">
        <f t="shared" si="252"/>
        <v>#N/A</v>
      </c>
      <c r="BK232" t="e">
        <f t="shared" si="253"/>
        <v>#N/A</v>
      </c>
      <c r="BL232" t="e">
        <f t="shared" si="254"/>
        <v>#N/A</v>
      </c>
      <c r="BM232" t="e">
        <f t="shared" si="255"/>
        <v>#N/A</v>
      </c>
      <c r="BN232" t="e">
        <f t="shared" si="256"/>
        <v>#N/A</v>
      </c>
      <c r="BO232" t="e">
        <f t="shared" si="257"/>
        <v>#N/A</v>
      </c>
      <c r="BP232" t="e">
        <f t="shared" si="258"/>
        <v>#N/A</v>
      </c>
      <c r="BQ232" t="e">
        <f t="shared" si="259"/>
        <v>#N/A</v>
      </c>
      <c r="BR232" t="e">
        <f t="shared" si="260"/>
        <v>#N/A</v>
      </c>
      <c r="BS232" t="e">
        <f t="shared" si="261"/>
        <v>#N/A</v>
      </c>
      <c r="BT232" t="e">
        <f t="shared" si="262"/>
        <v>#N/A</v>
      </c>
      <c r="BU232" t="e">
        <f t="shared" si="263"/>
        <v>#N/A</v>
      </c>
      <c r="BV232" t="e">
        <f t="shared" si="264"/>
        <v>#N/A</v>
      </c>
      <c r="BW232" t="e">
        <f t="shared" si="265"/>
        <v>#N/A</v>
      </c>
      <c r="BX232" t="e">
        <f t="shared" si="266"/>
        <v>#N/A</v>
      </c>
      <c r="BY232" t="e">
        <f t="shared" si="267"/>
        <v>#N/A</v>
      </c>
      <c r="BZ232" t="e">
        <f t="shared" si="268"/>
        <v>#N/A</v>
      </c>
      <c r="CA232" t="e">
        <f t="shared" si="269"/>
        <v>#N/A</v>
      </c>
      <c r="CB232" t="e">
        <f t="shared" si="270"/>
        <v>#N/A</v>
      </c>
      <c r="CC232" t="e">
        <f t="shared" si="271"/>
        <v>#N/A</v>
      </c>
      <c r="CD232" t="e">
        <f t="shared" si="272"/>
        <v>#N/A</v>
      </c>
      <c r="CE232" t="e">
        <f t="shared" si="273"/>
        <v>#N/A</v>
      </c>
      <c r="CF232" t="e">
        <f t="shared" si="274"/>
        <v>#N/A</v>
      </c>
      <c r="CG232" t="e">
        <f t="shared" si="275"/>
        <v>#N/A</v>
      </c>
      <c r="CI232" t="e">
        <f>AL82</f>
        <v>#N/A</v>
      </c>
      <c r="CJ232" t="e">
        <f>AM82</f>
        <v>#N/A</v>
      </c>
      <c r="CK232">
        <f>IF(ISNUMBER(CI232),IFERROR(MAX(0,AN82-CI232),0),0)</f>
        <v>0</v>
      </c>
      <c r="CL232">
        <f>IF(ISNUMBER(CI232),IFERROR(MAX(0,CI232-AN82),0),0)</f>
        <v>0</v>
      </c>
      <c r="CM232">
        <f>IF(ISNUMBER(CJ232),IFERROR(MAX(0,AO82-CJ232),0),0)</f>
        <v>0</v>
      </c>
      <c r="CN232">
        <f>IF(ISNUMBER(CJ232),IFERROR(MAX(0,CJ232-AO82),0),0)</f>
        <v>0</v>
      </c>
      <c r="CP232" t="e">
        <f>BT82</f>
        <v>#N/A</v>
      </c>
      <c r="CQ232" t="e">
        <f>BU82</f>
        <v>#N/A</v>
      </c>
      <c r="CR232">
        <f>IF(ISNUMBER(CP232),IFERROR(MAX(0,BV82-CP232),0),0)</f>
        <v>0</v>
      </c>
      <c r="CS232">
        <f>IF(ISNUMBER(CP232),IFERROR(MAX(0,CP232-BV82),0),0)</f>
        <v>0</v>
      </c>
      <c r="CT232">
        <f>IF(ISNUMBER(CQ232),IFERROR(MAX(0,BW82-CQ232),0),0)</f>
        <v>0</v>
      </c>
      <c r="CU232">
        <f>IF(ISNUMBER(CQ232),IFERROR(MAX(0,CQ232-BW82),0),0)</f>
        <v>0</v>
      </c>
    </row>
    <row r="233" spans="21:99" x14ac:dyDescent="0.3">
      <c r="U233">
        <v>227</v>
      </c>
      <c r="V233">
        <f t="shared" si="220"/>
        <v>57</v>
      </c>
      <c r="W233">
        <f t="shared" si="221"/>
        <v>3</v>
      </c>
      <c r="X233">
        <f t="shared" si="222"/>
        <v>0</v>
      </c>
      <c r="Y233">
        <f>IF(X233&lt;&gt;1,9999,CHOOSE(W233,INDEX(Gantt!$BQ$7:$BQ$119,V233),INDEX(Gantt!$BR$7:$BR$119,V233),INDEX(Gantt!$BT$7:$BT$119,V233),INDEX(Gantt!$BU$7:$BU$119,V233)))</f>
        <v>9999</v>
      </c>
      <c r="Z233">
        <f t="shared" si="223"/>
        <v>0</v>
      </c>
      <c r="AA233" t="e">
        <f t="shared" si="224"/>
        <v>#N/A</v>
      </c>
      <c r="AB233" t="e">
        <f t="shared" si="225"/>
        <v>#N/A</v>
      </c>
      <c r="AC233" t="e">
        <f t="shared" si="226"/>
        <v>#N/A</v>
      </c>
      <c r="AD233" t="e">
        <f t="shared" si="227"/>
        <v>#N/A</v>
      </c>
      <c r="AE233" t="e">
        <f t="shared" si="228"/>
        <v>#N/A</v>
      </c>
      <c r="AF233" t="e">
        <f t="shared" si="229"/>
        <v>#N/A</v>
      </c>
      <c r="AG233" t="e">
        <f t="shared" si="230"/>
        <v>#N/A</v>
      </c>
      <c r="AH233" t="e">
        <f t="shared" si="231"/>
        <v>#N/A</v>
      </c>
      <c r="AI233" t="e">
        <f t="shared" si="232"/>
        <v>#N/A</v>
      </c>
      <c r="AJ233" t="e">
        <f t="shared" si="233"/>
        <v>#N/A</v>
      </c>
      <c r="AK233" t="e">
        <f t="shared" si="234"/>
        <v>#N/A</v>
      </c>
      <c r="AL233" t="e">
        <f t="shared" si="235"/>
        <v>#N/A</v>
      </c>
      <c r="AM233" t="e">
        <f t="shared" si="236"/>
        <v>#N/A</v>
      </c>
      <c r="AN233" t="e">
        <f t="shared" si="237"/>
        <v>#N/A</v>
      </c>
      <c r="AO233" t="e">
        <f t="shared" si="238"/>
        <v>#N/A</v>
      </c>
      <c r="AP233" t="e">
        <f t="shared" si="239"/>
        <v>#N/A</v>
      </c>
      <c r="AQ233" t="e">
        <f t="shared" si="240"/>
        <v>#N/A</v>
      </c>
      <c r="AR233" t="e">
        <f t="shared" si="241"/>
        <v>#N/A</v>
      </c>
      <c r="AS233" t="e">
        <f t="shared" si="242"/>
        <v>#N/A</v>
      </c>
      <c r="AT233" t="e">
        <f t="shared" si="243"/>
        <v>#N/A</v>
      </c>
      <c r="AU233" t="e">
        <f t="shared" si="244"/>
        <v>#N/A</v>
      </c>
      <c r="AV233" t="e">
        <f t="shared" si="245"/>
        <v>#N/A</v>
      </c>
      <c r="AW233" t="e">
        <f t="shared" si="246"/>
        <v>#N/A</v>
      </c>
      <c r="AX233" t="e">
        <f t="shared" si="247"/>
        <v>#N/A</v>
      </c>
      <c r="AY233" t="e">
        <f t="shared" si="248"/>
        <v>#N/A</v>
      </c>
      <c r="BE233" t="e">
        <f>IF(Z233=1,IF(INDEX($C$7:$C$126,V233)&gt;=Gantt!$BF$6,NA(),MATCH(INDEX($C$7:$C$126,V233),Gantt!$J$6:$BE$6,1)),NA())</f>
        <v>#N/A</v>
      </c>
      <c r="BF233" t="e">
        <f>IF(Z233=1,IF((INDEX($D$7:$D$126,AA233)-1)&gt;=Gantt!$BF$6,NA(),IF((INDEX($D$7:$D$126,AA233)-1)&lt;Gantt!$J$6,0,MATCH((INDEX($D$7:$D$126,AA233)-1),Gantt!$J$6:$BE$6,1))),NA())</f>
        <v>#N/A</v>
      </c>
      <c r="BG233" t="e">
        <f t="shared" si="249"/>
        <v>#N/A</v>
      </c>
      <c r="BH233" t="e">
        <f t="shared" si="250"/>
        <v>#N/A</v>
      </c>
      <c r="BI233" t="e">
        <f t="shared" si="251"/>
        <v>#N/A</v>
      </c>
      <c r="BJ233" t="e">
        <f t="shared" si="252"/>
        <v>#N/A</v>
      </c>
      <c r="BK233" t="e">
        <f t="shared" si="253"/>
        <v>#N/A</v>
      </c>
      <c r="BL233" t="e">
        <f t="shared" si="254"/>
        <v>#N/A</v>
      </c>
      <c r="BM233" t="e">
        <f t="shared" si="255"/>
        <v>#N/A</v>
      </c>
      <c r="BN233" t="e">
        <f t="shared" si="256"/>
        <v>#N/A</v>
      </c>
      <c r="BO233" t="e">
        <f t="shared" si="257"/>
        <v>#N/A</v>
      </c>
      <c r="BP233" t="e">
        <f t="shared" si="258"/>
        <v>#N/A</v>
      </c>
      <c r="BQ233" t="e">
        <f t="shared" si="259"/>
        <v>#N/A</v>
      </c>
      <c r="BR233" t="e">
        <f t="shared" si="260"/>
        <v>#N/A</v>
      </c>
      <c r="BS233" t="e">
        <f t="shared" si="261"/>
        <v>#N/A</v>
      </c>
      <c r="BT233" t="e">
        <f t="shared" si="262"/>
        <v>#N/A</v>
      </c>
      <c r="BU233" t="e">
        <f t="shared" si="263"/>
        <v>#N/A</v>
      </c>
      <c r="BV233" t="e">
        <f t="shared" si="264"/>
        <v>#N/A</v>
      </c>
      <c r="BW233" t="e">
        <f t="shared" si="265"/>
        <v>#N/A</v>
      </c>
      <c r="BX233" t="e">
        <f t="shared" si="266"/>
        <v>#N/A</v>
      </c>
      <c r="BY233" t="e">
        <f t="shared" si="267"/>
        <v>#N/A</v>
      </c>
      <c r="BZ233" t="e">
        <f t="shared" si="268"/>
        <v>#N/A</v>
      </c>
      <c r="CA233" t="e">
        <f t="shared" si="269"/>
        <v>#N/A</v>
      </c>
      <c r="CB233" t="e">
        <f t="shared" si="270"/>
        <v>#N/A</v>
      </c>
      <c r="CC233" t="e">
        <f t="shared" si="271"/>
        <v>#N/A</v>
      </c>
      <c r="CD233" t="e">
        <f t="shared" si="272"/>
        <v>#N/A</v>
      </c>
      <c r="CE233" t="e">
        <f t="shared" si="273"/>
        <v>#N/A</v>
      </c>
      <c r="CF233" t="e">
        <f t="shared" si="274"/>
        <v>#N/A</v>
      </c>
      <c r="CG233" t="e">
        <f t="shared" si="275"/>
        <v>#N/A</v>
      </c>
      <c r="CI233" t="e">
        <f>AP82</f>
        <v>#N/A</v>
      </c>
      <c r="CJ233" t="e">
        <f>AQ82</f>
        <v>#N/A</v>
      </c>
      <c r="CK233">
        <f>IF(ISNUMBER(CI233),IFERROR(MAX(0,AR82-CI233),0),0)</f>
        <v>0</v>
      </c>
      <c r="CL233">
        <f>IF(ISNUMBER(CI233),IFERROR(MAX(0,CI233-AR82),0),0)</f>
        <v>0</v>
      </c>
      <c r="CM233">
        <f>IF(ISNUMBER(CJ233),IFERROR(MAX(0,AS82-CJ233),0),0)</f>
        <v>0</v>
      </c>
      <c r="CN233">
        <f>IF(ISNUMBER(CJ233),IFERROR(MAX(0,CJ233-AS82),0),0)</f>
        <v>0</v>
      </c>
      <c r="CP233" t="e">
        <f>BX82</f>
        <v>#N/A</v>
      </c>
      <c r="CQ233" t="e">
        <f>BY82</f>
        <v>#N/A</v>
      </c>
      <c r="CR233">
        <f>IF(ISNUMBER(CP233),IFERROR(MAX(0,BZ82-CP233),0),0)</f>
        <v>0</v>
      </c>
      <c r="CS233">
        <f>IF(ISNUMBER(CP233),IFERROR(MAX(0,CP233-BZ82),0),0)</f>
        <v>0</v>
      </c>
      <c r="CT233">
        <f>IF(ISNUMBER(CQ233),IFERROR(MAX(0,CA82-CQ233),0),0)</f>
        <v>0</v>
      </c>
      <c r="CU233">
        <f>IF(ISNUMBER(CQ233),IFERROR(MAX(0,CQ233-CA82),0),0)</f>
        <v>0</v>
      </c>
    </row>
    <row r="234" spans="21:99" x14ac:dyDescent="0.3">
      <c r="U234">
        <v>228</v>
      </c>
      <c r="V234">
        <f t="shared" si="220"/>
        <v>57</v>
      </c>
      <c r="W234">
        <f t="shared" si="221"/>
        <v>4</v>
      </c>
      <c r="X234">
        <f t="shared" si="222"/>
        <v>0</v>
      </c>
      <c r="Y234">
        <f>IF(X234&lt;&gt;1,9999,CHOOSE(W234,INDEX(Gantt!$BQ$7:$BQ$119,V234),INDEX(Gantt!$BR$7:$BR$119,V234),INDEX(Gantt!$BT$7:$BT$119,V234),INDEX(Gantt!$BU$7:$BU$119,V234)))</f>
        <v>9999</v>
      </c>
      <c r="Z234">
        <f t="shared" si="223"/>
        <v>0</v>
      </c>
      <c r="AA234" t="e">
        <f t="shared" si="224"/>
        <v>#N/A</v>
      </c>
      <c r="AB234" t="e">
        <f t="shared" si="225"/>
        <v>#N/A</v>
      </c>
      <c r="AC234" t="e">
        <f t="shared" si="226"/>
        <v>#N/A</v>
      </c>
      <c r="AD234" t="e">
        <f t="shared" si="227"/>
        <v>#N/A</v>
      </c>
      <c r="AE234" t="e">
        <f t="shared" si="228"/>
        <v>#N/A</v>
      </c>
      <c r="AF234" t="e">
        <f t="shared" si="229"/>
        <v>#N/A</v>
      </c>
      <c r="AG234" t="e">
        <f t="shared" si="230"/>
        <v>#N/A</v>
      </c>
      <c r="AH234" t="e">
        <f t="shared" si="231"/>
        <v>#N/A</v>
      </c>
      <c r="AI234" t="e">
        <f t="shared" si="232"/>
        <v>#N/A</v>
      </c>
      <c r="AJ234" t="e">
        <f t="shared" si="233"/>
        <v>#N/A</v>
      </c>
      <c r="AK234" t="e">
        <f t="shared" si="234"/>
        <v>#N/A</v>
      </c>
      <c r="AL234" t="e">
        <f t="shared" si="235"/>
        <v>#N/A</v>
      </c>
      <c r="AM234" t="e">
        <f t="shared" si="236"/>
        <v>#N/A</v>
      </c>
      <c r="AN234" t="e">
        <f t="shared" si="237"/>
        <v>#N/A</v>
      </c>
      <c r="AO234" t="e">
        <f t="shared" si="238"/>
        <v>#N/A</v>
      </c>
      <c r="AP234" t="e">
        <f t="shared" si="239"/>
        <v>#N/A</v>
      </c>
      <c r="AQ234" t="e">
        <f t="shared" si="240"/>
        <v>#N/A</v>
      </c>
      <c r="AR234" t="e">
        <f t="shared" si="241"/>
        <v>#N/A</v>
      </c>
      <c r="AS234" t="e">
        <f t="shared" si="242"/>
        <v>#N/A</v>
      </c>
      <c r="AT234" t="e">
        <f t="shared" si="243"/>
        <v>#N/A</v>
      </c>
      <c r="AU234" t="e">
        <f t="shared" si="244"/>
        <v>#N/A</v>
      </c>
      <c r="AV234" t="e">
        <f t="shared" si="245"/>
        <v>#N/A</v>
      </c>
      <c r="AW234" t="e">
        <f t="shared" si="246"/>
        <v>#N/A</v>
      </c>
      <c r="AX234" t="e">
        <f t="shared" si="247"/>
        <v>#N/A</v>
      </c>
      <c r="AY234" t="e">
        <f t="shared" si="248"/>
        <v>#N/A</v>
      </c>
      <c r="BE234" t="e">
        <f>IF(Z234=1,IF(INDEX($C$7:$C$126,V234)&gt;=Gantt!$BF$6,NA(),MATCH(INDEX($C$7:$C$126,V234),Gantt!$J$6:$BE$6,1)),NA())</f>
        <v>#N/A</v>
      </c>
      <c r="BF234" t="e">
        <f>IF(Z234=1,IF((INDEX($D$7:$D$126,AA234)-1)&gt;=Gantt!$BF$6,NA(),IF((INDEX($D$7:$D$126,AA234)-1)&lt;Gantt!$J$6,0,MATCH((INDEX($D$7:$D$126,AA234)-1),Gantt!$J$6:$BE$6,1))),NA())</f>
        <v>#N/A</v>
      </c>
      <c r="BG234" t="e">
        <f t="shared" si="249"/>
        <v>#N/A</v>
      </c>
      <c r="BH234" t="e">
        <f t="shared" si="250"/>
        <v>#N/A</v>
      </c>
      <c r="BI234" t="e">
        <f t="shared" si="251"/>
        <v>#N/A</v>
      </c>
      <c r="BJ234" t="e">
        <f t="shared" si="252"/>
        <v>#N/A</v>
      </c>
      <c r="BK234" t="e">
        <f t="shared" si="253"/>
        <v>#N/A</v>
      </c>
      <c r="BL234" t="e">
        <f t="shared" si="254"/>
        <v>#N/A</v>
      </c>
      <c r="BM234" t="e">
        <f t="shared" si="255"/>
        <v>#N/A</v>
      </c>
      <c r="BN234" t="e">
        <f t="shared" si="256"/>
        <v>#N/A</v>
      </c>
      <c r="BO234" t="e">
        <f t="shared" si="257"/>
        <v>#N/A</v>
      </c>
      <c r="BP234" t="e">
        <f t="shared" si="258"/>
        <v>#N/A</v>
      </c>
      <c r="BQ234" t="e">
        <f t="shared" si="259"/>
        <v>#N/A</v>
      </c>
      <c r="BR234" t="e">
        <f t="shared" si="260"/>
        <v>#N/A</v>
      </c>
      <c r="BS234" t="e">
        <f t="shared" si="261"/>
        <v>#N/A</v>
      </c>
      <c r="BT234" t="e">
        <f t="shared" si="262"/>
        <v>#N/A</v>
      </c>
      <c r="BU234" t="e">
        <f t="shared" si="263"/>
        <v>#N/A</v>
      </c>
      <c r="BV234" t="e">
        <f t="shared" si="264"/>
        <v>#N/A</v>
      </c>
      <c r="BW234" t="e">
        <f t="shared" si="265"/>
        <v>#N/A</v>
      </c>
      <c r="BX234" t="e">
        <f t="shared" si="266"/>
        <v>#N/A</v>
      </c>
      <c r="BY234" t="e">
        <f t="shared" si="267"/>
        <v>#N/A</v>
      </c>
      <c r="BZ234" t="e">
        <f t="shared" si="268"/>
        <v>#N/A</v>
      </c>
      <c r="CA234" t="e">
        <f t="shared" si="269"/>
        <v>#N/A</v>
      </c>
      <c r="CB234" t="e">
        <f t="shared" si="270"/>
        <v>#N/A</v>
      </c>
      <c r="CC234" t="e">
        <f t="shared" si="271"/>
        <v>#N/A</v>
      </c>
      <c r="CD234" t="e">
        <f t="shared" si="272"/>
        <v>#N/A</v>
      </c>
      <c r="CE234" t="e">
        <f t="shared" si="273"/>
        <v>#N/A</v>
      </c>
      <c r="CF234" t="e">
        <f t="shared" si="274"/>
        <v>#N/A</v>
      </c>
      <c r="CG234" t="e">
        <f t="shared" si="275"/>
        <v>#N/A</v>
      </c>
      <c r="CI234" t="e">
        <f>AT82</f>
        <v>#N/A</v>
      </c>
      <c r="CJ234" t="e">
        <f>AU82</f>
        <v>#N/A</v>
      </c>
      <c r="CK234">
        <f>IF(ISNUMBER(CI234),IFERROR(MAX(0,AV82-CI234),0),0)</f>
        <v>0</v>
      </c>
      <c r="CL234">
        <f>IF(ISNUMBER(CI234),IFERROR(MAX(0,CI234-AV82),0),0)</f>
        <v>0</v>
      </c>
      <c r="CM234">
        <f>IF(ISNUMBER(CJ234),IFERROR(MAX(0,AW82-CJ234),0),0)</f>
        <v>0</v>
      </c>
      <c r="CN234">
        <f>IF(ISNUMBER(CJ234),IFERROR(MAX(0,CJ234-AW82),0),0)</f>
        <v>0</v>
      </c>
      <c r="CP234" t="e">
        <f>CB82</f>
        <v>#N/A</v>
      </c>
      <c r="CQ234" t="e">
        <f>CC82</f>
        <v>#N/A</v>
      </c>
      <c r="CR234">
        <f>IF(ISNUMBER(CP234),IFERROR(MAX(0,CD82-CP234),0),0)</f>
        <v>0</v>
      </c>
      <c r="CS234">
        <f>IF(ISNUMBER(CP234),IFERROR(MAX(0,CP234-CD82),0),0)</f>
        <v>0</v>
      </c>
      <c r="CT234">
        <f>IF(ISNUMBER(CQ234),IFERROR(MAX(0,CE82-CQ234),0),0)</f>
        <v>0</v>
      </c>
      <c r="CU234">
        <f>IF(ISNUMBER(CQ234),IFERROR(MAX(0,CQ234-CE82),0),0)</f>
        <v>0</v>
      </c>
    </row>
    <row r="235" spans="21:99" x14ac:dyDescent="0.3">
      <c r="U235">
        <v>229</v>
      </c>
      <c r="V235">
        <f t="shared" si="220"/>
        <v>58</v>
      </c>
      <c r="W235">
        <f t="shared" si="221"/>
        <v>1</v>
      </c>
      <c r="X235">
        <f t="shared" si="222"/>
        <v>0</v>
      </c>
      <c r="Y235">
        <f>IF(X235&lt;&gt;1,9999,CHOOSE(W235,INDEX(Gantt!$BQ$7:$BQ$119,V235),INDEX(Gantt!$BR$7:$BR$119,V235),INDEX(Gantt!$BT$7:$BT$119,V235),INDEX(Gantt!$BU$7:$BU$119,V235)))</f>
        <v>9999</v>
      </c>
      <c r="Z235">
        <f t="shared" si="223"/>
        <v>0</v>
      </c>
      <c r="AA235" t="e">
        <f t="shared" si="224"/>
        <v>#N/A</v>
      </c>
      <c r="AB235" t="e">
        <f t="shared" si="225"/>
        <v>#N/A</v>
      </c>
      <c r="AC235" t="e">
        <f t="shared" si="226"/>
        <v>#N/A</v>
      </c>
      <c r="AD235" t="e">
        <f t="shared" si="227"/>
        <v>#N/A</v>
      </c>
      <c r="AE235" t="e">
        <f t="shared" si="228"/>
        <v>#N/A</v>
      </c>
      <c r="AF235" t="e">
        <f t="shared" si="229"/>
        <v>#N/A</v>
      </c>
      <c r="AG235" t="e">
        <f t="shared" si="230"/>
        <v>#N/A</v>
      </c>
      <c r="AH235" t="e">
        <f t="shared" si="231"/>
        <v>#N/A</v>
      </c>
      <c r="AI235" t="e">
        <f t="shared" si="232"/>
        <v>#N/A</v>
      </c>
      <c r="AJ235" t="e">
        <f t="shared" si="233"/>
        <v>#N/A</v>
      </c>
      <c r="AK235" t="e">
        <f t="shared" si="234"/>
        <v>#N/A</v>
      </c>
      <c r="AL235" t="e">
        <f t="shared" si="235"/>
        <v>#N/A</v>
      </c>
      <c r="AM235" t="e">
        <f t="shared" si="236"/>
        <v>#N/A</v>
      </c>
      <c r="AN235" t="e">
        <f t="shared" si="237"/>
        <v>#N/A</v>
      </c>
      <c r="AO235" t="e">
        <f t="shared" si="238"/>
        <v>#N/A</v>
      </c>
      <c r="AP235" t="e">
        <f t="shared" si="239"/>
        <v>#N/A</v>
      </c>
      <c r="AQ235" t="e">
        <f t="shared" si="240"/>
        <v>#N/A</v>
      </c>
      <c r="AR235" t="e">
        <f t="shared" si="241"/>
        <v>#N/A</v>
      </c>
      <c r="AS235" t="e">
        <f t="shared" si="242"/>
        <v>#N/A</v>
      </c>
      <c r="AT235" t="e">
        <f t="shared" si="243"/>
        <v>#N/A</v>
      </c>
      <c r="AU235" t="e">
        <f t="shared" si="244"/>
        <v>#N/A</v>
      </c>
      <c r="AV235" t="e">
        <f t="shared" si="245"/>
        <v>#N/A</v>
      </c>
      <c r="AW235" t="e">
        <f t="shared" si="246"/>
        <v>#N/A</v>
      </c>
      <c r="AX235" t="e">
        <f t="shared" si="247"/>
        <v>#N/A</v>
      </c>
      <c r="AY235" t="e">
        <f t="shared" si="248"/>
        <v>#N/A</v>
      </c>
      <c r="BE235" t="e">
        <f>IF(Z235=1,IF(INDEX($C$7:$C$126,V235)&gt;=Gantt!$BF$6,NA(),MATCH(INDEX($C$7:$C$126,V235),Gantt!$J$6:$BE$6,1)),NA())</f>
        <v>#N/A</v>
      </c>
      <c r="BF235" t="e">
        <f>IF(Z235=1,IF((INDEX($D$7:$D$126,AA235)-1)&gt;=Gantt!$BF$6,NA(),IF((INDEX($D$7:$D$126,AA235)-1)&lt;Gantt!$J$6,0,MATCH((INDEX($D$7:$D$126,AA235)-1),Gantt!$J$6:$BE$6,1))),NA())</f>
        <v>#N/A</v>
      </c>
      <c r="BG235" t="e">
        <f t="shared" si="249"/>
        <v>#N/A</v>
      </c>
      <c r="BH235" t="e">
        <f t="shared" si="250"/>
        <v>#N/A</v>
      </c>
      <c r="BI235" t="e">
        <f t="shared" si="251"/>
        <v>#N/A</v>
      </c>
      <c r="BJ235" t="e">
        <f t="shared" si="252"/>
        <v>#N/A</v>
      </c>
      <c r="BK235" t="e">
        <f t="shared" si="253"/>
        <v>#N/A</v>
      </c>
      <c r="BL235" t="e">
        <f t="shared" si="254"/>
        <v>#N/A</v>
      </c>
      <c r="BM235" t="e">
        <f t="shared" si="255"/>
        <v>#N/A</v>
      </c>
      <c r="BN235" t="e">
        <f t="shared" si="256"/>
        <v>#N/A</v>
      </c>
      <c r="BO235" t="e">
        <f t="shared" si="257"/>
        <v>#N/A</v>
      </c>
      <c r="BP235" t="e">
        <f t="shared" si="258"/>
        <v>#N/A</v>
      </c>
      <c r="BQ235" t="e">
        <f t="shared" si="259"/>
        <v>#N/A</v>
      </c>
      <c r="BR235" t="e">
        <f t="shared" si="260"/>
        <v>#N/A</v>
      </c>
      <c r="BS235" t="e">
        <f t="shared" si="261"/>
        <v>#N/A</v>
      </c>
      <c r="BT235" t="e">
        <f t="shared" si="262"/>
        <v>#N/A</v>
      </c>
      <c r="BU235" t="e">
        <f t="shared" si="263"/>
        <v>#N/A</v>
      </c>
      <c r="BV235" t="e">
        <f t="shared" si="264"/>
        <v>#N/A</v>
      </c>
      <c r="BW235" t="e">
        <f t="shared" si="265"/>
        <v>#N/A</v>
      </c>
      <c r="BX235" t="e">
        <f t="shared" si="266"/>
        <v>#N/A</v>
      </c>
      <c r="BY235" t="e">
        <f t="shared" si="267"/>
        <v>#N/A</v>
      </c>
      <c r="BZ235" t="e">
        <f t="shared" si="268"/>
        <v>#N/A</v>
      </c>
      <c r="CA235" t="e">
        <f t="shared" si="269"/>
        <v>#N/A</v>
      </c>
      <c r="CB235" t="e">
        <f t="shared" si="270"/>
        <v>#N/A</v>
      </c>
      <c r="CC235" t="e">
        <f t="shared" si="271"/>
        <v>#N/A</v>
      </c>
      <c r="CD235" t="e">
        <f t="shared" si="272"/>
        <v>#N/A</v>
      </c>
      <c r="CE235" t="e">
        <f t="shared" si="273"/>
        <v>#N/A</v>
      </c>
      <c r="CF235" t="e">
        <f t="shared" si="274"/>
        <v>#N/A</v>
      </c>
      <c r="CG235" t="e">
        <f t="shared" si="275"/>
        <v>#N/A</v>
      </c>
      <c r="CI235" t="e">
        <f>AL83</f>
        <v>#N/A</v>
      </c>
      <c r="CJ235" t="e">
        <f>AM83</f>
        <v>#N/A</v>
      </c>
      <c r="CK235">
        <f>IF(ISNUMBER(CI235),IFERROR(MAX(0,AN83-CI235),0),0)</f>
        <v>0</v>
      </c>
      <c r="CL235">
        <f>IF(ISNUMBER(CI235),IFERROR(MAX(0,CI235-AN83),0),0)</f>
        <v>0</v>
      </c>
      <c r="CM235">
        <f>IF(ISNUMBER(CJ235),IFERROR(MAX(0,AO83-CJ235),0),0)</f>
        <v>0</v>
      </c>
      <c r="CN235">
        <f>IF(ISNUMBER(CJ235),IFERROR(MAX(0,CJ235-AO83),0),0)</f>
        <v>0</v>
      </c>
      <c r="CP235" t="e">
        <f>BT83</f>
        <v>#N/A</v>
      </c>
      <c r="CQ235" t="e">
        <f>BU83</f>
        <v>#N/A</v>
      </c>
      <c r="CR235">
        <f>IF(ISNUMBER(CP235),IFERROR(MAX(0,BV83-CP235),0),0)</f>
        <v>0</v>
      </c>
      <c r="CS235">
        <f>IF(ISNUMBER(CP235),IFERROR(MAX(0,CP235-BV83),0),0)</f>
        <v>0</v>
      </c>
      <c r="CT235">
        <f>IF(ISNUMBER(CQ235),IFERROR(MAX(0,BW83-CQ235),0),0)</f>
        <v>0</v>
      </c>
      <c r="CU235">
        <f>IF(ISNUMBER(CQ235),IFERROR(MAX(0,CQ235-BW83),0),0)</f>
        <v>0</v>
      </c>
    </row>
    <row r="236" spans="21:99" x14ac:dyDescent="0.3">
      <c r="U236">
        <v>230</v>
      </c>
      <c r="V236">
        <f t="shared" si="220"/>
        <v>58</v>
      </c>
      <c r="W236">
        <f t="shared" si="221"/>
        <v>2</v>
      </c>
      <c r="X236">
        <f t="shared" si="222"/>
        <v>0</v>
      </c>
      <c r="Y236">
        <f>IF(X236&lt;&gt;1,9999,CHOOSE(W236,INDEX(Gantt!$BQ$7:$BQ$119,V236),INDEX(Gantt!$BR$7:$BR$119,V236),INDEX(Gantt!$BT$7:$BT$119,V236),INDEX(Gantt!$BU$7:$BU$119,V236)))</f>
        <v>9999</v>
      </c>
      <c r="Z236">
        <f t="shared" si="223"/>
        <v>0</v>
      </c>
      <c r="AA236" t="e">
        <f t="shared" si="224"/>
        <v>#N/A</v>
      </c>
      <c r="AB236" t="e">
        <f t="shared" si="225"/>
        <v>#N/A</v>
      </c>
      <c r="AC236" t="e">
        <f t="shared" si="226"/>
        <v>#N/A</v>
      </c>
      <c r="AD236" t="e">
        <f t="shared" si="227"/>
        <v>#N/A</v>
      </c>
      <c r="AE236" t="e">
        <f t="shared" si="228"/>
        <v>#N/A</v>
      </c>
      <c r="AF236" t="e">
        <f t="shared" si="229"/>
        <v>#N/A</v>
      </c>
      <c r="AG236" t="e">
        <f t="shared" si="230"/>
        <v>#N/A</v>
      </c>
      <c r="AH236" t="e">
        <f t="shared" si="231"/>
        <v>#N/A</v>
      </c>
      <c r="AI236" t="e">
        <f t="shared" si="232"/>
        <v>#N/A</v>
      </c>
      <c r="AJ236" t="e">
        <f t="shared" si="233"/>
        <v>#N/A</v>
      </c>
      <c r="AK236" t="e">
        <f t="shared" si="234"/>
        <v>#N/A</v>
      </c>
      <c r="AL236" t="e">
        <f t="shared" si="235"/>
        <v>#N/A</v>
      </c>
      <c r="AM236" t="e">
        <f t="shared" si="236"/>
        <v>#N/A</v>
      </c>
      <c r="AN236" t="e">
        <f t="shared" si="237"/>
        <v>#N/A</v>
      </c>
      <c r="AO236" t="e">
        <f t="shared" si="238"/>
        <v>#N/A</v>
      </c>
      <c r="AP236" t="e">
        <f t="shared" si="239"/>
        <v>#N/A</v>
      </c>
      <c r="AQ236" t="e">
        <f t="shared" si="240"/>
        <v>#N/A</v>
      </c>
      <c r="AR236" t="e">
        <f t="shared" si="241"/>
        <v>#N/A</v>
      </c>
      <c r="AS236" t="e">
        <f t="shared" si="242"/>
        <v>#N/A</v>
      </c>
      <c r="AT236" t="e">
        <f t="shared" si="243"/>
        <v>#N/A</v>
      </c>
      <c r="AU236" t="e">
        <f t="shared" si="244"/>
        <v>#N/A</v>
      </c>
      <c r="AV236" t="e">
        <f t="shared" si="245"/>
        <v>#N/A</v>
      </c>
      <c r="AW236" t="e">
        <f t="shared" si="246"/>
        <v>#N/A</v>
      </c>
      <c r="AX236" t="e">
        <f t="shared" si="247"/>
        <v>#N/A</v>
      </c>
      <c r="AY236" t="e">
        <f t="shared" si="248"/>
        <v>#N/A</v>
      </c>
      <c r="BE236" t="e">
        <f>IF(Z236=1,IF(INDEX($C$7:$C$126,V236)&gt;=Gantt!$BF$6,NA(),MATCH(INDEX($C$7:$C$126,V236),Gantt!$J$6:$BE$6,1)),NA())</f>
        <v>#N/A</v>
      </c>
      <c r="BF236" t="e">
        <f>IF(Z236=1,IF((INDEX($D$7:$D$126,AA236)-1)&gt;=Gantt!$BF$6,NA(),IF((INDEX($D$7:$D$126,AA236)-1)&lt;Gantt!$J$6,0,MATCH((INDEX($D$7:$D$126,AA236)-1),Gantt!$J$6:$BE$6,1))),NA())</f>
        <v>#N/A</v>
      </c>
      <c r="BG236" t="e">
        <f t="shared" si="249"/>
        <v>#N/A</v>
      </c>
      <c r="BH236" t="e">
        <f t="shared" si="250"/>
        <v>#N/A</v>
      </c>
      <c r="BI236" t="e">
        <f t="shared" si="251"/>
        <v>#N/A</v>
      </c>
      <c r="BJ236" t="e">
        <f t="shared" si="252"/>
        <v>#N/A</v>
      </c>
      <c r="BK236" t="e">
        <f t="shared" si="253"/>
        <v>#N/A</v>
      </c>
      <c r="BL236" t="e">
        <f t="shared" si="254"/>
        <v>#N/A</v>
      </c>
      <c r="BM236" t="e">
        <f t="shared" si="255"/>
        <v>#N/A</v>
      </c>
      <c r="BN236" t="e">
        <f t="shared" si="256"/>
        <v>#N/A</v>
      </c>
      <c r="BO236" t="e">
        <f t="shared" si="257"/>
        <v>#N/A</v>
      </c>
      <c r="BP236" t="e">
        <f t="shared" si="258"/>
        <v>#N/A</v>
      </c>
      <c r="BQ236" t="e">
        <f t="shared" si="259"/>
        <v>#N/A</v>
      </c>
      <c r="BR236" t="e">
        <f t="shared" si="260"/>
        <v>#N/A</v>
      </c>
      <c r="BS236" t="e">
        <f t="shared" si="261"/>
        <v>#N/A</v>
      </c>
      <c r="BT236" t="e">
        <f t="shared" si="262"/>
        <v>#N/A</v>
      </c>
      <c r="BU236" t="e">
        <f t="shared" si="263"/>
        <v>#N/A</v>
      </c>
      <c r="BV236" t="e">
        <f t="shared" si="264"/>
        <v>#N/A</v>
      </c>
      <c r="BW236" t="e">
        <f t="shared" si="265"/>
        <v>#N/A</v>
      </c>
      <c r="BX236" t="e">
        <f t="shared" si="266"/>
        <v>#N/A</v>
      </c>
      <c r="BY236" t="e">
        <f t="shared" si="267"/>
        <v>#N/A</v>
      </c>
      <c r="BZ236" t="e">
        <f t="shared" si="268"/>
        <v>#N/A</v>
      </c>
      <c r="CA236" t="e">
        <f t="shared" si="269"/>
        <v>#N/A</v>
      </c>
      <c r="CB236" t="e">
        <f t="shared" si="270"/>
        <v>#N/A</v>
      </c>
      <c r="CC236" t="e">
        <f t="shared" si="271"/>
        <v>#N/A</v>
      </c>
      <c r="CD236" t="e">
        <f t="shared" si="272"/>
        <v>#N/A</v>
      </c>
      <c r="CE236" t="e">
        <f t="shared" si="273"/>
        <v>#N/A</v>
      </c>
      <c r="CF236" t="e">
        <f t="shared" si="274"/>
        <v>#N/A</v>
      </c>
      <c r="CG236" t="e">
        <f t="shared" si="275"/>
        <v>#N/A</v>
      </c>
      <c r="CI236" t="e">
        <f>AP83</f>
        <v>#N/A</v>
      </c>
      <c r="CJ236" t="e">
        <f>AQ83</f>
        <v>#N/A</v>
      </c>
      <c r="CK236">
        <f>IF(ISNUMBER(CI236),IFERROR(MAX(0,AR83-CI236),0),0)</f>
        <v>0</v>
      </c>
      <c r="CL236">
        <f>IF(ISNUMBER(CI236),IFERROR(MAX(0,CI236-AR83),0),0)</f>
        <v>0</v>
      </c>
      <c r="CM236">
        <f>IF(ISNUMBER(CJ236),IFERROR(MAX(0,AS83-CJ236),0),0)</f>
        <v>0</v>
      </c>
      <c r="CN236">
        <f>IF(ISNUMBER(CJ236),IFERROR(MAX(0,CJ236-AS83),0),0)</f>
        <v>0</v>
      </c>
      <c r="CP236" t="e">
        <f>BX83</f>
        <v>#N/A</v>
      </c>
      <c r="CQ236" t="e">
        <f>BY83</f>
        <v>#N/A</v>
      </c>
      <c r="CR236">
        <f>IF(ISNUMBER(CP236),IFERROR(MAX(0,BZ83-CP236),0),0)</f>
        <v>0</v>
      </c>
      <c r="CS236">
        <f>IF(ISNUMBER(CP236),IFERROR(MAX(0,CP236-BZ83),0),0)</f>
        <v>0</v>
      </c>
      <c r="CT236">
        <f>IF(ISNUMBER(CQ236),IFERROR(MAX(0,CA83-CQ236),0),0)</f>
        <v>0</v>
      </c>
      <c r="CU236">
        <f>IF(ISNUMBER(CQ236),IFERROR(MAX(0,CQ236-CA83),0),0)</f>
        <v>0</v>
      </c>
    </row>
    <row r="237" spans="21:99" x14ac:dyDescent="0.3">
      <c r="U237">
        <v>231</v>
      </c>
      <c r="V237">
        <f t="shared" si="220"/>
        <v>58</v>
      </c>
      <c r="W237">
        <f t="shared" si="221"/>
        <v>3</v>
      </c>
      <c r="X237">
        <f t="shared" si="222"/>
        <v>0</v>
      </c>
      <c r="Y237">
        <f>IF(X237&lt;&gt;1,9999,CHOOSE(W237,INDEX(Gantt!$BQ$7:$BQ$119,V237),INDEX(Gantt!$BR$7:$BR$119,V237),INDEX(Gantt!$BT$7:$BT$119,V237),INDEX(Gantt!$BU$7:$BU$119,V237)))</f>
        <v>9999</v>
      </c>
      <c r="Z237">
        <f t="shared" si="223"/>
        <v>0</v>
      </c>
      <c r="AA237" t="e">
        <f t="shared" si="224"/>
        <v>#N/A</v>
      </c>
      <c r="AB237" t="e">
        <f t="shared" si="225"/>
        <v>#N/A</v>
      </c>
      <c r="AC237" t="e">
        <f t="shared" si="226"/>
        <v>#N/A</v>
      </c>
      <c r="AD237" t="e">
        <f t="shared" si="227"/>
        <v>#N/A</v>
      </c>
      <c r="AE237" t="e">
        <f t="shared" si="228"/>
        <v>#N/A</v>
      </c>
      <c r="AF237" t="e">
        <f t="shared" si="229"/>
        <v>#N/A</v>
      </c>
      <c r="AG237" t="e">
        <f t="shared" si="230"/>
        <v>#N/A</v>
      </c>
      <c r="AH237" t="e">
        <f t="shared" si="231"/>
        <v>#N/A</v>
      </c>
      <c r="AI237" t="e">
        <f t="shared" si="232"/>
        <v>#N/A</v>
      </c>
      <c r="AJ237" t="e">
        <f t="shared" si="233"/>
        <v>#N/A</v>
      </c>
      <c r="AK237" t="e">
        <f t="shared" si="234"/>
        <v>#N/A</v>
      </c>
      <c r="AL237" t="e">
        <f t="shared" si="235"/>
        <v>#N/A</v>
      </c>
      <c r="AM237" t="e">
        <f t="shared" si="236"/>
        <v>#N/A</v>
      </c>
      <c r="AN237" t="e">
        <f t="shared" si="237"/>
        <v>#N/A</v>
      </c>
      <c r="AO237" t="e">
        <f t="shared" si="238"/>
        <v>#N/A</v>
      </c>
      <c r="AP237" t="e">
        <f t="shared" si="239"/>
        <v>#N/A</v>
      </c>
      <c r="AQ237" t="e">
        <f t="shared" si="240"/>
        <v>#N/A</v>
      </c>
      <c r="AR237" t="e">
        <f t="shared" si="241"/>
        <v>#N/A</v>
      </c>
      <c r="AS237" t="e">
        <f t="shared" si="242"/>
        <v>#N/A</v>
      </c>
      <c r="AT237" t="e">
        <f t="shared" si="243"/>
        <v>#N/A</v>
      </c>
      <c r="AU237" t="e">
        <f t="shared" si="244"/>
        <v>#N/A</v>
      </c>
      <c r="AV237" t="e">
        <f t="shared" si="245"/>
        <v>#N/A</v>
      </c>
      <c r="AW237" t="e">
        <f t="shared" si="246"/>
        <v>#N/A</v>
      </c>
      <c r="AX237" t="e">
        <f t="shared" si="247"/>
        <v>#N/A</v>
      </c>
      <c r="AY237" t="e">
        <f t="shared" si="248"/>
        <v>#N/A</v>
      </c>
      <c r="BE237" t="e">
        <f>IF(Z237=1,IF(INDEX($C$7:$C$126,V237)&gt;=Gantt!$BF$6,NA(),MATCH(INDEX($C$7:$C$126,V237),Gantt!$J$6:$BE$6,1)),NA())</f>
        <v>#N/A</v>
      </c>
      <c r="BF237" t="e">
        <f>IF(Z237=1,IF((INDEX($D$7:$D$126,AA237)-1)&gt;=Gantt!$BF$6,NA(),IF((INDEX($D$7:$D$126,AA237)-1)&lt;Gantt!$J$6,0,MATCH((INDEX($D$7:$D$126,AA237)-1),Gantt!$J$6:$BE$6,1))),NA())</f>
        <v>#N/A</v>
      </c>
      <c r="BG237" t="e">
        <f t="shared" si="249"/>
        <v>#N/A</v>
      </c>
      <c r="BH237" t="e">
        <f t="shared" si="250"/>
        <v>#N/A</v>
      </c>
      <c r="BI237" t="e">
        <f t="shared" si="251"/>
        <v>#N/A</v>
      </c>
      <c r="BJ237" t="e">
        <f t="shared" si="252"/>
        <v>#N/A</v>
      </c>
      <c r="BK237" t="e">
        <f t="shared" si="253"/>
        <v>#N/A</v>
      </c>
      <c r="BL237" t="e">
        <f t="shared" si="254"/>
        <v>#N/A</v>
      </c>
      <c r="BM237" t="e">
        <f t="shared" si="255"/>
        <v>#N/A</v>
      </c>
      <c r="BN237" t="e">
        <f t="shared" si="256"/>
        <v>#N/A</v>
      </c>
      <c r="BO237" t="e">
        <f t="shared" si="257"/>
        <v>#N/A</v>
      </c>
      <c r="BP237" t="e">
        <f t="shared" si="258"/>
        <v>#N/A</v>
      </c>
      <c r="BQ237" t="e">
        <f t="shared" si="259"/>
        <v>#N/A</v>
      </c>
      <c r="BR237" t="e">
        <f t="shared" si="260"/>
        <v>#N/A</v>
      </c>
      <c r="BS237" t="e">
        <f t="shared" si="261"/>
        <v>#N/A</v>
      </c>
      <c r="BT237" t="e">
        <f t="shared" si="262"/>
        <v>#N/A</v>
      </c>
      <c r="BU237" t="e">
        <f t="shared" si="263"/>
        <v>#N/A</v>
      </c>
      <c r="BV237" t="e">
        <f t="shared" si="264"/>
        <v>#N/A</v>
      </c>
      <c r="BW237" t="e">
        <f t="shared" si="265"/>
        <v>#N/A</v>
      </c>
      <c r="BX237" t="e">
        <f t="shared" si="266"/>
        <v>#N/A</v>
      </c>
      <c r="BY237" t="e">
        <f t="shared" si="267"/>
        <v>#N/A</v>
      </c>
      <c r="BZ237" t="e">
        <f t="shared" si="268"/>
        <v>#N/A</v>
      </c>
      <c r="CA237" t="e">
        <f t="shared" si="269"/>
        <v>#N/A</v>
      </c>
      <c r="CB237" t="e">
        <f t="shared" si="270"/>
        <v>#N/A</v>
      </c>
      <c r="CC237" t="e">
        <f t="shared" si="271"/>
        <v>#N/A</v>
      </c>
      <c r="CD237" t="e">
        <f t="shared" si="272"/>
        <v>#N/A</v>
      </c>
      <c r="CE237" t="e">
        <f t="shared" si="273"/>
        <v>#N/A</v>
      </c>
      <c r="CF237" t="e">
        <f t="shared" si="274"/>
        <v>#N/A</v>
      </c>
      <c r="CG237" t="e">
        <f t="shared" si="275"/>
        <v>#N/A</v>
      </c>
      <c r="CI237" t="e">
        <f>AT83</f>
        <v>#N/A</v>
      </c>
      <c r="CJ237" t="e">
        <f>AU83</f>
        <v>#N/A</v>
      </c>
      <c r="CK237">
        <f>IF(ISNUMBER(CI237),IFERROR(MAX(0,AV83-CI237),0),0)</f>
        <v>0</v>
      </c>
      <c r="CL237">
        <f>IF(ISNUMBER(CI237),IFERROR(MAX(0,CI237-AV83),0),0)</f>
        <v>0</v>
      </c>
      <c r="CM237">
        <f>IF(ISNUMBER(CJ237),IFERROR(MAX(0,AW83-CJ237),0),0)</f>
        <v>0</v>
      </c>
      <c r="CN237">
        <f>IF(ISNUMBER(CJ237),IFERROR(MAX(0,CJ237-AW83),0),0)</f>
        <v>0</v>
      </c>
      <c r="CP237" t="e">
        <f>CB83</f>
        <v>#N/A</v>
      </c>
      <c r="CQ237" t="e">
        <f>CC83</f>
        <v>#N/A</v>
      </c>
      <c r="CR237">
        <f>IF(ISNUMBER(CP237),IFERROR(MAX(0,CD83-CP237),0),0)</f>
        <v>0</v>
      </c>
      <c r="CS237">
        <f>IF(ISNUMBER(CP237),IFERROR(MAX(0,CP237-CD83),0),0)</f>
        <v>0</v>
      </c>
      <c r="CT237">
        <f>IF(ISNUMBER(CQ237),IFERROR(MAX(0,CE83-CQ237),0),0)</f>
        <v>0</v>
      </c>
      <c r="CU237">
        <f>IF(ISNUMBER(CQ237),IFERROR(MAX(0,CQ237-CE83),0),0)</f>
        <v>0</v>
      </c>
    </row>
    <row r="238" spans="21:99" x14ac:dyDescent="0.3">
      <c r="U238">
        <v>232</v>
      </c>
      <c r="V238">
        <f t="shared" si="220"/>
        <v>58</v>
      </c>
      <c r="W238">
        <f t="shared" si="221"/>
        <v>4</v>
      </c>
      <c r="X238">
        <f t="shared" si="222"/>
        <v>0</v>
      </c>
      <c r="Y238">
        <f>IF(X238&lt;&gt;1,9999,CHOOSE(W238,INDEX(Gantt!$BQ$7:$BQ$119,V238),INDEX(Gantt!$BR$7:$BR$119,V238),INDEX(Gantt!$BT$7:$BT$119,V238),INDEX(Gantt!$BU$7:$BU$119,V238)))</f>
        <v>9999</v>
      </c>
      <c r="Z238">
        <f t="shared" si="223"/>
        <v>0</v>
      </c>
      <c r="AA238" t="e">
        <f t="shared" si="224"/>
        <v>#N/A</v>
      </c>
      <c r="AB238" t="e">
        <f t="shared" si="225"/>
        <v>#N/A</v>
      </c>
      <c r="AC238" t="e">
        <f t="shared" si="226"/>
        <v>#N/A</v>
      </c>
      <c r="AD238" t="e">
        <f t="shared" si="227"/>
        <v>#N/A</v>
      </c>
      <c r="AE238" t="e">
        <f t="shared" si="228"/>
        <v>#N/A</v>
      </c>
      <c r="AF238" t="e">
        <f t="shared" si="229"/>
        <v>#N/A</v>
      </c>
      <c r="AG238" t="e">
        <f t="shared" si="230"/>
        <v>#N/A</v>
      </c>
      <c r="AH238" t="e">
        <f t="shared" si="231"/>
        <v>#N/A</v>
      </c>
      <c r="AI238" t="e">
        <f t="shared" si="232"/>
        <v>#N/A</v>
      </c>
      <c r="AJ238" t="e">
        <f t="shared" si="233"/>
        <v>#N/A</v>
      </c>
      <c r="AK238" t="e">
        <f t="shared" si="234"/>
        <v>#N/A</v>
      </c>
      <c r="AL238" t="e">
        <f t="shared" si="235"/>
        <v>#N/A</v>
      </c>
      <c r="AM238" t="e">
        <f t="shared" si="236"/>
        <v>#N/A</v>
      </c>
      <c r="AN238" t="e">
        <f t="shared" si="237"/>
        <v>#N/A</v>
      </c>
      <c r="AO238" t="e">
        <f t="shared" si="238"/>
        <v>#N/A</v>
      </c>
      <c r="AP238" t="e">
        <f t="shared" si="239"/>
        <v>#N/A</v>
      </c>
      <c r="AQ238" t="e">
        <f t="shared" si="240"/>
        <v>#N/A</v>
      </c>
      <c r="AR238" t="e">
        <f t="shared" si="241"/>
        <v>#N/A</v>
      </c>
      <c r="AS238" t="e">
        <f t="shared" si="242"/>
        <v>#N/A</v>
      </c>
      <c r="AT238" t="e">
        <f t="shared" si="243"/>
        <v>#N/A</v>
      </c>
      <c r="AU238" t="e">
        <f t="shared" si="244"/>
        <v>#N/A</v>
      </c>
      <c r="AV238" t="e">
        <f t="shared" si="245"/>
        <v>#N/A</v>
      </c>
      <c r="AW238" t="e">
        <f t="shared" si="246"/>
        <v>#N/A</v>
      </c>
      <c r="AX238" t="e">
        <f t="shared" si="247"/>
        <v>#N/A</v>
      </c>
      <c r="AY238" t="e">
        <f t="shared" si="248"/>
        <v>#N/A</v>
      </c>
      <c r="BE238" t="e">
        <f>IF(Z238=1,IF(INDEX($C$7:$C$126,V238)&gt;=Gantt!$BF$6,NA(),MATCH(INDEX($C$7:$C$126,V238),Gantt!$J$6:$BE$6,1)),NA())</f>
        <v>#N/A</v>
      </c>
      <c r="BF238" t="e">
        <f>IF(Z238=1,IF((INDEX($D$7:$D$126,AA238)-1)&gt;=Gantt!$BF$6,NA(),IF((INDEX($D$7:$D$126,AA238)-1)&lt;Gantt!$J$6,0,MATCH((INDEX($D$7:$D$126,AA238)-1),Gantt!$J$6:$BE$6,1))),NA())</f>
        <v>#N/A</v>
      </c>
      <c r="BG238" t="e">
        <f t="shared" si="249"/>
        <v>#N/A</v>
      </c>
      <c r="BH238" t="e">
        <f t="shared" si="250"/>
        <v>#N/A</v>
      </c>
      <c r="BI238" t="e">
        <f t="shared" si="251"/>
        <v>#N/A</v>
      </c>
      <c r="BJ238" t="e">
        <f t="shared" si="252"/>
        <v>#N/A</v>
      </c>
      <c r="BK238" t="e">
        <f t="shared" si="253"/>
        <v>#N/A</v>
      </c>
      <c r="BL238" t="e">
        <f t="shared" si="254"/>
        <v>#N/A</v>
      </c>
      <c r="BM238" t="e">
        <f t="shared" si="255"/>
        <v>#N/A</v>
      </c>
      <c r="BN238" t="e">
        <f t="shared" si="256"/>
        <v>#N/A</v>
      </c>
      <c r="BO238" t="e">
        <f t="shared" si="257"/>
        <v>#N/A</v>
      </c>
      <c r="BP238" t="e">
        <f t="shared" si="258"/>
        <v>#N/A</v>
      </c>
      <c r="BQ238" t="e">
        <f t="shared" si="259"/>
        <v>#N/A</v>
      </c>
      <c r="BR238" t="e">
        <f t="shared" si="260"/>
        <v>#N/A</v>
      </c>
      <c r="BS238" t="e">
        <f t="shared" si="261"/>
        <v>#N/A</v>
      </c>
      <c r="BT238" t="e">
        <f t="shared" si="262"/>
        <v>#N/A</v>
      </c>
      <c r="BU238" t="e">
        <f t="shared" si="263"/>
        <v>#N/A</v>
      </c>
      <c r="BV238" t="e">
        <f t="shared" si="264"/>
        <v>#N/A</v>
      </c>
      <c r="BW238" t="e">
        <f t="shared" si="265"/>
        <v>#N/A</v>
      </c>
      <c r="BX238" t="e">
        <f t="shared" si="266"/>
        <v>#N/A</v>
      </c>
      <c r="BY238" t="e">
        <f t="shared" si="267"/>
        <v>#N/A</v>
      </c>
      <c r="BZ238" t="e">
        <f t="shared" si="268"/>
        <v>#N/A</v>
      </c>
      <c r="CA238" t="e">
        <f t="shared" si="269"/>
        <v>#N/A</v>
      </c>
      <c r="CB238" t="e">
        <f t="shared" si="270"/>
        <v>#N/A</v>
      </c>
      <c r="CC238" t="e">
        <f t="shared" si="271"/>
        <v>#N/A</v>
      </c>
      <c r="CD238" t="e">
        <f t="shared" si="272"/>
        <v>#N/A</v>
      </c>
      <c r="CE238" t="e">
        <f t="shared" si="273"/>
        <v>#N/A</v>
      </c>
      <c r="CF238" t="e">
        <f t="shared" si="274"/>
        <v>#N/A</v>
      </c>
      <c r="CG238" t="e">
        <f t="shared" si="275"/>
        <v>#N/A</v>
      </c>
      <c r="CI238" t="e">
        <f>AL84</f>
        <v>#N/A</v>
      </c>
      <c r="CJ238" t="e">
        <f>AM84</f>
        <v>#N/A</v>
      </c>
      <c r="CK238">
        <f>IF(ISNUMBER(CI238),IFERROR(MAX(0,AN84-CI238),0),0)</f>
        <v>0</v>
      </c>
      <c r="CL238">
        <f>IF(ISNUMBER(CI238),IFERROR(MAX(0,CI238-AN84),0),0)</f>
        <v>0</v>
      </c>
      <c r="CM238">
        <f>IF(ISNUMBER(CJ238),IFERROR(MAX(0,AO84-CJ238),0),0)</f>
        <v>0</v>
      </c>
      <c r="CN238">
        <f>IF(ISNUMBER(CJ238),IFERROR(MAX(0,CJ238-AO84),0),0)</f>
        <v>0</v>
      </c>
      <c r="CP238" t="e">
        <f>BT84</f>
        <v>#N/A</v>
      </c>
      <c r="CQ238" t="e">
        <f>BU84</f>
        <v>#N/A</v>
      </c>
      <c r="CR238">
        <f>IF(ISNUMBER(CP238),IFERROR(MAX(0,BV84-CP238),0),0)</f>
        <v>0</v>
      </c>
      <c r="CS238">
        <f>IF(ISNUMBER(CP238),IFERROR(MAX(0,CP238-BV84),0),0)</f>
        <v>0</v>
      </c>
      <c r="CT238">
        <f>IF(ISNUMBER(CQ238),IFERROR(MAX(0,BW84-CQ238),0),0)</f>
        <v>0</v>
      </c>
      <c r="CU238">
        <f>IF(ISNUMBER(CQ238),IFERROR(MAX(0,CQ238-BW84),0),0)</f>
        <v>0</v>
      </c>
    </row>
    <row r="239" spans="21:99" x14ac:dyDescent="0.3">
      <c r="U239">
        <v>233</v>
      </c>
      <c r="V239">
        <f t="shared" si="220"/>
        <v>59</v>
      </c>
      <c r="W239">
        <f t="shared" si="221"/>
        <v>1</v>
      </c>
      <c r="X239">
        <f t="shared" si="222"/>
        <v>0</v>
      </c>
      <c r="Y239">
        <f>IF(X239&lt;&gt;1,9999,CHOOSE(W239,INDEX(Gantt!$BQ$7:$BQ$119,V239),INDEX(Gantt!$BR$7:$BR$119,V239),INDEX(Gantt!$BT$7:$BT$119,V239),INDEX(Gantt!$BU$7:$BU$119,V239)))</f>
        <v>9999</v>
      </c>
      <c r="Z239">
        <f t="shared" si="223"/>
        <v>0</v>
      </c>
      <c r="AA239" t="e">
        <f t="shared" si="224"/>
        <v>#N/A</v>
      </c>
      <c r="AB239" t="e">
        <f t="shared" si="225"/>
        <v>#N/A</v>
      </c>
      <c r="AC239" t="e">
        <f t="shared" si="226"/>
        <v>#N/A</v>
      </c>
      <c r="AD239" t="e">
        <f t="shared" si="227"/>
        <v>#N/A</v>
      </c>
      <c r="AE239" t="e">
        <f t="shared" si="228"/>
        <v>#N/A</v>
      </c>
      <c r="AF239" t="e">
        <f t="shared" si="229"/>
        <v>#N/A</v>
      </c>
      <c r="AG239" t="e">
        <f t="shared" si="230"/>
        <v>#N/A</v>
      </c>
      <c r="AH239" t="e">
        <f t="shared" si="231"/>
        <v>#N/A</v>
      </c>
      <c r="AI239" t="e">
        <f t="shared" si="232"/>
        <v>#N/A</v>
      </c>
      <c r="AJ239" t="e">
        <f t="shared" si="233"/>
        <v>#N/A</v>
      </c>
      <c r="AK239" t="e">
        <f t="shared" si="234"/>
        <v>#N/A</v>
      </c>
      <c r="AL239" t="e">
        <f t="shared" si="235"/>
        <v>#N/A</v>
      </c>
      <c r="AM239" t="e">
        <f t="shared" si="236"/>
        <v>#N/A</v>
      </c>
      <c r="AN239" t="e">
        <f t="shared" si="237"/>
        <v>#N/A</v>
      </c>
      <c r="AO239" t="e">
        <f t="shared" si="238"/>
        <v>#N/A</v>
      </c>
      <c r="AP239" t="e">
        <f t="shared" si="239"/>
        <v>#N/A</v>
      </c>
      <c r="AQ239" t="e">
        <f t="shared" si="240"/>
        <v>#N/A</v>
      </c>
      <c r="AR239" t="e">
        <f t="shared" si="241"/>
        <v>#N/A</v>
      </c>
      <c r="AS239" t="e">
        <f t="shared" si="242"/>
        <v>#N/A</v>
      </c>
      <c r="AT239" t="e">
        <f t="shared" si="243"/>
        <v>#N/A</v>
      </c>
      <c r="AU239" t="e">
        <f t="shared" si="244"/>
        <v>#N/A</v>
      </c>
      <c r="AV239" t="e">
        <f t="shared" si="245"/>
        <v>#N/A</v>
      </c>
      <c r="AW239" t="e">
        <f t="shared" si="246"/>
        <v>#N/A</v>
      </c>
      <c r="AX239" t="e">
        <f t="shared" si="247"/>
        <v>#N/A</v>
      </c>
      <c r="AY239" t="e">
        <f t="shared" si="248"/>
        <v>#N/A</v>
      </c>
      <c r="BE239" t="e">
        <f>IF(Z239=1,IF(INDEX($C$7:$C$126,V239)&gt;=Gantt!$BF$6,NA(),MATCH(INDEX($C$7:$C$126,V239),Gantt!$J$6:$BE$6,1)),NA())</f>
        <v>#N/A</v>
      </c>
      <c r="BF239" t="e">
        <f>IF(Z239=1,IF((INDEX($D$7:$D$126,AA239)-1)&gt;=Gantt!$BF$6,NA(),IF((INDEX($D$7:$D$126,AA239)-1)&lt;Gantt!$J$6,0,MATCH((INDEX($D$7:$D$126,AA239)-1),Gantt!$J$6:$BE$6,1))),NA())</f>
        <v>#N/A</v>
      </c>
      <c r="BG239" t="e">
        <f t="shared" si="249"/>
        <v>#N/A</v>
      </c>
      <c r="BH239" t="e">
        <f t="shared" si="250"/>
        <v>#N/A</v>
      </c>
      <c r="BI239" t="e">
        <f t="shared" si="251"/>
        <v>#N/A</v>
      </c>
      <c r="BJ239" t="e">
        <f t="shared" si="252"/>
        <v>#N/A</v>
      </c>
      <c r="BK239" t="e">
        <f t="shared" si="253"/>
        <v>#N/A</v>
      </c>
      <c r="BL239" t="e">
        <f t="shared" si="254"/>
        <v>#N/A</v>
      </c>
      <c r="BM239" t="e">
        <f t="shared" si="255"/>
        <v>#N/A</v>
      </c>
      <c r="BN239" t="e">
        <f t="shared" si="256"/>
        <v>#N/A</v>
      </c>
      <c r="BO239" t="e">
        <f t="shared" si="257"/>
        <v>#N/A</v>
      </c>
      <c r="BP239" t="e">
        <f t="shared" si="258"/>
        <v>#N/A</v>
      </c>
      <c r="BQ239" t="e">
        <f t="shared" si="259"/>
        <v>#N/A</v>
      </c>
      <c r="BR239" t="e">
        <f t="shared" si="260"/>
        <v>#N/A</v>
      </c>
      <c r="BS239" t="e">
        <f t="shared" si="261"/>
        <v>#N/A</v>
      </c>
      <c r="BT239" t="e">
        <f t="shared" si="262"/>
        <v>#N/A</v>
      </c>
      <c r="BU239" t="e">
        <f t="shared" si="263"/>
        <v>#N/A</v>
      </c>
      <c r="BV239" t="e">
        <f t="shared" si="264"/>
        <v>#N/A</v>
      </c>
      <c r="BW239" t="e">
        <f t="shared" si="265"/>
        <v>#N/A</v>
      </c>
      <c r="BX239" t="e">
        <f t="shared" si="266"/>
        <v>#N/A</v>
      </c>
      <c r="BY239" t="e">
        <f t="shared" si="267"/>
        <v>#N/A</v>
      </c>
      <c r="BZ239" t="e">
        <f t="shared" si="268"/>
        <v>#N/A</v>
      </c>
      <c r="CA239" t="e">
        <f t="shared" si="269"/>
        <v>#N/A</v>
      </c>
      <c r="CB239" t="e">
        <f t="shared" si="270"/>
        <v>#N/A</v>
      </c>
      <c r="CC239" t="e">
        <f t="shared" si="271"/>
        <v>#N/A</v>
      </c>
      <c r="CD239" t="e">
        <f t="shared" si="272"/>
        <v>#N/A</v>
      </c>
      <c r="CE239" t="e">
        <f t="shared" si="273"/>
        <v>#N/A</v>
      </c>
      <c r="CF239" t="e">
        <f t="shared" si="274"/>
        <v>#N/A</v>
      </c>
      <c r="CG239" t="e">
        <f t="shared" si="275"/>
        <v>#N/A</v>
      </c>
      <c r="CI239" t="e">
        <f>AP84</f>
        <v>#N/A</v>
      </c>
      <c r="CJ239" t="e">
        <f>AQ84</f>
        <v>#N/A</v>
      </c>
      <c r="CK239">
        <f>IF(ISNUMBER(CI239),IFERROR(MAX(0,AR84-CI239),0),0)</f>
        <v>0</v>
      </c>
      <c r="CL239">
        <f>IF(ISNUMBER(CI239),IFERROR(MAX(0,CI239-AR84),0),0)</f>
        <v>0</v>
      </c>
      <c r="CM239">
        <f>IF(ISNUMBER(CJ239),IFERROR(MAX(0,AS84-CJ239),0),0)</f>
        <v>0</v>
      </c>
      <c r="CN239">
        <f>IF(ISNUMBER(CJ239),IFERROR(MAX(0,CJ239-AS84),0),0)</f>
        <v>0</v>
      </c>
      <c r="CP239" t="e">
        <f>BX84</f>
        <v>#N/A</v>
      </c>
      <c r="CQ239" t="e">
        <f>BY84</f>
        <v>#N/A</v>
      </c>
      <c r="CR239">
        <f>IF(ISNUMBER(CP239),IFERROR(MAX(0,BZ84-CP239),0),0)</f>
        <v>0</v>
      </c>
      <c r="CS239">
        <f>IF(ISNUMBER(CP239),IFERROR(MAX(0,CP239-BZ84),0),0)</f>
        <v>0</v>
      </c>
      <c r="CT239">
        <f>IF(ISNUMBER(CQ239),IFERROR(MAX(0,CA84-CQ239),0),0)</f>
        <v>0</v>
      </c>
      <c r="CU239">
        <f>IF(ISNUMBER(CQ239),IFERROR(MAX(0,CQ239-CA84),0),0)</f>
        <v>0</v>
      </c>
    </row>
    <row r="240" spans="21:99" x14ac:dyDescent="0.3">
      <c r="U240">
        <v>234</v>
      </c>
      <c r="V240">
        <f t="shared" si="220"/>
        <v>59</v>
      </c>
      <c r="W240">
        <f t="shared" si="221"/>
        <v>2</v>
      </c>
      <c r="X240">
        <f t="shared" si="222"/>
        <v>0</v>
      </c>
      <c r="Y240">
        <f>IF(X240&lt;&gt;1,9999,CHOOSE(W240,INDEX(Gantt!$BQ$7:$BQ$119,V240),INDEX(Gantt!$BR$7:$BR$119,V240),INDEX(Gantt!$BT$7:$BT$119,V240),INDEX(Gantt!$BU$7:$BU$119,V240)))</f>
        <v>9999</v>
      </c>
      <c r="Z240">
        <f t="shared" si="223"/>
        <v>0</v>
      </c>
      <c r="AA240" t="e">
        <f t="shared" si="224"/>
        <v>#N/A</v>
      </c>
      <c r="AB240" t="e">
        <f t="shared" si="225"/>
        <v>#N/A</v>
      </c>
      <c r="AC240" t="e">
        <f t="shared" si="226"/>
        <v>#N/A</v>
      </c>
      <c r="AD240" t="e">
        <f t="shared" si="227"/>
        <v>#N/A</v>
      </c>
      <c r="AE240" t="e">
        <f t="shared" si="228"/>
        <v>#N/A</v>
      </c>
      <c r="AF240" t="e">
        <f t="shared" si="229"/>
        <v>#N/A</v>
      </c>
      <c r="AG240" t="e">
        <f t="shared" si="230"/>
        <v>#N/A</v>
      </c>
      <c r="AH240" t="e">
        <f t="shared" si="231"/>
        <v>#N/A</v>
      </c>
      <c r="AI240" t="e">
        <f t="shared" si="232"/>
        <v>#N/A</v>
      </c>
      <c r="AJ240" t="e">
        <f t="shared" si="233"/>
        <v>#N/A</v>
      </c>
      <c r="AK240" t="e">
        <f t="shared" si="234"/>
        <v>#N/A</v>
      </c>
      <c r="AL240" t="e">
        <f t="shared" si="235"/>
        <v>#N/A</v>
      </c>
      <c r="AM240" t="e">
        <f t="shared" si="236"/>
        <v>#N/A</v>
      </c>
      <c r="AN240" t="e">
        <f t="shared" si="237"/>
        <v>#N/A</v>
      </c>
      <c r="AO240" t="e">
        <f t="shared" si="238"/>
        <v>#N/A</v>
      </c>
      <c r="AP240" t="e">
        <f t="shared" si="239"/>
        <v>#N/A</v>
      </c>
      <c r="AQ240" t="e">
        <f t="shared" si="240"/>
        <v>#N/A</v>
      </c>
      <c r="AR240" t="e">
        <f t="shared" si="241"/>
        <v>#N/A</v>
      </c>
      <c r="AS240" t="e">
        <f t="shared" si="242"/>
        <v>#N/A</v>
      </c>
      <c r="AT240" t="e">
        <f t="shared" si="243"/>
        <v>#N/A</v>
      </c>
      <c r="AU240" t="e">
        <f t="shared" si="244"/>
        <v>#N/A</v>
      </c>
      <c r="AV240" t="e">
        <f t="shared" si="245"/>
        <v>#N/A</v>
      </c>
      <c r="AW240" t="e">
        <f t="shared" si="246"/>
        <v>#N/A</v>
      </c>
      <c r="AX240" t="e">
        <f t="shared" si="247"/>
        <v>#N/A</v>
      </c>
      <c r="AY240" t="e">
        <f t="shared" si="248"/>
        <v>#N/A</v>
      </c>
      <c r="BE240" t="e">
        <f>IF(Z240=1,IF(INDEX($C$7:$C$126,V240)&gt;=Gantt!$BF$6,NA(),MATCH(INDEX($C$7:$C$126,V240),Gantt!$J$6:$BE$6,1)),NA())</f>
        <v>#N/A</v>
      </c>
      <c r="BF240" t="e">
        <f>IF(Z240=1,IF((INDEX($D$7:$D$126,AA240)-1)&gt;=Gantt!$BF$6,NA(),IF((INDEX($D$7:$D$126,AA240)-1)&lt;Gantt!$J$6,0,MATCH((INDEX($D$7:$D$126,AA240)-1),Gantt!$J$6:$BE$6,1))),NA())</f>
        <v>#N/A</v>
      </c>
      <c r="BG240" t="e">
        <f t="shared" si="249"/>
        <v>#N/A</v>
      </c>
      <c r="BH240" t="e">
        <f t="shared" si="250"/>
        <v>#N/A</v>
      </c>
      <c r="BI240" t="e">
        <f t="shared" si="251"/>
        <v>#N/A</v>
      </c>
      <c r="BJ240" t="e">
        <f t="shared" si="252"/>
        <v>#N/A</v>
      </c>
      <c r="BK240" t="e">
        <f t="shared" si="253"/>
        <v>#N/A</v>
      </c>
      <c r="BL240" t="e">
        <f t="shared" si="254"/>
        <v>#N/A</v>
      </c>
      <c r="BM240" t="e">
        <f t="shared" si="255"/>
        <v>#N/A</v>
      </c>
      <c r="BN240" t="e">
        <f t="shared" si="256"/>
        <v>#N/A</v>
      </c>
      <c r="BO240" t="e">
        <f t="shared" si="257"/>
        <v>#N/A</v>
      </c>
      <c r="BP240" t="e">
        <f t="shared" si="258"/>
        <v>#N/A</v>
      </c>
      <c r="BQ240" t="e">
        <f t="shared" si="259"/>
        <v>#N/A</v>
      </c>
      <c r="BR240" t="e">
        <f t="shared" si="260"/>
        <v>#N/A</v>
      </c>
      <c r="BS240" t="e">
        <f t="shared" si="261"/>
        <v>#N/A</v>
      </c>
      <c r="BT240" t="e">
        <f t="shared" si="262"/>
        <v>#N/A</v>
      </c>
      <c r="BU240" t="e">
        <f t="shared" si="263"/>
        <v>#N/A</v>
      </c>
      <c r="BV240" t="e">
        <f t="shared" si="264"/>
        <v>#N/A</v>
      </c>
      <c r="BW240" t="e">
        <f t="shared" si="265"/>
        <v>#N/A</v>
      </c>
      <c r="BX240" t="e">
        <f t="shared" si="266"/>
        <v>#N/A</v>
      </c>
      <c r="BY240" t="e">
        <f t="shared" si="267"/>
        <v>#N/A</v>
      </c>
      <c r="BZ240" t="e">
        <f t="shared" si="268"/>
        <v>#N/A</v>
      </c>
      <c r="CA240" t="e">
        <f t="shared" si="269"/>
        <v>#N/A</v>
      </c>
      <c r="CB240" t="e">
        <f t="shared" si="270"/>
        <v>#N/A</v>
      </c>
      <c r="CC240" t="e">
        <f t="shared" si="271"/>
        <v>#N/A</v>
      </c>
      <c r="CD240" t="e">
        <f t="shared" si="272"/>
        <v>#N/A</v>
      </c>
      <c r="CE240" t="e">
        <f t="shared" si="273"/>
        <v>#N/A</v>
      </c>
      <c r="CF240" t="e">
        <f t="shared" si="274"/>
        <v>#N/A</v>
      </c>
      <c r="CG240" t="e">
        <f t="shared" si="275"/>
        <v>#N/A</v>
      </c>
      <c r="CI240" t="e">
        <f>AT84</f>
        <v>#N/A</v>
      </c>
      <c r="CJ240" t="e">
        <f>AU84</f>
        <v>#N/A</v>
      </c>
      <c r="CK240">
        <f>IF(ISNUMBER(CI240),IFERROR(MAX(0,AV84-CI240),0),0)</f>
        <v>0</v>
      </c>
      <c r="CL240">
        <f>IF(ISNUMBER(CI240),IFERROR(MAX(0,CI240-AV84),0),0)</f>
        <v>0</v>
      </c>
      <c r="CM240">
        <f>IF(ISNUMBER(CJ240),IFERROR(MAX(0,AW84-CJ240),0),0)</f>
        <v>0</v>
      </c>
      <c r="CN240">
        <f>IF(ISNUMBER(CJ240),IFERROR(MAX(0,CJ240-AW84),0),0)</f>
        <v>0</v>
      </c>
      <c r="CP240" t="e">
        <f>CB84</f>
        <v>#N/A</v>
      </c>
      <c r="CQ240" t="e">
        <f>CC84</f>
        <v>#N/A</v>
      </c>
      <c r="CR240">
        <f>IF(ISNUMBER(CP240),IFERROR(MAX(0,CD84-CP240),0),0)</f>
        <v>0</v>
      </c>
      <c r="CS240">
        <f>IF(ISNUMBER(CP240),IFERROR(MAX(0,CP240-CD84),0),0)</f>
        <v>0</v>
      </c>
      <c r="CT240">
        <f>IF(ISNUMBER(CQ240),IFERROR(MAX(0,CE84-CQ240),0),0)</f>
        <v>0</v>
      </c>
      <c r="CU240">
        <f>IF(ISNUMBER(CQ240),IFERROR(MAX(0,CQ240-CE84),0),0)</f>
        <v>0</v>
      </c>
    </row>
    <row r="241" spans="21:99" x14ac:dyDescent="0.3">
      <c r="U241">
        <v>235</v>
      </c>
      <c r="V241">
        <f t="shared" si="220"/>
        <v>59</v>
      </c>
      <c r="W241">
        <f t="shared" si="221"/>
        <v>3</v>
      </c>
      <c r="X241">
        <f t="shared" si="222"/>
        <v>0</v>
      </c>
      <c r="Y241">
        <f>IF(X241&lt;&gt;1,9999,CHOOSE(W241,INDEX(Gantt!$BQ$7:$BQ$119,V241),INDEX(Gantt!$BR$7:$BR$119,V241),INDEX(Gantt!$BT$7:$BT$119,V241),INDEX(Gantt!$BU$7:$BU$119,V241)))</f>
        <v>9999</v>
      </c>
      <c r="Z241">
        <f t="shared" si="223"/>
        <v>0</v>
      </c>
      <c r="AA241" t="e">
        <f t="shared" si="224"/>
        <v>#N/A</v>
      </c>
      <c r="AB241" t="e">
        <f t="shared" si="225"/>
        <v>#N/A</v>
      </c>
      <c r="AC241" t="e">
        <f t="shared" si="226"/>
        <v>#N/A</v>
      </c>
      <c r="AD241" t="e">
        <f t="shared" si="227"/>
        <v>#N/A</v>
      </c>
      <c r="AE241" t="e">
        <f t="shared" si="228"/>
        <v>#N/A</v>
      </c>
      <c r="AF241" t="e">
        <f t="shared" si="229"/>
        <v>#N/A</v>
      </c>
      <c r="AG241" t="e">
        <f t="shared" si="230"/>
        <v>#N/A</v>
      </c>
      <c r="AH241" t="e">
        <f t="shared" si="231"/>
        <v>#N/A</v>
      </c>
      <c r="AI241" t="e">
        <f t="shared" si="232"/>
        <v>#N/A</v>
      </c>
      <c r="AJ241" t="e">
        <f t="shared" si="233"/>
        <v>#N/A</v>
      </c>
      <c r="AK241" t="e">
        <f t="shared" si="234"/>
        <v>#N/A</v>
      </c>
      <c r="AL241" t="e">
        <f t="shared" si="235"/>
        <v>#N/A</v>
      </c>
      <c r="AM241" t="e">
        <f t="shared" si="236"/>
        <v>#N/A</v>
      </c>
      <c r="AN241" t="e">
        <f t="shared" si="237"/>
        <v>#N/A</v>
      </c>
      <c r="AO241" t="e">
        <f t="shared" si="238"/>
        <v>#N/A</v>
      </c>
      <c r="AP241" t="e">
        <f t="shared" si="239"/>
        <v>#N/A</v>
      </c>
      <c r="AQ241" t="e">
        <f t="shared" si="240"/>
        <v>#N/A</v>
      </c>
      <c r="AR241" t="e">
        <f t="shared" si="241"/>
        <v>#N/A</v>
      </c>
      <c r="AS241" t="e">
        <f t="shared" si="242"/>
        <v>#N/A</v>
      </c>
      <c r="AT241" t="e">
        <f t="shared" si="243"/>
        <v>#N/A</v>
      </c>
      <c r="AU241" t="e">
        <f t="shared" si="244"/>
        <v>#N/A</v>
      </c>
      <c r="AV241" t="e">
        <f t="shared" si="245"/>
        <v>#N/A</v>
      </c>
      <c r="AW241" t="e">
        <f t="shared" si="246"/>
        <v>#N/A</v>
      </c>
      <c r="AX241" t="e">
        <f t="shared" si="247"/>
        <v>#N/A</v>
      </c>
      <c r="AY241" t="e">
        <f t="shared" si="248"/>
        <v>#N/A</v>
      </c>
      <c r="BE241" t="e">
        <f>IF(Z241=1,IF(INDEX($C$7:$C$126,V241)&gt;=Gantt!$BF$6,NA(),MATCH(INDEX($C$7:$C$126,V241),Gantt!$J$6:$BE$6,1)),NA())</f>
        <v>#N/A</v>
      </c>
      <c r="BF241" t="e">
        <f>IF(Z241=1,IF((INDEX($D$7:$D$126,AA241)-1)&gt;=Gantt!$BF$6,NA(),IF((INDEX($D$7:$D$126,AA241)-1)&lt;Gantt!$J$6,0,MATCH((INDEX($D$7:$D$126,AA241)-1),Gantt!$J$6:$BE$6,1))),NA())</f>
        <v>#N/A</v>
      </c>
      <c r="BG241" t="e">
        <f t="shared" si="249"/>
        <v>#N/A</v>
      </c>
      <c r="BH241" t="e">
        <f t="shared" si="250"/>
        <v>#N/A</v>
      </c>
      <c r="BI241" t="e">
        <f t="shared" si="251"/>
        <v>#N/A</v>
      </c>
      <c r="BJ241" t="e">
        <f t="shared" si="252"/>
        <v>#N/A</v>
      </c>
      <c r="BK241" t="e">
        <f t="shared" si="253"/>
        <v>#N/A</v>
      </c>
      <c r="BL241" t="e">
        <f t="shared" si="254"/>
        <v>#N/A</v>
      </c>
      <c r="BM241" t="e">
        <f t="shared" si="255"/>
        <v>#N/A</v>
      </c>
      <c r="BN241" t="e">
        <f t="shared" si="256"/>
        <v>#N/A</v>
      </c>
      <c r="BO241" t="e">
        <f t="shared" si="257"/>
        <v>#N/A</v>
      </c>
      <c r="BP241" t="e">
        <f t="shared" si="258"/>
        <v>#N/A</v>
      </c>
      <c r="BQ241" t="e">
        <f t="shared" si="259"/>
        <v>#N/A</v>
      </c>
      <c r="BR241" t="e">
        <f t="shared" si="260"/>
        <v>#N/A</v>
      </c>
      <c r="BS241" t="e">
        <f t="shared" si="261"/>
        <v>#N/A</v>
      </c>
      <c r="BT241" t="e">
        <f t="shared" si="262"/>
        <v>#N/A</v>
      </c>
      <c r="BU241" t="e">
        <f t="shared" si="263"/>
        <v>#N/A</v>
      </c>
      <c r="BV241" t="e">
        <f t="shared" si="264"/>
        <v>#N/A</v>
      </c>
      <c r="BW241" t="e">
        <f t="shared" si="265"/>
        <v>#N/A</v>
      </c>
      <c r="BX241" t="e">
        <f t="shared" si="266"/>
        <v>#N/A</v>
      </c>
      <c r="BY241" t="e">
        <f t="shared" si="267"/>
        <v>#N/A</v>
      </c>
      <c r="BZ241" t="e">
        <f t="shared" si="268"/>
        <v>#N/A</v>
      </c>
      <c r="CA241" t="e">
        <f t="shared" si="269"/>
        <v>#N/A</v>
      </c>
      <c r="CB241" t="e">
        <f t="shared" si="270"/>
        <v>#N/A</v>
      </c>
      <c r="CC241" t="e">
        <f t="shared" si="271"/>
        <v>#N/A</v>
      </c>
      <c r="CD241" t="e">
        <f t="shared" si="272"/>
        <v>#N/A</v>
      </c>
      <c r="CE241" t="e">
        <f t="shared" si="273"/>
        <v>#N/A</v>
      </c>
      <c r="CF241" t="e">
        <f t="shared" si="274"/>
        <v>#N/A</v>
      </c>
      <c r="CG241" t="e">
        <f t="shared" si="275"/>
        <v>#N/A</v>
      </c>
      <c r="CI241" t="e">
        <f>AL85</f>
        <v>#N/A</v>
      </c>
      <c r="CJ241" t="e">
        <f>AM85</f>
        <v>#N/A</v>
      </c>
      <c r="CK241">
        <f>IF(ISNUMBER(CI241),IFERROR(MAX(0,AN85-CI241),0),0)</f>
        <v>0</v>
      </c>
      <c r="CL241">
        <f>IF(ISNUMBER(CI241),IFERROR(MAX(0,CI241-AN85),0),0)</f>
        <v>0</v>
      </c>
      <c r="CM241">
        <f>IF(ISNUMBER(CJ241),IFERROR(MAX(0,AO85-CJ241),0),0)</f>
        <v>0</v>
      </c>
      <c r="CN241">
        <f>IF(ISNUMBER(CJ241),IFERROR(MAX(0,CJ241-AO85),0),0)</f>
        <v>0</v>
      </c>
      <c r="CP241" t="e">
        <f>BT85</f>
        <v>#N/A</v>
      </c>
      <c r="CQ241" t="e">
        <f>BU85</f>
        <v>#N/A</v>
      </c>
      <c r="CR241">
        <f>IF(ISNUMBER(CP241),IFERROR(MAX(0,BV85-CP241),0),0)</f>
        <v>0</v>
      </c>
      <c r="CS241">
        <f>IF(ISNUMBER(CP241),IFERROR(MAX(0,CP241-BV85),0),0)</f>
        <v>0</v>
      </c>
      <c r="CT241">
        <f>IF(ISNUMBER(CQ241),IFERROR(MAX(0,BW85-CQ241),0),0)</f>
        <v>0</v>
      </c>
      <c r="CU241">
        <f>IF(ISNUMBER(CQ241),IFERROR(MAX(0,CQ241-BW85),0),0)</f>
        <v>0</v>
      </c>
    </row>
    <row r="242" spans="21:99" x14ac:dyDescent="0.3">
      <c r="U242">
        <v>236</v>
      </c>
      <c r="V242">
        <f t="shared" si="220"/>
        <v>59</v>
      </c>
      <c r="W242">
        <f t="shared" si="221"/>
        <v>4</v>
      </c>
      <c r="X242">
        <f t="shared" si="222"/>
        <v>0</v>
      </c>
      <c r="Y242">
        <f>IF(X242&lt;&gt;1,9999,CHOOSE(W242,INDEX(Gantt!$BQ$7:$BQ$119,V242),INDEX(Gantt!$BR$7:$BR$119,V242),INDEX(Gantt!$BT$7:$BT$119,V242),INDEX(Gantt!$BU$7:$BU$119,V242)))</f>
        <v>9999</v>
      </c>
      <c r="Z242">
        <f t="shared" si="223"/>
        <v>0</v>
      </c>
      <c r="AA242" t="e">
        <f t="shared" si="224"/>
        <v>#N/A</v>
      </c>
      <c r="AB242" t="e">
        <f t="shared" si="225"/>
        <v>#N/A</v>
      </c>
      <c r="AC242" t="e">
        <f t="shared" si="226"/>
        <v>#N/A</v>
      </c>
      <c r="AD242" t="e">
        <f t="shared" si="227"/>
        <v>#N/A</v>
      </c>
      <c r="AE242" t="e">
        <f t="shared" si="228"/>
        <v>#N/A</v>
      </c>
      <c r="AF242" t="e">
        <f t="shared" si="229"/>
        <v>#N/A</v>
      </c>
      <c r="AG242" t="e">
        <f t="shared" si="230"/>
        <v>#N/A</v>
      </c>
      <c r="AH242" t="e">
        <f t="shared" si="231"/>
        <v>#N/A</v>
      </c>
      <c r="AI242" t="e">
        <f t="shared" si="232"/>
        <v>#N/A</v>
      </c>
      <c r="AJ242" t="e">
        <f t="shared" si="233"/>
        <v>#N/A</v>
      </c>
      <c r="AK242" t="e">
        <f t="shared" si="234"/>
        <v>#N/A</v>
      </c>
      <c r="AL242" t="e">
        <f t="shared" si="235"/>
        <v>#N/A</v>
      </c>
      <c r="AM242" t="e">
        <f t="shared" si="236"/>
        <v>#N/A</v>
      </c>
      <c r="AN242" t="e">
        <f t="shared" si="237"/>
        <v>#N/A</v>
      </c>
      <c r="AO242" t="e">
        <f t="shared" si="238"/>
        <v>#N/A</v>
      </c>
      <c r="AP242" t="e">
        <f t="shared" si="239"/>
        <v>#N/A</v>
      </c>
      <c r="AQ242" t="e">
        <f t="shared" si="240"/>
        <v>#N/A</v>
      </c>
      <c r="AR242" t="e">
        <f t="shared" si="241"/>
        <v>#N/A</v>
      </c>
      <c r="AS242" t="e">
        <f t="shared" si="242"/>
        <v>#N/A</v>
      </c>
      <c r="AT242" t="e">
        <f t="shared" si="243"/>
        <v>#N/A</v>
      </c>
      <c r="AU242" t="e">
        <f t="shared" si="244"/>
        <v>#N/A</v>
      </c>
      <c r="AV242" t="e">
        <f t="shared" si="245"/>
        <v>#N/A</v>
      </c>
      <c r="AW242" t="e">
        <f t="shared" si="246"/>
        <v>#N/A</v>
      </c>
      <c r="AX242" t="e">
        <f t="shared" si="247"/>
        <v>#N/A</v>
      </c>
      <c r="AY242" t="e">
        <f t="shared" si="248"/>
        <v>#N/A</v>
      </c>
      <c r="BE242" t="e">
        <f>IF(Z242=1,IF(INDEX($C$7:$C$126,V242)&gt;=Gantt!$BF$6,NA(),MATCH(INDEX($C$7:$C$126,V242),Gantt!$J$6:$BE$6,1)),NA())</f>
        <v>#N/A</v>
      </c>
      <c r="BF242" t="e">
        <f>IF(Z242=1,IF((INDEX($D$7:$D$126,AA242)-1)&gt;=Gantt!$BF$6,NA(),IF((INDEX($D$7:$D$126,AA242)-1)&lt;Gantt!$J$6,0,MATCH((INDEX($D$7:$D$126,AA242)-1),Gantt!$J$6:$BE$6,1))),NA())</f>
        <v>#N/A</v>
      </c>
      <c r="BG242" t="e">
        <f t="shared" si="249"/>
        <v>#N/A</v>
      </c>
      <c r="BH242" t="e">
        <f t="shared" si="250"/>
        <v>#N/A</v>
      </c>
      <c r="BI242" t="e">
        <f t="shared" si="251"/>
        <v>#N/A</v>
      </c>
      <c r="BJ242" t="e">
        <f t="shared" si="252"/>
        <v>#N/A</v>
      </c>
      <c r="BK242" t="e">
        <f t="shared" si="253"/>
        <v>#N/A</v>
      </c>
      <c r="BL242" t="e">
        <f t="shared" si="254"/>
        <v>#N/A</v>
      </c>
      <c r="BM242" t="e">
        <f t="shared" si="255"/>
        <v>#N/A</v>
      </c>
      <c r="BN242" t="e">
        <f t="shared" si="256"/>
        <v>#N/A</v>
      </c>
      <c r="BO242" t="e">
        <f t="shared" si="257"/>
        <v>#N/A</v>
      </c>
      <c r="BP242" t="e">
        <f t="shared" si="258"/>
        <v>#N/A</v>
      </c>
      <c r="BQ242" t="e">
        <f t="shared" si="259"/>
        <v>#N/A</v>
      </c>
      <c r="BR242" t="e">
        <f t="shared" si="260"/>
        <v>#N/A</v>
      </c>
      <c r="BS242" t="e">
        <f t="shared" si="261"/>
        <v>#N/A</v>
      </c>
      <c r="BT242" t="e">
        <f t="shared" si="262"/>
        <v>#N/A</v>
      </c>
      <c r="BU242" t="e">
        <f t="shared" si="263"/>
        <v>#N/A</v>
      </c>
      <c r="BV242" t="e">
        <f t="shared" si="264"/>
        <v>#N/A</v>
      </c>
      <c r="BW242" t="e">
        <f t="shared" si="265"/>
        <v>#N/A</v>
      </c>
      <c r="BX242" t="e">
        <f t="shared" si="266"/>
        <v>#N/A</v>
      </c>
      <c r="BY242" t="e">
        <f t="shared" si="267"/>
        <v>#N/A</v>
      </c>
      <c r="BZ242" t="e">
        <f t="shared" si="268"/>
        <v>#N/A</v>
      </c>
      <c r="CA242" t="e">
        <f t="shared" si="269"/>
        <v>#N/A</v>
      </c>
      <c r="CB242" t="e">
        <f t="shared" si="270"/>
        <v>#N/A</v>
      </c>
      <c r="CC242" t="e">
        <f t="shared" si="271"/>
        <v>#N/A</v>
      </c>
      <c r="CD242" t="e">
        <f t="shared" si="272"/>
        <v>#N/A</v>
      </c>
      <c r="CE242" t="e">
        <f t="shared" si="273"/>
        <v>#N/A</v>
      </c>
      <c r="CF242" t="e">
        <f t="shared" si="274"/>
        <v>#N/A</v>
      </c>
      <c r="CG242" t="e">
        <f t="shared" si="275"/>
        <v>#N/A</v>
      </c>
      <c r="CI242" t="e">
        <f>AP85</f>
        <v>#N/A</v>
      </c>
      <c r="CJ242" t="e">
        <f>AQ85</f>
        <v>#N/A</v>
      </c>
      <c r="CK242">
        <f>IF(ISNUMBER(CI242),IFERROR(MAX(0,AR85-CI242),0),0)</f>
        <v>0</v>
      </c>
      <c r="CL242">
        <f>IF(ISNUMBER(CI242),IFERROR(MAX(0,CI242-AR85),0),0)</f>
        <v>0</v>
      </c>
      <c r="CM242">
        <f>IF(ISNUMBER(CJ242),IFERROR(MAX(0,AS85-CJ242),0),0)</f>
        <v>0</v>
      </c>
      <c r="CN242">
        <f>IF(ISNUMBER(CJ242),IFERROR(MAX(0,CJ242-AS85),0),0)</f>
        <v>0</v>
      </c>
      <c r="CP242" t="e">
        <f>BX85</f>
        <v>#N/A</v>
      </c>
      <c r="CQ242" t="e">
        <f>BY85</f>
        <v>#N/A</v>
      </c>
      <c r="CR242">
        <f>IF(ISNUMBER(CP242),IFERROR(MAX(0,BZ85-CP242),0),0)</f>
        <v>0</v>
      </c>
      <c r="CS242">
        <f>IF(ISNUMBER(CP242),IFERROR(MAX(0,CP242-BZ85),0),0)</f>
        <v>0</v>
      </c>
      <c r="CT242">
        <f>IF(ISNUMBER(CQ242),IFERROR(MAX(0,CA85-CQ242),0),0)</f>
        <v>0</v>
      </c>
      <c r="CU242">
        <f>IF(ISNUMBER(CQ242),IFERROR(MAX(0,CQ242-CA85),0),0)</f>
        <v>0</v>
      </c>
    </row>
    <row r="243" spans="21:99" x14ac:dyDescent="0.3">
      <c r="U243">
        <v>237</v>
      </c>
      <c r="V243">
        <f t="shared" si="220"/>
        <v>60</v>
      </c>
      <c r="W243">
        <f t="shared" si="221"/>
        <v>1</v>
      </c>
      <c r="X243">
        <f t="shared" si="222"/>
        <v>0</v>
      </c>
      <c r="Y243">
        <f>IF(X243&lt;&gt;1,9999,CHOOSE(W243,INDEX(Gantt!$BQ$7:$BQ$119,V243),INDEX(Gantt!$BR$7:$BR$119,V243),INDEX(Gantt!$BT$7:$BT$119,V243),INDEX(Gantt!$BU$7:$BU$119,V243)))</f>
        <v>9999</v>
      </c>
      <c r="Z243">
        <f t="shared" si="223"/>
        <v>0</v>
      </c>
      <c r="AA243" t="e">
        <f t="shared" si="224"/>
        <v>#N/A</v>
      </c>
      <c r="AB243" t="e">
        <f t="shared" si="225"/>
        <v>#N/A</v>
      </c>
      <c r="AC243" t="e">
        <f t="shared" si="226"/>
        <v>#N/A</v>
      </c>
      <c r="AD243" t="e">
        <f t="shared" si="227"/>
        <v>#N/A</v>
      </c>
      <c r="AE243" t="e">
        <f t="shared" si="228"/>
        <v>#N/A</v>
      </c>
      <c r="AF243" t="e">
        <f t="shared" si="229"/>
        <v>#N/A</v>
      </c>
      <c r="AG243" t="e">
        <f t="shared" si="230"/>
        <v>#N/A</v>
      </c>
      <c r="AH243" t="e">
        <f t="shared" si="231"/>
        <v>#N/A</v>
      </c>
      <c r="AI243" t="e">
        <f t="shared" si="232"/>
        <v>#N/A</v>
      </c>
      <c r="AJ243" t="e">
        <f t="shared" si="233"/>
        <v>#N/A</v>
      </c>
      <c r="AK243" t="e">
        <f t="shared" si="234"/>
        <v>#N/A</v>
      </c>
      <c r="AL243" t="e">
        <f t="shared" si="235"/>
        <v>#N/A</v>
      </c>
      <c r="AM243" t="e">
        <f t="shared" si="236"/>
        <v>#N/A</v>
      </c>
      <c r="AN243" t="e">
        <f t="shared" si="237"/>
        <v>#N/A</v>
      </c>
      <c r="AO243" t="e">
        <f t="shared" si="238"/>
        <v>#N/A</v>
      </c>
      <c r="AP243" t="e">
        <f t="shared" si="239"/>
        <v>#N/A</v>
      </c>
      <c r="AQ243" t="e">
        <f t="shared" si="240"/>
        <v>#N/A</v>
      </c>
      <c r="AR243" t="e">
        <f t="shared" si="241"/>
        <v>#N/A</v>
      </c>
      <c r="AS243" t="e">
        <f t="shared" si="242"/>
        <v>#N/A</v>
      </c>
      <c r="AT243" t="e">
        <f t="shared" si="243"/>
        <v>#N/A</v>
      </c>
      <c r="AU243" t="e">
        <f t="shared" si="244"/>
        <v>#N/A</v>
      </c>
      <c r="AV243" t="e">
        <f t="shared" si="245"/>
        <v>#N/A</v>
      </c>
      <c r="AW243" t="e">
        <f t="shared" si="246"/>
        <v>#N/A</v>
      </c>
      <c r="AX243" t="e">
        <f t="shared" si="247"/>
        <v>#N/A</v>
      </c>
      <c r="AY243" t="e">
        <f t="shared" si="248"/>
        <v>#N/A</v>
      </c>
      <c r="BE243" t="e">
        <f>IF(Z243=1,IF(INDEX($C$7:$C$126,V243)&gt;=Gantt!$BF$6,NA(),MATCH(INDEX($C$7:$C$126,V243),Gantt!$J$6:$BE$6,1)),NA())</f>
        <v>#N/A</v>
      </c>
      <c r="BF243" t="e">
        <f>IF(Z243=1,IF((INDEX($D$7:$D$126,AA243)-1)&gt;=Gantt!$BF$6,NA(),IF((INDEX($D$7:$D$126,AA243)-1)&lt;Gantt!$J$6,0,MATCH((INDEX($D$7:$D$126,AA243)-1),Gantt!$J$6:$BE$6,1))),NA())</f>
        <v>#N/A</v>
      </c>
      <c r="BG243" t="e">
        <f t="shared" si="249"/>
        <v>#N/A</v>
      </c>
      <c r="BH243" t="e">
        <f t="shared" si="250"/>
        <v>#N/A</v>
      </c>
      <c r="BI243" t="e">
        <f t="shared" si="251"/>
        <v>#N/A</v>
      </c>
      <c r="BJ243" t="e">
        <f t="shared" si="252"/>
        <v>#N/A</v>
      </c>
      <c r="BK243" t="e">
        <f t="shared" si="253"/>
        <v>#N/A</v>
      </c>
      <c r="BL243" t="e">
        <f t="shared" si="254"/>
        <v>#N/A</v>
      </c>
      <c r="BM243" t="e">
        <f t="shared" si="255"/>
        <v>#N/A</v>
      </c>
      <c r="BN243" t="e">
        <f t="shared" si="256"/>
        <v>#N/A</v>
      </c>
      <c r="BO243" t="e">
        <f t="shared" si="257"/>
        <v>#N/A</v>
      </c>
      <c r="BP243" t="e">
        <f t="shared" si="258"/>
        <v>#N/A</v>
      </c>
      <c r="BQ243" t="e">
        <f t="shared" si="259"/>
        <v>#N/A</v>
      </c>
      <c r="BR243" t="e">
        <f t="shared" si="260"/>
        <v>#N/A</v>
      </c>
      <c r="BS243" t="e">
        <f t="shared" si="261"/>
        <v>#N/A</v>
      </c>
      <c r="BT243" t="e">
        <f t="shared" si="262"/>
        <v>#N/A</v>
      </c>
      <c r="BU243" t="e">
        <f t="shared" si="263"/>
        <v>#N/A</v>
      </c>
      <c r="BV243" t="e">
        <f t="shared" si="264"/>
        <v>#N/A</v>
      </c>
      <c r="BW243" t="e">
        <f t="shared" si="265"/>
        <v>#N/A</v>
      </c>
      <c r="BX243" t="e">
        <f t="shared" si="266"/>
        <v>#N/A</v>
      </c>
      <c r="BY243" t="e">
        <f t="shared" si="267"/>
        <v>#N/A</v>
      </c>
      <c r="BZ243" t="e">
        <f t="shared" si="268"/>
        <v>#N/A</v>
      </c>
      <c r="CA243" t="e">
        <f t="shared" si="269"/>
        <v>#N/A</v>
      </c>
      <c r="CB243" t="e">
        <f t="shared" si="270"/>
        <v>#N/A</v>
      </c>
      <c r="CC243" t="e">
        <f t="shared" si="271"/>
        <v>#N/A</v>
      </c>
      <c r="CD243" t="e">
        <f t="shared" si="272"/>
        <v>#N/A</v>
      </c>
      <c r="CE243" t="e">
        <f t="shared" si="273"/>
        <v>#N/A</v>
      </c>
      <c r="CF243" t="e">
        <f t="shared" si="274"/>
        <v>#N/A</v>
      </c>
      <c r="CG243" t="e">
        <f t="shared" si="275"/>
        <v>#N/A</v>
      </c>
      <c r="CI243" t="e">
        <f>AT85</f>
        <v>#N/A</v>
      </c>
      <c r="CJ243" t="e">
        <f>AU85</f>
        <v>#N/A</v>
      </c>
      <c r="CK243">
        <f>IF(ISNUMBER(CI243),IFERROR(MAX(0,AV85-CI243),0),0)</f>
        <v>0</v>
      </c>
      <c r="CL243">
        <f>IF(ISNUMBER(CI243),IFERROR(MAX(0,CI243-AV85),0),0)</f>
        <v>0</v>
      </c>
      <c r="CM243">
        <f>IF(ISNUMBER(CJ243),IFERROR(MAX(0,AW85-CJ243),0),0)</f>
        <v>0</v>
      </c>
      <c r="CN243">
        <f>IF(ISNUMBER(CJ243),IFERROR(MAX(0,CJ243-AW85),0),0)</f>
        <v>0</v>
      </c>
      <c r="CP243" t="e">
        <f>CB85</f>
        <v>#N/A</v>
      </c>
      <c r="CQ243" t="e">
        <f>CC85</f>
        <v>#N/A</v>
      </c>
      <c r="CR243">
        <f>IF(ISNUMBER(CP243),IFERROR(MAX(0,CD85-CP243),0),0)</f>
        <v>0</v>
      </c>
      <c r="CS243">
        <f>IF(ISNUMBER(CP243),IFERROR(MAX(0,CP243-CD85),0),0)</f>
        <v>0</v>
      </c>
      <c r="CT243">
        <f>IF(ISNUMBER(CQ243),IFERROR(MAX(0,CE85-CQ243),0),0)</f>
        <v>0</v>
      </c>
      <c r="CU243">
        <f>IF(ISNUMBER(CQ243),IFERROR(MAX(0,CQ243-CE85),0),0)</f>
        <v>0</v>
      </c>
    </row>
    <row r="244" spans="21:99" x14ac:dyDescent="0.3">
      <c r="U244">
        <v>238</v>
      </c>
      <c r="V244">
        <f t="shared" si="220"/>
        <v>60</v>
      </c>
      <c r="W244">
        <f t="shared" si="221"/>
        <v>2</v>
      </c>
      <c r="X244">
        <f t="shared" si="222"/>
        <v>0</v>
      </c>
      <c r="Y244">
        <f>IF(X244&lt;&gt;1,9999,CHOOSE(W244,INDEX(Gantt!$BQ$7:$BQ$119,V244),INDEX(Gantt!$BR$7:$BR$119,V244),INDEX(Gantt!$BT$7:$BT$119,V244),INDEX(Gantt!$BU$7:$BU$119,V244)))</f>
        <v>9999</v>
      </c>
      <c r="Z244">
        <f t="shared" si="223"/>
        <v>0</v>
      </c>
      <c r="AA244" t="e">
        <f t="shared" si="224"/>
        <v>#N/A</v>
      </c>
      <c r="AB244" t="e">
        <f t="shared" si="225"/>
        <v>#N/A</v>
      </c>
      <c r="AC244" t="e">
        <f t="shared" si="226"/>
        <v>#N/A</v>
      </c>
      <c r="AD244" t="e">
        <f t="shared" si="227"/>
        <v>#N/A</v>
      </c>
      <c r="AE244" t="e">
        <f t="shared" si="228"/>
        <v>#N/A</v>
      </c>
      <c r="AF244" t="e">
        <f t="shared" si="229"/>
        <v>#N/A</v>
      </c>
      <c r="AG244" t="e">
        <f t="shared" si="230"/>
        <v>#N/A</v>
      </c>
      <c r="AH244" t="e">
        <f t="shared" si="231"/>
        <v>#N/A</v>
      </c>
      <c r="AI244" t="e">
        <f t="shared" si="232"/>
        <v>#N/A</v>
      </c>
      <c r="AJ244" t="e">
        <f t="shared" si="233"/>
        <v>#N/A</v>
      </c>
      <c r="AK244" t="e">
        <f t="shared" si="234"/>
        <v>#N/A</v>
      </c>
      <c r="AL244" t="e">
        <f t="shared" si="235"/>
        <v>#N/A</v>
      </c>
      <c r="AM244" t="e">
        <f t="shared" si="236"/>
        <v>#N/A</v>
      </c>
      <c r="AN244" t="e">
        <f t="shared" si="237"/>
        <v>#N/A</v>
      </c>
      <c r="AO244" t="e">
        <f t="shared" si="238"/>
        <v>#N/A</v>
      </c>
      <c r="AP244" t="e">
        <f t="shared" si="239"/>
        <v>#N/A</v>
      </c>
      <c r="AQ244" t="e">
        <f t="shared" si="240"/>
        <v>#N/A</v>
      </c>
      <c r="AR244" t="e">
        <f t="shared" si="241"/>
        <v>#N/A</v>
      </c>
      <c r="AS244" t="e">
        <f t="shared" si="242"/>
        <v>#N/A</v>
      </c>
      <c r="AT244" t="e">
        <f t="shared" si="243"/>
        <v>#N/A</v>
      </c>
      <c r="AU244" t="e">
        <f t="shared" si="244"/>
        <v>#N/A</v>
      </c>
      <c r="AV244" t="e">
        <f t="shared" si="245"/>
        <v>#N/A</v>
      </c>
      <c r="AW244" t="e">
        <f t="shared" si="246"/>
        <v>#N/A</v>
      </c>
      <c r="AX244" t="e">
        <f t="shared" si="247"/>
        <v>#N/A</v>
      </c>
      <c r="AY244" t="e">
        <f t="shared" si="248"/>
        <v>#N/A</v>
      </c>
      <c r="BE244" t="e">
        <f>IF(Z244=1,IF(INDEX($C$7:$C$126,V244)&gt;=Gantt!$BF$6,NA(),MATCH(INDEX($C$7:$C$126,V244),Gantt!$J$6:$BE$6,1)),NA())</f>
        <v>#N/A</v>
      </c>
      <c r="BF244" t="e">
        <f>IF(Z244=1,IF((INDEX($D$7:$D$126,AA244)-1)&gt;=Gantt!$BF$6,NA(),IF((INDEX($D$7:$D$126,AA244)-1)&lt;Gantt!$J$6,0,MATCH((INDEX($D$7:$D$126,AA244)-1),Gantt!$J$6:$BE$6,1))),NA())</f>
        <v>#N/A</v>
      </c>
      <c r="BG244" t="e">
        <f t="shared" si="249"/>
        <v>#N/A</v>
      </c>
      <c r="BH244" t="e">
        <f t="shared" si="250"/>
        <v>#N/A</v>
      </c>
      <c r="BI244" t="e">
        <f t="shared" si="251"/>
        <v>#N/A</v>
      </c>
      <c r="BJ244" t="e">
        <f t="shared" si="252"/>
        <v>#N/A</v>
      </c>
      <c r="BK244" t="e">
        <f t="shared" si="253"/>
        <v>#N/A</v>
      </c>
      <c r="BL244" t="e">
        <f t="shared" si="254"/>
        <v>#N/A</v>
      </c>
      <c r="BM244" t="e">
        <f t="shared" si="255"/>
        <v>#N/A</v>
      </c>
      <c r="BN244" t="e">
        <f t="shared" si="256"/>
        <v>#N/A</v>
      </c>
      <c r="BO244" t="e">
        <f t="shared" si="257"/>
        <v>#N/A</v>
      </c>
      <c r="BP244" t="e">
        <f t="shared" si="258"/>
        <v>#N/A</v>
      </c>
      <c r="BQ244" t="e">
        <f t="shared" si="259"/>
        <v>#N/A</v>
      </c>
      <c r="BR244" t="e">
        <f t="shared" si="260"/>
        <v>#N/A</v>
      </c>
      <c r="BS244" t="e">
        <f t="shared" si="261"/>
        <v>#N/A</v>
      </c>
      <c r="BT244" t="e">
        <f t="shared" si="262"/>
        <v>#N/A</v>
      </c>
      <c r="BU244" t="e">
        <f t="shared" si="263"/>
        <v>#N/A</v>
      </c>
      <c r="BV244" t="e">
        <f t="shared" si="264"/>
        <v>#N/A</v>
      </c>
      <c r="BW244" t="e">
        <f t="shared" si="265"/>
        <v>#N/A</v>
      </c>
      <c r="BX244" t="e">
        <f t="shared" si="266"/>
        <v>#N/A</v>
      </c>
      <c r="BY244" t="e">
        <f t="shared" si="267"/>
        <v>#N/A</v>
      </c>
      <c r="BZ244" t="e">
        <f t="shared" si="268"/>
        <v>#N/A</v>
      </c>
      <c r="CA244" t="e">
        <f t="shared" si="269"/>
        <v>#N/A</v>
      </c>
      <c r="CB244" t="e">
        <f t="shared" si="270"/>
        <v>#N/A</v>
      </c>
      <c r="CC244" t="e">
        <f t="shared" si="271"/>
        <v>#N/A</v>
      </c>
      <c r="CD244" t="e">
        <f t="shared" si="272"/>
        <v>#N/A</v>
      </c>
      <c r="CE244" t="e">
        <f t="shared" si="273"/>
        <v>#N/A</v>
      </c>
      <c r="CF244" t="e">
        <f t="shared" si="274"/>
        <v>#N/A</v>
      </c>
      <c r="CG244" t="e">
        <f t="shared" si="275"/>
        <v>#N/A</v>
      </c>
      <c r="CI244" t="e">
        <f>AL86</f>
        <v>#N/A</v>
      </c>
      <c r="CJ244" t="e">
        <f>AM86</f>
        <v>#N/A</v>
      </c>
      <c r="CK244">
        <f>IF(ISNUMBER(CI244),IFERROR(MAX(0,AN86-CI244),0),0)</f>
        <v>0</v>
      </c>
      <c r="CL244">
        <f>IF(ISNUMBER(CI244),IFERROR(MAX(0,CI244-AN86),0),0)</f>
        <v>0</v>
      </c>
      <c r="CM244">
        <f>IF(ISNUMBER(CJ244),IFERROR(MAX(0,AO86-CJ244),0),0)</f>
        <v>0</v>
      </c>
      <c r="CN244">
        <f>IF(ISNUMBER(CJ244),IFERROR(MAX(0,CJ244-AO86),0),0)</f>
        <v>0</v>
      </c>
      <c r="CP244" t="e">
        <f>BT86</f>
        <v>#N/A</v>
      </c>
      <c r="CQ244" t="e">
        <f>BU86</f>
        <v>#N/A</v>
      </c>
      <c r="CR244">
        <f>IF(ISNUMBER(CP244),IFERROR(MAX(0,BV86-CP244),0),0)</f>
        <v>0</v>
      </c>
      <c r="CS244">
        <f>IF(ISNUMBER(CP244),IFERROR(MAX(0,CP244-BV86),0),0)</f>
        <v>0</v>
      </c>
      <c r="CT244">
        <f>IF(ISNUMBER(CQ244),IFERROR(MAX(0,BW86-CQ244),0),0)</f>
        <v>0</v>
      </c>
      <c r="CU244">
        <f>IF(ISNUMBER(CQ244),IFERROR(MAX(0,CQ244-BW86),0),0)</f>
        <v>0</v>
      </c>
    </row>
    <row r="245" spans="21:99" x14ac:dyDescent="0.3">
      <c r="U245">
        <v>239</v>
      </c>
      <c r="V245">
        <f t="shared" si="220"/>
        <v>60</v>
      </c>
      <c r="W245">
        <f t="shared" si="221"/>
        <v>3</v>
      </c>
      <c r="X245">
        <f t="shared" si="222"/>
        <v>0</v>
      </c>
      <c r="Y245">
        <f>IF(X245&lt;&gt;1,9999,CHOOSE(W245,INDEX(Gantt!$BQ$7:$BQ$119,V245),INDEX(Gantt!$BR$7:$BR$119,V245),INDEX(Gantt!$BT$7:$BT$119,V245),INDEX(Gantt!$BU$7:$BU$119,V245)))</f>
        <v>9999</v>
      </c>
      <c r="Z245">
        <f t="shared" si="223"/>
        <v>0</v>
      </c>
      <c r="AA245" t="e">
        <f t="shared" si="224"/>
        <v>#N/A</v>
      </c>
      <c r="AB245" t="e">
        <f t="shared" si="225"/>
        <v>#N/A</v>
      </c>
      <c r="AC245" t="e">
        <f t="shared" si="226"/>
        <v>#N/A</v>
      </c>
      <c r="AD245" t="e">
        <f t="shared" si="227"/>
        <v>#N/A</v>
      </c>
      <c r="AE245" t="e">
        <f t="shared" si="228"/>
        <v>#N/A</v>
      </c>
      <c r="AF245" t="e">
        <f t="shared" si="229"/>
        <v>#N/A</v>
      </c>
      <c r="AG245" t="e">
        <f t="shared" si="230"/>
        <v>#N/A</v>
      </c>
      <c r="AH245" t="e">
        <f t="shared" si="231"/>
        <v>#N/A</v>
      </c>
      <c r="AI245" t="e">
        <f t="shared" si="232"/>
        <v>#N/A</v>
      </c>
      <c r="AJ245" t="e">
        <f t="shared" si="233"/>
        <v>#N/A</v>
      </c>
      <c r="AK245" t="e">
        <f t="shared" si="234"/>
        <v>#N/A</v>
      </c>
      <c r="AL245" t="e">
        <f t="shared" si="235"/>
        <v>#N/A</v>
      </c>
      <c r="AM245" t="e">
        <f t="shared" si="236"/>
        <v>#N/A</v>
      </c>
      <c r="AN245" t="e">
        <f t="shared" si="237"/>
        <v>#N/A</v>
      </c>
      <c r="AO245" t="e">
        <f t="shared" si="238"/>
        <v>#N/A</v>
      </c>
      <c r="AP245" t="e">
        <f t="shared" si="239"/>
        <v>#N/A</v>
      </c>
      <c r="AQ245" t="e">
        <f t="shared" si="240"/>
        <v>#N/A</v>
      </c>
      <c r="AR245" t="e">
        <f t="shared" si="241"/>
        <v>#N/A</v>
      </c>
      <c r="AS245" t="e">
        <f t="shared" si="242"/>
        <v>#N/A</v>
      </c>
      <c r="AT245" t="e">
        <f t="shared" si="243"/>
        <v>#N/A</v>
      </c>
      <c r="AU245" t="e">
        <f t="shared" si="244"/>
        <v>#N/A</v>
      </c>
      <c r="AV245" t="e">
        <f t="shared" si="245"/>
        <v>#N/A</v>
      </c>
      <c r="AW245" t="e">
        <f t="shared" si="246"/>
        <v>#N/A</v>
      </c>
      <c r="AX245" t="e">
        <f t="shared" si="247"/>
        <v>#N/A</v>
      </c>
      <c r="AY245" t="e">
        <f t="shared" si="248"/>
        <v>#N/A</v>
      </c>
      <c r="BE245" t="e">
        <f>IF(Z245=1,IF(INDEX($C$7:$C$126,V245)&gt;=Gantt!$BF$6,NA(),MATCH(INDEX($C$7:$C$126,V245),Gantt!$J$6:$BE$6,1)),NA())</f>
        <v>#N/A</v>
      </c>
      <c r="BF245" t="e">
        <f>IF(Z245=1,IF((INDEX($D$7:$D$126,AA245)-1)&gt;=Gantt!$BF$6,NA(),IF((INDEX($D$7:$D$126,AA245)-1)&lt;Gantt!$J$6,0,MATCH((INDEX($D$7:$D$126,AA245)-1),Gantt!$J$6:$BE$6,1))),NA())</f>
        <v>#N/A</v>
      </c>
      <c r="BG245" t="e">
        <f t="shared" si="249"/>
        <v>#N/A</v>
      </c>
      <c r="BH245" t="e">
        <f t="shared" si="250"/>
        <v>#N/A</v>
      </c>
      <c r="BI245" t="e">
        <f t="shared" si="251"/>
        <v>#N/A</v>
      </c>
      <c r="BJ245" t="e">
        <f t="shared" si="252"/>
        <v>#N/A</v>
      </c>
      <c r="BK245" t="e">
        <f t="shared" si="253"/>
        <v>#N/A</v>
      </c>
      <c r="BL245" t="e">
        <f t="shared" si="254"/>
        <v>#N/A</v>
      </c>
      <c r="BM245" t="e">
        <f t="shared" si="255"/>
        <v>#N/A</v>
      </c>
      <c r="BN245" t="e">
        <f t="shared" si="256"/>
        <v>#N/A</v>
      </c>
      <c r="BO245" t="e">
        <f t="shared" si="257"/>
        <v>#N/A</v>
      </c>
      <c r="BP245" t="e">
        <f t="shared" si="258"/>
        <v>#N/A</v>
      </c>
      <c r="BQ245" t="e">
        <f t="shared" si="259"/>
        <v>#N/A</v>
      </c>
      <c r="BR245" t="e">
        <f t="shared" si="260"/>
        <v>#N/A</v>
      </c>
      <c r="BS245" t="e">
        <f t="shared" si="261"/>
        <v>#N/A</v>
      </c>
      <c r="BT245" t="e">
        <f t="shared" si="262"/>
        <v>#N/A</v>
      </c>
      <c r="BU245" t="e">
        <f t="shared" si="263"/>
        <v>#N/A</v>
      </c>
      <c r="BV245" t="e">
        <f t="shared" si="264"/>
        <v>#N/A</v>
      </c>
      <c r="BW245" t="e">
        <f t="shared" si="265"/>
        <v>#N/A</v>
      </c>
      <c r="BX245" t="e">
        <f t="shared" si="266"/>
        <v>#N/A</v>
      </c>
      <c r="BY245" t="e">
        <f t="shared" si="267"/>
        <v>#N/A</v>
      </c>
      <c r="BZ245" t="e">
        <f t="shared" si="268"/>
        <v>#N/A</v>
      </c>
      <c r="CA245" t="e">
        <f t="shared" si="269"/>
        <v>#N/A</v>
      </c>
      <c r="CB245" t="e">
        <f t="shared" si="270"/>
        <v>#N/A</v>
      </c>
      <c r="CC245" t="e">
        <f t="shared" si="271"/>
        <v>#N/A</v>
      </c>
      <c r="CD245" t="e">
        <f t="shared" si="272"/>
        <v>#N/A</v>
      </c>
      <c r="CE245" t="e">
        <f t="shared" si="273"/>
        <v>#N/A</v>
      </c>
      <c r="CF245" t="e">
        <f t="shared" si="274"/>
        <v>#N/A</v>
      </c>
      <c r="CG245" t="e">
        <f t="shared" si="275"/>
        <v>#N/A</v>
      </c>
      <c r="CI245" t="e">
        <f>AP86</f>
        <v>#N/A</v>
      </c>
      <c r="CJ245" t="e">
        <f>AQ86</f>
        <v>#N/A</v>
      </c>
      <c r="CK245">
        <f>IF(ISNUMBER(CI245),IFERROR(MAX(0,AR86-CI245),0),0)</f>
        <v>0</v>
      </c>
      <c r="CL245">
        <f>IF(ISNUMBER(CI245),IFERROR(MAX(0,CI245-AR86),0),0)</f>
        <v>0</v>
      </c>
      <c r="CM245">
        <f>IF(ISNUMBER(CJ245),IFERROR(MAX(0,AS86-CJ245),0),0)</f>
        <v>0</v>
      </c>
      <c r="CN245">
        <f>IF(ISNUMBER(CJ245),IFERROR(MAX(0,CJ245-AS86),0),0)</f>
        <v>0</v>
      </c>
      <c r="CP245" t="e">
        <f>BX86</f>
        <v>#N/A</v>
      </c>
      <c r="CQ245" t="e">
        <f>BY86</f>
        <v>#N/A</v>
      </c>
      <c r="CR245">
        <f>IF(ISNUMBER(CP245),IFERROR(MAX(0,BZ86-CP245),0),0)</f>
        <v>0</v>
      </c>
      <c r="CS245">
        <f>IF(ISNUMBER(CP245),IFERROR(MAX(0,CP245-BZ86),0),0)</f>
        <v>0</v>
      </c>
      <c r="CT245">
        <f>IF(ISNUMBER(CQ245),IFERROR(MAX(0,CA86-CQ245),0),0)</f>
        <v>0</v>
      </c>
      <c r="CU245">
        <f>IF(ISNUMBER(CQ245),IFERROR(MAX(0,CQ245-CA86),0),0)</f>
        <v>0</v>
      </c>
    </row>
    <row r="246" spans="21:99" x14ac:dyDescent="0.3">
      <c r="U246">
        <v>240</v>
      </c>
      <c r="V246">
        <f t="shared" si="220"/>
        <v>60</v>
      </c>
      <c r="W246">
        <f t="shared" si="221"/>
        <v>4</v>
      </c>
      <c r="X246">
        <f t="shared" si="222"/>
        <v>0</v>
      </c>
      <c r="Y246">
        <f>IF(X246&lt;&gt;1,9999,CHOOSE(W246,INDEX(Gantt!$BQ$7:$BQ$119,V246),INDEX(Gantt!$BR$7:$BR$119,V246),INDEX(Gantt!$BT$7:$BT$119,V246),INDEX(Gantt!$BU$7:$BU$119,V246)))</f>
        <v>9999</v>
      </c>
      <c r="Z246">
        <f t="shared" si="223"/>
        <v>0</v>
      </c>
      <c r="AA246" t="e">
        <f t="shared" si="224"/>
        <v>#N/A</v>
      </c>
      <c r="AB246" t="e">
        <f t="shared" si="225"/>
        <v>#N/A</v>
      </c>
      <c r="AC246" t="e">
        <f t="shared" si="226"/>
        <v>#N/A</v>
      </c>
      <c r="AD246" t="e">
        <f t="shared" si="227"/>
        <v>#N/A</v>
      </c>
      <c r="AE246" t="e">
        <f t="shared" si="228"/>
        <v>#N/A</v>
      </c>
      <c r="AF246" t="e">
        <f t="shared" si="229"/>
        <v>#N/A</v>
      </c>
      <c r="AG246" t="e">
        <f t="shared" si="230"/>
        <v>#N/A</v>
      </c>
      <c r="AH246" t="e">
        <f t="shared" si="231"/>
        <v>#N/A</v>
      </c>
      <c r="AI246" t="e">
        <f t="shared" si="232"/>
        <v>#N/A</v>
      </c>
      <c r="AJ246" t="e">
        <f t="shared" si="233"/>
        <v>#N/A</v>
      </c>
      <c r="AK246" t="e">
        <f t="shared" si="234"/>
        <v>#N/A</v>
      </c>
      <c r="AL246" t="e">
        <f t="shared" si="235"/>
        <v>#N/A</v>
      </c>
      <c r="AM246" t="e">
        <f t="shared" si="236"/>
        <v>#N/A</v>
      </c>
      <c r="AN246" t="e">
        <f t="shared" si="237"/>
        <v>#N/A</v>
      </c>
      <c r="AO246" t="e">
        <f t="shared" si="238"/>
        <v>#N/A</v>
      </c>
      <c r="AP246" t="e">
        <f t="shared" si="239"/>
        <v>#N/A</v>
      </c>
      <c r="AQ246" t="e">
        <f t="shared" si="240"/>
        <v>#N/A</v>
      </c>
      <c r="AR246" t="e">
        <f t="shared" si="241"/>
        <v>#N/A</v>
      </c>
      <c r="AS246" t="e">
        <f t="shared" si="242"/>
        <v>#N/A</v>
      </c>
      <c r="AT246" t="e">
        <f t="shared" si="243"/>
        <v>#N/A</v>
      </c>
      <c r="AU246" t="e">
        <f t="shared" si="244"/>
        <v>#N/A</v>
      </c>
      <c r="AV246" t="e">
        <f t="shared" si="245"/>
        <v>#N/A</v>
      </c>
      <c r="AW246" t="e">
        <f t="shared" si="246"/>
        <v>#N/A</v>
      </c>
      <c r="AX246" t="e">
        <f t="shared" si="247"/>
        <v>#N/A</v>
      </c>
      <c r="AY246" t="e">
        <f t="shared" si="248"/>
        <v>#N/A</v>
      </c>
      <c r="BE246" t="e">
        <f>IF(Z246=1,IF(INDEX($C$7:$C$126,V246)&gt;=Gantt!$BF$6,NA(),MATCH(INDEX($C$7:$C$126,V246),Gantt!$J$6:$BE$6,1)),NA())</f>
        <v>#N/A</v>
      </c>
      <c r="BF246" t="e">
        <f>IF(Z246=1,IF((INDEX($D$7:$D$126,AA246)-1)&gt;=Gantt!$BF$6,NA(),IF((INDEX($D$7:$D$126,AA246)-1)&lt;Gantt!$J$6,0,MATCH((INDEX($D$7:$D$126,AA246)-1),Gantt!$J$6:$BE$6,1))),NA())</f>
        <v>#N/A</v>
      </c>
      <c r="BG246" t="e">
        <f t="shared" si="249"/>
        <v>#N/A</v>
      </c>
      <c r="BH246" t="e">
        <f t="shared" si="250"/>
        <v>#N/A</v>
      </c>
      <c r="BI246" t="e">
        <f t="shared" si="251"/>
        <v>#N/A</v>
      </c>
      <c r="BJ246" t="e">
        <f t="shared" si="252"/>
        <v>#N/A</v>
      </c>
      <c r="BK246" t="e">
        <f t="shared" si="253"/>
        <v>#N/A</v>
      </c>
      <c r="BL246" t="e">
        <f t="shared" si="254"/>
        <v>#N/A</v>
      </c>
      <c r="BM246" t="e">
        <f t="shared" si="255"/>
        <v>#N/A</v>
      </c>
      <c r="BN246" t="e">
        <f t="shared" si="256"/>
        <v>#N/A</v>
      </c>
      <c r="BO246" t="e">
        <f t="shared" si="257"/>
        <v>#N/A</v>
      </c>
      <c r="BP246" t="e">
        <f t="shared" si="258"/>
        <v>#N/A</v>
      </c>
      <c r="BQ246" t="e">
        <f t="shared" si="259"/>
        <v>#N/A</v>
      </c>
      <c r="BR246" t="e">
        <f t="shared" si="260"/>
        <v>#N/A</v>
      </c>
      <c r="BS246" t="e">
        <f t="shared" si="261"/>
        <v>#N/A</v>
      </c>
      <c r="BT246" t="e">
        <f t="shared" si="262"/>
        <v>#N/A</v>
      </c>
      <c r="BU246" t="e">
        <f t="shared" si="263"/>
        <v>#N/A</v>
      </c>
      <c r="BV246" t="e">
        <f t="shared" si="264"/>
        <v>#N/A</v>
      </c>
      <c r="BW246" t="e">
        <f t="shared" si="265"/>
        <v>#N/A</v>
      </c>
      <c r="BX246" t="e">
        <f t="shared" si="266"/>
        <v>#N/A</v>
      </c>
      <c r="BY246" t="e">
        <f t="shared" si="267"/>
        <v>#N/A</v>
      </c>
      <c r="BZ246" t="e">
        <f t="shared" si="268"/>
        <v>#N/A</v>
      </c>
      <c r="CA246" t="e">
        <f t="shared" si="269"/>
        <v>#N/A</v>
      </c>
      <c r="CB246" t="e">
        <f t="shared" si="270"/>
        <v>#N/A</v>
      </c>
      <c r="CC246" t="e">
        <f t="shared" si="271"/>
        <v>#N/A</v>
      </c>
      <c r="CD246" t="e">
        <f t="shared" si="272"/>
        <v>#N/A</v>
      </c>
      <c r="CE246" t="e">
        <f t="shared" si="273"/>
        <v>#N/A</v>
      </c>
      <c r="CF246" t="e">
        <f t="shared" si="274"/>
        <v>#N/A</v>
      </c>
      <c r="CG246" t="e">
        <f t="shared" si="275"/>
        <v>#N/A</v>
      </c>
      <c r="CI246" t="e">
        <f>AT86</f>
        <v>#N/A</v>
      </c>
      <c r="CJ246" t="e">
        <f>AU86</f>
        <v>#N/A</v>
      </c>
      <c r="CK246">
        <f>IF(ISNUMBER(CI246),IFERROR(MAX(0,AV86-CI246),0),0)</f>
        <v>0</v>
      </c>
      <c r="CL246">
        <f>IF(ISNUMBER(CI246),IFERROR(MAX(0,CI246-AV86),0),0)</f>
        <v>0</v>
      </c>
      <c r="CM246">
        <f>IF(ISNUMBER(CJ246),IFERROR(MAX(0,AW86-CJ246),0),0)</f>
        <v>0</v>
      </c>
      <c r="CN246">
        <f>IF(ISNUMBER(CJ246),IFERROR(MAX(0,CJ246-AW86),0),0)</f>
        <v>0</v>
      </c>
      <c r="CP246" t="e">
        <f>CB86</f>
        <v>#N/A</v>
      </c>
      <c r="CQ246" t="e">
        <f>CC86</f>
        <v>#N/A</v>
      </c>
      <c r="CR246">
        <f>IF(ISNUMBER(CP246),IFERROR(MAX(0,CD86-CP246),0),0)</f>
        <v>0</v>
      </c>
      <c r="CS246">
        <f>IF(ISNUMBER(CP246),IFERROR(MAX(0,CP246-CD86),0),0)</f>
        <v>0</v>
      </c>
      <c r="CT246">
        <f>IF(ISNUMBER(CQ246),IFERROR(MAX(0,CE86-CQ246),0),0)</f>
        <v>0</v>
      </c>
      <c r="CU246">
        <f>IF(ISNUMBER(CQ246),IFERROR(MAX(0,CQ246-CE86),0),0)</f>
        <v>0</v>
      </c>
    </row>
    <row r="247" spans="21:99" x14ac:dyDescent="0.3">
      <c r="U247">
        <v>241</v>
      </c>
      <c r="V247">
        <f t="shared" si="220"/>
        <v>61</v>
      </c>
      <c r="W247">
        <f t="shared" si="221"/>
        <v>1</v>
      </c>
      <c r="X247">
        <f t="shared" si="222"/>
        <v>0</v>
      </c>
      <c r="Y247">
        <f>IF(X247&lt;&gt;1,9999,CHOOSE(W247,INDEX(Gantt!$BQ$7:$BQ$119,V247),INDEX(Gantt!$BR$7:$BR$119,V247),INDEX(Gantt!$BT$7:$BT$119,V247),INDEX(Gantt!$BU$7:$BU$119,V247)))</f>
        <v>9999</v>
      </c>
      <c r="Z247">
        <f t="shared" si="223"/>
        <v>0</v>
      </c>
      <c r="AA247" t="e">
        <f t="shared" si="224"/>
        <v>#N/A</v>
      </c>
      <c r="AB247" t="e">
        <f t="shared" si="225"/>
        <v>#N/A</v>
      </c>
      <c r="AC247" t="e">
        <f t="shared" si="226"/>
        <v>#N/A</v>
      </c>
      <c r="AD247" t="e">
        <f t="shared" si="227"/>
        <v>#N/A</v>
      </c>
      <c r="AE247" t="e">
        <f t="shared" si="228"/>
        <v>#N/A</v>
      </c>
      <c r="AF247" t="e">
        <f t="shared" si="229"/>
        <v>#N/A</v>
      </c>
      <c r="AG247" t="e">
        <f t="shared" si="230"/>
        <v>#N/A</v>
      </c>
      <c r="AH247" t="e">
        <f t="shared" si="231"/>
        <v>#N/A</v>
      </c>
      <c r="AI247" t="e">
        <f t="shared" si="232"/>
        <v>#N/A</v>
      </c>
      <c r="AJ247" t="e">
        <f t="shared" si="233"/>
        <v>#N/A</v>
      </c>
      <c r="AK247" t="e">
        <f t="shared" si="234"/>
        <v>#N/A</v>
      </c>
      <c r="AL247" t="e">
        <f t="shared" si="235"/>
        <v>#N/A</v>
      </c>
      <c r="AM247" t="e">
        <f t="shared" si="236"/>
        <v>#N/A</v>
      </c>
      <c r="AN247" t="e">
        <f t="shared" si="237"/>
        <v>#N/A</v>
      </c>
      <c r="AO247" t="e">
        <f t="shared" si="238"/>
        <v>#N/A</v>
      </c>
      <c r="AP247" t="e">
        <f t="shared" si="239"/>
        <v>#N/A</v>
      </c>
      <c r="AQ247" t="e">
        <f t="shared" si="240"/>
        <v>#N/A</v>
      </c>
      <c r="AR247" t="e">
        <f t="shared" si="241"/>
        <v>#N/A</v>
      </c>
      <c r="AS247" t="e">
        <f t="shared" si="242"/>
        <v>#N/A</v>
      </c>
      <c r="AT247" t="e">
        <f t="shared" si="243"/>
        <v>#N/A</v>
      </c>
      <c r="AU247" t="e">
        <f t="shared" si="244"/>
        <v>#N/A</v>
      </c>
      <c r="AV247" t="e">
        <f t="shared" si="245"/>
        <v>#N/A</v>
      </c>
      <c r="AW247" t="e">
        <f t="shared" si="246"/>
        <v>#N/A</v>
      </c>
      <c r="AX247" t="e">
        <f t="shared" si="247"/>
        <v>#N/A</v>
      </c>
      <c r="AY247" t="e">
        <f t="shared" si="248"/>
        <v>#N/A</v>
      </c>
      <c r="BE247" t="e">
        <f>IF(Z247=1,IF(INDEX($C$7:$C$126,V247)&gt;=Gantt!$BF$6,NA(),MATCH(INDEX($C$7:$C$126,V247),Gantt!$J$6:$BE$6,1)),NA())</f>
        <v>#N/A</v>
      </c>
      <c r="BF247" t="e">
        <f>IF(Z247=1,IF((INDEX($D$7:$D$126,AA247)-1)&gt;=Gantt!$BF$6,NA(),IF((INDEX($D$7:$D$126,AA247)-1)&lt;Gantt!$J$6,0,MATCH((INDEX($D$7:$D$126,AA247)-1),Gantt!$J$6:$BE$6,1))),NA())</f>
        <v>#N/A</v>
      </c>
      <c r="BG247" t="e">
        <f t="shared" si="249"/>
        <v>#N/A</v>
      </c>
      <c r="BH247" t="e">
        <f t="shared" si="250"/>
        <v>#N/A</v>
      </c>
      <c r="BI247" t="e">
        <f t="shared" si="251"/>
        <v>#N/A</v>
      </c>
      <c r="BJ247" t="e">
        <f t="shared" si="252"/>
        <v>#N/A</v>
      </c>
      <c r="BK247" t="e">
        <f t="shared" si="253"/>
        <v>#N/A</v>
      </c>
      <c r="BL247" t="e">
        <f t="shared" si="254"/>
        <v>#N/A</v>
      </c>
      <c r="BM247" t="e">
        <f t="shared" si="255"/>
        <v>#N/A</v>
      </c>
      <c r="BN247" t="e">
        <f t="shared" si="256"/>
        <v>#N/A</v>
      </c>
      <c r="BO247" t="e">
        <f t="shared" si="257"/>
        <v>#N/A</v>
      </c>
      <c r="BP247" t="e">
        <f t="shared" si="258"/>
        <v>#N/A</v>
      </c>
      <c r="BQ247" t="e">
        <f t="shared" si="259"/>
        <v>#N/A</v>
      </c>
      <c r="BR247" t="e">
        <f t="shared" si="260"/>
        <v>#N/A</v>
      </c>
      <c r="BS247" t="e">
        <f t="shared" si="261"/>
        <v>#N/A</v>
      </c>
      <c r="BT247" t="e">
        <f t="shared" si="262"/>
        <v>#N/A</v>
      </c>
      <c r="BU247" t="e">
        <f t="shared" si="263"/>
        <v>#N/A</v>
      </c>
      <c r="BV247" t="e">
        <f t="shared" si="264"/>
        <v>#N/A</v>
      </c>
      <c r="BW247" t="e">
        <f t="shared" si="265"/>
        <v>#N/A</v>
      </c>
      <c r="BX247" t="e">
        <f t="shared" si="266"/>
        <v>#N/A</v>
      </c>
      <c r="BY247" t="e">
        <f t="shared" si="267"/>
        <v>#N/A</v>
      </c>
      <c r="BZ247" t="e">
        <f t="shared" si="268"/>
        <v>#N/A</v>
      </c>
      <c r="CA247" t="e">
        <f t="shared" si="269"/>
        <v>#N/A</v>
      </c>
      <c r="CB247" t="e">
        <f t="shared" si="270"/>
        <v>#N/A</v>
      </c>
      <c r="CC247" t="e">
        <f t="shared" si="271"/>
        <v>#N/A</v>
      </c>
      <c r="CD247" t="e">
        <f t="shared" si="272"/>
        <v>#N/A</v>
      </c>
      <c r="CE247" t="e">
        <f t="shared" si="273"/>
        <v>#N/A</v>
      </c>
      <c r="CF247" t="e">
        <f t="shared" si="274"/>
        <v>#N/A</v>
      </c>
      <c r="CG247" t="e">
        <f t="shared" si="275"/>
        <v>#N/A</v>
      </c>
      <c r="CI247" t="e">
        <f>AL87</f>
        <v>#N/A</v>
      </c>
      <c r="CJ247" t="e">
        <f>AM87</f>
        <v>#N/A</v>
      </c>
      <c r="CK247">
        <f>IF(ISNUMBER(CI247),IFERROR(MAX(0,AN87-CI247),0),0)</f>
        <v>0</v>
      </c>
      <c r="CL247">
        <f>IF(ISNUMBER(CI247),IFERROR(MAX(0,CI247-AN87),0),0)</f>
        <v>0</v>
      </c>
      <c r="CM247">
        <f>IF(ISNUMBER(CJ247),IFERROR(MAX(0,AO87-CJ247),0),0)</f>
        <v>0</v>
      </c>
      <c r="CN247">
        <f>IF(ISNUMBER(CJ247),IFERROR(MAX(0,CJ247-AO87),0),0)</f>
        <v>0</v>
      </c>
      <c r="CP247" t="e">
        <f>BT87</f>
        <v>#N/A</v>
      </c>
      <c r="CQ247" t="e">
        <f>BU87</f>
        <v>#N/A</v>
      </c>
      <c r="CR247">
        <f>IF(ISNUMBER(CP247),IFERROR(MAX(0,BV87-CP247),0),0)</f>
        <v>0</v>
      </c>
      <c r="CS247">
        <f>IF(ISNUMBER(CP247),IFERROR(MAX(0,CP247-BV87),0),0)</f>
        <v>0</v>
      </c>
      <c r="CT247">
        <f>IF(ISNUMBER(CQ247),IFERROR(MAX(0,BW87-CQ247),0),0)</f>
        <v>0</v>
      </c>
      <c r="CU247">
        <f>IF(ISNUMBER(CQ247),IFERROR(MAX(0,CQ247-BW87),0),0)</f>
        <v>0</v>
      </c>
    </row>
    <row r="248" spans="21:99" x14ac:dyDescent="0.3">
      <c r="U248">
        <v>242</v>
      </c>
      <c r="V248">
        <f t="shared" si="220"/>
        <v>61</v>
      </c>
      <c r="W248">
        <f t="shared" si="221"/>
        <v>2</v>
      </c>
      <c r="X248">
        <f t="shared" si="222"/>
        <v>0</v>
      </c>
      <c r="Y248">
        <f>IF(X248&lt;&gt;1,9999,CHOOSE(W248,INDEX(Gantt!$BQ$7:$BQ$119,V248),INDEX(Gantt!$BR$7:$BR$119,V248),INDEX(Gantt!$BT$7:$BT$119,V248),INDEX(Gantt!$BU$7:$BU$119,V248)))</f>
        <v>9999</v>
      </c>
      <c r="Z248">
        <f t="shared" si="223"/>
        <v>0</v>
      </c>
      <c r="AA248" t="e">
        <f t="shared" si="224"/>
        <v>#N/A</v>
      </c>
      <c r="AB248" t="e">
        <f t="shared" si="225"/>
        <v>#N/A</v>
      </c>
      <c r="AC248" t="e">
        <f t="shared" si="226"/>
        <v>#N/A</v>
      </c>
      <c r="AD248" t="e">
        <f t="shared" si="227"/>
        <v>#N/A</v>
      </c>
      <c r="AE248" t="e">
        <f t="shared" si="228"/>
        <v>#N/A</v>
      </c>
      <c r="AF248" t="e">
        <f t="shared" si="229"/>
        <v>#N/A</v>
      </c>
      <c r="AG248" t="e">
        <f t="shared" si="230"/>
        <v>#N/A</v>
      </c>
      <c r="AH248" t="e">
        <f t="shared" si="231"/>
        <v>#N/A</v>
      </c>
      <c r="AI248" t="e">
        <f t="shared" si="232"/>
        <v>#N/A</v>
      </c>
      <c r="AJ248" t="e">
        <f t="shared" si="233"/>
        <v>#N/A</v>
      </c>
      <c r="AK248" t="e">
        <f t="shared" si="234"/>
        <v>#N/A</v>
      </c>
      <c r="AL248" t="e">
        <f t="shared" si="235"/>
        <v>#N/A</v>
      </c>
      <c r="AM248" t="e">
        <f t="shared" si="236"/>
        <v>#N/A</v>
      </c>
      <c r="AN248" t="e">
        <f t="shared" si="237"/>
        <v>#N/A</v>
      </c>
      <c r="AO248" t="e">
        <f t="shared" si="238"/>
        <v>#N/A</v>
      </c>
      <c r="AP248" t="e">
        <f t="shared" si="239"/>
        <v>#N/A</v>
      </c>
      <c r="AQ248" t="e">
        <f t="shared" si="240"/>
        <v>#N/A</v>
      </c>
      <c r="AR248" t="e">
        <f t="shared" si="241"/>
        <v>#N/A</v>
      </c>
      <c r="AS248" t="e">
        <f t="shared" si="242"/>
        <v>#N/A</v>
      </c>
      <c r="AT248" t="e">
        <f t="shared" si="243"/>
        <v>#N/A</v>
      </c>
      <c r="AU248" t="e">
        <f t="shared" si="244"/>
        <v>#N/A</v>
      </c>
      <c r="AV248" t="e">
        <f t="shared" si="245"/>
        <v>#N/A</v>
      </c>
      <c r="AW248" t="e">
        <f t="shared" si="246"/>
        <v>#N/A</v>
      </c>
      <c r="AX248" t="e">
        <f t="shared" si="247"/>
        <v>#N/A</v>
      </c>
      <c r="AY248" t="e">
        <f t="shared" si="248"/>
        <v>#N/A</v>
      </c>
      <c r="BE248" t="e">
        <f>IF(Z248=1,IF(INDEX($C$7:$C$126,V248)&gt;=Gantt!$BF$6,NA(),MATCH(INDEX($C$7:$C$126,V248),Gantt!$J$6:$BE$6,1)),NA())</f>
        <v>#N/A</v>
      </c>
      <c r="BF248" t="e">
        <f>IF(Z248=1,IF((INDEX($D$7:$D$126,AA248)-1)&gt;=Gantt!$BF$6,NA(),IF((INDEX($D$7:$D$126,AA248)-1)&lt;Gantt!$J$6,0,MATCH((INDEX($D$7:$D$126,AA248)-1),Gantt!$J$6:$BE$6,1))),NA())</f>
        <v>#N/A</v>
      </c>
      <c r="BG248" t="e">
        <f t="shared" si="249"/>
        <v>#N/A</v>
      </c>
      <c r="BH248" t="e">
        <f t="shared" si="250"/>
        <v>#N/A</v>
      </c>
      <c r="BI248" t="e">
        <f t="shared" si="251"/>
        <v>#N/A</v>
      </c>
      <c r="BJ248" t="e">
        <f t="shared" si="252"/>
        <v>#N/A</v>
      </c>
      <c r="BK248" t="e">
        <f t="shared" si="253"/>
        <v>#N/A</v>
      </c>
      <c r="BL248" t="e">
        <f t="shared" si="254"/>
        <v>#N/A</v>
      </c>
      <c r="BM248" t="e">
        <f t="shared" si="255"/>
        <v>#N/A</v>
      </c>
      <c r="BN248" t="e">
        <f t="shared" si="256"/>
        <v>#N/A</v>
      </c>
      <c r="BO248" t="e">
        <f t="shared" si="257"/>
        <v>#N/A</v>
      </c>
      <c r="BP248" t="e">
        <f t="shared" si="258"/>
        <v>#N/A</v>
      </c>
      <c r="BQ248" t="e">
        <f t="shared" si="259"/>
        <v>#N/A</v>
      </c>
      <c r="BR248" t="e">
        <f t="shared" si="260"/>
        <v>#N/A</v>
      </c>
      <c r="BS248" t="e">
        <f t="shared" si="261"/>
        <v>#N/A</v>
      </c>
      <c r="BT248" t="e">
        <f t="shared" si="262"/>
        <v>#N/A</v>
      </c>
      <c r="BU248" t="e">
        <f t="shared" si="263"/>
        <v>#N/A</v>
      </c>
      <c r="BV248" t="e">
        <f t="shared" si="264"/>
        <v>#N/A</v>
      </c>
      <c r="BW248" t="e">
        <f t="shared" si="265"/>
        <v>#N/A</v>
      </c>
      <c r="BX248" t="e">
        <f t="shared" si="266"/>
        <v>#N/A</v>
      </c>
      <c r="BY248" t="e">
        <f t="shared" si="267"/>
        <v>#N/A</v>
      </c>
      <c r="BZ248" t="e">
        <f t="shared" si="268"/>
        <v>#N/A</v>
      </c>
      <c r="CA248" t="e">
        <f t="shared" si="269"/>
        <v>#N/A</v>
      </c>
      <c r="CB248" t="e">
        <f t="shared" si="270"/>
        <v>#N/A</v>
      </c>
      <c r="CC248" t="e">
        <f t="shared" si="271"/>
        <v>#N/A</v>
      </c>
      <c r="CD248" t="e">
        <f t="shared" si="272"/>
        <v>#N/A</v>
      </c>
      <c r="CE248" t="e">
        <f t="shared" si="273"/>
        <v>#N/A</v>
      </c>
      <c r="CF248" t="e">
        <f t="shared" si="274"/>
        <v>#N/A</v>
      </c>
      <c r="CG248" t="e">
        <f t="shared" si="275"/>
        <v>#N/A</v>
      </c>
      <c r="CI248" t="e">
        <f>AP87</f>
        <v>#N/A</v>
      </c>
      <c r="CJ248" t="e">
        <f>AQ87</f>
        <v>#N/A</v>
      </c>
      <c r="CK248">
        <f>IF(ISNUMBER(CI248),IFERROR(MAX(0,AR87-CI248),0),0)</f>
        <v>0</v>
      </c>
      <c r="CL248">
        <f>IF(ISNUMBER(CI248),IFERROR(MAX(0,CI248-AR87),0),0)</f>
        <v>0</v>
      </c>
      <c r="CM248">
        <f>IF(ISNUMBER(CJ248),IFERROR(MAX(0,AS87-CJ248),0),0)</f>
        <v>0</v>
      </c>
      <c r="CN248">
        <f>IF(ISNUMBER(CJ248),IFERROR(MAX(0,CJ248-AS87),0),0)</f>
        <v>0</v>
      </c>
      <c r="CP248" t="e">
        <f>BX87</f>
        <v>#N/A</v>
      </c>
      <c r="CQ248" t="e">
        <f>BY87</f>
        <v>#N/A</v>
      </c>
      <c r="CR248">
        <f>IF(ISNUMBER(CP248),IFERROR(MAX(0,BZ87-CP248),0),0)</f>
        <v>0</v>
      </c>
      <c r="CS248">
        <f>IF(ISNUMBER(CP248),IFERROR(MAX(0,CP248-BZ87),0),0)</f>
        <v>0</v>
      </c>
      <c r="CT248">
        <f>IF(ISNUMBER(CQ248),IFERROR(MAX(0,CA87-CQ248),0),0)</f>
        <v>0</v>
      </c>
      <c r="CU248">
        <f>IF(ISNUMBER(CQ248),IFERROR(MAX(0,CQ248-CA87),0),0)</f>
        <v>0</v>
      </c>
    </row>
    <row r="249" spans="21:99" x14ac:dyDescent="0.3">
      <c r="U249">
        <v>243</v>
      </c>
      <c r="V249">
        <f t="shared" si="220"/>
        <v>61</v>
      </c>
      <c r="W249">
        <f t="shared" si="221"/>
        <v>3</v>
      </c>
      <c r="X249">
        <f t="shared" si="222"/>
        <v>0</v>
      </c>
      <c r="Y249">
        <f>IF(X249&lt;&gt;1,9999,CHOOSE(W249,INDEX(Gantt!$BQ$7:$BQ$119,V249),INDEX(Gantt!$BR$7:$BR$119,V249),INDEX(Gantt!$BT$7:$BT$119,V249),INDEX(Gantt!$BU$7:$BU$119,V249)))</f>
        <v>9999</v>
      </c>
      <c r="Z249">
        <f t="shared" si="223"/>
        <v>0</v>
      </c>
      <c r="AA249" t="e">
        <f t="shared" si="224"/>
        <v>#N/A</v>
      </c>
      <c r="AB249" t="e">
        <f t="shared" si="225"/>
        <v>#N/A</v>
      </c>
      <c r="AC249" t="e">
        <f t="shared" si="226"/>
        <v>#N/A</v>
      </c>
      <c r="AD249" t="e">
        <f t="shared" si="227"/>
        <v>#N/A</v>
      </c>
      <c r="AE249" t="e">
        <f t="shared" si="228"/>
        <v>#N/A</v>
      </c>
      <c r="AF249" t="e">
        <f t="shared" si="229"/>
        <v>#N/A</v>
      </c>
      <c r="AG249" t="e">
        <f t="shared" si="230"/>
        <v>#N/A</v>
      </c>
      <c r="AH249" t="e">
        <f t="shared" si="231"/>
        <v>#N/A</v>
      </c>
      <c r="AI249" t="e">
        <f t="shared" si="232"/>
        <v>#N/A</v>
      </c>
      <c r="AJ249" t="e">
        <f t="shared" si="233"/>
        <v>#N/A</v>
      </c>
      <c r="AK249" t="e">
        <f t="shared" si="234"/>
        <v>#N/A</v>
      </c>
      <c r="AL249" t="e">
        <f t="shared" si="235"/>
        <v>#N/A</v>
      </c>
      <c r="AM249" t="e">
        <f t="shared" si="236"/>
        <v>#N/A</v>
      </c>
      <c r="AN249" t="e">
        <f t="shared" si="237"/>
        <v>#N/A</v>
      </c>
      <c r="AO249" t="e">
        <f t="shared" si="238"/>
        <v>#N/A</v>
      </c>
      <c r="AP249" t="e">
        <f t="shared" si="239"/>
        <v>#N/A</v>
      </c>
      <c r="AQ249" t="e">
        <f t="shared" si="240"/>
        <v>#N/A</v>
      </c>
      <c r="AR249" t="e">
        <f t="shared" si="241"/>
        <v>#N/A</v>
      </c>
      <c r="AS249" t="e">
        <f t="shared" si="242"/>
        <v>#N/A</v>
      </c>
      <c r="AT249" t="e">
        <f t="shared" si="243"/>
        <v>#N/A</v>
      </c>
      <c r="AU249" t="e">
        <f t="shared" si="244"/>
        <v>#N/A</v>
      </c>
      <c r="AV249" t="e">
        <f t="shared" si="245"/>
        <v>#N/A</v>
      </c>
      <c r="AW249" t="e">
        <f t="shared" si="246"/>
        <v>#N/A</v>
      </c>
      <c r="AX249" t="e">
        <f t="shared" si="247"/>
        <v>#N/A</v>
      </c>
      <c r="AY249" t="e">
        <f t="shared" si="248"/>
        <v>#N/A</v>
      </c>
      <c r="BE249" t="e">
        <f>IF(Z249=1,IF(INDEX($C$7:$C$126,V249)&gt;=Gantt!$BF$6,NA(),MATCH(INDEX($C$7:$C$126,V249),Gantt!$J$6:$BE$6,1)),NA())</f>
        <v>#N/A</v>
      </c>
      <c r="BF249" t="e">
        <f>IF(Z249=1,IF((INDEX($D$7:$D$126,AA249)-1)&gt;=Gantt!$BF$6,NA(),IF((INDEX($D$7:$D$126,AA249)-1)&lt;Gantt!$J$6,0,MATCH((INDEX($D$7:$D$126,AA249)-1),Gantt!$J$6:$BE$6,1))),NA())</f>
        <v>#N/A</v>
      </c>
      <c r="BG249" t="e">
        <f t="shared" si="249"/>
        <v>#N/A</v>
      </c>
      <c r="BH249" t="e">
        <f t="shared" si="250"/>
        <v>#N/A</v>
      </c>
      <c r="BI249" t="e">
        <f t="shared" si="251"/>
        <v>#N/A</v>
      </c>
      <c r="BJ249" t="e">
        <f t="shared" si="252"/>
        <v>#N/A</v>
      </c>
      <c r="BK249" t="e">
        <f t="shared" si="253"/>
        <v>#N/A</v>
      </c>
      <c r="BL249" t="e">
        <f t="shared" si="254"/>
        <v>#N/A</v>
      </c>
      <c r="BM249" t="e">
        <f t="shared" si="255"/>
        <v>#N/A</v>
      </c>
      <c r="BN249" t="e">
        <f t="shared" si="256"/>
        <v>#N/A</v>
      </c>
      <c r="BO249" t="e">
        <f t="shared" si="257"/>
        <v>#N/A</v>
      </c>
      <c r="BP249" t="e">
        <f t="shared" si="258"/>
        <v>#N/A</v>
      </c>
      <c r="BQ249" t="e">
        <f t="shared" si="259"/>
        <v>#N/A</v>
      </c>
      <c r="BR249" t="e">
        <f t="shared" si="260"/>
        <v>#N/A</v>
      </c>
      <c r="BS249" t="e">
        <f t="shared" si="261"/>
        <v>#N/A</v>
      </c>
      <c r="BT249" t="e">
        <f t="shared" si="262"/>
        <v>#N/A</v>
      </c>
      <c r="BU249" t="e">
        <f t="shared" si="263"/>
        <v>#N/A</v>
      </c>
      <c r="BV249" t="e">
        <f t="shared" si="264"/>
        <v>#N/A</v>
      </c>
      <c r="BW249" t="e">
        <f t="shared" si="265"/>
        <v>#N/A</v>
      </c>
      <c r="BX249" t="e">
        <f t="shared" si="266"/>
        <v>#N/A</v>
      </c>
      <c r="BY249" t="e">
        <f t="shared" si="267"/>
        <v>#N/A</v>
      </c>
      <c r="BZ249" t="e">
        <f t="shared" si="268"/>
        <v>#N/A</v>
      </c>
      <c r="CA249" t="e">
        <f t="shared" si="269"/>
        <v>#N/A</v>
      </c>
      <c r="CB249" t="e">
        <f t="shared" si="270"/>
        <v>#N/A</v>
      </c>
      <c r="CC249" t="e">
        <f t="shared" si="271"/>
        <v>#N/A</v>
      </c>
      <c r="CD249" t="e">
        <f t="shared" si="272"/>
        <v>#N/A</v>
      </c>
      <c r="CE249" t="e">
        <f t="shared" si="273"/>
        <v>#N/A</v>
      </c>
      <c r="CF249" t="e">
        <f t="shared" si="274"/>
        <v>#N/A</v>
      </c>
      <c r="CG249" t="e">
        <f t="shared" si="275"/>
        <v>#N/A</v>
      </c>
      <c r="CI249" t="e">
        <f>AT87</f>
        <v>#N/A</v>
      </c>
      <c r="CJ249" t="e">
        <f>AU87</f>
        <v>#N/A</v>
      </c>
      <c r="CK249">
        <f>IF(ISNUMBER(CI249),IFERROR(MAX(0,AV87-CI249),0),0)</f>
        <v>0</v>
      </c>
      <c r="CL249">
        <f>IF(ISNUMBER(CI249),IFERROR(MAX(0,CI249-AV87),0),0)</f>
        <v>0</v>
      </c>
      <c r="CM249">
        <f>IF(ISNUMBER(CJ249),IFERROR(MAX(0,AW87-CJ249),0),0)</f>
        <v>0</v>
      </c>
      <c r="CN249">
        <f>IF(ISNUMBER(CJ249),IFERROR(MAX(0,CJ249-AW87),0),0)</f>
        <v>0</v>
      </c>
      <c r="CP249" t="e">
        <f>CB87</f>
        <v>#N/A</v>
      </c>
      <c r="CQ249" t="e">
        <f>CC87</f>
        <v>#N/A</v>
      </c>
      <c r="CR249">
        <f>IF(ISNUMBER(CP249),IFERROR(MAX(0,CD87-CP249),0),0)</f>
        <v>0</v>
      </c>
      <c r="CS249">
        <f>IF(ISNUMBER(CP249),IFERROR(MAX(0,CP249-CD87),0),0)</f>
        <v>0</v>
      </c>
      <c r="CT249">
        <f>IF(ISNUMBER(CQ249),IFERROR(MAX(0,CE87-CQ249),0),0)</f>
        <v>0</v>
      </c>
      <c r="CU249">
        <f>IF(ISNUMBER(CQ249),IFERROR(MAX(0,CQ249-CE87),0),0)</f>
        <v>0</v>
      </c>
    </row>
    <row r="250" spans="21:99" x14ac:dyDescent="0.3">
      <c r="U250">
        <v>244</v>
      </c>
      <c r="V250">
        <f t="shared" si="220"/>
        <v>61</v>
      </c>
      <c r="W250">
        <f t="shared" si="221"/>
        <v>4</v>
      </c>
      <c r="X250">
        <f t="shared" si="222"/>
        <v>0</v>
      </c>
      <c r="Y250">
        <f>IF(X250&lt;&gt;1,9999,CHOOSE(W250,INDEX(Gantt!$BQ$7:$BQ$119,V250),INDEX(Gantt!$BR$7:$BR$119,V250),INDEX(Gantt!$BT$7:$BT$119,V250),INDEX(Gantt!$BU$7:$BU$119,V250)))</f>
        <v>9999</v>
      </c>
      <c r="Z250">
        <f t="shared" si="223"/>
        <v>0</v>
      </c>
      <c r="AA250" t="e">
        <f t="shared" si="224"/>
        <v>#N/A</v>
      </c>
      <c r="AB250" t="e">
        <f t="shared" si="225"/>
        <v>#N/A</v>
      </c>
      <c r="AC250" t="e">
        <f t="shared" si="226"/>
        <v>#N/A</v>
      </c>
      <c r="AD250" t="e">
        <f t="shared" si="227"/>
        <v>#N/A</v>
      </c>
      <c r="AE250" t="e">
        <f t="shared" si="228"/>
        <v>#N/A</v>
      </c>
      <c r="AF250" t="e">
        <f t="shared" si="229"/>
        <v>#N/A</v>
      </c>
      <c r="AG250" t="e">
        <f t="shared" si="230"/>
        <v>#N/A</v>
      </c>
      <c r="AH250" t="e">
        <f t="shared" si="231"/>
        <v>#N/A</v>
      </c>
      <c r="AI250" t="e">
        <f t="shared" si="232"/>
        <v>#N/A</v>
      </c>
      <c r="AJ250" t="e">
        <f t="shared" si="233"/>
        <v>#N/A</v>
      </c>
      <c r="AK250" t="e">
        <f t="shared" si="234"/>
        <v>#N/A</v>
      </c>
      <c r="AL250" t="e">
        <f t="shared" si="235"/>
        <v>#N/A</v>
      </c>
      <c r="AM250" t="e">
        <f t="shared" si="236"/>
        <v>#N/A</v>
      </c>
      <c r="AN250" t="e">
        <f t="shared" si="237"/>
        <v>#N/A</v>
      </c>
      <c r="AO250" t="e">
        <f t="shared" si="238"/>
        <v>#N/A</v>
      </c>
      <c r="AP250" t="e">
        <f t="shared" si="239"/>
        <v>#N/A</v>
      </c>
      <c r="AQ250" t="e">
        <f t="shared" si="240"/>
        <v>#N/A</v>
      </c>
      <c r="AR250" t="e">
        <f t="shared" si="241"/>
        <v>#N/A</v>
      </c>
      <c r="AS250" t="e">
        <f t="shared" si="242"/>
        <v>#N/A</v>
      </c>
      <c r="AT250" t="e">
        <f t="shared" si="243"/>
        <v>#N/A</v>
      </c>
      <c r="AU250" t="e">
        <f t="shared" si="244"/>
        <v>#N/A</v>
      </c>
      <c r="AV250" t="e">
        <f t="shared" si="245"/>
        <v>#N/A</v>
      </c>
      <c r="AW250" t="e">
        <f t="shared" si="246"/>
        <v>#N/A</v>
      </c>
      <c r="AX250" t="e">
        <f t="shared" si="247"/>
        <v>#N/A</v>
      </c>
      <c r="AY250" t="e">
        <f t="shared" si="248"/>
        <v>#N/A</v>
      </c>
      <c r="BE250" t="e">
        <f>IF(Z250=1,IF(INDEX($C$7:$C$126,V250)&gt;=Gantt!$BF$6,NA(),MATCH(INDEX($C$7:$C$126,V250),Gantt!$J$6:$BE$6,1)),NA())</f>
        <v>#N/A</v>
      </c>
      <c r="BF250" t="e">
        <f>IF(Z250=1,IF((INDEX($D$7:$D$126,AA250)-1)&gt;=Gantt!$BF$6,NA(),IF((INDEX($D$7:$D$126,AA250)-1)&lt;Gantt!$J$6,0,MATCH((INDEX($D$7:$D$126,AA250)-1),Gantt!$J$6:$BE$6,1))),NA())</f>
        <v>#N/A</v>
      </c>
      <c r="BG250" t="e">
        <f t="shared" si="249"/>
        <v>#N/A</v>
      </c>
      <c r="BH250" t="e">
        <f t="shared" si="250"/>
        <v>#N/A</v>
      </c>
      <c r="BI250" t="e">
        <f t="shared" si="251"/>
        <v>#N/A</v>
      </c>
      <c r="BJ250" t="e">
        <f t="shared" si="252"/>
        <v>#N/A</v>
      </c>
      <c r="BK250" t="e">
        <f t="shared" si="253"/>
        <v>#N/A</v>
      </c>
      <c r="BL250" t="e">
        <f t="shared" si="254"/>
        <v>#N/A</v>
      </c>
      <c r="BM250" t="e">
        <f t="shared" si="255"/>
        <v>#N/A</v>
      </c>
      <c r="BN250" t="e">
        <f t="shared" si="256"/>
        <v>#N/A</v>
      </c>
      <c r="BO250" t="e">
        <f t="shared" si="257"/>
        <v>#N/A</v>
      </c>
      <c r="BP250" t="e">
        <f t="shared" si="258"/>
        <v>#N/A</v>
      </c>
      <c r="BQ250" t="e">
        <f t="shared" si="259"/>
        <v>#N/A</v>
      </c>
      <c r="BR250" t="e">
        <f t="shared" si="260"/>
        <v>#N/A</v>
      </c>
      <c r="BS250" t="e">
        <f t="shared" si="261"/>
        <v>#N/A</v>
      </c>
      <c r="BT250" t="e">
        <f t="shared" si="262"/>
        <v>#N/A</v>
      </c>
      <c r="BU250" t="e">
        <f t="shared" si="263"/>
        <v>#N/A</v>
      </c>
      <c r="BV250" t="e">
        <f t="shared" si="264"/>
        <v>#N/A</v>
      </c>
      <c r="BW250" t="e">
        <f t="shared" si="265"/>
        <v>#N/A</v>
      </c>
      <c r="BX250" t="e">
        <f t="shared" si="266"/>
        <v>#N/A</v>
      </c>
      <c r="BY250" t="e">
        <f t="shared" si="267"/>
        <v>#N/A</v>
      </c>
      <c r="BZ250" t="e">
        <f t="shared" si="268"/>
        <v>#N/A</v>
      </c>
      <c r="CA250" t="e">
        <f t="shared" si="269"/>
        <v>#N/A</v>
      </c>
      <c r="CB250" t="e">
        <f t="shared" si="270"/>
        <v>#N/A</v>
      </c>
      <c r="CC250" t="e">
        <f t="shared" si="271"/>
        <v>#N/A</v>
      </c>
      <c r="CD250" t="e">
        <f t="shared" si="272"/>
        <v>#N/A</v>
      </c>
      <c r="CE250" t="e">
        <f t="shared" si="273"/>
        <v>#N/A</v>
      </c>
      <c r="CF250" t="e">
        <f t="shared" si="274"/>
        <v>#N/A</v>
      </c>
      <c r="CG250" t="e">
        <f t="shared" si="275"/>
        <v>#N/A</v>
      </c>
      <c r="CI250" t="e">
        <f>AL88</f>
        <v>#N/A</v>
      </c>
      <c r="CJ250" t="e">
        <f>AM88</f>
        <v>#N/A</v>
      </c>
      <c r="CK250">
        <f>IF(ISNUMBER(CI250),IFERROR(MAX(0,AN88-CI250),0),0)</f>
        <v>0</v>
      </c>
      <c r="CL250">
        <f>IF(ISNUMBER(CI250),IFERROR(MAX(0,CI250-AN88),0),0)</f>
        <v>0</v>
      </c>
      <c r="CM250">
        <f>IF(ISNUMBER(CJ250),IFERROR(MAX(0,AO88-CJ250),0),0)</f>
        <v>0</v>
      </c>
      <c r="CN250">
        <f>IF(ISNUMBER(CJ250),IFERROR(MAX(0,CJ250-AO88),0),0)</f>
        <v>0</v>
      </c>
      <c r="CP250" t="e">
        <f>BT88</f>
        <v>#N/A</v>
      </c>
      <c r="CQ250" t="e">
        <f>BU88</f>
        <v>#N/A</v>
      </c>
      <c r="CR250">
        <f>IF(ISNUMBER(CP250),IFERROR(MAX(0,BV88-CP250),0),0)</f>
        <v>0</v>
      </c>
      <c r="CS250">
        <f>IF(ISNUMBER(CP250),IFERROR(MAX(0,CP250-BV88),0),0)</f>
        <v>0</v>
      </c>
      <c r="CT250">
        <f>IF(ISNUMBER(CQ250),IFERROR(MAX(0,BW88-CQ250),0),0)</f>
        <v>0</v>
      </c>
      <c r="CU250">
        <f>IF(ISNUMBER(CQ250),IFERROR(MAX(0,CQ250-BW88),0),0)</f>
        <v>0</v>
      </c>
    </row>
    <row r="251" spans="21:99" x14ac:dyDescent="0.3">
      <c r="U251">
        <v>245</v>
      </c>
      <c r="V251">
        <f t="shared" si="220"/>
        <v>62</v>
      </c>
      <c r="W251">
        <f t="shared" si="221"/>
        <v>1</v>
      </c>
      <c r="X251">
        <f t="shared" si="222"/>
        <v>0</v>
      </c>
      <c r="Y251">
        <f>IF(X251&lt;&gt;1,9999,CHOOSE(W251,INDEX(Gantt!$BQ$7:$BQ$119,V251),INDEX(Gantt!$BR$7:$BR$119,V251),INDEX(Gantt!$BT$7:$BT$119,V251),INDEX(Gantt!$BU$7:$BU$119,V251)))</f>
        <v>9999</v>
      </c>
      <c r="Z251">
        <f t="shared" si="223"/>
        <v>0</v>
      </c>
      <c r="AA251" t="e">
        <f t="shared" si="224"/>
        <v>#N/A</v>
      </c>
      <c r="AB251" t="e">
        <f t="shared" si="225"/>
        <v>#N/A</v>
      </c>
      <c r="AC251" t="e">
        <f t="shared" si="226"/>
        <v>#N/A</v>
      </c>
      <c r="AD251" t="e">
        <f t="shared" si="227"/>
        <v>#N/A</v>
      </c>
      <c r="AE251" t="e">
        <f t="shared" si="228"/>
        <v>#N/A</v>
      </c>
      <c r="AF251" t="e">
        <f t="shared" si="229"/>
        <v>#N/A</v>
      </c>
      <c r="AG251" t="e">
        <f t="shared" si="230"/>
        <v>#N/A</v>
      </c>
      <c r="AH251" t="e">
        <f t="shared" si="231"/>
        <v>#N/A</v>
      </c>
      <c r="AI251" t="e">
        <f t="shared" si="232"/>
        <v>#N/A</v>
      </c>
      <c r="AJ251" t="e">
        <f t="shared" si="233"/>
        <v>#N/A</v>
      </c>
      <c r="AK251" t="e">
        <f t="shared" si="234"/>
        <v>#N/A</v>
      </c>
      <c r="AL251" t="e">
        <f t="shared" si="235"/>
        <v>#N/A</v>
      </c>
      <c r="AM251" t="e">
        <f t="shared" si="236"/>
        <v>#N/A</v>
      </c>
      <c r="AN251" t="e">
        <f t="shared" si="237"/>
        <v>#N/A</v>
      </c>
      <c r="AO251" t="e">
        <f t="shared" si="238"/>
        <v>#N/A</v>
      </c>
      <c r="AP251" t="e">
        <f t="shared" si="239"/>
        <v>#N/A</v>
      </c>
      <c r="AQ251" t="e">
        <f t="shared" si="240"/>
        <v>#N/A</v>
      </c>
      <c r="AR251" t="e">
        <f t="shared" si="241"/>
        <v>#N/A</v>
      </c>
      <c r="AS251" t="e">
        <f t="shared" si="242"/>
        <v>#N/A</v>
      </c>
      <c r="AT251" t="e">
        <f t="shared" si="243"/>
        <v>#N/A</v>
      </c>
      <c r="AU251" t="e">
        <f t="shared" si="244"/>
        <v>#N/A</v>
      </c>
      <c r="AV251" t="e">
        <f t="shared" si="245"/>
        <v>#N/A</v>
      </c>
      <c r="AW251" t="e">
        <f t="shared" si="246"/>
        <v>#N/A</v>
      </c>
      <c r="AX251" t="e">
        <f t="shared" si="247"/>
        <v>#N/A</v>
      </c>
      <c r="AY251" t="e">
        <f t="shared" si="248"/>
        <v>#N/A</v>
      </c>
      <c r="BE251" t="e">
        <f>IF(Z251=1,IF(INDEX($C$7:$C$126,V251)&gt;=Gantt!$BF$6,NA(),MATCH(INDEX($C$7:$C$126,V251),Gantt!$J$6:$BE$6,1)),NA())</f>
        <v>#N/A</v>
      </c>
      <c r="BF251" t="e">
        <f>IF(Z251=1,IF((INDEX($D$7:$D$126,AA251)-1)&gt;=Gantt!$BF$6,NA(),IF((INDEX($D$7:$D$126,AA251)-1)&lt;Gantt!$J$6,0,MATCH((INDEX($D$7:$D$126,AA251)-1),Gantt!$J$6:$BE$6,1))),NA())</f>
        <v>#N/A</v>
      </c>
      <c r="BG251" t="e">
        <f t="shared" si="249"/>
        <v>#N/A</v>
      </c>
      <c r="BH251" t="e">
        <f t="shared" si="250"/>
        <v>#N/A</v>
      </c>
      <c r="BI251" t="e">
        <f t="shared" si="251"/>
        <v>#N/A</v>
      </c>
      <c r="BJ251" t="e">
        <f t="shared" si="252"/>
        <v>#N/A</v>
      </c>
      <c r="BK251" t="e">
        <f t="shared" si="253"/>
        <v>#N/A</v>
      </c>
      <c r="BL251" t="e">
        <f t="shared" si="254"/>
        <v>#N/A</v>
      </c>
      <c r="BM251" t="e">
        <f t="shared" si="255"/>
        <v>#N/A</v>
      </c>
      <c r="BN251" t="e">
        <f t="shared" si="256"/>
        <v>#N/A</v>
      </c>
      <c r="BO251" t="e">
        <f t="shared" si="257"/>
        <v>#N/A</v>
      </c>
      <c r="BP251" t="e">
        <f t="shared" si="258"/>
        <v>#N/A</v>
      </c>
      <c r="BQ251" t="e">
        <f t="shared" si="259"/>
        <v>#N/A</v>
      </c>
      <c r="BR251" t="e">
        <f t="shared" si="260"/>
        <v>#N/A</v>
      </c>
      <c r="BS251" t="e">
        <f t="shared" si="261"/>
        <v>#N/A</v>
      </c>
      <c r="BT251" t="e">
        <f t="shared" si="262"/>
        <v>#N/A</v>
      </c>
      <c r="BU251" t="e">
        <f t="shared" si="263"/>
        <v>#N/A</v>
      </c>
      <c r="BV251" t="e">
        <f t="shared" si="264"/>
        <v>#N/A</v>
      </c>
      <c r="BW251" t="e">
        <f t="shared" si="265"/>
        <v>#N/A</v>
      </c>
      <c r="BX251" t="e">
        <f t="shared" si="266"/>
        <v>#N/A</v>
      </c>
      <c r="BY251" t="e">
        <f t="shared" si="267"/>
        <v>#N/A</v>
      </c>
      <c r="BZ251" t="e">
        <f t="shared" si="268"/>
        <v>#N/A</v>
      </c>
      <c r="CA251" t="e">
        <f t="shared" si="269"/>
        <v>#N/A</v>
      </c>
      <c r="CB251" t="e">
        <f t="shared" si="270"/>
        <v>#N/A</v>
      </c>
      <c r="CC251" t="e">
        <f t="shared" si="271"/>
        <v>#N/A</v>
      </c>
      <c r="CD251" t="e">
        <f t="shared" si="272"/>
        <v>#N/A</v>
      </c>
      <c r="CE251" t="e">
        <f t="shared" si="273"/>
        <v>#N/A</v>
      </c>
      <c r="CF251" t="e">
        <f t="shared" si="274"/>
        <v>#N/A</v>
      </c>
      <c r="CG251" t="e">
        <f t="shared" si="275"/>
        <v>#N/A</v>
      </c>
      <c r="CI251" t="e">
        <f>AP88</f>
        <v>#N/A</v>
      </c>
      <c r="CJ251" t="e">
        <f>AQ88</f>
        <v>#N/A</v>
      </c>
      <c r="CK251">
        <f>IF(ISNUMBER(CI251),IFERROR(MAX(0,AR88-CI251),0),0)</f>
        <v>0</v>
      </c>
      <c r="CL251">
        <f>IF(ISNUMBER(CI251),IFERROR(MAX(0,CI251-AR88),0),0)</f>
        <v>0</v>
      </c>
      <c r="CM251">
        <f>IF(ISNUMBER(CJ251),IFERROR(MAX(0,AS88-CJ251),0),0)</f>
        <v>0</v>
      </c>
      <c r="CN251">
        <f>IF(ISNUMBER(CJ251),IFERROR(MAX(0,CJ251-AS88),0),0)</f>
        <v>0</v>
      </c>
      <c r="CP251" t="e">
        <f>BX88</f>
        <v>#N/A</v>
      </c>
      <c r="CQ251" t="e">
        <f>BY88</f>
        <v>#N/A</v>
      </c>
      <c r="CR251">
        <f>IF(ISNUMBER(CP251),IFERROR(MAX(0,BZ88-CP251),0),0)</f>
        <v>0</v>
      </c>
      <c r="CS251">
        <f>IF(ISNUMBER(CP251),IFERROR(MAX(0,CP251-BZ88),0),0)</f>
        <v>0</v>
      </c>
      <c r="CT251">
        <f>IF(ISNUMBER(CQ251),IFERROR(MAX(0,CA88-CQ251),0),0)</f>
        <v>0</v>
      </c>
      <c r="CU251">
        <f>IF(ISNUMBER(CQ251),IFERROR(MAX(0,CQ251-CA88),0),0)</f>
        <v>0</v>
      </c>
    </row>
    <row r="252" spans="21:99" x14ac:dyDescent="0.3">
      <c r="U252">
        <v>246</v>
      </c>
      <c r="V252">
        <f t="shared" si="220"/>
        <v>62</v>
      </c>
      <c r="W252">
        <f t="shared" si="221"/>
        <v>2</v>
      </c>
      <c r="X252">
        <f t="shared" si="222"/>
        <v>0</v>
      </c>
      <c r="Y252">
        <f>IF(X252&lt;&gt;1,9999,CHOOSE(W252,INDEX(Gantt!$BQ$7:$BQ$119,V252),INDEX(Gantt!$BR$7:$BR$119,V252),INDEX(Gantt!$BT$7:$BT$119,V252),INDEX(Gantt!$BU$7:$BU$119,V252)))</f>
        <v>9999</v>
      </c>
      <c r="Z252">
        <f t="shared" si="223"/>
        <v>0</v>
      </c>
      <c r="AA252" t="e">
        <f t="shared" si="224"/>
        <v>#N/A</v>
      </c>
      <c r="AB252" t="e">
        <f t="shared" si="225"/>
        <v>#N/A</v>
      </c>
      <c r="AC252" t="e">
        <f t="shared" si="226"/>
        <v>#N/A</v>
      </c>
      <c r="AD252" t="e">
        <f t="shared" si="227"/>
        <v>#N/A</v>
      </c>
      <c r="AE252" t="e">
        <f t="shared" si="228"/>
        <v>#N/A</v>
      </c>
      <c r="AF252" t="e">
        <f t="shared" si="229"/>
        <v>#N/A</v>
      </c>
      <c r="AG252" t="e">
        <f t="shared" si="230"/>
        <v>#N/A</v>
      </c>
      <c r="AH252" t="e">
        <f t="shared" si="231"/>
        <v>#N/A</v>
      </c>
      <c r="AI252" t="e">
        <f t="shared" si="232"/>
        <v>#N/A</v>
      </c>
      <c r="AJ252" t="e">
        <f t="shared" si="233"/>
        <v>#N/A</v>
      </c>
      <c r="AK252" t="e">
        <f t="shared" si="234"/>
        <v>#N/A</v>
      </c>
      <c r="AL252" t="e">
        <f t="shared" si="235"/>
        <v>#N/A</v>
      </c>
      <c r="AM252" t="e">
        <f t="shared" si="236"/>
        <v>#N/A</v>
      </c>
      <c r="AN252" t="e">
        <f t="shared" si="237"/>
        <v>#N/A</v>
      </c>
      <c r="AO252" t="e">
        <f t="shared" si="238"/>
        <v>#N/A</v>
      </c>
      <c r="AP252" t="e">
        <f t="shared" si="239"/>
        <v>#N/A</v>
      </c>
      <c r="AQ252" t="e">
        <f t="shared" si="240"/>
        <v>#N/A</v>
      </c>
      <c r="AR252" t="e">
        <f t="shared" si="241"/>
        <v>#N/A</v>
      </c>
      <c r="AS252" t="e">
        <f t="shared" si="242"/>
        <v>#N/A</v>
      </c>
      <c r="AT252" t="e">
        <f t="shared" si="243"/>
        <v>#N/A</v>
      </c>
      <c r="AU252" t="e">
        <f t="shared" si="244"/>
        <v>#N/A</v>
      </c>
      <c r="AV252" t="e">
        <f t="shared" si="245"/>
        <v>#N/A</v>
      </c>
      <c r="AW252" t="e">
        <f t="shared" si="246"/>
        <v>#N/A</v>
      </c>
      <c r="AX252" t="e">
        <f t="shared" si="247"/>
        <v>#N/A</v>
      </c>
      <c r="AY252" t="e">
        <f t="shared" si="248"/>
        <v>#N/A</v>
      </c>
      <c r="BE252" t="e">
        <f>IF(Z252=1,IF(INDEX($C$7:$C$126,V252)&gt;=Gantt!$BF$6,NA(),MATCH(INDEX($C$7:$C$126,V252),Gantt!$J$6:$BE$6,1)),NA())</f>
        <v>#N/A</v>
      </c>
      <c r="BF252" t="e">
        <f>IF(Z252=1,IF((INDEX($D$7:$D$126,AA252)-1)&gt;=Gantt!$BF$6,NA(),IF((INDEX($D$7:$D$126,AA252)-1)&lt;Gantt!$J$6,0,MATCH((INDEX($D$7:$D$126,AA252)-1),Gantt!$J$6:$BE$6,1))),NA())</f>
        <v>#N/A</v>
      </c>
      <c r="BG252" t="e">
        <f t="shared" si="249"/>
        <v>#N/A</v>
      </c>
      <c r="BH252" t="e">
        <f t="shared" si="250"/>
        <v>#N/A</v>
      </c>
      <c r="BI252" t="e">
        <f t="shared" si="251"/>
        <v>#N/A</v>
      </c>
      <c r="BJ252" t="e">
        <f t="shared" si="252"/>
        <v>#N/A</v>
      </c>
      <c r="BK252" t="e">
        <f t="shared" si="253"/>
        <v>#N/A</v>
      </c>
      <c r="BL252" t="e">
        <f t="shared" si="254"/>
        <v>#N/A</v>
      </c>
      <c r="BM252" t="e">
        <f t="shared" si="255"/>
        <v>#N/A</v>
      </c>
      <c r="BN252" t="e">
        <f t="shared" si="256"/>
        <v>#N/A</v>
      </c>
      <c r="BO252" t="e">
        <f t="shared" si="257"/>
        <v>#N/A</v>
      </c>
      <c r="BP252" t="e">
        <f t="shared" si="258"/>
        <v>#N/A</v>
      </c>
      <c r="BQ252" t="e">
        <f t="shared" si="259"/>
        <v>#N/A</v>
      </c>
      <c r="BR252" t="e">
        <f t="shared" si="260"/>
        <v>#N/A</v>
      </c>
      <c r="BS252" t="e">
        <f t="shared" si="261"/>
        <v>#N/A</v>
      </c>
      <c r="BT252" t="e">
        <f t="shared" si="262"/>
        <v>#N/A</v>
      </c>
      <c r="BU252" t="e">
        <f t="shared" si="263"/>
        <v>#N/A</v>
      </c>
      <c r="BV252" t="e">
        <f t="shared" si="264"/>
        <v>#N/A</v>
      </c>
      <c r="BW252" t="e">
        <f t="shared" si="265"/>
        <v>#N/A</v>
      </c>
      <c r="BX252" t="e">
        <f t="shared" si="266"/>
        <v>#N/A</v>
      </c>
      <c r="BY252" t="e">
        <f t="shared" si="267"/>
        <v>#N/A</v>
      </c>
      <c r="BZ252" t="e">
        <f t="shared" si="268"/>
        <v>#N/A</v>
      </c>
      <c r="CA252" t="e">
        <f t="shared" si="269"/>
        <v>#N/A</v>
      </c>
      <c r="CB252" t="e">
        <f t="shared" si="270"/>
        <v>#N/A</v>
      </c>
      <c r="CC252" t="e">
        <f t="shared" si="271"/>
        <v>#N/A</v>
      </c>
      <c r="CD252" t="e">
        <f t="shared" si="272"/>
        <v>#N/A</v>
      </c>
      <c r="CE252" t="e">
        <f t="shared" si="273"/>
        <v>#N/A</v>
      </c>
      <c r="CF252" t="e">
        <f t="shared" si="274"/>
        <v>#N/A</v>
      </c>
      <c r="CG252" t="e">
        <f t="shared" si="275"/>
        <v>#N/A</v>
      </c>
      <c r="CI252" t="e">
        <f>AT88</f>
        <v>#N/A</v>
      </c>
      <c r="CJ252" t="e">
        <f>AU88</f>
        <v>#N/A</v>
      </c>
      <c r="CK252">
        <f>IF(ISNUMBER(CI252),IFERROR(MAX(0,AV88-CI252),0),0)</f>
        <v>0</v>
      </c>
      <c r="CL252">
        <f>IF(ISNUMBER(CI252),IFERROR(MAX(0,CI252-AV88),0),0)</f>
        <v>0</v>
      </c>
      <c r="CM252">
        <f>IF(ISNUMBER(CJ252),IFERROR(MAX(0,AW88-CJ252),0),0)</f>
        <v>0</v>
      </c>
      <c r="CN252">
        <f>IF(ISNUMBER(CJ252),IFERROR(MAX(0,CJ252-AW88),0),0)</f>
        <v>0</v>
      </c>
      <c r="CP252" t="e">
        <f>CB88</f>
        <v>#N/A</v>
      </c>
      <c r="CQ252" t="e">
        <f>CC88</f>
        <v>#N/A</v>
      </c>
      <c r="CR252">
        <f>IF(ISNUMBER(CP252),IFERROR(MAX(0,CD88-CP252),0),0)</f>
        <v>0</v>
      </c>
      <c r="CS252">
        <f>IF(ISNUMBER(CP252),IFERROR(MAX(0,CP252-CD88),0),0)</f>
        <v>0</v>
      </c>
      <c r="CT252">
        <f>IF(ISNUMBER(CQ252),IFERROR(MAX(0,CE88-CQ252),0),0)</f>
        <v>0</v>
      </c>
      <c r="CU252">
        <f>IF(ISNUMBER(CQ252),IFERROR(MAX(0,CQ252-CE88),0),0)</f>
        <v>0</v>
      </c>
    </row>
    <row r="253" spans="21:99" x14ac:dyDescent="0.3">
      <c r="U253">
        <v>247</v>
      </c>
      <c r="V253">
        <f t="shared" si="220"/>
        <v>62</v>
      </c>
      <c r="W253">
        <f t="shared" si="221"/>
        <v>3</v>
      </c>
      <c r="X253">
        <f t="shared" si="222"/>
        <v>0</v>
      </c>
      <c r="Y253">
        <f>IF(X253&lt;&gt;1,9999,CHOOSE(W253,INDEX(Gantt!$BQ$7:$BQ$119,V253),INDEX(Gantt!$BR$7:$BR$119,V253),INDEX(Gantt!$BT$7:$BT$119,V253),INDEX(Gantt!$BU$7:$BU$119,V253)))</f>
        <v>9999</v>
      </c>
      <c r="Z253">
        <f t="shared" si="223"/>
        <v>0</v>
      </c>
      <c r="AA253" t="e">
        <f t="shared" si="224"/>
        <v>#N/A</v>
      </c>
      <c r="AB253" t="e">
        <f t="shared" si="225"/>
        <v>#N/A</v>
      </c>
      <c r="AC253" t="e">
        <f t="shared" si="226"/>
        <v>#N/A</v>
      </c>
      <c r="AD253" t="e">
        <f t="shared" si="227"/>
        <v>#N/A</v>
      </c>
      <c r="AE253" t="e">
        <f t="shared" si="228"/>
        <v>#N/A</v>
      </c>
      <c r="AF253" t="e">
        <f t="shared" si="229"/>
        <v>#N/A</v>
      </c>
      <c r="AG253" t="e">
        <f t="shared" si="230"/>
        <v>#N/A</v>
      </c>
      <c r="AH253" t="e">
        <f t="shared" si="231"/>
        <v>#N/A</v>
      </c>
      <c r="AI253" t="e">
        <f t="shared" si="232"/>
        <v>#N/A</v>
      </c>
      <c r="AJ253" t="e">
        <f t="shared" si="233"/>
        <v>#N/A</v>
      </c>
      <c r="AK253" t="e">
        <f t="shared" si="234"/>
        <v>#N/A</v>
      </c>
      <c r="AL253" t="e">
        <f t="shared" si="235"/>
        <v>#N/A</v>
      </c>
      <c r="AM253" t="e">
        <f t="shared" si="236"/>
        <v>#N/A</v>
      </c>
      <c r="AN253" t="e">
        <f t="shared" si="237"/>
        <v>#N/A</v>
      </c>
      <c r="AO253" t="e">
        <f t="shared" si="238"/>
        <v>#N/A</v>
      </c>
      <c r="AP253" t="e">
        <f t="shared" si="239"/>
        <v>#N/A</v>
      </c>
      <c r="AQ253" t="e">
        <f t="shared" si="240"/>
        <v>#N/A</v>
      </c>
      <c r="AR253" t="e">
        <f t="shared" si="241"/>
        <v>#N/A</v>
      </c>
      <c r="AS253" t="e">
        <f t="shared" si="242"/>
        <v>#N/A</v>
      </c>
      <c r="AT253" t="e">
        <f t="shared" si="243"/>
        <v>#N/A</v>
      </c>
      <c r="AU253" t="e">
        <f t="shared" si="244"/>
        <v>#N/A</v>
      </c>
      <c r="AV253" t="e">
        <f t="shared" si="245"/>
        <v>#N/A</v>
      </c>
      <c r="AW253" t="e">
        <f t="shared" si="246"/>
        <v>#N/A</v>
      </c>
      <c r="AX253" t="e">
        <f t="shared" si="247"/>
        <v>#N/A</v>
      </c>
      <c r="AY253" t="e">
        <f t="shared" si="248"/>
        <v>#N/A</v>
      </c>
      <c r="BE253" t="e">
        <f>IF(Z253=1,IF(INDEX($C$7:$C$126,V253)&gt;=Gantt!$BF$6,NA(),MATCH(INDEX($C$7:$C$126,V253),Gantt!$J$6:$BE$6,1)),NA())</f>
        <v>#N/A</v>
      </c>
      <c r="BF253" t="e">
        <f>IF(Z253=1,IF((INDEX($D$7:$D$126,AA253)-1)&gt;=Gantt!$BF$6,NA(),IF((INDEX($D$7:$D$126,AA253)-1)&lt;Gantt!$J$6,0,MATCH((INDEX($D$7:$D$126,AA253)-1),Gantt!$J$6:$BE$6,1))),NA())</f>
        <v>#N/A</v>
      </c>
      <c r="BG253" t="e">
        <f t="shared" si="249"/>
        <v>#N/A</v>
      </c>
      <c r="BH253" t="e">
        <f t="shared" si="250"/>
        <v>#N/A</v>
      </c>
      <c r="BI253" t="e">
        <f t="shared" si="251"/>
        <v>#N/A</v>
      </c>
      <c r="BJ253" t="e">
        <f t="shared" si="252"/>
        <v>#N/A</v>
      </c>
      <c r="BK253" t="e">
        <f t="shared" si="253"/>
        <v>#N/A</v>
      </c>
      <c r="BL253" t="e">
        <f t="shared" si="254"/>
        <v>#N/A</v>
      </c>
      <c r="BM253" t="e">
        <f t="shared" si="255"/>
        <v>#N/A</v>
      </c>
      <c r="BN253" t="e">
        <f t="shared" si="256"/>
        <v>#N/A</v>
      </c>
      <c r="BO253" t="e">
        <f t="shared" si="257"/>
        <v>#N/A</v>
      </c>
      <c r="BP253" t="e">
        <f t="shared" si="258"/>
        <v>#N/A</v>
      </c>
      <c r="BQ253" t="e">
        <f t="shared" si="259"/>
        <v>#N/A</v>
      </c>
      <c r="BR253" t="e">
        <f t="shared" si="260"/>
        <v>#N/A</v>
      </c>
      <c r="BS253" t="e">
        <f t="shared" si="261"/>
        <v>#N/A</v>
      </c>
      <c r="BT253" t="e">
        <f t="shared" si="262"/>
        <v>#N/A</v>
      </c>
      <c r="BU253" t="e">
        <f t="shared" si="263"/>
        <v>#N/A</v>
      </c>
      <c r="BV253" t="e">
        <f t="shared" si="264"/>
        <v>#N/A</v>
      </c>
      <c r="BW253" t="e">
        <f t="shared" si="265"/>
        <v>#N/A</v>
      </c>
      <c r="BX253" t="e">
        <f t="shared" si="266"/>
        <v>#N/A</v>
      </c>
      <c r="BY253" t="e">
        <f t="shared" si="267"/>
        <v>#N/A</v>
      </c>
      <c r="BZ253" t="e">
        <f t="shared" si="268"/>
        <v>#N/A</v>
      </c>
      <c r="CA253" t="e">
        <f t="shared" si="269"/>
        <v>#N/A</v>
      </c>
      <c r="CB253" t="e">
        <f t="shared" si="270"/>
        <v>#N/A</v>
      </c>
      <c r="CC253" t="e">
        <f t="shared" si="271"/>
        <v>#N/A</v>
      </c>
      <c r="CD253" t="e">
        <f t="shared" si="272"/>
        <v>#N/A</v>
      </c>
      <c r="CE253" t="e">
        <f t="shared" si="273"/>
        <v>#N/A</v>
      </c>
      <c r="CF253" t="e">
        <f t="shared" si="274"/>
        <v>#N/A</v>
      </c>
      <c r="CG253" t="e">
        <f t="shared" si="275"/>
        <v>#N/A</v>
      </c>
      <c r="CI253" t="e">
        <f>AL89</f>
        <v>#N/A</v>
      </c>
      <c r="CJ253" t="e">
        <f>AM89</f>
        <v>#N/A</v>
      </c>
      <c r="CK253">
        <f>IF(ISNUMBER(CI253),IFERROR(MAX(0,AN89-CI253),0),0)</f>
        <v>0</v>
      </c>
      <c r="CL253">
        <f>IF(ISNUMBER(CI253),IFERROR(MAX(0,CI253-AN89),0),0)</f>
        <v>0</v>
      </c>
      <c r="CM253">
        <f>IF(ISNUMBER(CJ253),IFERROR(MAX(0,AO89-CJ253),0),0)</f>
        <v>0</v>
      </c>
      <c r="CN253">
        <f>IF(ISNUMBER(CJ253),IFERROR(MAX(0,CJ253-AO89),0),0)</f>
        <v>0</v>
      </c>
      <c r="CP253" t="e">
        <f>BT89</f>
        <v>#N/A</v>
      </c>
      <c r="CQ253" t="e">
        <f>BU89</f>
        <v>#N/A</v>
      </c>
      <c r="CR253">
        <f>IF(ISNUMBER(CP253),IFERROR(MAX(0,BV89-CP253),0),0)</f>
        <v>0</v>
      </c>
      <c r="CS253">
        <f>IF(ISNUMBER(CP253),IFERROR(MAX(0,CP253-BV89),0),0)</f>
        <v>0</v>
      </c>
      <c r="CT253">
        <f>IF(ISNUMBER(CQ253),IFERROR(MAX(0,BW89-CQ253),0),0)</f>
        <v>0</v>
      </c>
      <c r="CU253">
        <f>IF(ISNUMBER(CQ253),IFERROR(MAX(0,CQ253-BW89),0),0)</f>
        <v>0</v>
      </c>
    </row>
    <row r="254" spans="21:99" x14ac:dyDescent="0.3">
      <c r="U254">
        <v>248</v>
      </c>
      <c r="V254">
        <f t="shared" si="220"/>
        <v>62</v>
      </c>
      <c r="W254">
        <f t="shared" si="221"/>
        <v>4</v>
      </c>
      <c r="X254">
        <f t="shared" si="222"/>
        <v>0</v>
      </c>
      <c r="Y254">
        <f>IF(X254&lt;&gt;1,9999,CHOOSE(W254,INDEX(Gantt!$BQ$7:$BQ$119,V254),INDEX(Gantt!$BR$7:$BR$119,V254),INDEX(Gantt!$BT$7:$BT$119,V254),INDEX(Gantt!$BU$7:$BU$119,V254)))</f>
        <v>9999</v>
      </c>
      <c r="Z254">
        <f t="shared" si="223"/>
        <v>0</v>
      </c>
      <c r="AA254" t="e">
        <f t="shared" si="224"/>
        <v>#N/A</v>
      </c>
      <c r="AB254" t="e">
        <f t="shared" si="225"/>
        <v>#N/A</v>
      </c>
      <c r="AC254" t="e">
        <f t="shared" si="226"/>
        <v>#N/A</v>
      </c>
      <c r="AD254" t="e">
        <f t="shared" si="227"/>
        <v>#N/A</v>
      </c>
      <c r="AE254" t="e">
        <f t="shared" si="228"/>
        <v>#N/A</v>
      </c>
      <c r="AF254" t="e">
        <f t="shared" si="229"/>
        <v>#N/A</v>
      </c>
      <c r="AG254" t="e">
        <f t="shared" si="230"/>
        <v>#N/A</v>
      </c>
      <c r="AH254" t="e">
        <f t="shared" si="231"/>
        <v>#N/A</v>
      </c>
      <c r="AI254" t="e">
        <f t="shared" si="232"/>
        <v>#N/A</v>
      </c>
      <c r="AJ254" t="e">
        <f t="shared" si="233"/>
        <v>#N/A</v>
      </c>
      <c r="AK254" t="e">
        <f t="shared" si="234"/>
        <v>#N/A</v>
      </c>
      <c r="AL254" t="e">
        <f t="shared" si="235"/>
        <v>#N/A</v>
      </c>
      <c r="AM254" t="e">
        <f t="shared" si="236"/>
        <v>#N/A</v>
      </c>
      <c r="AN254" t="e">
        <f t="shared" si="237"/>
        <v>#N/A</v>
      </c>
      <c r="AO254" t="e">
        <f t="shared" si="238"/>
        <v>#N/A</v>
      </c>
      <c r="AP254" t="e">
        <f t="shared" si="239"/>
        <v>#N/A</v>
      </c>
      <c r="AQ254" t="e">
        <f t="shared" si="240"/>
        <v>#N/A</v>
      </c>
      <c r="AR254" t="e">
        <f t="shared" si="241"/>
        <v>#N/A</v>
      </c>
      <c r="AS254" t="e">
        <f t="shared" si="242"/>
        <v>#N/A</v>
      </c>
      <c r="AT254" t="e">
        <f t="shared" si="243"/>
        <v>#N/A</v>
      </c>
      <c r="AU254" t="e">
        <f t="shared" si="244"/>
        <v>#N/A</v>
      </c>
      <c r="AV254" t="e">
        <f t="shared" si="245"/>
        <v>#N/A</v>
      </c>
      <c r="AW254" t="e">
        <f t="shared" si="246"/>
        <v>#N/A</v>
      </c>
      <c r="AX254" t="e">
        <f t="shared" si="247"/>
        <v>#N/A</v>
      </c>
      <c r="AY254" t="e">
        <f t="shared" si="248"/>
        <v>#N/A</v>
      </c>
      <c r="BE254" t="e">
        <f>IF(Z254=1,IF(INDEX($C$7:$C$126,V254)&gt;=Gantt!$BF$6,NA(),MATCH(INDEX($C$7:$C$126,V254),Gantt!$J$6:$BE$6,1)),NA())</f>
        <v>#N/A</v>
      </c>
      <c r="BF254" t="e">
        <f>IF(Z254=1,IF((INDEX($D$7:$D$126,AA254)-1)&gt;=Gantt!$BF$6,NA(),IF((INDEX($D$7:$D$126,AA254)-1)&lt;Gantt!$J$6,0,MATCH((INDEX($D$7:$D$126,AA254)-1),Gantt!$J$6:$BE$6,1))),NA())</f>
        <v>#N/A</v>
      </c>
      <c r="BG254" t="e">
        <f t="shared" si="249"/>
        <v>#N/A</v>
      </c>
      <c r="BH254" t="e">
        <f t="shared" si="250"/>
        <v>#N/A</v>
      </c>
      <c r="BI254" t="e">
        <f t="shared" si="251"/>
        <v>#N/A</v>
      </c>
      <c r="BJ254" t="e">
        <f t="shared" si="252"/>
        <v>#N/A</v>
      </c>
      <c r="BK254" t="e">
        <f t="shared" si="253"/>
        <v>#N/A</v>
      </c>
      <c r="BL254" t="e">
        <f t="shared" si="254"/>
        <v>#N/A</v>
      </c>
      <c r="BM254" t="e">
        <f t="shared" si="255"/>
        <v>#N/A</v>
      </c>
      <c r="BN254" t="e">
        <f t="shared" si="256"/>
        <v>#N/A</v>
      </c>
      <c r="BO254" t="e">
        <f t="shared" si="257"/>
        <v>#N/A</v>
      </c>
      <c r="BP254" t="e">
        <f t="shared" si="258"/>
        <v>#N/A</v>
      </c>
      <c r="BQ254" t="e">
        <f t="shared" si="259"/>
        <v>#N/A</v>
      </c>
      <c r="BR254" t="e">
        <f t="shared" si="260"/>
        <v>#N/A</v>
      </c>
      <c r="BS254" t="e">
        <f t="shared" si="261"/>
        <v>#N/A</v>
      </c>
      <c r="BT254" t="e">
        <f t="shared" si="262"/>
        <v>#N/A</v>
      </c>
      <c r="BU254" t="e">
        <f t="shared" si="263"/>
        <v>#N/A</v>
      </c>
      <c r="BV254" t="e">
        <f t="shared" si="264"/>
        <v>#N/A</v>
      </c>
      <c r="BW254" t="e">
        <f t="shared" si="265"/>
        <v>#N/A</v>
      </c>
      <c r="BX254" t="e">
        <f t="shared" si="266"/>
        <v>#N/A</v>
      </c>
      <c r="BY254" t="e">
        <f t="shared" si="267"/>
        <v>#N/A</v>
      </c>
      <c r="BZ254" t="e">
        <f t="shared" si="268"/>
        <v>#N/A</v>
      </c>
      <c r="CA254" t="e">
        <f t="shared" si="269"/>
        <v>#N/A</v>
      </c>
      <c r="CB254" t="e">
        <f t="shared" si="270"/>
        <v>#N/A</v>
      </c>
      <c r="CC254" t="e">
        <f t="shared" si="271"/>
        <v>#N/A</v>
      </c>
      <c r="CD254" t="e">
        <f t="shared" si="272"/>
        <v>#N/A</v>
      </c>
      <c r="CE254" t="e">
        <f t="shared" si="273"/>
        <v>#N/A</v>
      </c>
      <c r="CF254" t="e">
        <f t="shared" si="274"/>
        <v>#N/A</v>
      </c>
      <c r="CG254" t="e">
        <f t="shared" si="275"/>
        <v>#N/A</v>
      </c>
      <c r="CI254" t="e">
        <f>AP89</f>
        <v>#N/A</v>
      </c>
      <c r="CJ254" t="e">
        <f>AQ89</f>
        <v>#N/A</v>
      </c>
      <c r="CK254">
        <f>IF(ISNUMBER(CI254),IFERROR(MAX(0,AR89-CI254),0),0)</f>
        <v>0</v>
      </c>
      <c r="CL254">
        <f>IF(ISNUMBER(CI254),IFERROR(MAX(0,CI254-AR89),0),0)</f>
        <v>0</v>
      </c>
      <c r="CM254">
        <f>IF(ISNUMBER(CJ254),IFERROR(MAX(0,AS89-CJ254),0),0)</f>
        <v>0</v>
      </c>
      <c r="CN254">
        <f>IF(ISNUMBER(CJ254),IFERROR(MAX(0,CJ254-AS89),0),0)</f>
        <v>0</v>
      </c>
      <c r="CP254" t="e">
        <f>BX89</f>
        <v>#N/A</v>
      </c>
      <c r="CQ254" t="e">
        <f>BY89</f>
        <v>#N/A</v>
      </c>
      <c r="CR254">
        <f>IF(ISNUMBER(CP254),IFERROR(MAX(0,BZ89-CP254),0),0)</f>
        <v>0</v>
      </c>
      <c r="CS254">
        <f>IF(ISNUMBER(CP254),IFERROR(MAX(0,CP254-BZ89),0),0)</f>
        <v>0</v>
      </c>
      <c r="CT254">
        <f>IF(ISNUMBER(CQ254),IFERROR(MAX(0,CA89-CQ254),0),0)</f>
        <v>0</v>
      </c>
      <c r="CU254">
        <f>IF(ISNUMBER(CQ254),IFERROR(MAX(0,CQ254-CA89),0),0)</f>
        <v>0</v>
      </c>
    </row>
    <row r="255" spans="21:99" x14ac:dyDescent="0.3">
      <c r="U255">
        <v>249</v>
      </c>
      <c r="V255">
        <f t="shared" si="220"/>
        <v>63</v>
      </c>
      <c r="W255">
        <f t="shared" si="221"/>
        <v>1</v>
      </c>
      <c r="X255">
        <f t="shared" si="222"/>
        <v>0</v>
      </c>
      <c r="Y255">
        <f>IF(X255&lt;&gt;1,9999,CHOOSE(W255,INDEX(Gantt!$BQ$7:$BQ$119,V255),INDEX(Gantt!$BR$7:$BR$119,V255),INDEX(Gantt!$BT$7:$BT$119,V255),INDEX(Gantt!$BU$7:$BU$119,V255)))</f>
        <v>9999</v>
      </c>
      <c r="Z255">
        <f t="shared" si="223"/>
        <v>0</v>
      </c>
      <c r="AA255" t="e">
        <f t="shared" si="224"/>
        <v>#N/A</v>
      </c>
      <c r="AB255" t="e">
        <f t="shared" si="225"/>
        <v>#N/A</v>
      </c>
      <c r="AC255" t="e">
        <f t="shared" si="226"/>
        <v>#N/A</v>
      </c>
      <c r="AD255" t="e">
        <f t="shared" si="227"/>
        <v>#N/A</v>
      </c>
      <c r="AE255" t="e">
        <f t="shared" si="228"/>
        <v>#N/A</v>
      </c>
      <c r="AF255" t="e">
        <f t="shared" si="229"/>
        <v>#N/A</v>
      </c>
      <c r="AG255" t="e">
        <f t="shared" si="230"/>
        <v>#N/A</v>
      </c>
      <c r="AH255" t="e">
        <f t="shared" si="231"/>
        <v>#N/A</v>
      </c>
      <c r="AI255" t="e">
        <f t="shared" si="232"/>
        <v>#N/A</v>
      </c>
      <c r="AJ255" t="e">
        <f t="shared" si="233"/>
        <v>#N/A</v>
      </c>
      <c r="AK255" t="e">
        <f t="shared" si="234"/>
        <v>#N/A</v>
      </c>
      <c r="AL255" t="e">
        <f t="shared" si="235"/>
        <v>#N/A</v>
      </c>
      <c r="AM255" t="e">
        <f t="shared" si="236"/>
        <v>#N/A</v>
      </c>
      <c r="AN255" t="e">
        <f t="shared" si="237"/>
        <v>#N/A</v>
      </c>
      <c r="AO255" t="e">
        <f t="shared" si="238"/>
        <v>#N/A</v>
      </c>
      <c r="AP255" t="e">
        <f t="shared" si="239"/>
        <v>#N/A</v>
      </c>
      <c r="AQ255" t="e">
        <f t="shared" si="240"/>
        <v>#N/A</v>
      </c>
      <c r="AR255" t="e">
        <f t="shared" si="241"/>
        <v>#N/A</v>
      </c>
      <c r="AS255" t="e">
        <f t="shared" si="242"/>
        <v>#N/A</v>
      </c>
      <c r="AT255" t="e">
        <f t="shared" si="243"/>
        <v>#N/A</v>
      </c>
      <c r="AU255" t="e">
        <f t="shared" si="244"/>
        <v>#N/A</v>
      </c>
      <c r="AV255" t="e">
        <f t="shared" si="245"/>
        <v>#N/A</v>
      </c>
      <c r="AW255" t="e">
        <f t="shared" si="246"/>
        <v>#N/A</v>
      </c>
      <c r="AX255" t="e">
        <f t="shared" si="247"/>
        <v>#N/A</v>
      </c>
      <c r="AY255" t="e">
        <f t="shared" si="248"/>
        <v>#N/A</v>
      </c>
      <c r="BE255" t="e">
        <f>IF(Z255=1,IF(INDEX($C$7:$C$126,V255)&gt;=Gantt!$BF$6,NA(),MATCH(INDEX($C$7:$C$126,V255),Gantt!$J$6:$BE$6,1)),NA())</f>
        <v>#N/A</v>
      </c>
      <c r="BF255" t="e">
        <f>IF(Z255=1,IF((INDEX($D$7:$D$126,AA255)-1)&gt;=Gantt!$BF$6,NA(),IF((INDEX($D$7:$D$126,AA255)-1)&lt;Gantt!$J$6,0,MATCH((INDEX($D$7:$D$126,AA255)-1),Gantt!$J$6:$BE$6,1))),NA())</f>
        <v>#N/A</v>
      </c>
      <c r="BG255" t="e">
        <f t="shared" si="249"/>
        <v>#N/A</v>
      </c>
      <c r="BH255" t="e">
        <f t="shared" si="250"/>
        <v>#N/A</v>
      </c>
      <c r="BI255" t="e">
        <f t="shared" si="251"/>
        <v>#N/A</v>
      </c>
      <c r="BJ255" t="e">
        <f t="shared" si="252"/>
        <v>#N/A</v>
      </c>
      <c r="BK255" t="e">
        <f t="shared" si="253"/>
        <v>#N/A</v>
      </c>
      <c r="BL255" t="e">
        <f t="shared" si="254"/>
        <v>#N/A</v>
      </c>
      <c r="BM255" t="e">
        <f t="shared" si="255"/>
        <v>#N/A</v>
      </c>
      <c r="BN255" t="e">
        <f t="shared" si="256"/>
        <v>#N/A</v>
      </c>
      <c r="BO255" t="e">
        <f t="shared" si="257"/>
        <v>#N/A</v>
      </c>
      <c r="BP255" t="e">
        <f t="shared" si="258"/>
        <v>#N/A</v>
      </c>
      <c r="BQ255" t="e">
        <f t="shared" si="259"/>
        <v>#N/A</v>
      </c>
      <c r="BR255" t="e">
        <f t="shared" si="260"/>
        <v>#N/A</v>
      </c>
      <c r="BS255" t="e">
        <f t="shared" si="261"/>
        <v>#N/A</v>
      </c>
      <c r="BT255" t="e">
        <f t="shared" si="262"/>
        <v>#N/A</v>
      </c>
      <c r="BU255" t="e">
        <f t="shared" si="263"/>
        <v>#N/A</v>
      </c>
      <c r="BV255" t="e">
        <f t="shared" si="264"/>
        <v>#N/A</v>
      </c>
      <c r="BW255" t="e">
        <f t="shared" si="265"/>
        <v>#N/A</v>
      </c>
      <c r="BX255" t="e">
        <f t="shared" si="266"/>
        <v>#N/A</v>
      </c>
      <c r="BY255" t="e">
        <f t="shared" si="267"/>
        <v>#N/A</v>
      </c>
      <c r="BZ255" t="e">
        <f t="shared" si="268"/>
        <v>#N/A</v>
      </c>
      <c r="CA255" t="e">
        <f t="shared" si="269"/>
        <v>#N/A</v>
      </c>
      <c r="CB255" t="e">
        <f t="shared" si="270"/>
        <v>#N/A</v>
      </c>
      <c r="CC255" t="e">
        <f t="shared" si="271"/>
        <v>#N/A</v>
      </c>
      <c r="CD255" t="e">
        <f t="shared" si="272"/>
        <v>#N/A</v>
      </c>
      <c r="CE255" t="e">
        <f t="shared" si="273"/>
        <v>#N/A</v>
      </c>
      <c r="CF255" t="e">
        <f t="shared" si="274"/>
        <v>#N/A</v>
      </c>
      <c r="CG255" t="e">
        <f t="shared" si="275"/>
        <v>#N/A</v>
      </c>
      <c r="CI255" t="e">
        <f>AT89</f>
        <v>#N/A</v>
      </c>
      <c r="CJ255" t="e">
        <f>AU89</f>
        <v>#N/A</v>
      </c>
      <c r="CK255">
        <f>IF(ISNUMBER(CI255),IFERROR(MAX(0,AV89-CI255),0),0)</f>
        <v>0</v>
      </c>
      <c r="CL255">
        <f>IF(ISNUMBER(CI255),IFERROR(MAX(0,CI255-AV89),0),0)</f>
        <v>0</v>
      </c>
      <c r="CM255">
        <f>IF(ISNUMBER(CJ255),IFERROR(MAX(0,AW89-CJ255),0),0)</f>
        <v>0</v>
      </c>
      <c r="CN255">
        <f>IF(ISNUMBER(CJ255),IFERROR(MAX(0,CJ255-AW89),0),0)</f>
        <v>0</v>
      </c>
      <c r="CP255" t="e">
        <f>CB89</f>
        <v>#N/A</v>
      </c>
      <c r="CQ255" t="e">
        <f>CC89</f>
        <v>#N/A</v>
      </c>
      <c r="CR255">
        <f>IF(ISNUMBER(CP255),IFERROR(MAX(0,CD89-CP255),0),0)</f>
        <v>0</v>
      </c>
      <c r="CS255">
        <f>IF(ISNUMBER(CP255),IFERROR(MAX(0,CP255-CD89),0),0)</f>
        <v>0</v>
      </c>
      <c r="CT255">
        <f>IF(ISNUMBER(CQ255),IFERROR(MAX(0,CE89-CQ255),0),0)</f>
        <v>0</v>
      </c>
      <c r="CU255">
        <f>IF(ISNUMBER(CQ255),IFERROR(MAX(0,CQ255-CE89),0),0)</f>
        <v>0</v>
      </c>
    </row>
    <row r="256" spans="21:99" x14ac:dyDescent="0.3">
      <c r="U256">
        <v>250</v>
      </c>
      <c r="V256">
        <f t="shared" si="220"/>
        <v>63</v>
      </c>
      <c r="W256">
        <f t="shared" si="221"/>
        <v>2</v>
      </c>
      <c r="X256">
        <f t="shared" si="222"/>
        <v>0</v>
      </c>
      <c r="Y256">
        <f>IF(X256&lt;&gt;1,9999,CHOOSE(W256,INDEX(Gantt!$BQ$7:$BQ$119,V256),INDEX(Gantt!$BR$7:$BR$119,V256),INDEX(Gantt!$BT$7:$BT$119,V256),INDEX(Gantt!$BU$7:$BU$119,V256)))</f>
        <v>9999</v>
      </c>
      <c r="Z256">
        <f t="shared" si="223"/>
        <v>0</v>
      </c>
      <c r="AA256" t="e">
        <f t="shared" si="224"/>
        <v>#N/A</v>
      </c>
      <c r="AB256" t="e">
        <f t="shared" si="225"/>
        <v>#N/A</v>
      </c>
      <c r="AC256" t="e">
        <f t="shared" si="226"/>
        <v>#N/A</v>
      </c>
      <c r="AD256" t="e">
        <f t="shared" si="227"/>
        <v>#N/A</v>
      </c>
      <c r="AE256" t="e">
        <f t="shared" si="228"/>
        <v>#N/A</v>
      </c>
      <c r="AF256" t="e">
        <f t="shared" si="229"/>
        <v>#N/A</v>
      </c>
      <c r="AG256" t="e">
        <f t="shared" si="230"/>
        <v>#N/A</v>
      </c>
      <c r="AH256" t="e">
        <f t="shared" si="231"/>
        <v>#N/A</v>
      </c>
      <c r="AI256" t="e">
        <f t="shared" si="232"/>
        <v>#N/A</v>
      </c>
      <c r="AJ256" t="e">
        <f t="shared" si="233"/>
        <v>#N/A</v>
      </c>
      <c r="AK256" t="e">
        <f t="shared" si="234"/>
        <v>#N/A</v>
      </c>
      <c r="AL256" t="e">
        <f t="shared" si="235"/>
        <v>#N/A</v>
      </c>
      <c r="AM256" t="e">
        <f t="shared" si="236"/>
        <v>#N/A</v>
      </c>
      <c r="AN256" t="e">
        <f t="shared" si="237"/>
        <v>#N/A</v>
      </c>
      <c r="AO256" t="e">
        <f t="shared" si="238"/>
        <v>#N/A</v>
      </c>
      <c r="AP256" t="e">
        <f t="shared" si="239"/>
        <v>#N/A</v>
      </c>
      <c r="AQ256" t="e">
        <f t="shared" si="240"/>
        <v>#N/A</v>
      </c>
      <c r="AR256" t="e">
        <f t="shared" si="241"/>
        <v>#N/A</v>
      </c>
      <c r="AS256" t="e">
        <f t="shared" si="242"/>
        <v>#N/A</v>
      </c>
      <c r="AT256" t="e">
        <f t="shared" si="243"/>
        <v>#N/A</v>
      </c>
      <c r="AU256" t="e">
        <f t="shared" si="244"/>
        <v>#N/A</v>
      </c>
      <c r="AV256" t="e">
        <f t="shared" si="245"/>
        <v>#N/A</v>
      </c>
      <c r="AW256" t="e">
        <f t="shared" si="246"/>
        <v>#N/A</v>
      </c>
      <c r="AX256" t="e">
        <f t="shared" si="247"/>
        <v>#N/A</v>
      </c>
      <c r="AY256" t="e">
        <f t="shared" si="248"/>
        <v>#N/A</v>
      </c>
      <c r="BE256" t="e">
        <f>IF(Z256=1,IF(INDEX($C$7:$C$126,V256)&gt;=Gantt!$BF$6,NA(),MATCH(INDEX($C$7:$C$126,V256),Gantt!$J$6:$BE$6,1)),NA())</f>
        <v>#N/A</v>
      </c>
      <c r="BF256" t="e">
        <f>IF(Z256=1,IF((INDEX($D$7:$D$126,AA256)-1)&gt;=Gantt!$BF$6,NA(),IF((INDEX($D$7:$D$126,AA256)-1)&lt;Gantt!$J$6,0,MATCH((INDEX($D$7:$D$126,AA256)-1),Gantt!$J$6:$BE$6,1))),NA())</f>
        <v>#N/A</v>
      </c>
      <c r="BG256" t="e">
        <f t="shared" si="249"/>
        <v>#N/A</v>
      </c>
      <c r="BH256" t="e">
        <f t="shared" si="250"/>
        <v>#N/A</v>
      </c>
      <c r="BI256" t="e">
        <f t="shared" si="251"/>
        <v>#N/A</v>
      </c>
      <c r="BJ256" t="e">
        <f t="shared" si="252"/>
        <v>#N/A</v>
      </c>
      <c r="BK256" t="e">
        <f t="shared" si="253"/>
        <v>#N/A</v>
      </c>
      <c r="BL256" t="e">
        <f t="shared" si="254"/>
        <v>#N/A</v>
      </c>
      <c r="BM256" t="e">
        <f t="shared" si="255"/>
        <v>#N/A</v>
      </c>
      <c r="BN256" t="e">
        <f t="shared" si="256"/>
        <v>#N/A</v>
      </c>
      <c r="BO256" t="e">
        <f t="shared" si="257"/>
        <v>#N/A</v>
      </c>
      <c r="BP256" t="e">
        <f t="shared" si="258"/>
        <v>#N/A</v>
      </c>
      <c r="BQ256" t="e">
        <f t="shared" si="259"/>
        <v>#N/A</v>
      </c>
      <c r="BR256" t="e">
        <f t="shared" si="260"/>
        <v>#N/A</v>
      </c>
      <c r="BS256" t="e">
        <f t="shared" si="261"/>
        <v>#N/A</v>
      </c>
      <c r="BT256" t="e">
        <f t="shared" si="262"/>
        <v>#N/A</v>
      </c>
      <c r="BU256" t="e">
        <f t="shared" si="263"/>
        <v>#N/A</v>
      </c>
      <c r="BV256" t="e">
        <f t="shared" si="264"/>
        <v>#N/A</v>
      </c>
      <c r="BW256" t="e">
        <f t="shared" si="265"/>
        <v>#N/A</v>
      </c>
      <c r="BX256" t="e">
        <f t="shared" si="266"/>
        <v>#N/A</v>
      </c>
      <c r="BY256" t="e">
        <f t="shared" si="267"/>
        <v>#N/A</v>
      </c>
      <c r="BZ256" t="e">
        <f t="shared" si="268"/>
        <v>#N/A</v>
      </c>
      <c r="CA256" t="e">
        <f t="shared" si="269"/>
        <v>#N/A</v>
      </c>
      <c r="CB256" t="e">
        <f t="shared" si="270"/>
        <v>#N/A</v>
      </c>
      <c r="CC256" t="e">
        <f t="shared" si="271"/>
        <v>#N/A</v>
      </c>
      <c r="CD256" t="e">
        <f t="shared" si="272"/>
        <v>#N/A</v>
      </c>
      <c r="CE256" t="e">
        <f t="shared" si="273"/>
        <v>#N/A</v>
      </c>
      <c r="CF256" t="e">
        <f t="shared" si="274"/>
        <v>#N/A</v>
      </c>
      <c r="CG256" t="e">
        <f t="shared" si="275"/>
        <v>#N/A</v>
      </c>
      <c r="CI256" t="e">
        <f>AL90</f>
        <v>#N/A</v>
      </c>
      <c r="CJ256" t="e">
        <f>AM90</f>
        <v>#N/A</v>
      </c>
      <c r="CK256">
        <f>IF(ISNUMBER(CI256),IFERROR(MAX(0,AN90-CI256),0),0)</f>
        <v>0</v>
      </c>
      <c r="CL256">
        <f>IF(ISNUMBER(CI256),IFERROR(MAX(0,CI256-AN90),0),0)</f>
        <v>0</v>
      </c>
      <c r="CM256">
        <f>IF(ISNUMBER(CJ256),IFERROR(MAX(0,AO90-CJ256),0),0)</f>
        <v>0</v>
      </c>
      <c r="CN256">
        <f>IF(ISNUMBER(CJ256),IFERROR(MAX(0,CJ256-AO90),0),0)</f>
        <v>0</v>
      </c>
      <c r="CP256" t="e">
        <f>BT90</f>
        <v>#N/A</v>
      </c>
      <c r="CQ256" t="e">
        <f>BU90</f>
        <v>#N/A</v>
      </c>
      <c r="CR256">
        <f>IF(ISNUMBER(CP256),IFERROR(MAX(0,BV90-CP256),0),0)</f>
        <v>0</v>
      </c>
      <c r="CS256">
        <f>IF(ISNUMBER(CP256),IFERROR(MAX(0,CP256-BV90),0),0)</f>
        <v>0</v>
      </c>
      <c r="CT256">
        <f>IF(ISNUMBER(CQ256),IFERROR(MAX(0,BW90-CQ256),0),0)</f>
        <v>0</v>
      </c>
      <c r="CU256">
        <f>IF(ISNUMBER(CQ256),IFERROR(MAX(0,CQ256-BW90),0),0)</f>
        <v>0</v>
      </c>
    </row>
    <row r="257" spans="21:99" x14ac:dyDescent="0.3">
      <c r="U257">
        <v>251</v>
      </c>
      <c r="V257">
        <f t="shared" si="220"/>
        <v>63</v>
      </c>
      <c r="W257">
        <f t="shared" si="221"/>
        <v>3</v>
      </c>
      <c r="X257">
        <f t="shared" si="222"/>
        <v>0</v>
      </c>
      <c r="Y257">
        <f>IF(X257&lt;&gt;1,9999,CHOOSE(W257,INDEX(Gantt!$BQ$7:$BQ$119,V257),INDEX(Gantt!$BR$7:$BR$119,V257),INDEX(Gantt!$BT$7:$BT$119,V257),INDEX(Gantt!$BU$7:$BU$119,V257)))</f>
        <v>9999</v>
      </c>
      <c r="Z257">
        <f t="shared" si="223"/>
        <v>0</v>
      </c>
      <c r="AA257" t="e">
        <f t="shared" si="224"/>
        <v>#N/A</v>
      </c>
      <c r="AB257" t="e">
        <f t="shared" si="225"/>
        <v>#N/A</v>
      </c>
      <c r="AC257" t="e">
        <f t="shared" si="226"/>
        <v>#N/A</v>
      </c>
      <c r="AD257" t="e">
        <f t="shared" si="227"/>
        <v>#N/A</v>
      </c>
      <c r="AE257" t="e">
        <f t="shared" si="228"/>
        <v>#N/A</v>
      </c>
      <c r="AF257" t="e">
        <f t="shared" si="229"/>
        <v>#N/A</v>
      </c>
      <c r="AG257" t="e">
        <f t="shared" si="230"/>
        <v>#N/A</v>
      </c>
      <c r="AH257" t="e">
        <f t="shared" si="231"/>
        <v>#N/A</v>
      </c>
      <c r="AI257" t="e">
        <f t="shared" si="232"/>
        <v>#N/A</v>
      </c>
      <c r="AJ257" t="e">
        <f t="shared" si="233"/>
        <v>#N/A</v>
      </c>
      <c r="AK257" t="e">
        <f t="shared" si="234"/>
        <v>#N/A</v>
      </c>
      <c r="AL257" t="e">
        <f t="shared" si="235"/>
        <v>#N/A</v>
      </c>
      <c r="AM257" t="e">
        <f t="shared" si="236"/>
        <v>#N/A</v>
      </c>
      <c r="AN257" t="e">
        <f t="shared" si="237"/>
        <v>#N/A</v>
      </c>
      <c r="AO257" t="e">
        <f t="shared" si="238"/>
        <v>#N/A</v>
      </c>
      <c r="AP257" t="e">
        <f t="shared" si="239"/>
        <v>#N/A</v>
      </c>
      <c r="AQ257" t="e">
        <f t="shared" si="240"/>
        <v>#N/A</v>
      </c>
      <c r="AR257" t="e">
        <f t="shared" si="241"/>
        <v>#N/A</v>
      </c>
      <c r="AS257" t="e">
        <f t="shared" si="242"/>
        <v>#N/A</v>
      </c>
      <c r="AT257" t="e">
        <f t="shared" si="243"/>
        <v>#N/A</v>
      </c>
      <c r="AU257" t="e">
        <f t="shared" si="244"/>
        <v>#N/A</v>
      </c>
      <c r="AV257" t="e">
        <f t="shared" si="245"/>
        <v>#N/A</v>
      </c>
      <c r="AW257" t="e">
        <f t="shared" si="246"/>
        <v>#N/A</v>
      </c>
      <c r="AX257" t="e">
        <f t="shared" si="247"/>
        <v>#N/A</v>
      </c>
      <c r="AY257" t="e">
        <f t="shared" si="248"/>
        <v>#N/A</v>
      </c>
      <c r="BE257" t="e">
        <f>IF(Z257=1,IF(INDEX($C$7:$C$126,V257)&gt;=Gantt!$BF$6,NA(),MATCH(INDEX($C$7:$C$126,V257),Gantt!$J$6:$BE$6,1)),NA())</f>
        <v>#N/A</v>
      </c>
      <c r="BF257" t="e">
        <f>IF(Z257=1,IF((INDEX($D$7:$D$126,AA257)-1)&gt;=Gantt!$BF$6,NA(),IF((INDEX($D$7:$D$126,AA257)-1)&lt;Gantt!$J$6,0,MATCH((INDEX($D$7:$D$126,AA257)-1),Gantt!$J$6:$BE$6,1))),NA())</f>
        <v>#N/A</v>
      </c>
      <c r="BG257" t="e">
        <f t="shared" si="249"/>
        <v>#N/A</v>
      </c>
      <c r="BH257" t="e">
        <f t="shared" si="250"/>
        <v>#N/A</v>
      </c>
      <c r="BI257" t="e">
        <f t="shared" si="251"/>
        <v>#N/A</v>
      </c>
      <c r="BJ257" t="e">
        <f t="shared" si="252"/>
        <v>#N/A</v>
      </c>
      <c r="BK257" t="e">
        <f t="shared" si="253"/>
        <v>#N/A</v>
      </c>
      <c r="BL257" t="e">
        <f t="shared" si="254"/>
        <v>#N/A</v>
      </c>
      <c r="BM257" t="e">
        <f t="shared" si="255"/>
        <v>#N/A</v>
      </c>
      <c r="BN257" t="e">
        <f t="shared" si="256"/>
        <v>#N/A</v>
      </c>
      <c r="BO257" t="e">
        <f t="shared" si="257"/>
        <v>#N/A</v>
      </c>
      <c r="BP257" t="e">
        <f t="shared" si="258"/>
        <v>#N/A</v>
      </c>
      <c r="BQ257" t="e">
        <f t="shared" si="259"/>
        <v>#N/A</v>
      </c>
      <c r="BR257" t="e">
        <f t="shared" si="260"/>
        <v>#N/A</v>
      </c>
      <c r="BS257" t="e">
        <f t="shared" si="261"/>
        <v>#N/A</v>
      </c>
      <c r="BT257" t="e">
        <f t="shared" si="262"/>
        <v>#N/A</v>
      </c>
      <c r="BU257" t="e">
        <f t="shared" si="263"/>
        <v>#N/A</v>
      </c>
      <c r="BV257" t="e">
        <f t="shared" si="264"/>
        <v>#N/A</v>
      </c>
      <c r="BW257" t="e">
        <f t="shared" si="265"/>
        <v>#N/A</v>
      </c>
      <c r="BX257" t="e">
        <f t="shared" si="266"/>
        <v>#N/A</v>
      </c>
      <c r="BY257" t="e">
        <f t="shared" si="267"/>
        <v>#N/A</v>
      </c>
      <c r="BZ257" t="e">
        <f t="shared" si="268"/>
        <v>#N/A</v>
      </c>
      <c r="CA257" t="e">
        <f t="shared" si="269"/>
        <v>#N/A</v>
      </c>
      <c r="CB257" t="e">
        <f t="shared" si="270"/>
        <v>#N/A</v>
      </c>
      <c r="CC257" t="e">
        <f t="shared" si="271"/>
        <v>#N/A</v>
      </c>
      <c r="CD257" t="e">
        <f t="shared" si="272"/>
        <v>#N/A</v>
      </c>
      <c r="CE257" t="e">
        <f t="shared" si="273"/>
        <v>#N/A</v>
      </c>
      <c r="CF257" t="e">
        <f t="shared" si="274"/>
        <v>#N/A</v>
      </c>
      <c r="CG257" t="e">
        <f t="shared" si="275"/>
        <v>#N/A</v>
      </c>
      <c r="CI257" t="e">
        <f>AP90</f>
        <v>#N/A</v>
      </c>
      <c r="CJ257" t="e">
        <f>AQ90</f>
        <v>#N/A</v>
      </c>
      <c r="CK257">
        <f>IF(ISNUMBER(CI257),IFERROR(MAX(0,AR90-CI257),0),0)</f>
        <v>0</v>
      </c>
      <c r="CL257">
        <f>IF(ISNUMBER(CI257),IFERROR(MAX(0,CI257-AR90),0),0)</f>
        <v>0</v>
      </c>
      <c r="CM257">
        <f>IF(ISNUMBER(CJ257),IFERROR(MAX(0,AS90-CJ257),0),0)</f>
        <v>0</v>
      </c>
      <c r="CN257">
        <f>IF(ISNUMBER(CJ257),IFERROR(MAX(0,CJ257-AS90),0),0)</f>
        <v>0</v>
      </c>
      <c r="CP257" t="e">
        <f>BX90</f>
        <v>#N/A</v>
      </c>
      <c r="CQ257" t="e">
        <f>BY90</f>
        <v>#N/A</v>
      </c>
      <c r="CR257">
        <f>IF(ISNUMBER(CP257),IFERROR(MAX(0,BZ90-CP257),0),0)</f>
        <v>0</v>
      </c>
      <c r="CS257">
        <f>IF(ISNUMBER(CP257),IFERROR(MAX(0,CP257-BZ90),0),0)</f>
        <v>0</v>
      </c>
      <c r="CT257">
        <f>IF(ISNUMBER(CQ257),IFERROR(MAX(0,CA90-CQ257),0),0)</f>
        <v>0</v>
      </c>
      <c r="CU257">
        <f>IF(ISNUMBER(CQ257),IFERROR(MAX(0,CQ257-CA90),0),0)</f>
        <v>0</v>
      </c>
    </row>
    <row r="258" spans="21:99" x14ac:dyDescent="0.3">
      <c r="U258">
        <v>252</v>
      </c>
      <c r="V258">
        <f t="shared" si="220"/>
        <v>63</v>
      </c>
      <c r="W258">
        <f t="shared" si="221"/>
        <v>4</v>
      </c>
      <c r="X258">
        <f t="shared" si="222"/>
        <v>0</v>
      </c>
      <c r="Y258">
        <f>IF(X258&lt;&gt;1,9999,CHOOSE(W258,INDEX(Gantt!$BQ$7:$BQ$119,V258),INDEX(Gantt!$BR$7:$BR$119,V258),INDEX(Gantt!$BT$7:$BT$119,V258),INDEX(Gantt!$BU$7:$BU$119,V258)))</f>
        <v>9999</v>
      </c>
      <c r="Z258">
        <f t="shared" si="223"/>
        <v>0</v>
      </c>
      <c r="AA258" t="e">
        <f t="shared" si="224"/>
        <v>#N/A</v>
      </c>
      <c r="AB258" t="e">
        <f t="shared" si="225"/>
        <v>#N/A</v>
      </c>
      <c r="AC258" t="e">
        <f t="shared" si="226"/>
        <v>#N/A</v>
      </c>
      <c r="AD258" t="e">
        <f t="shared" si="227"/>
        <v>#N/A</v>
      </c>
      <c r="AE258" t="e">
        <f t="shared" si="228"/>
        <v>#N/A</v>
      </c>
      <c r="AF258" t="e">
        <f t="shared" si="229"/>
        <v>#N/A</v>
      </c>
      <c r="AG258" t="e">
        <f t="shared" si="230"/>
        <v>#N/A</v>
      </c>
      <c r="AH258" t="e">
        <f t="shared" si="231"/>
        <v>#N/A</v>
      </c>
      <c r="AI258" t="e">
        <f t="shared" si="232"/>
        <v>#N/A</v>
      </c>
      <c r="AJ258" t="e">
        <f t="shared" si="233"/>
        <v>#N/A</v>
      </c>
      <c r="AK258" t="e">
        <f t="shared" si="234"/>
        <v>#N/A</v>
      </c>
      <c r="AL258" t="e">
        <f t="shared" si="235"/>
        <v>#N/A</v>
      </c>
      <c r="AM258" t="e">
        <f t="shared" si="236"/>
        <v>#N/A</v>
      </c>
      <c r="AN258" t="e">
        <f t="shared" si="237"/>
        <v>#N/A</v>
      </c>
      <c r="AO258" t="e">
        <f t="shared" si="238"/>
        <v>#N/A</v>
      </c>
      <c r="AP258" t="e">
        <f t="shared" si="239"/>
        <v>#N/A</v>
      </c>
      <c r="AQ258" t="e">
        <f t="shared" si="240"/>
        <v>#N/A</v>
      </c>
      <c r="AR258" t="e">
        <f t="shared" si="241"/>
        <v>#N/A</v>
      </c>
      <c r="AS258" t="e">
        <f t="shared" si="242"/>
        <v>#N/A</v>
      </c>
      <c r="AT258" t="e">
        <f t="shared" si="243"/>
        <v>#N/A</v>
      </c>
      <c r="AU258" t="e">
        <f t="shared" si="244"/>
        <v>#N/A</v>
      </c>
      <c r="AV258" t="e">
        <f t="shared" si="245"/>
        <v>#N/A</v>
      </c>
      <c r="AW258" t="e">
        <f t="shared" si="246"/>
        <v>#N/A</v>
      </c>
      <c r="AX258" t="e">
        <f t="shared" si="247"/>
        <v>#N/A</v>
      </c>
      <c r="AY258" t="e">
        <f t="shared" si="248"/>
        <v>#N/A</v>
      </c>
      <c r="BE258" t="e">
        <f>IF(Z258=1,IF(INDEX($C$7:$C$126,V258)&gt;=Gantt!$BF$6,NA(),MATCH(INDEX($C$7:$C$126,V258),Gantt!$J$6:$BE$6,1)),NA())</f>
        <v>#N/A</v>
      </c>
      <c r="BF258" t="e">
        <f>IF(Z258=1,IF((INDEX($D$7:$D$126,AA258)-1)&gt;=Gantt!$BF$6,NA(),IF((INDEX($D$7:$D$126,AA258)-1)&lt;Gantt!$J$6,0,MATCH((INDEX($D$7:$D$126,AA258)-1),Gantt!$J$6:$BE$6,1))),NA())</f>
        <v>#N/A</v>
      </c>
      <c r="BG258" t="e">
        <f t="shared" si="249"/>
        <v>#N/A</v>
      </c>
      <c r="BH258" t="e">
        <f t="shared" si="250"/>
        <v>#N/A</v>
      </c>
      <c r="BI258" t="e">
        <f t="shared" si="251"/>
        <v>#N/A</v>
      </c>
      <c r="BJ258" t="e">
        <f t="shared" si="252"/>
        <v>#N/A</v>
      </c>
      <c r="BK258" t="e">
        <f t="shared" si="253"/>
        <v>#N/A</v>
      </c>
      <c r="BL258" t="e">
        <f t="shared" si="254"/>
        <v>#N/A</v>
      </c>
      <c r="BM258" t="e">
        <f t="shared" si="255"/>
        <v>#N/A</v>
      </c>
      <c r="BN258" t="e">
        <f t="shared" si="256"/>
        <v>#N/A</v>
      </c>
      <c r="BO258" t="e">
        <f t="shared" si="257"/>
        <v>#N/A</v>
      </c>
      <c r="BP258" t="e">
        <f t="shared" si="258"/>
        <v>#N/A</v>
      </c>
      <c r="BQ258" t="e">
        <f t="shared" si="259"/>
        <v>#N/A</v>
      </c>
      <c r="BR258" t="e">
        <f t="shared" si="260"/>
        <v>#N/A</v>
      </c>
      <c r="BS258" t="e">
        <f t="shared" si="261"/>
        <v>#N/A</v>
      </c>
      <c r="BT258" t="e">
        <f t="shared" si="262"/>
        <v>#N/A</v>
      </c>
      <c r="BU258" t="e">
        <f t="shared" si="263"/>
        <v>#N/A</v>
      </c>
      <c r="BV258" t="e">
        <f t="shared" si="264"/>
        <v>#N/A</v>
      </c>
      <c r="BW258" t="e">
        <f t="shared" si="265"/>
        <v>#N/A</v>
      </c>
      <c r="BX258" t="e">
        <f t="shared" si="266"/>
        <v>#N/A</v>
      </c>
      <c r="BY258" t="e">
        <f t="shared" si="267"/>
        <v>#N/A</v>
      </c>
      <c r="BZ258" t="e">
        <f t="shared" si="268"/>
        <v>#N/A</v>
      </c>
      <c r="CA258" t="e">
        <f t="shared" si="269"/>
        <v>#N/A</v>
      </c>
      <c r="CB258" t="e">
        <f t="shared" si="270"/>
        <v>#N/A</v>
      </c>
      <c r="CC258" t="e">
        <f t="shared" si="271"/>
        <v>#N/A</v>
      </c>
      <c r="CD258" t="e">
        <f t="shared" si="272"/>
        <v>#N/A</v>
      </c>
      <c r="CE258" t="e">
        <f t="shared" si="273"/>
        <v>#N/A</v>
      </c>
      <c r="CF258" t="e">
        <f t="shared" si="274"/>
        <v>#N/A</v>
      </c>
      <c r="CG258" t="e">
        <f t="shared" si="275"/>
        <v>#N/A</v>
      </c>
      <c r="CI258" t="e">
        <f>AT90</f>
        <v>#N/A</v>
      </c>
      <c r="CJ258" t="e">
        <f>AU90</f>
        <v>#N/A</v>
      </c>
      <c r="CK258">
        <f>IF(ISNUMBER(CI258),IFERROR(MAX(0,AV90-CI258),0),0)</f>
        <v>0</v>
      </c>
      <c r="CL258">
        <f>IF(ISNUMBER(CI258),IFERROR(MAX(0,CI258-AV90),0),0)</f>
        <v>0</v>
      </c>
      <c r="CM258">
        <f>IF(ISNUMBER(CJ258),IFERROR(MAX(0,AW90-CJ258),0),0)</f>
        <v>0</v>
      </c>
      <c r="CN258">
        <f>IF(ISNUMBER(CJ258),IFERROR(MAX(0,CJ258-AW90),0),0)</f>
        <v>0</v>
      </c>
      <c r="CP258" t="e">
        <f>CB90</f>
        <v>#N/A</v>
      </c>
      <c r="CQ258" t="e">
        <f>CC90</f>
        <v>#N/A</v>
      </c>
      <c r="CR258">
        <f>IF(ISNUMBER(CP258),IFERROR(MAX(0,CD90-CP258),0),0)</f>
        <v>0</v>
      </c>
      <c r="CS258">
        <f>IF(ISNUMBER(CP258),IFERROR(MAX(0,CP258-CD90),0),0)</f>
        <v>0</v>
      </c>
      <c r="CT258">
        <f>IF(ISNUMBER(CQ258),IFERROR(MAX(0,CE90-CQ258),0),0)</f>
        <v>0</v>
      </c>
      <c r="CU258">
        <f>IF(ISNUMBER(CQ258),IFERROR(MAX(0,CQ258-CE90),0),0)</f>
        <v>0</v>
      </c>
    </row>
    <row r="259" spans="21:99" x14ac:dyDescent="0.3">
      <c r="U259">
        <v>253</v>
      </c>
      <c r="V259">
        <f t="shared" si="220"/>
        <v>64</v>
      </c>
      <c r="W259">
        <f t="shared" si="221"/>
        <v>1</v>
      </c>
      <c r="X259">
        <f t="shared" si="222"/>
        <v>0</v>
      </c>
      <c r="Y259">
        <f>IF(X259&lt;&gt;1,9999,CHOOSE(W259,INDEX(Gantt!$BQ$7:$BQ$119,V259),INDEX(Gantt!$BR$7:$BR$119,V259),INDEX(Gantt!$BT$7:$BT$119,V259),INDEX(Gantt!$BU$7:$BU$119,V259)))</f>
        <v>9999</v>
      </c>
      <c r="Z259">
        <f t="shared" si="223"/>
        <v>0</v>
      </c>
      <c r="AA259" t="e">
        <f t="shared" si="224"/>
        <v>#N/A</v>
      </c>
      <c r="AB259" t="e">
        <f t="shared" si="225"/>
        <v>#N/A</v>
      </c>
      <c r="AC259" t="e">
        <f t="shared" si="226"/>
        <v>#N/A</v>
      </c>
      <c r="AD259" t="e">
        <f t="shared" si="227"/>
        <v>#N/A</v>
      </c>
      <c r="AE259" t="e">
        <f t="shared" si="228"/>
        <v>#N/A</v>
      </c>
      <c r="AF259" t="e">
        <f t="shared" si="229"/>
        <v>#N/A</v>
      </c>
      <c r="AG259" t="e">
        <f t="shared" si="230"/>
        <v>#N/A</v>
      </c>
      <c r="AH259" t="e">
        <f t="shared" si="231"/>
        <v>#N/A</v>
      </c>
      <c r="AI259" t="e">
        <f t="shared" si="232"/>
        <v>#N/A</v>
      </c>
      <c r="AJ259" t="e">
        <f t="shared" si="233"/>
        <v>#N/A</v>
      </c>
      <c r="AK259" t="e">
        <f t="shared" si="234"/>
        <v>#N/A</v>
      </c>
      <c r="AL259" t="e">
        <f t="shared" si="235"/>
        <v>#N/A</v>
      </c>
      <c r="AM259" t="e">
        <f t="shared" si="236"/>
        <v>#N/A</v>
      </c>
      <c r="AN259" t="e">
        <f t="shared" si="237"/>
        <v>#N/A</v>
      </c>
      <c r="AO259" t="e">
        <f t="shared" si="238"/>
        <v>#N/A</v>
      </c>
      <c r="AP259" t="e">
        <f t="shared" si="239"/>
        <v>#N/A</v>
      </c>
      <c r="AQ259" t="e">
        <f t="shared" si="240"/>
        <v>#N/A</v>
      </c>
      <c r="AR259" t="e">
        <f t="shared" si="241"/>
        <v>#N/A</v>
      </c>
      <c r="AS259" t="e">
        <f t="shared" si="242"/>
        <v>#N/A</v>
      </c>
      <c r="AT259" t="e">
        <f t="shared" si="243"/>
        <v>#N/A</v>
      </c>
      <c r="AU259" t="e">
        <f t="shared" si="244"/>
        <v>#N/A</v>
      </c>
      <c r="AV259" t="e">
        <f t="shared" si="245"/>
        <v>#N/A</v>
      </c>
      <c r="AW259" t="e">
        <f t="shared" si="246"/>
        <v>#N/A</v>
      </c>
      <c r="AX259" t="e">
        <f t="shared" si="247"/>
        <v>#N/A</v>
      </c>
      <c r="AY259" t="e">
        <f t="shared" si="248"/>
        <v>#N/A</v>
      </c>
      <c r="BE259" t="e">
        <f>IF(Z259=1,IF(INDEX($C$7:$C$126,V259)&gt;=Gantt!$BF$6,NA(),MATCH(INDEX($C$7:$C$126,V259),Gantt!$J$6:$BE$6,1)),NA())</f>
        <v>#N/A</v>
      </c>
      <c r="BF259" t="e">
        <f>IF(Z259=1,IF((INDEX($D$7:$D$126,AA259)-1)&gt;=Gantt!$BF$6,NA(),IF((INDEX($D$7:$D$126,AA259)-1)&lt;Gantt!$J$6,0,MATCH((INDEX($D$7:$D$126,AA259)-1),Gantt!$J$6:$BE$6,1))),NA())</f>
        <v>#N/A</v>
      </c>
      <c r="BG259" t="e">
        <f t="shared" si="249"/>
        <v>#N/A</v>
      </c>
      <c r="BH259" t="e">
        <f t="shared" si="250"/>
        <v>#N/A</v>
      </c>
      <c r="BI259" t="e">
        <f t="shared" si="251"/>
        <v>#N/A</v>
      </c>
      <c r="BJ259" t="e">
        <f t="shared" si="252"/>
        <v>#N/A</v>
      </c>
      <c r="BK259" t="e">
        <f t="shared" si="253"/>
        <v>#N/A</v>
      </c>
      <c r="BL259" t="e">
        <f t="shared" si="254"/>
        <v>#N/A</v>
      </c>
      <c r="BM259" t="e">
        <f t="shared" si="255"/>
        <v>#N/A</v>
      </c>
      <c r="BN259" t="e">
        <f t="shared" si="256"/>
        <v>#N/A</v>
      </c>
      <c r="BO259" t="e">
        <f t="shared" si="257"/>
        <v>#N/A</v>
      </c>
      <c r="BP259" t="e">
        <f t="shared" si="258"/>
        <v>#N/A</v>
      </c>
      <c r="BQ259" t="e">
        <f t="shared" si="259"/>
        <v>#N/A</v>
      </c>
      <c r="BR259" t="e">
        <f t="shared" si="260"/>
        <v>#N/A</v>
      </c>
      <c r="BS259" t="e">
        <f t="shared" si="261"/>
        <v>#N/A</v>
      </c>
      <c r="BT259" t="e">
        <f t="shared" si="262"/>
        <v>#N/A</v>
      </c>
      <c r="BU259" t="e">
        <f t="shared" si="263"/>
        <v>#N/A</v>
      </c>
      <c r="BV259" t="e">
        <f t="shared" si="264"/>
        <v>#N/A</v>
      </c>
      <c r="BW259" t="e">
        <f t="shared" si="265"/>
        <v>#N/A</v>
      </c>
      <c r="BX259" t="e">
        <f t="shared" si="266"/>
        <v>#N/A</v>
      </c>
      <c r="BY259" t="e">
        <f t="shared" si="267"/>
        <v>#N/A</v>
      </c>
      <c r="BZ259" t="e">
        <f t="shared" si="268"/>
        <v>#N/A</v>
      </c>
      <c r="CA259" t="e">
        <f t="shared" si="269"/>
        <v>#N/A</v>
      </c>
      <c r="CB259" t="e">
        <f t="shared" si="270"/>
        <v>#N/A</v>
      </c>
      <c r="CC259" t="e">
        <f t="shared" si="271"/>
        <v>#N/A</v>
      </c>
      <c r="CD259" t="e">
        <f t="shared" si="272"/>
        <v>#N/A</v>
      </c>
      <c r="CE259" t="e">
        <f t="shared" si="273"/>
        <v>#N/A</v>
      </c>
      <c r="CF259" t="e">
        <f t="shared" si="274"/>
        <v>#N/A</v>
      </c>
      <c r="CG259" t="e">
        <f t="shared" si="275"/>
        <v>#N/A</v>
      </c>
      <c r="CI259" t="e">
        <f>AL91</f>
        <v>#N/A</v>
      </c>
      <c r="CJ259" t="e">
        <f>AM91</f>
        <v>#N/A</v>
      </c>
      <c r="CK259">
        <f>IF(ISNUMBER(CI259),IFERROR(MAX(0,AN91-CI259),0),0)</f>
        <v>0</v>
      </c>
      <c r="CL259">
        <f>IF(ISNUMBER(CI259),IFERROR(MAX(0,CI259-AN91),0),0)</f>
        <v>0</v>
      </c>
      <c r="CM259">
        <f>IF(ISNUMBER(CJ259),IFERROR(MAX(0,AO91-CJ259),0),0)</f>
        <v>0</v>
      </c>
      <c r="CN259">
        <f>IF(ISNUMBER(CJ259),IFERROR(MAX(0,CJ259-AO91),0),0)</f>
        <v>0</v>
      </c>
      <c r="CP259" t="e">
        <f>BT91</f>
        <v>#N/A</v>
      </c>
      <c r="CQ259" t="e">
        <f>BU91</f>
        <v>#N/A</v>
      </c>
      <c r="CR259">
        <f>IF(ISNUMBER(CP259),IFERROR(MAX(0,BV91-CP259),0),0)</f>
        <v>0</v>
      </c>
      <c r="CS259">
        <f>IF(ISNUMBER(CP259),IFERROR(MAX(0,CP259-BV91),0),0)</f>
        <v>0</v>
      </c>
      <c r="CT259">
        <f>IF(ISNUMBER(CQ259),IFERROR(MAX(0,BW91-CQ259),0),0)</f>
        <v>0</v>
      </c>
      <c r="CU259">
        <f>IF(ISNUMBER(CQ259),IFERROR(MAX(0,CQ259-BW91),0),0)</f>
        <v>0</v>
      </c>
    </row>
    <row r="260" spans="21:99" x14ac:dyDescent="0.3">
      <c r="U260">
        <v>254</v>
      </c>
      <c r="V260">
        <f t="shared" si="220"/>
        <v>64</v>
      </c>
      <c r="W260">
        <f t="shared" si="221"/>
        <v>2</v>
      </c>
      <c r="X260">
        <f t="shared" si="222"/>
        <v>0</v>
      </c>
      <c r="Y260">
        <f>IF(X260&lt;&gt;1,9999,CHOOSE(W260,INDEX(Gantt!$BQ$7:$BQ$119,V260),INDEX(Gantt!$BR$7:$BR$119,V260),INDEX(Gantt!$BT$7:$BT$119,V260),INDEX(Gantt!$BU$7:$BU$119,V260)))</f>
        <v>9999</v>
      </c>
      <c r="Z260">
        <f t="shared" si="223"/>
        <v>0</v>
      </c>
      <c r="AA260" t="e">
        <f t="shared" si="224"/>
        <v>#N/A</v>
      </c>
      <c r="AB260" t="e">
        <f t="shared" si="225"/>
        <v>#N/A</v>
      </c>
      <c r="AC260" t="e">
        <f t="shared" si="226"/>
        <v>#N/A</v>
      </c>
      <c r="AD260" t="e">
        <f t="shared" si="227"/>
        <v>#N/A</v>
      </c>
      <c r="AE260" t="e">
        <f t="shared" si="228"/>
        <v>#N/A</v>
      </c>
      <c r="AF260" t="e">
        <f t="shared" si="229"/>
        <v>#N/A</v>
      </c>
      <c r="AG260" t="e">
        <f t="shared" si="230"/>
        <v>#N/A</v>
      </c>
      <c r="AH260" t="e">
        <f t="shared" si="231"/>
        <v>#N/A</v>
      </c>
      <c r="AI260" t="e">
        <f t="shared" si="232"/>
        <v>#N/A</v>
      </c>
      <c r="AJ260" t="e">
        <f t="shared" si="233"/>
        <v>#N/A</v>
      </c>
      <c r="AK260" t="e">
        <f t="shared" si="234"/>
        <v>#N/A</v>
      </c>
      <c r="AL260" t="e">
        <f t="shared" si="235"/>
        <v>#N/A</v>
      </c>
      <c r="AM260" t="e">
        <f t="shared" si="236"/>
        <v>#N/A</v>
      </c>
      <c r="AN260" t="e">
        <f t="shared" si="237"/>
        <v>#N/A</v>
      </c>
      <c r="AO260" t="e">
        <f t="shared" si="238"/>
        <v>#N/A</v>
      </c>
      <c r="AP260" t="e">
        <f t="shared" si="239"/>
        <v>#N/A</v>
      </c>
      <c r="AQ260" t="e">
        <f t="shared" si="240"/>
        <v>#N/A</v>
      </c>
      <c r="AR260" t="e">
        <f t="shared" si="241"/>
        <v>#N/A</v>
      </c>
      <c r="AS260" t="e">
        <f t="shared" si="242"/>
        <v>#N/A</v>
      </c>
      <c r="AT260" t="e">
        <f t="shared" si="243"/>
        <v>#N/A</v>
      </c>
      <c r="AU260" t="e">
        <f t="shared" si="244"/>
        <v>#N/A</v>
      </c>
      <c r="AV260" t="e">
        <f t="shared" si="245"/>
        <v>#N/A</v>
      </c>
      <c r="AW260" t="e">
        <f t="shared" si="246"/>
        <v>#N/A</v>
      </c>
      <c r="AX260" t="e">
        <f t="shared" si="247"/>
        <v>#N/A</v>
      </c>
      <c r="AY260" t="e">
        <f t="shared" si="248"/>
        <v>#N/A</v>
      </c>
      <c r="BE260" t="e">
        <f>IF(Z260=1,IF(INDEX($C$7:$C$126,V260)&gt;=Gantt!$BF$6,NA(),MATCH(INDEX($C$7:$C$126,V260),Gantt!$J$6:$BE$6,1)),NA())</f>
        <v>#N/A</v>
      </c>
      <c r="BF260" t="e">
        <f>IF(Z260=1,IF((INDEX($D$7:$D$126,AA260)-1)&gt;=Gantt!$BF$6,NA(),IF((INDEX($D$7:$D$126,AA260)-1)&lt;Gantt!$J$6,0,MATCH((INDEX($D$7:$D$126,AA260)-1),Gantt!$J$6:$BE$6,1))),NA())</f>
        <v>#N/A</v>
      </c>
      <c r="BG260" t="e">
        <f t="shared" si="249"/>
        <v>#N/A</v>
      </c>
      <c r="BH260" t="e">
        <f t="shared" si="250"/>
        <v>#N/A</v>
      </c>
      <c r="BI260" t="e">
        <f t="shared" si="251"/>
        <v>#N/A</v>
      </c>
      <c r="BJ260" t="e">
        <f t="shared" si="252"/>
        <v>#N/A</v>
      </c>
      <c r="BK260" t="e">
        <f t="shared" si="253"/>
        <v>#N/A</v>
      </c>
      <c r="BL260" t="e">
        <f t="shared" si="254"/>
        <v>#N/A</v>
      </c>
      <c r="BM260" t="e">
        <f t="shared" si="255"/>
        <v>#N/A</v>
      </c>
      <c r="BN260" t="e">
        <f t="shared" si="256"/>
        <v>#N/A</v>
      </c>
      <c r="BO260" t="e">
        <f t="shared" si="257"/>
        <v>#N/A</v>
      </c>
      <c r="BP260" t="e">
        <f t="shared" si="258"/>
        <v>#N/A</v>
      </c>
      <c r="BQ260" t="e">
        <f t="shared" si="259"/>
        <v>#N/A</v>
      </c>
      <c r="BR260" t="e">
        <f t="shared" si="260"/>
        <v>#N/A</v>
      </c>
      <c r="BS260" t="e">
        <f t="shared" si="261"/>
        <v>#N/A</v>
      </c>
      <c r="BT260" t="e">
        <f t="shared" si="262"/>
        <v>#N/A</v>
      </c>
      <c r="BU260" t="e">
        <f t="shared" si="263"/>
        <v>#N/A</v>
      </c>
      <c r="BV260" t="e">
        <f t="shared" si="264"/>
        <v>#N/A</v>
      </c>
      <c r="BW260" t="e">
        <f t="shared" si="265"/>
        <v>#N/A</v>
      </c>
      <c r="BX260" t="e">
        <f t="shared" si="266"/>
        <v>#N/A</v>
      </c>
      <c r="BY260" t="e">
        <f t="shared" si="267"/>
        <v>#N/A</v>
      </c>
      <c r="BZ260" t="e">
        <f t="shared" si="268"/>
        <v>#N/A</v>
      </c>
      <c r="CA260" t="e">
        <f t="shared" si="269"/>
        <v>#N/A</v>
      </c>
      <c r="CB260" t="e">
        <f t="shared" si="270"/>
        <v>#N/A</v>
      </c>
      <c r="CC260" t="e">
        <f t="shared" si="271"/>
        <v>#N/A</v>
      </c>
      <c r="CD260" t="e">
        <f t="shared" si="272"/>
        <v>#N/A</v>
      </c>
      <c r="CE260" t="e">
        <f t="shared" si="273"/>
        <v>#N/A</v>
      </c>
      <c r="CF260" t="e">
        <f t="shared" si="274"/>
        <v>#N/A</v>
      </c>
      <c r="CG260" t="e">
        <f t="shared" si="275"/>
        <v>#N/A</v>
      </c>
      <c r="CI260" t="e">
        <f>AP91</f>
        <v>#N/A</v>
      </c>
      <c r="CJ260" t="e">
        <f>AQ91</f>
        <v>#N/A</v>
      </c>
      <c r="CK260">
        <f>IF(ISNUMBER(CI260),IFERROR(MAX(0,AR91-CI260),0),0)</f>
        <v>0</v>
      </c>
      <c r="CL260">
        <f>IF(ISNUMBER(CI260),IFERROR(MAX(0,CI260-AR91),0),0)</f>
        <v>0</v>
      </c>
      <c r="CM260">
        <f>IF(ISNUMBER(CJ260),IFERROR(MAX(0,AS91-CJ260),0),0)</f>
        <v>0</v>
      </c>
      <c r="CN260">
        <f>IF(ISNUMBER(CJ260),IFERROR(MAX(0,CJ260-AS91),0),0)</f>
        <v>0</v>
      </c>
      <c r="CP260" t="e">
        <f>BX91</f>
        <v>#N/A</v>
      </c>
      <c r="CQ260" t="e">
        <f>BY91</f>
        <v>#N/A</v>
      </c>
      <c r="CR260">
        <f>IF(ISNUMBER(CP260),IFERROR(MAX(0,BZ91-CP260),0),0)</f>
        <v>0</v>
      </c>
      <c r="CS260">
        <f>IF(ISNUMBER(CP260),IFERROR(MAX(0,CP260-BZ91),0),0)</f>
        <v>0</v>
      </c>
      <c r="CT260">
        <f>IF(ISNUMBER(CQ260),IFERROR(MAX(0,CA91-CQ260),0),0)</f>
        <v>0</v>
      </c>
      <c r="CU260">
        <f>IF(ISNUMBER(CQ260),IFERROR(MAX(0,CQ260-CA91),0),0)</f>
        <v>0</v>
      </c>
    </row>
    <row r="261" spans="21:99" x14ac:dyDescent="0.3">
      <c r="U261">
        <v>255</v>
      </c>
      <c r="V261">
        <f t="shared" si="220"/>
        <v>64</v>
      </c>
      <c r="W261">
        <f t="shared" si="221"/>
        <v>3</v>
      </c>
      <c r="X261">
        <f t="shared" si="222"/>
        <v>0</v>
      </c>
      <c r="Y261">
        <f>IF(X261&lt;&gt;1,9999,CHOOSE(W261,INDEX(Gantt!$BQ$7:$BQ$119,V261),INDEX(Gantt!$BR$7:$BR$119,V261),INDEX(Gantt!$BT$7:$BT$119,V261),INDEX(Gantt!$BU$7:$BU$119,V261)))</f>
        <v>9999</v>
      </c>
      <c r="Z261">
        <f t="shared" si="223"/>
        <v>0</v>
      </c>
      <c r="AA261" t="e">
        <f t="shared" si="224"/>
        <v>#N/A</v>
      </c>
      <c r="AB261" t="e">
        <f t="shared" si="225"/>
        <v>#N/A</v>
      </c>
      <c r="AC261" t="e">
        <f t="shared" si="226"/>
        <v>#N/A</v>
      </c>
      <c r="AD261" t="e">
        <f t="shared" si="227"/>
        <v>#N/A</v>
      </c>
      <c r="AE261" t="e">
        <f t="shared" si="228"/>
        <v>#N/A</v>
      </c>
      <c r="AF261" t="e">
        <f t="shared" si="229"/>
        <v>#N/A</v>
      </c>
      <c r="AG261" t="e">
        <f t="shared" si="230"/>
        <v>#N/A</v>
      </c>
      <c r="AH261" t="e">
        <f t="shared" si="231"/>
        <v>#N/A</v>
      </c>
      <c r="AI261" t="e">
        <f t="shared" si="232"/>
        <v>#N/A</v>
      </c>
      <c r="AJ261" t="e">
        <f t="shared" si="233"/>
        <v>#N/A</v>
      </c>
      <c r="AK261" t="e">
        <f t="shared" si="234"/>
        <v>#N/A</v>
      </c>
      <c r="AL261" t="e">
        <f t="shared" si="235"/>
        <v>#N/A</v>
      </c>
      <c r="AM261" t="e">
        <f t="shared" si="236"/>
        <v>#N/A</v>
      </c>
      <c r="AN261" t="e">
        <f t="shared" si="237"/>
        <v>#N/A</v>
      </c>
      <c r="AO261" t="e">
        <f t="shared" si="238"/>
        <v>#N/A</v>
      </c>
      <c r="AP261" t="e">
        <f t="shared" si="239"/>
        <v>#N/A</v>
      </c>
      <c r="AQ261" t="e">
        <f t="shared" si="240"/>
        <v>#N/A</v>
      </c>
      <c r="AR261" t="e">
        <f t="shared" si="241"/>
        <v>#N/A</v>
      </c>
      <c r="AS261" t="e">
        <f t="shared" si="242"/>
        <v>#N/A</v>
      </c>
      <c r="AT261" t="e">
        <f t="shared" si="243"/>
        <v>#N/A</v>
      </c>
      <c r="AU261" t="e">
        <f t="shared" si="244"/>
        <v>#N/A</v>
      </c>
      <c r="AV261" t="e">
        <f t="shared" si="245"/>
        <v>#N/A</v>
      </c>
      <c r="AW261" t="e">
        <f t="shared" si="246"/>
        <v>#N/A</v>
      </c>
      <c r="AX261" t="e">
        <f t="shared" si="247"/>
        <v>#N/A</v>
      </c>
      <c r="AY261" t="e">
        <f t="shared" si="248"/>
        <v>#N/A</v>
      </c>
      <c r="BE261" t="e">
        <f>IF(Z261=1,IF(INDEX($C$7:$C$126,V261)&gt;=Gantt!$BF$6,NA(),MATCH(INDEX($C$7:$C$126,V261),Gantt!$J$6:$BE$6,1)),NA())</f>
        <v>#N/A</v>
      </c>
      <c r="BF261" t="e">
        <f>IF(Z261=1,IF((INDEX($D$7:$D$126,AA261)-1)&gt;=Gantt!$BF$6,NA(),IF((INDEX($D$7:$D$126,AA261)-1)&lt;Gantt!$J$6,0,MATCH((INDEX($D$7:$D$126,AA261)-1),Gantt!$J$6:$BE$6,1))),NA())</f>
        <v>#N/A</v>
      </c>
      <c r="BG261" t="e">
        <f t="shared" si="249"/>
        <v>#N/A</v>
      </c>
      <c r="BH261" t="e">
        <f t="shared" si="250"/>
        <v>#N/A</v>
      </c>
      <c r="BI261" t="e">
        <f t="shared" si="251"/>
        <v>#N/A</v>
      </c>
      <c r="BJ261" t="e">
        <f t="shared" si="252"/>
        <v>#N/A</v>
      </c>
      <c r="BK261" t="e">
        <f t="shared" si="253"/>
        <v>#N/A</v>
      </c>
      <c r="BL261" t="e">
        <f t="shared" si="254"/>
        <v>#N/A</v>
      </c>
      <c r="BM261" t="e">
        <f t="shared" si="255"/>
        <v>#N/A</v>
      </c>
      <c r="BN261" t="e">
        <f t="shared" si="256"/>
        <v>#N/A</v>
      </c>
      <c r="BO261" t="e">
        <f t="shared" si="257"/>
        <v>#N/A</v>
      </c>
      <c r="BP261" t="e">
        <f t="shared" si="258"/>
        <v>#N/A</v>
      </c>
      <c r="BQ261" t="e">
        <f t="shared" si="259"/>
        <v>#N/A</v>
      </c>
      <c r="BR261" t="e">
        <f t="shared" si="260"/>
        <v>#N/A</v>
      </c>
      <c r="BS261" t="e">
        <f t="shared" si="261"/>
        <v>#N/A</v>
      </c>
      <c r="BT261" t="e">
        <f t="shared" si="262"/>
        <v>#N/A</v>
      </c>
      <c r="BU261" t="e">
        <f t="shared" si="263"/>
        <v>#N/A</v>
      </c>
      <c r="BV261" t="e">
        <f t="shared" si="264"/>
        <v>#N/A</v>
      </c>
      <c r="BW261" t="e">
        <f t="shared" si="265"/>
        <v>#N/A</v>
      </c>
      <c r="BX261" t="e">
        <f t="shared" si="266"/>
        <v>#N/A</v>
      </c>
      <c r="BY261" t="e">
        <f t="shared" si="267"/>
        <v>#N/A</v>
      </c>
      <c r="BZ261" t="e">
        <f t="shared" si="268"/>
        <v>#N/A</v>
      </c>
      <c r="CA261" t="e">
        <f t="shared" si="269"/>
        <v>#N/A</v>
      </c>
      <c r="CB261" t="e">
        <f t="shared" si="270"/>
        <v>#N/A</v>
      </c>
      <c r="CC261" t="e">
        <f t="shared" si="271"/>
        <v>#N/A</v>
      </c>
      <c r="CD261" t="e">
        <f t="shared" si="272"/>
        <v>#N/A</v>
      </c>
      <c r="CE261" t="e">
        <f t="shared" si="273"/>
        <v>#N/A</v>
      </c>
      <c r="CF261" t="e">
        <f t="shared" si="274"/>
        <v>#N/A</v>
      </c>
      <c r="CG261" t="e">
        <f t="shared" si="275"/>
        <v>#N/A</v>
      </c>
      <c r="CI261" t="e">
        <f>AT91</f>
        <v>#N/A</v>
      </c>
      <c r="CJ261" t="e">
        <f>AU91</f>
        <v>#N/A</v>
      </c>
      <c r="CK261">
        <f>IF(ISNUMBER(CI261),IFERROR(MAX(0,AV91-CI261),0),0)</f>
        <v>0</v>
      </c>
      <c r="CL261">
        <f>IF(ISNUMBER(CI261),IFERROR(MAX(0,CI261-AV91),0),0)</f>
        <v>0</v>
      </c>
      <c r="CM261">
        <f>IF(ISNUMBER(CJ261),IFERROR(MAX(0,AW91-CJ261),0),0)</f>
        <v>0</v>
      </c>
      <c r="CN261">
        <f>IF(ISNUMBER(CJ261),IFERROR(MAX(0,CJ261-AW91),0),0)</f>
        <v>0</v>
      </c>
      <c r="CP261" t="e">
        <f>CB91</f>
        <v>#N/A</v>
      </c>
      <c r="CQ261" t="e">
        <f>CC91</f>
        <v>#N/A</v>
      </c>
      <c r="CR261">
        <f>IF(ISNUMBER(CP261),IFERROR(MAX(0,CD91-CP261),0),0)</f>
        <v>0</v>
      </c>
      <c r="CS261">
        <f>IF(ISNUMBER(CP261),IFERROR(MAX(0,CP261-CD91),0),0)</f>
        <v>0</v>
      </c>
      <c r="CT261">
        <f>IF(ISNUMBER(CQ261),IFERROR(MAX(0,CE91-CQ261),0),0)</f>
        <v>0</v>
      </c>
      <c r="CU261">
        <f>IF(ISNUMBER(CQ261),IFERROR(MAX(0,CQ261-CE91),0),0)</f>
        <v>0</v>
      </c>
    </row>
    <row r="262" spans="21:99" x14ac:dyDescent="0.3">
      <c r="U262">
        <v>256</v>
      </c>
      <c r="V262">
        <f t="shared" si="220"/>
        <v>64</v>
      </c>
      <c r="W262">
        <f t="shared" si="221"/>
        <v>4</v>
      </c>
      <c r="X262">
        <f t="shared" si="222"/>
        <v>0</v>
      </c>
      <c r="Y262">
        <f>IF(X262&lt;&gt;1,9999,CHOOSE(W262,INDEX(Gantt!$BQ$7:$BQ$119,V262),INDEX(Gantt!$BR$7:$BR$119,V262),INDEX(Gantt!$BT$7:$BT$119,V262),INDEX(Gantt!$BU$7:$BU$119,V262)))</f>
        <v>9999</v>
      </c>
      <c r="Z262">
        <f t="shared" si="223"/>
        <v>0</v>
      </c>
      <c r="AA262" t="e">
        <f t="shared" si="224"/>
        <v>#N/A</v>
      </c>
      <c r="AB262" t="e">
        <f t="shared" si="225"/>
        <v>#N/A</v>
      </c>
      <c r="AC262" t="e">
        <f t="shared" si="226"/>
        <v>#N/A</v>
      </c>
      <c r="AD262" t="e">
        <f t="shared" si="227"/>
        <v>#N/A</v>
      </c>
      <c r="AE262" t="e">
        <f t="shared" si="228"/>
        <v>#N/A</v>
      </c>
      <c r="AF262" t="e">
        <f t="shared" si="229"/>
        <v>#N/A</v>
      </c>
      <c r="AG262" t="e">
        <f t="shared" si="230"/>
        <v>#N/A</v>
      </c>
      <c r="AH262" t="e">
        <f t="shared" si="231"/>
        <v>#N/A</v>
      </c>
      <c r="AI262" t="e">
        <f t="shared" si="232"/>
        <v>#N/A</v>
      </c>
      <c r="AJ262" t="e">
        <f t="shared" si="233"/>
        <v>#N/A</v>
      </c>
      <c r="AK262" t="e">
        <f t="shared" si="234"/>
        <v>#N/A</v>
      </c>
      <c r="AL262" t="e">
        <f t="shared" si="235"/>
        <v>#N/A</v>
      </c>
      <c r="AM262" t="e">
        <f t="shared" si="236"/>
        <v>#N/A</v>
      </c>
      <c r="AN262" t="e">
        <f t="shared" si="237"/>
        <v>#N/A</v>
      </c>
      <c r="AO262" t="e">
        <f t="shared" si="238"/>
        <v>#N/A</v>
      </c>
      <c r="AP262" t="e">
        <f t="shared" si="239"/>
        <v>#N/A</v>
      </c>
      <c r="AQ262" t="e">
        <f t="shared" si="240"/>
        <v>#N/A</v>
      </c>
      <c r="AR262" t="e">
        <f t="shared" si="241"/>
        <v>#N/A</v>
      </c>
      <c r="AS262" t="e">
        <f t="shared" si="242"/>
        <v>#N/A</v>
      </c>
      <c r="AT262" t="e">
        <f t="shared" si="243"/>
        <v>#N/A</v>
      </c>
      <c r="AU262" t="e">
        <f t="shared" si="244"/>
        <v>#N/A</v>
      </c>
      <c r="AV262" t="e">
        <f t="shared" si="245"/>
        <v>#N/A</v>
      </c>
      <c r="AW262" t="e">
        <f t="shared" si="246"/>
        <v>#N/A</v>
      </c>
      <c r="AX262" t="e">
        <f t="shared" si="247"/>
        <v>#N/A</v>
      </c>
      <c r="AY262" t="e">
        <f t="shared" si="248"/>
        <v>#N/A</v>
      </c>
      <c r="BE262" t="e">
        <f>IF(Z262=1,IF(INDEX($C$7:$C$126,V262)&gt;=Gantt!$BF$6,NA(),MATCH(INDEX($C$7:$C$126,V262),Gantt!$J$6:$BE$6,1)),NA())</f>
        <v>#N/A</v>
      </c>
      <c r="BF262" t="e">
        <f>IF(Z262=1,IF((INDEX($D$7:$D$126,AA262)-1)&gt;=Gantt!$BF$6,NA(),IF((INDEX($D$7:$D$126,AA262)-1)&lt;Gantt!$J$6,0,MATCH((INDEX($D$7:$D$126,AA262)-1),Gantt!$J$6:$BE$6,1))),NA())</f>
        <v>#N/A</v>
      </c>
      <c r="BG262" t="e">
        <f t="shared" si="249"/>
        <v>#N/A</v>
      </c>
      <c r="BH262" t="e">
        <f t="shared" si="250"/>
        <v>#N/A</v>
      </c>
      <c r="BI262" t="e">
        <f t="shared" si="251"/>
        <v>#N/A</v>
      </c>
      <c r="BJ262" t="e">
        <f t="shared" si="252"/>
        <v>#N/A</v>
      </c>
      <c r="BK262" t="e">
        <f t="shared" si="253"/>
        <v>#N/A</v>
      </c>
      <c r="BL262" t="e">
        <f t="shared" si="254"/>
        <v>#N/A</v>
      </c>
      <c r="BM262" t="e">
        <f t="shared" si="255"/>
        <v>#N/A</v>
      </c>
      <c r="BN262" t="e">
        <f t="shared" si="256"/>
        <v>#N/A</v>
      </c>
      <c r="BO262" t="e">
        <f t="shared" si="257"/>
        <v>#N/A</v>
      </c>
      <c r="BP262" t="e">
        <f t="shared" si="258"/>
        <v>#N/A</v>
      </c>
      <c r="BQ262" t="e">
        <f t="shared" si="259"/>
        <v>#N/A</v>
      </c>
      <c r="BR262" t="e">
        <f t="shared" si="260"/>
        <v>#N/A</v>
      </c>
      <c r="BS262" t="e">
        <f t="shared" si="261"/>
        <v>#N/A</v>
      </c>
      <c r="BT262" t="e">
        <f t="shared" si="262"/>
        <v>#N/A</v>
      </c>
      <c r="BU262" t="e">
        <f t="shared" si="263"/>
        <v>#N/A</v>
      </c>
      <c r="BV262" t="e">
        <f t="shared" si="264"/>
        <v>#N/A</v>
      </c>
      <c r="BW262" t="e">
        <f t="shared" si="265"/>
        <v>#N/A</v>
      </c>
      <c r="BX262" t="e">
        <f t="shared" si="266"/>
        <v>#N/A</v>
      </c>
      <c r="BY262" t="e">
        <f t="shared" si="267"/>
        <v>#N/A</v>
      </c>
      <c r="BZ262" t="e">
        <f t="shared" si="268"/>
        <v>#N/A</v>
      </c>
      <c r="CA262" t="e">
        <f t="shared" si="269"/>
        <v>#N/A</v>
      </c>
      <c r="CB262" t="e">
        <f t="shared" si="270"/>
        <v>#N/A</v>
      </c>
      <c r="CC262" t="e">
        <f t="shared" si="271"/>
        <v>#N/A</v>
      </c>
      <c r="CD262" t="e">
        <f t="shared" si="272"/>
        <v>#N/A</v>
      </c>
      <c r="CE262" t="e">
        <f t="shared" si="273"/>
        <v>#N/A</v>
      </c>
      <c r="CF262" t="e">
        <f t="shared" si="274"/>
        <v>#N/A</v>
      </c>
      <c r="CG262" t="e">
        <f t="shared" si="275"/>
        <v>#N/A</v>
      </c>
      <c r="CI262" t="e">
        <f>AL92</f>
        <v>#N/A</v>
      </c>
      <c r="CJ262" t="e">
        <f>AM92</f>
        <v>#N/A</v>
      </c>
      <c r="CK262">
        <f>IF(ISNUMBER(CI262),IFERROR(MAX(0,AN92-CI262),0),0)</f>
        <v>0</v>
      </c>
      <c r="CL262">
        <f>IF(ISNUMBER(CI262),IFERROR(MAX(0,CI262-AN92),0),0)</f>
        <v>0</v>
      </c>
      <c r="CM262">
        <f>IF(ISNUMBER(CJ262),IFERROR(MAX(0,AO92-CJ262),0),0)</f>
        <v>0</v>
      </c>
      <c r="CN262">
        <f>IF(ISNUMBER(CJ262),IFERROR(MAX(0,CJ262-AO92),0),0)</f>
        <v>0</v>
      </c>
      <c r="CP262" t="e">
        <f>BT92</f>
        <v>#N/A</v>
      </c>
      <c r="CQ262" t="e">
        <f>BU92</f>
        <v>#N/A</v>
      </c>
      <c r="CR262">
        <f>IF(ISNUMBER(CP262),IFERROR(MAX(0,BV92-CP262),0),0)</f>
        <v>0</v>
      </c>
      <c r="CS262">
        <f>IF(ISNUMBER(CP262),IFERROR(MAX(0,CP262-BV92),0),0)</f>
        <v>0</v>
      </c>
      <c r="CT262">
        <f>IF(ISNUMBER(CQ262),IFERROR(MAX(0,BW92-CQ262),0),0)</f>
        <v>0</v>
      </c>
      <c r="CU262">
        <f>IF(ISNUMBER(CQ262),IFERROR(MAX(0,CQ262-BW92),0),0)</f>
        <v>0</v>
      </c>
    </row>
    <row r="263" spans="21:99" x14ac:dyDescent="0.3">
      <c r="U263">
        <v>257</v>
      </c>
      <c r="V263">
        <f t="shared" ref="V263:V326" si="276">INT((U263-1)/4)+1</f>
        <v>65</v>
      </c>
      <c r="W263">
        <f t="shared" ref="W263:W326" si="277">MOD(U263-1,4)+1</f>
        <v>1</v>
      </c>
      <c r="X263">
        <f t="shared" ref="X263:X326" si="278">INDEX($B$7:$B$126,V263)</f>
        <v>0</v>
      </c>
      <c r="Y263">
        <f>IF(X263&lt;&gt;1,9999,CHOOSE(W263,INDEX(Gantt!$BQ$7:$BQ$119,V263),INDEX(Gantt!$BR$7:$BR$119,V263),INDEX(Gantt!$BT$7:$BT$119,V263),INDEX(Gantt!$BU$7:$BU$119,V263)))</f>
        <v>9999</v>
      </c>
      <c r="Z263">
        <f t="shared" ref="Z263:Z326" si="279">IF(AND(Y263&gt;$B$3,Y263&lt;=$B$3+MIN($B$2,120),Y263&lt;&gt;$B$3+V263),1,0)</f>
        <v>0</v>
      </c>
      <c r="AA263" t="e">
        <f t="shared" ref="AA263:AA326" si="280">IF(Z263=1,Y263-$B$3,NA())</f>
        <v>#N/A</v>
      </c>
      <c r="AB263" t="e">
        <f t="shared" ref="AB263:AB326" si="281">IF(Z263=1,INDEX($H$7:$H$126,V263)-IF(INDEX($G$7:$G$126,V263)=1,1,0),NA())</f>
        <v>#N/A</v>
      </c>
      <c r="AC263" t="e">
        <f t="shared" ref="AC263:AC326" si="282">IF(Z263=1,IF(AD263=1,INDEX($H$7:$H$126,AA263)+2,INDEX($D$7:$D$126,AA263)-$B$1),NA())</f>
        <v>#N/A</v>
      </c>
      <c r="AD263" t="e">
        <f t="shared" ref="AD263:AD326" si="283">IF(Z263=1,INDEX($G$7:$G$126,AA263),NA())</f>
        <v>#N/A</v>
      </c>
      <c r="AE263" t="e">
        <f t="shared" ref="AE263:AE326" si="284">IF(Z263=1,IF(AA263&lt;V263,1,-1),NA())</f>
        <v>#N/A</v>
      </c>
      <c r="AF263" t="e">
        <f t="shared" ref="AF263:AF326" si="285">IF(Z263=1,IF(AB263&gt;=AC263,1,2),NA())</f>
        <v>#N/A</v>
      </c>
      <c r="AG263" t="e">
        <f t="shared" ref="AG263:AG326" si="286">IF(Z263=1,IF(AD263=1,INDEX($H$7:$H$126,AA263)+0.5,AC263-MIN(1.5,INDEX($I$7:$I$126,AA263)/2)),NA())</f>
        <v>#N/A</v>
      </c>
      <c r="AH263" t="e">
        <f t="shared" ref="AH263:AH326" si="287">IF(Z263=1,AA263+AE263*IF(AD263=1,0.3,0.22),NA())</f>
        <v>#N/A</v>
      </c>
      <c r="AI263" t="e">
        <f t="shared" ref="AI263:AI326" si="288">IF(Z263=1,AC263+2,NA())</f>
        <v>#N/A</v>
      </c>
      <c r="AJ263" t="e">
        <f t="shared" ref="AJ263:AJ326" si="289">IF(Z263=1,V263-0.5*AE263,NA())</f>
        <v>#N/A</v>
      </c>
      <c r="AK263" t="e">
        <f t="shared" ref="AK263:AK326" si="290">IF(Z263=1,AB263-3,NA())</f>
        <v>#N/A</v>
      </c>
      <c r="AL263" t="e">
        <f t="shared" ref="AL263:AL326" si="291">IF(Z263=1,CHOOSE(AF263+1,0,AG263,AC263),NA())</f>
        <v>#N/A</v>
      </c>
      <c r="AM263" t="e">
        <f t="shared" ref="AM263:AM326" si="292">IF(Z263=1,CHOOSE(AF263+1,V263,V263,AA263),NA())</f>
        <v>#N/A</v>
      </c>
      <c r="AN263" t="e">
        <f t="shared" ref="AN263:AN326" si="293">IF(Z263=1,CHOOSE(AF263+1,AB263-2.5,AB263-2.5,AI263),NA())</f>
        <v>#N/A</v>
      </c>
      <c r="AO263" t="e">
        <f t="shared" ref="AO263:AO326" si="294">IF(Z263=1,CHOOSE(AF263+1,V263,AH263,AA263),NA())</f>
        <v>#N/A</v>
      </c>
      <c r="AP263" t="e">
        <f t="shared" ref="AP263:AP326" si="295">IF(Z263=1,IF(AF263=2,AI263,NA()),NA())</f>
        <v>#N/A</v>
      </c>
      <c r="AQ263" t="e">
        <f t="shared" ref="AQ263:AQ326" si="296">IF(Z263=1,IF(AF263=2,AJ263,NA()),NA())</f>
        <v>#N/A</v>
      </c>
      <c r="AR263" t="e">
        <f t="shared" ref="AR263:AR326" si="297">IF(Z263=1,AK263,NA())</f>
        <v>#N/A</v>
      </c>
      <c r="AS263" t="e">
        <f t="shared" ref="AS263:AS326" si="298">IF(Z263=1,AA263,NA())</f>
        <v>#N/A</v>
      </c>
      <c r="AT263" t="e">
        <f t="shared" ref="AT263:AT326" si="299">IF(Z263=1,IF(AF263=2,AK263,NA()),NA())</f>
        <v>#N/A</v>
      </c>
      <c r="AU263" t="e">
        <f t="shared" ref="AU263:AU326" si="300">IF(Z263=1,IF(AF263=2,V263,NA()),NA())</f>
        <v>#N/A</v>
      </c>
      <c r="AV263" t="e">
        <f t="shared" ref="AV263:AV326" si="301">IF(Z263=1,AB263-2.5,NA())</f>
        <v>#N/A</v>
      </c>
      <c r="AW263" t="e">
        <f t="shared" ref="AW263:AW326" si="302">IF(Z263=1,AJ263,NA())</f>
        <v>#N/A</v>
      </c>
      <c r="AX263" t="e">
        <f t="shared" ref="AX263:AX326" si="303">IF(Z263=1,IF(ISNUMBER(AF263),AB263-3,NA()),NA())</f>
        <v>#N/A</v>
      </c>
      <c r="AY263" t="e">
        <f t="shared" ref="AY263:AY326" si="304">IF(Z263=1,IF(ISNUMBER(AF263),V263,NA()),NA())</f>
        <v>#N/A</v>
      </c>
      <c r="BE263" t="e">
        <f>IF(Z263=1,IF(INDEX($C$7:$C$126,V263)&gt;=Gantt!$BF$6,NA(),MATCH(INDEX($C$7:$C$126,V263),Gantt!$J$6:$BE$6,1)),NA())</f>
        <v>#N/A</v>
      </c>
      <c r="BF263" t="e">
        <f>IF(Z263=1,IF((INDEX($D$7:$D$126,AA263)-1)&gt;=Gantt!$BF$6,NA(),IF((INDEX($D$7:$D$126,AA263)-1)&lt;Gantt!$J$6,0,MATCH((INDEX($D$7:$D$126,AA263)-1),Gantt!$J$6:$BE$6,1))),NA())</f>
        <v>#N/A</v>
      </c>
      <c r="BG263" t="e">
        <f t="shared" ref="BG263:BG326" si="305">IF(Z263=1,INDEX($G$7:$G$126,AA263),NA())</f>
        <v>#N/A</v>
      </c>
      <c r="BH263" t="e">
        <f t="shared" ref="BH263:BH326" si="306">IF(Z263=1,INDEX($G$7:$G$126,V263),NA())</f>
        <v>#N/A</v>
      </c>
      <c r="BI263" t="e">
        <f t="shared" ref="BI263:BI326" si="307">IF(Z263=1,(V263-0.5)/$B$2,NA())</f>
        <v>#N/A</v>
      </c>
      <c r="BJ263" t="e">
        <f t="shared" ref="BJ263:BJ326" si="308">IF(Z263=1,(AA263-0.5)/$B$2,NA())</f>
        <v>#N/A</v>
      </c>
      <c r="BK263" t="e">
        <f t="shared" ref="BK263:BK326" si="309">IF(Z263=1,IF(AA263&lt;V263,1,-1),NA())</f>
        <v>#N/A</v>
      </c>
      <c r="BL263" t="e">
        <f t="shared" ref="BL263:BL326" si="310">IF(Z263=1,IF(BH263=1,(BE263-1)*7+1.5,(BE263-1)*7),NA())</f>
        <v>#N/A</v>
      </c>
      <c r="BM263" t="e">
        <f t="shared" ref="BM263:BM326" si="311">IF(Z263=1,IF(BF263=0,0,IF(BG263=1,(BF263-1)*7+5.5,BF263*7)),NA())</f>
        <v>#N/A</v>
      </c>
      <c r="BN263" t="e">
        <f t="shared" ref="BN263:BN326" si="312">IF(Z263=1,BL263*0+IF(BF263=0,0,IF(BL263&gt;=BM263,1,2)),NA())</f>
        <v>#N/A</v>
      </c>
      <c r="BO263" t="e">
        <f t="shared" ref="BO263:BO326" si="313">IF(Z263=1,IF(BG263=1,(BF263-1)*7+3.5,BM263-3.5),NA())</f>
        <v>#N/A</v>
      </c>
      <c r="BP263" t="e">
        <f t="shared" ref="BP263:BP326" si="314">IF(Z263=1,IF(BG263=1,BJ263+BK263*0.25/$B$2,IF(BK263=1,AA263/$B$2,(AA263-1)/$B$2)),NA())</f>
        <v>#N/A</v>
      </c>
      <c r="BQ263" t="e">
        <f t="shared" ref="BQ263:BQ326" si="315">IF(Z263=1,BM263+2,NA())</f>
        <v>#N/A</v>
      </c>
      <c r="BR263" t="e">
        <f t="shared" ref="BR263:BR326" si="316">IF(Z263=1,IF(BK263=1,(V263-1)/$B$2,V263/$B$2),NA())</f>
        <v>#N/A</v>
      </c>
      <c r="BS263" t="e">
        <f t="shared" ref="BS263:BS326" si="317">IF(Z263=1,BL263-3,NA())</f>
        <v>#N/A</v>
      </c>
      <c r="BT263" t="e">
        <f t="shared" ref="BT263:BT326" si="318">IF(Z263=1,CHOOSE(BN263+1,0,BO263,BM263),NA())</f>
        <v>#N/A</v>
      </c>
      <c r="BU263" t="e">
        <f t="shared" ref="BU263:BU326" si="319">IF(Z263=1,CHOOSE(BN263+1,BI263,BI263,BJ263),NA())</f>
        <v>#N/A</v>
      </c>
      <c r="BV263" t="e">
        <f t="shared" ref="BV263:BV326" si="320">IF(Z263=1,CHOOSE(BN263+1,BL263-2,BL263-2,BQ263),NA())</f>
        <v>#N/A</v>
      </c>
      <c r="BW263" t="e">
        <f t="shared" ref="BW263:BW326" si="321">IF(Z263=1,CHOOSE(BN263+1,BI263,BP263,BJ263),NA())</f>
        <v>#N/A</v>
      </c>
      <c r="BX263" t="e">
        <f t="shared" ref="BX263:BX326" si="322">IF(Z263=1,IF(BN263=2,BQ263,NA()),NA())</f>
        <v>#N/A</v>
      </c>
      <c r="BY263" t="e">
        <f t="shared" ref="BY263:BY326" si="323">IF(Z263=1,IF(BN263=2,BR263,NA()),NA())</f>
        <v>#N/A</v>
      </c>
      <c r="BZ263" t="e">
        <f t="shared" ref="BZ263:BZ326" si="324">IF(Z263=1,BS263,NA())</f>
        <v>#N/A</v>
      </c>
      <c r="CA263" t="e">
        <f t="shared" ref="CA263:CA326" si="325">IF(Z263=1,BJ263,NA())</f>
        <v>#N/A</v>
      </c>
      <c r="CB263" t="e">
        <f t="shared" ref="CB263:CB326" si="326">IF(Z263=1,IF(BN263=2,BS263,NA()),NA())</f>
        <v>#N/A</v>
      </c>
      <c r="CC263" t="e">
        <f t="shared" ref="CC263:CC326" si="327">IF(Z263=1,IF(BN263=2,BI263,NA()),NA())</f>
        <v>#N/A</v>
      </c>
      <c r="CD263" t="e">
        <f t="shared" ref="CD263:CD326" si="328">IF(Z263=1,BL263-2,NA())</f>
        <v>#N/A</v>
      </c>
      <c r="CE263" t="e">
        <f t="shared" ref="CE263:CE326" si="329">IF(Z263=1,BR263,NA())</f>
        <v>#N/A</v>
      </c>
      <c r="CF263" t="e">
        <f t="shared" ref="CF263:CF326" si="330">IF(Z263=1,IF(ISNUMBER(BN263),BL263-2.5,NA()),NA())</f>
        <v>#N/A</v>
      </c>
      <c r="CG263" t="e">
        <f t="shared" ref="CG263:CG326" si="331">IF(Z263=1,IF(ISNUMBER(BN263),BI263,NA()),NA())</f>
        <v>#N/A</v>
      </c>
      <c r="CI263" t="e">
        <f>AP92</f>
        <v>#N/A</v>
      </c>
      <c r="CJ263" t="e">
        <f>AQ92</f>
        <v>#N/A</v>
      </c>
      <c r="CK263">
        <f>IF(ISNUMBER(CI263),IFERROR(MAX(0,AR92-CI263),0),0)</f>
        <v>0</v>
      </c>
      <c r="CL263">
        <f>IF(ISNUMBER(CI263),IFERROR(MAX(0,CI263-AR92),0),0)</f>
        <v>0</v>
      </c>
      <c r="CM263">
        <f>IF(ISNUMBER(CJ263),IFERROR(MAX(0,AS92-CJ263),0),0)</f>
        <v>0</v>
      </c>
      <c r="CN263">
        <f>IF(ISNUMBER(CJ263),IFERROR(MAX(0,CJ263-AS92),0),0)</f>
        <v>0</v>
      </c>
      <c r="CP263" t="e">
        <f>BX92</f>
        <v>#N/A</v>
      </c>
      <c r="CQ263" t="e">
        <f>BY92</f>
        <v>#N/A</v>
      </c>
      <c r="CR263">
        <f>IF(ISNUMBER(CP263),IFERROR(MAX(0,BZ92-CP263),0),0)</f>
        <v>0</v>
      </c>
      <c r="CS263">
        <f>IF(ISNUMBER(CP263),IFERROR(MAX(0,CP263-BZ92),0),0)</f>
        <v>0</v>
      </c>
      <c r="CT263">
        <f>IF(ISNUMBER(CQ263),IFERROR(MAX(0,CA92-CQ263),0),0)</f>
        <v>0</v>
      </c>
      <c r="CU263">
        <f>IF(ISNUMBER(CQ263),IFERROR(MAX(0,CQ263-CA92),0),0)</f>
        <v>0</v>
      </c>
    </row>
    <row r="264" spans="21:99" x14ac:dyDescent="0.3">
      <c r="U264">
        <v>258</v>
      </c>
      <c r="V264">
        <f t="shared" si="276"/>
        <v>65</v>
      </c>
      <c r="W264">
        <f t="shared" si="277"/>
        <v>2</v>
      </c>
      <c r="X264">
        <f t="shared" si="278"/>
        <v>0</v>
      </c>
      <c r="Y264">
        <f>IF(X264&lt;&gt;1,9999,CHOOSE(W264,INDEX(Gantt!$BQ$7:$BQ$119,V264),INDEX(Gantt!$BR$7:$BR$119,V264),INDEX(Gantt!$BT$7:$BT$119,V264),INDEX(Gantt!$BU$7:$BU$119,V264)))</f>
        <v>9999</v>
      </c>
      <c r="Z264">
        <f t="shared" si="279"/>
        <v>0</v>
      </c>
      <c r="AA264" t="e">
        <f t="shared" si="280"/>
        <v>#N/A</v>
      </c>
      <c r="AB264" t="e">
        <f t="shared" si="281"/>
        <v>#N/A</v>
      </c>
      <c r="AC264" t="e">
        <f t="shared" si="282"/>
        <v>#N/A</v>
      </c>
      <c r="AD264" t="e">
        <f t="shared" si="283"/>
        <v>#N/A</v>
      </c>
      <c r="AE264" t="e">
        <f t="shared" si="284"/>
        <v>#N/A</v>
      </c>
      <c r="AF264" t="e">
        <f t="shared" si="285"/>
        <v>#N/A</v>
      </c>
      <c r="AG264" t="e">
        <f t="shared" si="286"/>
        <v>#N/A</v>
      </c>
      <c r="AH264" t="e">
        <f t="shared" si="287"/>
        <v>#N/A</v>
      </c>
      <c r="AI264" t="e">
        <f t="shared" si="288"/>
        <v>#N/A</v>
      </c>
      <c r="AJ264" t="e">
        <f t="shared" si="289"/>
        <v>#N/A</v>
      </c>
      <c r="AK264" t="e">
        <f t="shared" si="290"/>
        <v>#N/A</v>
      </c>
      <c r="AL264" t="e">
        <f t="shared" si="291"/>
        <v>#N/A</v>
      </c>
      <c r="AM264" t="e">
        <f t="shared" si="292"/>
        <v>#N/A</v>
      </c>
      <c r="AN264" t="e">
        <f t="shared" si="293"/>
        <v>#N/A</v>
      </c>
      <c r="AO264" t="e">
        <f t="shared" si="294"/>
        <v>#N/A</v>
      </c>
      <c r="AP264" t="e">
        <f t="shared" si="295"/>
        <v>#N/A</v>
      </c>
      <c r="AQ264" t="e">
        <f t="shared" si="296"/>
        <v>#N/A</v>
      </c>
      <c r="AR264" t="e">
        <f t="shared" si="297"/>
        <v>#N/A</v>
      </c>
      <c r="AS264" t="e">
        <f t="shared" si="298"/>
        <v>#N/A</v>
      </c>
      <c r="AT264" t="e">
        <f t="shared" si="299"/>
        <v>#N/A</v>
      </c>
      <c r="AU264" t="e">
        <f t="shared" si="300"/>
        <v>#N/A</v>
      </c>
      <c r="AV264" t="e">
        <f t="shared" si="301"/>
        <v>#N/A</v>
      </c>
      <c r="AW264" t="e">
        <f t="shared" si="302"/>
        <v>#N/A</v>
      </c>
      <c r="AX264" t="e">
        <f t="shared" si="303"/>
        <v>#N/A</v>
      </c>
      <c r="AY264" t="e">
        <f t="shared" si="304"/>
        <v>#N/A</v>
      </c>
      <c r="BE264" t="e">
        <f>IF(Z264=1,IF(INDEX($C$7:$C$126,V264)&gt;=Gantt!$BF$6,NA(),MATCH(INDEX($C$7:$C$126,V264),Gantt!$J$6:$BE$6,1)),NA())</f>
        <v>#N/A</v>
      </c>
      <c r="BF264" t="e">
        <f>IF(Z264=1,IF((INDEX($D$7:$D$126,AA264)-1)&gt;=Gantt!$BF$6,NA(),IF((INDEX($D$7:$D$126,AA264)-1)&lt;Gantt!$J$6,0,MATCH((INDEX($D$7:$D$126,AA264)-1),Gantt!$J$6:$BE$6,1))),NA())</f>
        <v>#N/A</v>
      </c>
      <c r="BG264" t="e">
        <f t="shared" si="305"/>
        <v>#N/A</v>
      </c>
      <c r="BH264" t="e">
        <f t="shared" si="306"/>
        <v>#N/A</v>
      </c>
      <c r="BI264" t="e">
        <f t="shared" si="307"/>
        <v>#N/A</v>
      </c>
      <c r="BJ264" t="e">
        <f t="shared" si="308"/>
        <v>#N/A</v>
      </c>
      <c r="BK264" t="e">
        <f t="shared" si="309"/>
        <v>#N/A</v>
      </c>
      <c r="BL264" t="e">
        <f t="shared" si="310"/>
        <v>#N/A</v>
      </c>
      <c r="BM264" t="e">
        <f t="shared" si="311"/>
        <v>#N/A</v>
      </c>
      <c r="BN264" t="e">
        <f t="shared" si="312"/>
        <v>#N/A</v>
      </c>
      <c r="BO264" t="e">
        <f t="shared" si="313"/>
        <v>#N/A</v>
      </c>
      <c r="BP264" t="e">
        <f t="shared" si="314"/>
        <v>#N/A</v>
      </c>
      <c r="BQ264" t="e">
        <f t="shared" si="315"/>
        <v>#N/A</v>
      </c>
      <c r="BR264" t="e">
        <f t="shared" si="316"/>
        <v>#N/A</v>
      </c>
      <c r="BS264" t="e">
        <f t="shared" si="317"/>
        <v>#N/A</v>
      </c>
      <c r="BT264" t="e">
        <f t="shared" si="318"/>
        <v>#N/A</v>
      </c>
      <c r="BU264" t="e">
        <f t="shared" si="319"/>
        <v>#N/A</v>
      </c>
      <c r="BV264" t="e">
        <f t="shared" si="320"/>
        <v>#N/A</v>
      </c>
      <c r="BW264" t="e">
        <f t="shared" si="321"/>
        <v>#N/A</v>
      </c>
      <c r="BX264" t="e">
        <f t="shared" si="322"/>
        <v>#N/A</v>
      </c>
      <c r="BY264" t="e">
        <f t="shared" si="323"/>
        <v>#N/A</v>
      </c>
      <c r="BZ264" t="e">
        <f t="shared" si="324"/>
        <v>#N/A</v>
      </c>
      <c r="CA264" t="e">
        <f t="shared" si="325"/>
        <v>#N/A</v>
      </c>
      <c r="CB264" t="e">
        <f t="shared" si="326"/>
        <v>#N/A</v>
      </c>
      <c r="CC264" t="e">
        <f t="shared" si="327"/>
        <v>#N/A</v>
      </c>
      <c r="CD264" t="e">
        <f t="shared" si="328"/>
        <v>#N/A</v>
      </c>
      <c r="CE264" t="e">
        <f t="shared" si="329"/>
        <v>#N/A</v>
      </c>
      <c r="CF264" t="e">
        <f t="shared" si="330"/>
        <v>#N/A</v>
      </c>
      <c r="CG264" t="e">
        <f t="shared" si="331"/>
        <v>#N/A</v>
      </c>
      <c r="CI264" t="e">
        <f>AT92</f>
        <v>#N/A</v>
      </c>
      <c r="CJ264" t="e">
        <f>AU92</f>
        <v>#N/A</v>
      </c>
      <c r="CK264">
        <f>IF(ISNUMBER(CI264),IFERROR(MAX(0,AV92-CI264),0),0)</f>
        <v>0</v>
      </c>
      <c r="CL264">
        <f>IF(ISNUMBER(CI264),IFERROR(MAX(0,CI264-AV92),0),0)</f>
        <v>0</v>
      </c>
      <c r="CM264">
        <f>IF(ISNUMBER(CJ264),IFERROR(MAX(0,AW92-CJ264),0),0)</f>
        <v>0</v>
      </c>
      <c r="CN264">
        <f>IF(ISNUMBER(CJ264),IFERROR(MAX(0,CJ264-AW92),0),0)</f>
        <v>0</v>
      </c>
      <c r="CP264" t="e">
        <f>CB92</f>
        <v>#N/A</v>
      </c>
      <c r="CQ264" t="e">
        <f>CC92</f>
        <v>#N/A</v>
      </c>
      <c r="CR264">
        <f>IF(ISNUMBER(CP264),IFERROR(MAX(0,CD92-CP264),0),0)</f>
        <v>0</v>
      </c>
      <c r="CS264">
        <f>IF(ISNUMBER(CP264),IFERROR(MAX(0,CP264-CD92),0),0)</f>
        <v>0</v>
      </c>
      <c r="CT264">
        <f>IF(ISNUMBER(CQ264),IFERROR(MAX(0,CE92-CQ264),0),0)</f>
        <v>0</v>
      </c>
      <c r="CU264">
        <f>IF(ISNUMBER(CQ264),IFERROR(MAX(0,CQ264-CE92),0),0)</f>
        <v>0</v>
      </c>
    </row>
    <row r="265" spans="21:99" x14ac:dyDescent="0.3">
      <c r="U265">
        <v>259</v>
      </c>
      <c r="V265">
        <f t="shared" si="276"/>
        <v>65</v>
      </c>
      <c r="W265">
        <f t="shared" si="277"/>
        <v>3</v>
      </c>
      <c r="X265">
        <f t="shared" si="278"/>
        <v>0</v>
      </c>
      <c r="Y265">
        <f>IF(X265&lt;&gt;1,9999,CHOOSE(W265,INDEX(Gantt!$BQ$7:$BQ$119,V265),INDEX(Gantt!$BR$7:$BR$119,V265),INDEX(Gantt!$BT$7:$BT$119,V265),INDEX(Gantt!$BU$7:$BU$119,V265)))</f>
        <v>9999</v>
      </c>
      <c r="Z265">
        <f t="shared" si="279"/>
        <v>0</v>
      </c>
      <c r="AA265" t="e">
        <f t="shared" si="280"/>
        <v>#N/A</v>
      </c>
      <c r="AB265" t="e">
        <f t="shared" si="281"/>
        <v>#N/A</v>
      </c>
      <c r="AC265" t="e">
        <f t="shared" si="282"/>
        <v>#N/A</v>
      </c>
      <c r="AD265" t="e">
        <f t="shared" si="283"/>
        <v>#N/A</v>
      </c>
      <c r="AE265" t="e">
        <f t="shared" si="284"/>
        <v>#N/A</v>
      </c>
      <c r="AF265" t="e">
        <f t="shared" si="285"/>
        <v>#N/A</v>
      </c>
      <c r="AG265" t="e">
        <f t="shared" si="286"/>
        <v>#N/A</v>
      </c>
      <c r="AH265" t="e">
        <f t="shared" si="287"/>
        <v>#N/A</v>
      </c>
      <c r="AI265" t="e">
        <f t="shared" si="288"/>
        <v>#N/A</v>
      </c>
      <c r="AJ265" t="e">
        <f t="shared" si="289"/>
        <v>#N/A</v>
      </c>
      <c r="AK265" t="e">
        <f t="shared" si="290"/>
        <v>#N/A</v>
      </c>
      <c r="AL265" t="e">
        <f t="shared" si="291"/>
        <v>#N/A</v>
      </c>
      <c r="AM265" t="e">
        <f t="shared" si="292"/>
        <v>#N/A</v>
      </c>
      <c r="AN265" t="e">
        <f t="shared" si="293"/>
        <v>#N/A</v>
      </c>
      <c r="AO265" t="e">
        <f t="shared" si="294"/>
        <v>#N/A</v>
      </c>
      <c r="AP265" t="e">
        <f t="shared" si="295"/>
        <v>#N/A</v>
      </c>
      <c r="AQ265" t="e">
        <f t="shared" si="296"/>
        <v>#N/A</v>
      </c>
      <c r="AR265" t="e">
        <f t="shared" si="297"/>
        <v>#N/A</v>
      </c>
      <c r="AS265" t="e">
        <f t="shared" si="298"/>
        <v>#N/A</v>
      </c>
      <c r="AT265" t="e">
        <f t="shared" si="299"/>
        <v>#N/A</v>
      </c>
      <c r="AU265" t="e">
        <f t="shared" si="300"/>
        <v>#N/A</v>
      </c>
      <c r="AV265" t="e">
        <f t="shared" si="301"/>
        <v>#N/A</v>
      </c>
      <c r="AW265" t="e">
        <f t="shared" si="302"/>
        <v>#N/A</v>
      </c>
      <c r="AX265" t="e">
        <f t="shared" si="303"/>
        <v>#N/A</v>
      </c>
      <c r="AY265" t="e">
        <f t="shared" si="304"/>
        <v>#N/A</v>
      </c>
      <c r="BE265" t="e">
        <f>IF(Z265=1,IF(INDEX($C$7:$C$126,V265)&gt;=Gantt!$BF$6,NA(),MATCH(INDEX($C$7:$C$126,V265),Gantt!$J$6:$BE$6,1)),NA())</f>
        <v>#N/A</v>
      </c>
      <c r="BF265" t="e">
        <f>IF(Z265=1,IF((INDEX($D$7:$D$126,AA265)-1)&gt;=Gantt!$BF$6,NA(),IF((INDEX($D$7:$D$126,AA265)-1)&lt;Gantt!$J$6,0,MATCH((INDEX($D$7:$D$126,AA265)-1),Gantt!$J$6:$BE$6,1))),NA())</f>
        <v>#N/A</v>
      </c>
      <c r="BG265" t="e">
        <f t="shared" si="305"/>
        <v>#N/A</v>
      </c>
      <c r="BH265" t="e">
        <f t="shared" si="306"/>
        <v>#N/A</v>
      </c>
      <c r="BI265" t="e">
        <f t="shared" si="307"/>
        <v>#N/A</v>
      </c>
      <c r="BJ265" t="e">
        <f t="shared" si="308"/>
        <v>#N/A</v>
      </c>
      <c r="BK265" t="e">
        <f t="shared" si="309"/>
        <v>#N/A</v>
      </c>
      <c r="BL265" t="e">
        <f t="shared" si="310"/>
        <v>#N/A</v>
      </c>
      <c r="BM265" t="e">
        <f t="shared" si="311"/>
        <v>#N/A</v>
      </c>
      <c r="BN265" t="e">
        <f t="shared" si="312"/>
        <v>#N/A</v>
      </c>
      <c r="BO265" t="e">
        <f t="shared" si="313"/>
        <v>#N/A</v>
      </c>
      <c r="BP265" t="e">
        <f t="shared" si="314"/>
        <v>#N/A</v>
      </c>
      <c r="BQ265" t="e">
        <f t="shared" si="315"/>
        <v>#N/A</v>
      </c>
      <c r="BR265" t="e">
        <f t="shared" si="316"/>
        <v>#N/A</v>
      </c>
      <c r="BS265" t="e">
        <f t="shared" si="317"/>
        <v>#N/A</v>
      </c>
      <c r="BT265" t="e">
        <f t="shared" si="318"/>
        <v>#N/A</v>
      </c>
      <c r="BU265" t="e">
        <f t="shared" si="319"/>
        <v>#N/A</v>
      </c>
      <c r="BV265" t="e">
        <f t="shared" si="320"/>
        <v>#N/A</v>
      </c>
      <c r="BW265" t="e">
        <f t="shared" si="321"/>
        <v>#N/A</v>
      </c>
      <c r="BX265" t="e">
        <f t="shared" si="322"/>
        <v>#N/A</v>
      </c>
      <c r="BY265" t="e">
        <f t="shared" si="323"/>
        <v>#N/A</v>
      </c>
      <c r="BZ265" t="e">
        <f t="shared" si="324"/>
        <v>#N/A</v>
      </c>
      <c r="CA265" t="e">
        <f t="shared" si="325"/>
        <v>#N/A</v>
      </c>
      <c r="CB265" t="e">
        <f t="shared" si="326"/>
        <v>#N/A</v>
      </c>
      <c r="CC265" t="e">
        <f t="shared" si="327"/>
        <v>#N/A</v>
      </c>
      <c r="CD265" t="e">
        <f t="shared" si="328"/>
        <v>#N/A</v>
      </c>
      <c r="CE265" t="e">
        <f t="shared" si="329"/>
        <v>#N/A</v>
      </c>
      <c r="CF265" t="e">
        <f t="shared" si="330"/>
        <v>#N/A</v>
      </c>
      <c r="CG265" t="e">
        <f t="shared" si="331"/>
        <v>#N/A</v>
      </c>
      <c r="CI265" t="e">
        <f>AL93</f>
        <v>#N/A</v>
      </c>
      <c r="CJ265" t="e">
        <f>AM93</f>
        <v>#N/A</v>
      </c>
      <c r="CK265">
        <f>IF(ISNUMBER(CI265),IFERROR(MAX(0,AN93-CI265),0),0)</f>
        <v>0</v>
      </c>
      <c r="CL265">
        <f>IF(ISNUMBER(CI265),IFERROR(MAX(0,CI265-AN93),0),0)</f>
        <v>0</v>
      </c>
      <c r="CM265">
        <f>IF(ISNUMBER(CJ265),IFERROR(MAX(0,AO93-CJ265),0),0)</f>
        <v>0</v>
      </c>
      <c r="CN265">
        <f>IF(ISNUMBER(CJ265),IFERROR(MAX(0,CJ265-AO93),0),0)</f>
        <v>0</v>
      </c>
      <c r="CP265" t="e">
        <f>BT93</f>
        <v>#N/A</v>
      </c>
      <c r="CQ265" t="e">
        <f>BU93</f>
        <v>#N/A</v>
      </c>
      <c r="CR265">
        <f>IF(ISNUMBER(CP265),IFERROR(MAX(0,BV93-CP265),0),0)</f>
        <v>0</v>
      </c>
      <c r="CS265">
        <f>IF(ISNUMBER(CP265),IFERROR(MAX(0,CP265-BV93),0),0)</f>
        <v>0</v>
      </c>
      <c r="CT265">
        <f>IF(ISNUMBER(CQ265),IFERROR(MAX(0,BW93-CQ265),0),0)</f>
        <v>0</v>
      </c>
      <c r="CU265">
        <f>IF(ISNUMBER(CQ265),IFERROR(MAX(0,CQ265-BW93),0),0)</f>
        <v>0</v>
      </c>
    </row>
    <row r="266" spans="21:99" x14ac:dyDescent="0.3">
      <c r="U266">
        <v>260</v>
      </c>
      <c r="V266">
        <f t="shared" si="276"/>
        <v>65</v>
      </c>
      <c r="W266">
        <f t="shared" si="277"/>
        <v>4</v>
      </c>
      <c r="X266">
        <f t="shared" si="278"/>
        <v>0</v>
      </c>
      <c r="Y266">
        <f>IF(X266&lt;&gt;1,9999,CHOOSE(W266,INDEX(Gantt!$BQ$7:$BQ$119,V266),INDEX(Gantt!$BR$7:$BR$119,V266),INDEX(Gantt!$BT$7:$BT$119,V266),INDEX(Gantt!$BU$7:$BU$119,V266)))</f>
        <v>9999</v>
      </c>
      <c r="Z266">
        <f t="shared" si="279"/>
        <v>0</v>
      </c>
      <c r="AA266" t="e">
        <f t="shared" si="280"/>
        <v>#N/A</v>
      </c>
      <c r="AB266" t="e">
        <f t="shared" si="281"/>
        <v>#N/A</v>
      </c>
      <c r="AC266" t="e">
        <f t="shared" si="282"/>
        <v>#N/A</v>
      </c>
      <c r="AD266" t="e">
        <f t="shared" si="283"/>
        <v>#N/A</v>
      </c>
      <c r="AE266" t="e">
        <f t="shared" si="284"/>
        <v>#N/A</v>
      </c>
      <c r="AF266" t="e">
        <f t="shared" si="285"/>
        <v>#N/A</v>
      </c>
      <c r="AG266" t="e">
        <f t="shared" si="286"/>
        <v>#N/A</v>
      </c>
      <c r="AH266" t="e">
        <f t="shared" si="287"/>
        <v>#N/A</v>
      </c>
      <c r="AI266" t="e">
        <f t="shared" si="288"/>
        <v>#N/A</v>
      </c>
      <c r="AJ266" t="e">
        <f t="shared" si="289"/>
        <v>#N/A</v>
      </c>
      <c r="AK266" t="e">
        <f t="shared" si="290"/>
        <v>#N/A</v>
      </c>
      <c r="AL266" t="e">
        <f t="shared" si="291"/>
        <v>#N/A</v>
      </c>
      <c r="AM266" t="e">
        <f t="shared" si="292"/>
        <v>#N/A</v>
      </c>
      <c r="AN266" t="e">
        <f t="shared" si="293"/>
        <v>#N/A</v>
      </c>
      <c r="AO266" t="e">
        <f t="shared" si="294"/>
        <v>#N/A</v>
      </c>
      <c r="AP266" t="e">
        <f t="shared" si="295"/>
        <v>#N/A</v>
      </c>
      <c r="AQ266" t="e">
        <f t="shared" si="296"/>
        <v>#N/A</v>
      </c>
      <c r="AR266" t="e">
        <f t="shared" si="297"/>
        <v>#N/A</v>
      </c>
      <c r="AS266" t="e">
        <f t="shared" si="298"/>
        <v>#N/A</v>
      </c>
      <c r="AT266" t="e">
        <f t="shared" si="299"/>
        <v>#N/A</v>
      </c>
      <c r="AU266" t="e">
        <f t="shared" si="300"/>
        <v>#N/A</v>
      </c>
      <c r="AV266" t="e">
        <f t="shared" si="301"/>
        <v>#N/A</v>
      </c>
      <c r="AW266" t="e">
        <f t="shared" si="302"/>
        <v>#N/A</v>
      </c>
      <c r="AX266" t="e">
        <f t="shared" si="303"/>
        <v>#N/A</v>
      </c>
      <c r="AY266" t="e">
        <f t="shared" si="304"/>
        <v>#N/A</v>
      </c>
      <c r="BE266" t="e">
        <f>IF(Z266=1,IF(INDEX($C$7:$C$126,V266)&gt;=Gantt!$BF$6,NA(),MATCH(INDEX($C$7:$C$126,V266),Gantt!$J$6:$BE$6,1)),NA())</f>
        <v>#N/A</v>
      </c>
      <c r="BF266" t="e">
        <f>IF(Z266=1,IF((INDEX($D$7:$D$126,AA266)-1)&gt;=Gantt!$BF$6,NA(),IF((INDEX($D$7:$D$126,AA266)-1)&lt;Gantt!$J$6,0,MATCH((INDEX($D$7:$D$126,AA266)-1),Gantt!$J$6:$BE$6,1))),NA())</f>
        <v>#N/A</v>
      </c>
      <c r="BG266" t="e">
        <f t="shared" si="305"/>
        <v>#N/A</v>
      </c>
      <c r="BH266" t="e">
        <f t="shared" si="306"/>
        <v>#N/A</v>
      </c>
      <c r="BI266" t="e">
        <f t="shared" si="307"/>
        <v>#N/A</v>
      </c>
      <c r="BJ266" t="e">
        <f t="shared" si="308"/>
        <v>#N/A</v>
      </c>
      <c r="BK266" t="e">
        <f t="shared" si="309"/>
        <v>#N/A</v>
      </c>
      <c r="BL266" t="e">
        <f t="shared" si="310"/>
        <v>#N/A</v>
      </c>
      <c r="BM266" t="e">
        <f t="shared" si="311"/>
        <v>#N/A</v>
      </c>
      <c r="BN266" t="e">
        <f t="shared" si="312"/>
        <v>#N/A</v>
      </c>
      <c r="BO266" t="e">
        <f t="shared" si="313"/>
        <v>#N/A</v>
      </c>
      <c r="BP266" t="e">
        <f t="shared" si="314"/>
        <v>#N/A</v>
      </c>
      <c r="BQ266" t="e">
        <f t="shared" si="315"/>
        <v>#N/A</v>
      </c>
      <c r="BR266" t="e">
        <f t="shared" si="316"/>
        <v>#N/A</v>
      </c>
      <c r="BS266" t="e">
        <f t="shared" si="317"/>
        <v>#N/A</v>
      </c>
      <c r="BT266" t="e">
        <f t="shared" si="318"/>
        <v>#N/A</v>
      </c>
      <c r="BU266" t="e">
        <f t="shared" si="319"/>
        <v>#N/A</v>
      </c>
      <c r="BV266" t="e">
        <f t="shared" si="320"/>
        <v>#N/A</v>
      </c>
      <c r="BW266" t="e">
        <f t="shared" si="321"/>
        <v>#N/A</v>
      </c>
      <c r="BX266" t="e">
        <f t="shared" si="322"/>
        <v>#N/A</v>
      </c>
      <c r="BY266" t="e">
        <f t="shared" si="323"/>
        <v>#N/A</v>
      </c>
      <c r="BZ266" t="e">
        <f t="shared" si="324"/>
        <v>#N/A</v>
      </c>
      <c r="CA266" t="e">
        <f t="shared" si="325"/>
        <v>#N/A</v>
      </c>
      <c r="CB266" t="e">
        <f t="shared" si="326"/>
        <v>#N/A</v>
      </c>
      <c r="CC266" t="e">
        <f t="shared" si="327"/>
        <v>#N/A</v>
      </c>
      <c r="CD266" t="e">
        <f t="shared" si="328"/>
        <v>#N/A</v>
      </c>
      <c r="CE266" t="e">
        <f t="shared" si="329"/>
        <v>#N/A</v>
      </c>
      <c r="CF266" t="e">
        <f t="shared" si="330"/>
        <v>#N/A</v>
      </c>
      <c r="CG266" t="e">
        <f t="shared" si="331"/>
        <v>#N/A</v>
      </c>
      <c r="CI266" t="e">
        <f>AP93</f>
        <v>#N/A</v>
      </c>
      <c r="CJ266" t="e">
        <f>AQ93</f>
        <v>#N/A</v>
      </c>
      <c r="CK266">
        <f>IF(ISNUMBER(CI266),IFERROR(MAX(0,AR93-CI266),0),0)</f>
        <v>0</v>
      </c>
      <c r="CL266">
        <f>IF(ISNUMBER(CI266),IFERROR(MAX(0,CI266-AR93),0),0)</f>
        <v>0</v>
      </c>
      <c r="CM266">
        <f>IF(ISNUMBER(CJ266),IFERROR(MAX(0,AS93-CJ266),0),0)</f>
        <v>0</v>
      </c>
      <c r="CN266">
        <f>IF(ISNUMBER(CJ266),IFERROR(MAX(0,CJ266-AS93),0),0)</f>
        <v>0</v>
      </c>
      <c r="CP266" t="e">
        <f>BX93</f>
        <v>#N/A</v>
      </c>
      <c r="CQ266" t="e">
        <f>BY93</f>
        <v>#N/A</v>
      </c>
      <c r="CR266">
        <f>IF(ISNUMBER(CP266),IFERROR(MAX(0,BZ93-CP266),0),0)</f>
        <v>0</v>
      </c>
      <c r="CS266">
        <f>IF(ISNUMBER(CP266),IFERROR(MAX(0,CP266-BZ93),0),0)</f>
        <v>0</v>
      </c>
      <c r="CT266">
        <f>IF(ISNUMBER(CQ266),IFERROR(MAX(0,CA93-CQ266),0),0)</f>
        <v>0</v>
      </c>
      <c r="CU266">
        <f>IF(ISNUMBER(CQ266),IFERROR(MAX(0,CQ266-CA93),0),0)</f>
        <v>0</v>
      </c>
    </row>
    <row r="267" spans="21:99" x14ac:dyDescent="0.3">
      <c r="U267">
        <v>261</v>
      </c>
      <c r="V267">
        <f t="shared" si="276"/>
        <v>66</v>
      </c>
      <c r="W267">
        <f t="shared" si="277"/>
        <v>1</v>
      </c>
      <c r="X267">
        <f t="shared" si="278"/>
        <v>0</v>
      </c>
      <c r="Y267">
        <f>IF(X267&lt;&gt;1,9999,CHOOSE(W267,INDEX(Gantt!$BQ$7:$BQ$119,V267),INDEX(Gantt!$BR$7:$BR$119,V267),INDEX(Gantt!$BT$7:$BT$119,V267),INDEX(Gantt!$BU$7:$BU$119,V267)))</f>
        <v>9999</v>
      </c>
      <c r="Z267">
        <f t="shared" si="279"/>
        <v>0</v>
      </c>
      <c r="AA267" t="e">
        <f t="shared" si="280"/>
        <v>#N/A</v>
      </c>
      <c r="AB267" t="e">
        <f t="shared" si="281"/>
        <v>#N/A</v>
      </c>
      <c r="AC267" t="e">
        <f t="shared" si="282"/>
        <v>#N/A</v>
      </c>
      <c r="AD267" t="e">
        <f t="shared" si="283"/>
        <v>#N/A</v>
      </c>
      <c r="AE267" t="e">
        <f t="shared" si="284"/>
        <v>#N/A</v>
      </c>
      <c r="AF267" t="e">
        <f t="shared" si="285"/>
        <v>#N/A</v>
      </c>
      <c r="AG267" t="e">
        <f t="shared" si="286"/>
        <v>#N/A</v>
      </c>
      <c r="AH267" t="e">
        <f t="shared" si="287"/>
        <v>#N/A</v>
      </c>
      <c r="AI267" t="e">
        <f t="shared" si="288"/>
        <v>#N/A</v>
      </c>
      <c r="AJ267" t="e">
        <f t="shared" si="289"/>
        <v>#N/A</v>
      </c>
      <c r="AK267" t="e">
        <f t="shared" si="290"/>
        <v>#N/A</v>
      </c>
      <c r="AL267" t="e">
        <f t="shared" si="291"/>
        <v>#N/A</v>
      </c>
      <c r="AM267" t="e">
        <f t="shared" si="292"/>
        <v>#N/A</v>
      </c>
      <c r="AN267" t="e">
        <f t="shared" si="293"/>
        <v>#N/A</v>
      </c>
      <c r="AO267" t="e">
        <f t="shared" si="294"/>
        <v>#N/A</v>
      </c>
      <c r="AP267" t="e">
        <f t="shared" si="295"/>
        <v>#N/A</v>
      </c>
      <c r="AQ267" t="e">
        <f t="shared" si="296"/>
        <v>#N/A</v>
      </c>
      <c r="AR267" t="e">
        <f t="shared" si="297"/>
        <v>#N/A</v>
      </c>
      <c r="AS267" t="e">
        <f t="shared" si="298"/>
        <v>#N/A</v>
      </c>
      <c r="AT267" t="e">
        <f t="shared" si="299"/>
        <v>#N/A</v>
      </c>
      <c r="AU267" t="e">
        <f t="shared" si="300"/>
        <v>#N/A</v>
      </c>
      <c r="AV267" t="e">
        <f t="shared" si="301"/>
        <v>#N/A</v>
      </c>
      <c r="AW267" t="e">
        <f t="shared" si="302"/>
        <v>#N/A</v>
      </c>
      <c r="AX267" t="e">
        <f t="shared" si="303"/>
        <v>#N/A</v>
      </c>
      <c r="AY267" t="e">
        <f t="shared" si="304"/>
        <v>#N/A</v>
      </c>
      <c r="BE267" t="e">
        <f>IF(Z267=1,IF(INDEX($C$7:$C$126,V267)&gt;=Gantt!$BF$6,NA(),MATCH(INDEX($C$7:$C$126,V267),Gantt!$J$6:$BE$6,1)),NA())</f>
        <v>#N/A</v>
      </c>
      <c r="BF267" t="e">
        <f>IF(Z267=1,IF((INDEX($D$7:$D$126,AA267)-1)&gt;=Gantt!$BF$6,NA(),IF((INDEX($D$7:$D$126,AA267)-1)&lt;Gantt!$J$6,0,MATCH((INDEX($D$7:$D$126,AA267)-1),Gantt!$J$6:$BE$6,1))),NA())</f>
        <v>#N/A</v>
      </c>
      <c r="BG267" t="e">
        <f t="shared" si="305"/>
        <v>#N/A</v>
      </c>
      <c r="BH267" t="e">
        <f t="shared" si="306"/>
        <v>#N/A</v>
      </c>
      <c r="BI267" t="e">
        <f t="shared" si="307"/>
        <v>#N/A</v>
      </c>
      <c r="BJ267" t="e">
        <f t="shared" si="308"/>
        <v>#N/A</v>
      </c>
      <c r="BK267" t="e">
        <f t="shared" si="309"/>
        <v>#N/A</v>
      </c>
      <c r="BL267" t="e">
        <f t="shared" si="310"/>
        <v>#N/A</v>
      </c>
      <c r="BM267" t="e">
        <f t="shared" si="311"/>
        <v>#N/A</v>
      </c>
      <c r="BN267" t="e">
        <f t="shared" si="312"/>
        <v>#N/A</v>
      </c>
      <c r="BO267" t="e">
        <f t="shared" si="313"/>
        <v>#N/A</v>
      </c>
      <c r="BP267" t="e">
        <f t="shared" si="314"/>
        <v>#N/A</v>
      </c>
      <c r="BQ267" t="e">
        <f t="shared" si="315"/>
        <v>#N/A</v>
      </c>
      <c r="BR267" t="e">
        <f t="shared" si="316"/>
        <v>#N/A</v>
      </c>
      <c r="BS267" t="e">
        <f t="shared" si="317"/>
        <v>#N/A</v>
      </c>
      <c r="BT267" t="e">
        <f t="shared" si="318"/>
        <v>#N/A</v>
      </c>
      <c r="BU267" t="e">
        <f t="shared" si="319"/>
        <v>#N/A</v>
      </c>
      <c r="BV267" t="e">
        <f t="shared" si="320"/>
        <v>#N/A</v>
      </c>
      <c r="BW267" t="e">
        <f t="shared" si="321"/>
        <v>#N/A</v>
      </c>
      <c r="BX267" t="e">
        <f t="shared" si="322"/>
        <v>#N/A</v>
      </c>
      <c r="BY267" t="e">
        <f t="shared" si="323"/>
        <v>#N/A</v>
      </c>
      <c r="BZ267" t="e">
        <f t="shared" si="324"/>
        <v>#N/A</v>
      </c>
      <c r="CA267" t="e">
        <f t="shared" si="325"/>
        <v>#N/A</v>
      </c>
      <c r="CB267" t="e">
        <f t="shared" si="326"/>
        <v>#N/A</v>
      </c>
      <c r="CC267" t="e">
        <f t="shared" si="327"/>
        <v>#N/A</v>
      </c>
      <c r="CD267" t="e">
        <f t="shared" si="328"/>
        <v>#N/A</v>
      </c>
      <c r="CE267" t="e">
        <f t="shared" si="329"/>
        <v>#N/A</v>
      </c>
      <c r="CF267" t="e">
        <f t="shared" si="330"/>
        <v>#N/A</v>
      </c>
      <c r="CG267" t="e">
        <f t="shared" si="331"/>
        <v>#N/A</v>
      </c>
      <c r="CI267" t="e">
        <f>AT93</f>
        <v>#N/A</v>
      </c>
      <c r="CJ267" t="e">
        <f>AU93</f>
        <v>#N/A</v>
      </c>
      <c r="CK267">
        <f>IF(ISNUMBER(CI267),IFERROR(MAX(0,AV93-CI267),0),0)</f>
        <v>0</v>
      </c>
      <c r="CL267">
        <f>IF(ISNUMBER(CI267),IFERROR(MAX(0,CI267-AV93),0),0)</f>
        <v>0</v>
      </c>
      <c r="CM267">
        <f>IF(ISNUMBER(CJ267),IFERROR(MAX(0,AW93-CJ267),0),0)</f>
        <v>0</v>
      </c>
      <c r="CN267">
        <f>IF(ISNUMBER(CJ267),IFERROR(MAX(0,CJ267-AW93),0),0)</f>
        <v>0</v>
      </c>
      <c r="CP267" t="e">
        <f>CB93</f>
        <v>#N/A</v>
      </c>
      <c r="CQ267" t="e">
        <f>CC93</f>
        <v>#N/A</v>
      </c>
      <c r="CR267">
        <f>IF(ISNUMBER(CP267),IFERROR(MAX(0,CD93-CP267),0),0)</f>
        <v>0</v>
      </c>
      <c r="CS267">
        <f>IF(ISNUMBER(CP267),IFERROR(MAX(0,CP267-CD93),0),0)</f>
        <v>0</v>
      </c>
      <c r="CT267">
        <f>IF(ISNUMBER(CQ267),IFERROR(MAX(0,CE93-CQ267),0),0)</f>
        <v>0</v>
      </c>
      <c r="CU267">
        <f>IF(ISNUMBER(CQ267),IFERROR(MAX(0,CQ267-CE93),0),0)</f>
        <v>0</v>
      </c>
    </row>
    <row r="268" spans="21:99" x14ac:dyDescent="0.3">
      <c r="U268">
        <v>262</v>
      </c>
      <c r="V268">
        <f t="shared" si="276"/>
        <v>66</v>
      </c>
      <c r="W268">
        <f t="shared" si="277"/>
        <v>2</v>
      </c>
      <c r="X268">
        <f t="shared" si="278"/>
        <v>0</v>
      </c>
      <c r="Y268">
        <f>IF(X268&lt;&gt;1,9999,CHOOSE(W268,INDEX(Gantt!$BQ$7:$BQ$119,V268),INDEX(Gantt!$BR$7:$BR$119,V268),INDEX(Gantt!$BT$7:$BT$119,V268),INDEX(Gantt!$BU$7:$BU$119,V268)))</f>
        <v>9999</v>
      </c>
      <c r="Z268">
        <f t="shared" si="279"/>
        <v>0</v>
      </c>
      <c r="AA268" t="e">
        <f t="shared" si="280"/>
        <v>#N/A</v>
      </c>
      <c r="AB268" t="e">
        <f t="shared" si="281"/>
        <v>#N/A</v>
      </c>
      <c r="AC268" t="e">
        <f t="shared" si="282"/>
        <v>#N/A</v>
      </c>
      <c r="AD268" t="e">
        <f t="shared" si="283"/>
        <v>#N/A</v>
      </c>
      <c r="AE268" t="e">
        <f t="shared" si="284"/>
        <v>#N/A</v>
      </c>
      <c r="AF268" t="e">
        <f t="shared" si="285"/>
        <v>#N/A</v>
      </c>
      <c r="AG268" t="e">
        <f t="shared" si="286"/>
        <v>#N/A</v>
      </c>
      <c r="AH268" t="e">
        <f t="shared" si="287"/>
        <v>#N/A</v>
      </c>
      <c r="AI268" t="e">
        <f t="shared" si="288"/>
        <v>#N/A</v>
      </c>
      <c r="AJ268" t="e">
        <f t="shared" si="289"/>
        <v>#N/A</v>
      </c>
      <c r="AK268" t="e">
        <f t="shared" si="290"/>
        <v>#N/A</v>
      </c>
      <c r="AL268" t="e">
        <f t="shared" si="291"/>
        <v>#N/A</v>
      </c>
      <c r="AM268" t="e">
        <f t="shared" si="292"/>
        <v>#N/A</v>
      </c>
      <c r="AN268" t="e">
        <f t="shared" si="293"/>
        <v>#N/A</v>
      </c>
      <c r="AO268" t="e">
        <f t="shared" si="294"/>
        <v>#N/A</v>
      </c>
      <c r="AP268" t="e">
        <f t="shared" si="295"/>
        <v>#N/A</v>
      </c>
      <c r="AQ268" t="e">
        <f t="shared" si="296"/>
        <v>#N/A</v>
      </c>
      <c r="AR268" t="e">
        <f t="shared" si="297"/>
        <v>#N/A</v>
      </c>
      <c r="AS268" t="e">
        <f t="shared" si="298"/>
        <v>#N/A</v>
      </c>
      <c r="AT268" t="e">
        <f t="shared" si="299"/>
        <v>#N/A</v>
      </c>
      <c r="AU268" t="e">
        <f t="shared" si="300"/>
        <v>#N/A</v>
      </c>
      <c r="AV268" t="e">
        <f t="shared" si="301"/>
        <v>#N/A</v>
      </c>
      <c r="AW268" t="e">
        <f t="shared" si="302"/>
        <v>#N/A</v>
      </c>
      <c r="AX268" t="e">
        <f t="shared" si="303"/>
        <v>#N/A</v>
      </c>
      <c r="AY268" t="e">
        <f t="shared" si="304"/>
        <v>#N/A</v>
      </c>
      <c r="BE268" t="e">
        <f>IF(Z268=1,IF(INDEX($C$7:$C$126,V268)&gt;=Gantt!$BF$6,NA(),MATCH(INDEX($C$7:$C$126,V268),Gantt!$J$6:$BE$6,1)),NA())</f>
        <v>#N/A</v>
      </c>
      <c r="BF268" t="e">
        <f>IF(Z268=1,IF((INDEX($D$7:$D$126,AA268)-1)&gt;=Gantt!$BF$6,NA(),IF((INDEX($D$7:$D$126,AA268)-1)&lt;Gantt!$J$6,0,MATCH((INDEX($D$7:$D$126,AA268)-1),Gantt!$J$6:$BE$6,1))),NA())</f>
        <v>#N/A</v>
      </c>
      <c r="BG268" t="e">
        <f t="shared" si="305"/>
        <v>#N/A</v>
      </c>
      <c r="BH268" t="e">
        <f t="shared" si="306"/>
        <v>#N/A</v>
      </c>
      <c r="BI268" t="e">
        <f t="shared" si="307"/>
        <v>#N/A</v>
      </c>
      <c r="BJ268" t="e">
        <f t="shared" si="308"/>
        <v>#N/A</v>
      </c>
      <c r="BK268" t="e">
        <f t="shared" si="309"/>
        <v>#N/A</v>
      </c>
      <c r="BL268" t="e">
        <f t="shared" si="310"/>
        <v>#N/A</v>
      </c>
      <c r="BM268" t="e">
        <f t="shared" si="311"/>
        <v>#N/A</v>
      </c>
      <c r="BN268" t="e">
        <f t="shared" si="312"/>
        <v>#N/A</v>
      </c>
      <c r="BO268" t="e">
        <f t="shared" si="313"/>
        <v>#N/A</v>
      </c>
      <c r="BP268" t="e">
        <f t="shared" si="314"/>
        <v>#N/A</v>
      </c>
      <c r="BQ268" t="e">
        <f t="shared" si="315"/>
        <v>#N/A</v>
      </c>
      <c r="BR268" t="e">
        <f t="shared" si="316"/>
        <v>#N/A</v>
      </c>
      <c r="BS268" t="e">
        <f t="shared" si="317"/>
        <v>#N/A</v>
      </c>
      <c r="BT268" t="e">
        <f t="shared" si="318"/>
        <v>#N/A</v>
      </c>
      <c r="BU268" t="e">
        <f t="shared" si="319"/>
        <v>#N/A</v>
      </c>
      <c r="BV268" t="e">
        <f t="shared" si="320"/>
        <v>#N/A</v>
      </c>
      <c r="BW268" t="e">
        <f t="shared" si="321"/>
        <v>#N/A</v>
      </c>
      <c r="BX268" t="e">
        <f t="shared" si="322"/>
        <v>#N/A</v>
      </c>
      <c r="BY268" t="e">
        <f t="shared" si="323"/>
        <v>#N/A</v>
      </c>
      <c r="BZ268" t="e">
        <f t="shared" si="324"/>
        <v>#N/A</v>
      </c>
      <c r="CA268" t="e">
        <f t="shared" si="325"/>
        <v>#N/A</v>
      </c>
      <c r="CB268" t="e">
        <f t="shared" si="326"/>
        <v>#N/A</v>
      </c>
      <c r="CC268" t="e">
        <f t="shared" si="327"/>
        <v>#N/A</v>
      </c>
      <c r="CD268" t="e">
        <f t="shared" si="328"/>
        <v>#N/A</v>
      </c>
      <c r="CE268" t="e">
        <f t="shared" si="329"/>
        <v>#N/A</v>
      </c>
      <c r="CF268" t="e">
        <f t="shared" si="330"/>
        <v>#N/A</v>
      </c>
      <c r="CG268" t="e">
        <f t="shared" si="331"/>
        <v>#N/A</v>
      </c>
      <c r="CI268" t="e">
        <f>AL94</f>
        <v>#N/A</v>
      </c>
      <c r="CJ268" t="e">
        <f>AM94</f>
        <v>#N/A</v>
      </c>
      <c r="CK268">
        <f>IF(ISNUMBER(CI268),IFERROR(MAX(0,AN94-CI268),0),0)</f>
        <v>0</v>
      </c>
      <c r="CL268">
        <f>IF(ISNUMBER(CI268),IFERROR(MAX(0,CI268-AN94),0),0)</f>
        <v>0</v>
      </c>
      <c r="CM268">
        <f>IF(ISNUMBER(CJ268),IFERROR(MAX(0,AO94-CJ268),0),0)</f>
        <v>0</v>
      </c>
      <c r="CN268">
        <f>IF(ISNUMBER(CJ268),IFERROR(MAX(0,CJ268-AO94),0),0)</f>
        <v>0</v>
      </c>
      <c r="CP268" t="e">
        <f>BT94</f>
        <v>#N/A</v>
      </c>
      <c r="CQ268" t="e">
        <f>BU94</f>
        <v>#N/A</v>
      </c>
      <c r="CR268">
        <f>IF(ISNUMBER(CP268),IFERROR(MAX(0,BV94-CP268),0),0)</f>
        <v>0</v>
      </c>
      <c r="CS268">
        <f>IF(ISNUMBER(CP268),IFERROR(MAX(0,CP268-BV94),0),0)</f>
        <v>0</v>
      </c>
      <c r="CT268">
        <f>IF(ISNUMBER(CQ268),IFERROR(MAX(0,BW94-CQ268),0),0)</f>
        <v>0</v>
      </c>
      <c r="CU268">
        <f>IF(ISNUMBER(CQ268),IFERROR(MAX(0,CQ268-BW94),0),0)</f>
        <v>0</v>
      </c>
    </row>
    <row r="269" spans="21:99" x14ac:dyDescent="0.3">
      <c r="U269">
        <v>263</v>
      </c>
      <c r="V269">
        <f t="shared" si="276"/>
        <v>66</v>
      </c>
      <c r="W269">
        <f t="shared" si="277"/>
        <v>3</v>
      </c>
      <c r="X269">
        <f t="shared" si="278"/>
        <v>0</v>
      </c>
      <c r="Y269">
        <f>IF(X269&lt;&gt;1,9999,CHOOSE(W269,INDEX(Gantt!$BQ$7:$BQ$119,V269),INDEX(Gantt!$BR$7:$BR$119,V269),INDEX(Gantt!$BT$7:$BT$119,V269),INDEX(Gantt!$BU$7:$BU$119,V269)))</f>
        <v>9999</v>
      </c>
      <c r="Z269">
        <f t="shared" si="279"/>
        <v>0</v>
      </c>
      <c r="AA269" t="e">
        <f t="shared" si="280"/>
        <v>#N/A</v>
      </c>
      <c r="AB269" t="e">
        <f t="shared" si="281"/>
        <v>#N/A</v>
      </c>
      <c r="AC269" t="e">
        <f t="shared" si="282"/>
        <v>#N/A</v>
      </c>
      <c r="AD269" t="e">
        <f t="shared" si="283"/>
        <v>#N/A</v>
      </c>
      <c r="AE269" t="e">
        <f t="shared" si="284"/>
        <v>#N/A</v>
      </c>
      <c r="AF269" t="e">
        <f t="shared" si="285"/>
        <v>#N/A</v>
      </c>
      <c r="AG269" t="e">
        <f t="shared" si="286"/>
        <v>#N/A</v>
      </c>
      <c r="AH269" t="e">
        <f t="shared" si="287"/>
        <v>#N/A</v>
      </c>
      <c r="AI269" t="e">
        <f t="shared" si="288"/>
        <v>#N/A</v>
      </c>
      <c r="AJ269" t="e">
        <f t="shared" si="289"/>
        <v>#N/A</v>
      </c>
      <c r="AK269" t="e">
        <f t="shared" si="290"/>
        <v>#N/A</v>
      </c>
      <c r="AL269" t="e">
        <f t="shared" si="291"/>
        <v>#N/A</v>
      </c>
      <c r="AM269" t="e">
        <f t="shared" si="292"/>
        <v>#N/A</v>
      </c>
      <c r="AN269" t="e">
        <f t="shared" si="293"/>
        <v>#N/A</v>
      </c>
      <c r="AO269" t="e">
        <f t="shared" si="294"/>
        <v>#N/A</v>
      </c>
      <c r="AP269" t="e">
        <f t="shared" si="295"/>
        <v>#N/A</v>
      </c>
      <c r="AQ269" t="e">
        <f t="shared" si="296"/>
        <v>#N/A</v>
      </c>
      <c r="AR269" t="e">
        <f t="shared" si="297"/>
        <v>#N/A</v>
      </c>
      <c r="AS269" t="e">
        <f t="shared" si="298"/>
        <v>#N/A</v>
      </c>
      <c r="AT269" t="e">
        <f t="shared" si="299"/>
        <v>#N/A</v>
      </c>
      <c r="AU269" t="e">
        <f t="shared" si="300"/>
        <v>#N/A</v>
      </c>
      <c r="AV269" t="e">
        <f t="shared" si="301"/>
        <v>#N/A</v>
      </c>
      <c r="AW269" t="e">
        <f t="shared" si="302"/>
        <v>#N/A</v>
      </c>
      <c r="AX269" t="e">
        <f t="shared" si="303"/>
        <v>#N/A</v>
      </c>
      <c r="AY269" t="e">
        <f t="shared" si="304"/>
        <v>#N/A</v>
      </c>
      <c r="BE269" t="e">
        <f>IF(Z269=1,IF(INDEX($C$7:$C$126,V269)&gt;=Gantt!$BF$6,NA(),MATCH(INDEX($C$7:$C$126,V269),Gantt!$J$6:$BE$6,1)),NA())</f>
        <v>#N/A</v>
      </c>
      <c r="BF269" t="e">
        <f>IF(Z269=1,IF((INDEX($D$7:$D$126,AA269)-1)&gt;=Gantt!$BF$6,NA(),IF((INDEX($D$7:$D$126,AA269)-1)&lt;Gantt!$J$6,0,MATCH((INDEX($D$7:$D$126,AA269)-1),Gantt!$J$6:$BE$6,1))),NA())</f>
        <v>#N/A</v>
      </c>
      <c r="BG269" t="e">
        <f t="shared" si="305"/>
        <v>#N/A</v>
      </c>
      <c r="BH269" t="e">
        <f t="shared" si="306"/>
        <v>#N/A</v>
      </c>
      <c r="BI269" t="e">
        <f t="shared" si="307"/>
        <v>#N/A</v>
      </c>
      <c r="BJ269" t="e">
        <f t="shared" si="308"/>
        <v>#N/A</v>
      </c>
      <c r="BK269" t="e">
        <f t="shared" si="309"/>
        <v>#N/A</v>
      </c>
      <c r="BL269" t="e">
        <f t="shared" si="310"/>
        <v>#N/A</v>
      </c>
      <c r="BM269" t="e">
        <f t="shared" si="311"/>
        <v>#N/A</v>
      </c>
      <c r="BN269" t="e">
        <f t="shared" si="312"/>
        <v>#N/A</v>
      </c>
      <c r="BO269" t="e">
        <f t="shared" si="313"/>
        <v>#N/A</v>
      </c>
      <c r="BP269" t="e">
        <f t="shared" si="314"/>
        <v>#N/A</v>
      </c>
      <c r="BQ269" t="e">
        <f t="shared" si="315"/>
        <v>#N/A</v>
      </c>
      <c r="BR269" t="e">
        <f t="shared" si="316"/>
        <v>#N/A</v>
      </c>
      <c r="BS269" t="e">
        <f t="shared" si="317"/>
        <v>#N/A</v>
      </c>
      <c r="BT269" t="e">
        <f t="shared" si="318"/>
        <v>#N/A</v>
      </c>
      <c r="BU269" t="e">
        <f t="shared" si="319"/>
        <v>#N/A</v>
      </c>
      <c r="BV269" t="e">
        <f t="shared" si="320"/>
        <v>#N/A</v>
      </c>
      <c r="BW269" t="e">
        <f t="shared" si="321"/>
        <v>#N/A</v>
      </c>
      <c r="BX269" t="e">
        <f t="shared" si="322"/>
        <v>#N/A</v>
      </c>
      <c r="BY269" t="e">
        <f t="shared" si="323"/>
        <v>#N/A</v>
      </c>
      <c r="BZ269" t="e">
        <f t="shared" si="324"/>
        <v>#N/A</v>
      </c>
      <c r="CA269" t="e">
        <f t="shared" si="325"/>
        <v>#N/A</v>
      </c>
      <c r="CB269" t="e">
        <f t="shared" si="326"/>
        <v>#N/A</v>
      </c>
      <c r="CC269" t="e">
        <f t="shared" si="327"/>
        <v>#N/A</v>
      </c>
      <c r="CD269" t="e">
        <f t="shared" si="328"/>
        <v>#N/A</v>
      </c>
      <c r="CE269" t="e">
        <f t="shared" si="329"/>
        <v>#N/A</v>
      </c>
      <c r="CF269" t="e">
        <f t="shared" si="330"/>
        <v>#N/A</v>
      </c>
      <c r="CG269" t="e">
        <f t="shared" si="331"/>
        <v>#N/A</v>
      </c>
      <c r="CI269" t="e">
        <f>AP94</f>
        <v>#N/A</v>
      </c>
      <c r="CJ269" t="e">
        <f>AQ94</f>
        <v>#N/A</v>
      </c>
      <c r="CK269">
        <f>IF(ISNUMBER(CI269),IFERROR(MAX(0,AR94-CI269),0),0)</f>
        <v>0</v>
      </c>
      <c r="CL269">
        <f>IF(ISNUMBER(CI269),IFERROR(MAX(0,CI269-AR94),0),0)</f>
        <v>0</v>
      </c>
      <c r="CM269">
        <f>IF(ISNUMBER(CJ269),IFERROR(MAX(0,AS94-CJ269),0),0)</f>
        <v>0</v>
      </c>
      <c r="CN269">
        <f>IF(ISNUMBER(CJ269),IFERROR(MAX(0,CJ269-AS94),0),0)</f>
        <v>0</v>
      </c>
      <c r="CP269" t="e">
        <f>BX94</f>
        <v>#N/A</v>
      </c>
      <c r="CQ269" t="e">
        <f>BY94</f>
        <v>#N/A</v>
      </c>
      <c r="CR269">
        <f>IF(ISNUMBER(CP269),IFERROR(MAX(0,BZ94-CP269),0),0)</f>
        <v>0</v>
      </c>
      <c r="CS269">
        <f>IF(ISNUMBER(CP269),IFERROR(MAX(0,CP269-BZ94),0),0)</f>
        <v>0</v>
      </c>
      <c r="CT269">
        <f>IF(ISNUMBER(CQ269),IFERROR(MAX(0,CA94-CQ269),0),0)</f>
        <v>0</v>
      </c>
      <c r="CU269">
        <f>IF(ISNUMBER(CQ269),IFERROR(MAX(0,CQ269-CA94),0),0)</f>
        <v>0</v>
      </c>
    </row>
    <row r="270" spans="21:99" x14ac:dyDescent="0.3">
      <c r="U270">
        <v>264</v>
      </c>
      <c r="V270">
        <f t="shared" si="276"/>
        <v>66</v>
      </c>
      <c r="W270">
        <f t="shared" si="277"/>
        <v>4</v>
      </c>
      <c r="X270">
        <f t="shared" si="278"/>
        <v>0</v>
      </c>
      <c r="Y270">
        <f>IF(X270&lt;&gt;1,9999,CHOOSE(W270,INDEX(Gantt!$BQ$7:$BQ$119,V270),INDEX(Gantt!$BR$7:$BR$119,V270),INDEX(Gantt!$BT$7:$BT$119,V270),INDEX(Gantt!$BU$7:$BU$119,V270)))</f>
        <v>9999</v>
      </c>
      <c r="Z270">
        <f t="shared" si="279"/>
        <v>0</v>
      </c>
      <c r="AA270" t="e">
        <f t="shared" si="280"/>
        <v>#N/A</v>
      </c>
      <c r="AB270" t="e">
        <f t="shared" si="281"/>
        <v>#N/A</v>
      </c>
      <c r="AC270" t="e">
        <f t="shared" si="282"/>
        <v>#N/A</v>
      </c>
      <c r="AD270" t="e">
        <f t="shared" si="283"/>
        <v>#N/A</v>
      </c>
      <c r="AE270" t="e">
        <f t="shared" si="284"/>
        <v>#N/A</v>
      </c>
      <c r="AF270" t="e">
        <f t="shared" si="285"/>
        <v>#N/A</v>
      </c>
      <c r="AG270" t="e">
        <f t="shared" si="286"/>
        <v>#N/A</v>
      </c>
      <c r="AH270" t="e">
        <f t="shared" si="287"/>
        <v>#N/A</v>
      </c>
      <c r="AI270" t="e">
        <f t="shared" si="288"/>
        <v>#N/A</v>
      </c>
      <c r="AJ270" t="e">
        <f t="shared" si="289"/>
        <v>#N/A</v>
      </c>
      <c r="AK270" t="e">
        <f t="shared" si="290"/>
        <v>#N/A</v>
      </c>
      <c r="AL270" t="e">
        <f t="shared" si="291"/>
        <v>#N/A</v>
      </c>
      <c r="AM270" t="e">
        <f t="shared" si="292"/>
        <v>#N/A</v>
      </c>
      <c r="AN270" t="e">
        <f t="shared" si="293"/>
        <v>#N/A</v>
      </c>
      <c r="AO270" t="e">
        <f t="shared" si="294"/>
        <v>#N/A</v>
      </c>
      <c r="AP270" t="e">
        <f t="shared" si="295"/>
        <v>#N/A</v>
      </c>
      <c r="AQ270" t="e">
        <f t="shared" si="296"/>
        <v>#N/A</v>
      </c>
      <c r="AR270" t="e">
        <f t="shared" si="297"/>
        <v>#N/A</v>
      </c>
      <c r="AS270" t="e">
        <f t="shared" si="298"/>
        <v>#N/A</v>
      </c>
      <c r="AT270" t="e">
        <f t="shared" si="299"/>
        <v>#N/A</v>
      </c>
      <c r="AU270" t="e">
        <f t="shared" si="300"/>
        <v>#N/A</v>
      </c>
      <c r="AV270" t="e">
        <f t="shared" si="301"/>
        <v>#N/A</v>
      </c>
      <c r="AW270" t="e">
        <f t="shared" si="302"/>
        <v>#N/A</v>
      </c>
      <c r="AX270" t="e">
        <f t="shared" si="303"/>
        <v>#N/A</v>
      </c>
      <c r="AY270" t="e">
        <f t="shared" si="304"/>
        <v>#N/A</v>
      </c>
      <c r="BE270" t="e">
        <f>IF(Z270=1,IF(INDEX($C$7:$C$126,V270)&gt;=Gantt!$BF$6,NA(),MATCH(INDEX($C$7:$C$126,V270),Gantt!$J$6:$BE$6,1)),NA())</f>
        <v>#N/A</v>
      </c>
      <c r="BF270" t="e">
        <f>IF(Z270=1,IF((INDEX($D$7:$D$126,AA270)-1)&gt;=Gantt!$BF$6,NA(),IF((INDEX($D$7:$D$126,AA270)-1)&lt;Gantt!$J$6,0,MATCH((INDEX($D$7:$D$126,AA270)-1),Gantt!$J$6:$BE$6,1))),NA())</f>
        <v>#N/A</v>
      </c>
      <c r="BG270" t="e">
        <f t="shared" si="305"/>
        <v>#N/A</v>
      </c>
      <c r="BH270" t="e">
        <f t="shared" si="306"/>
        <v>#N/A</v>
      </c>
      <c r="BI270" t="e">
        <f t="shared" si="307"/>
        <v>#N/A</v>
      </c>
      <c r="BJ270" t="e">
        <f t="shared" si="308"/>
        <v>#N/A</v>
      </c>
      <c r="BK270" t="e">
        <f t="shared" si="309"/>
        <v>#N/A</v>
      </c>
      <c r="BL270" t="e">
        <f t="shared" si="310"/>
        <v>#N/A</v>
      </c>
      <c r="BM270" t="e">
        <f t="shared" si="311"/>
        <v>#N/A</v>
      </c>
      <c r="BN270" t="e">
        <f t="shared" si="312"/>
        <v>#N/A</v>
      </c>
      <c r="BO270" t="e">
        <f t="shared" si="313"/>
        <v>#N/A</v>
      </c>
      <c r="BP270" t="e">
        <f t="shared" si="314"/>
        <v>#N/A</v>
      </c>
      <c r="BQ270" t="e">
        <f t="shared" si="315"/>
        <v>#N/A</v>
      </c>
      <c r="BR270" t="e">
        <f t="shared" si="316"/>
        <v>#N/A</v>
      </c>
      <c r="BS270" t="e">
        <f t="shared" si="317"/>
        <v>#N/A</v>
      </c>
      <c r="BT270" t="e">
        <f t="shared" si="318"/>
        <v>#N/A</v>
      </c>
      <c r="BU270" t="e">
        <f t="shared" si="319"/>
        <v>#N/A</v>
      </c>
      <c r="BV270" t="e">
        <f t="shared" si="320"/>
        <v>#N/A</v>
      </c>
      <c r="BW270" t="e">
        <f t="shared" si="321"/>
        <v>#N/A</v>
      </c>
      <c r="BX270" t="e">
        <f t="shared" si="322"/>
        <v>#N/A</v>
      </c>
      <c r="BY270" t="e">
        <f t="shared" si="323"/>
        <v>#N/A</v>
      </c>
      <c r="BZ270" t="e">
        <f t="shared" si="324"/>
        <v>#N/A</v>
      </c>
      <c r="CA270" t="e">
        <f t="shared" si="325"/>
        <v>#N/A</v>
      </c>
      <c r="CB270" t="e">
        <f t="shared" si="326"/>
        <v>#N/A</v>
      </c>
      <c r="CC270" t="e">
        <f t="shared" si="327"/>
        <v>#N/A</v>
      </c>
      <c r="CD270" t="e">
        <f t="shared" si="328"/>
        <v>#N/A</v>
      </c>
      <c r="CE270" t="e">
        <f t="shared" si="329"/>
        <v>#N/A</v>
      </c>
      <c r="CF270" t="e">
        <f t="shared" si="330"/>
        <v>#N/A</v>
      </c>
      <c r="CG270" t="e">
        <f t="shared" si="331"/>
        <v>#N/A</v>
      </c>
      <c r="CI270" t="e">
        <f>AT94</f>
        <v>#N/A</v>
      </c>
      <c r="CJ270" t="e">
        <f>AU94</f>
        <v>#N/A</v>
      </c>
      <c r="CK270">
        <f>IF(ISNUMBER(CI270),IFERROR(MAX(0,AV94-CI270),0),0)</f>
        <v>0</v>
      </c>
      <c r="CL270">
        <f>IF(ISNUMBER(CI270),IFERROR(MAX(0,CI270-AV94),0),0)</f>
        <v>0</v>
      </c>
      <c r="CM270">
        <f>IF(ISNUMBER(CJ270),IFERROR(MAX(0,AW94-CJ270),0),0)</f>
        <v>0</v>
      </c>
      <c r="CN270">
        <f>IF(ISNUMBER(CJ270),IFERROR(MAX(0,CJ270-AW94),0),0)</f>
        <v>0</v>
      </c>
      <c r="CP270" t="e">
        <f>CB94</f>
        <v>#N/A</v>
      </c>
      <c r="CQ270" t="e">
        <f>CC94</f>
        <v>#N/A</v>
      </c>
      <c r="CR270">
        <f>IF(ISNUMBER(CP270),IFERROR(MAX(0,CD94-CP270),0),0)</f>
        <v>0</v>
      </c>
      <c r="CS270">
        <f>IF(ISNUMBER(CP270),IFERROR(MAX(0,CP270-CD94),0),0)</f>
        <v>0</v>
      </c>
      <c r="CT270">
        <f>IF(ISNUMBER(CQ270),IFERROR(MAX(0,CE94-CQ270),0),0)</f>
        <v>0</v>
      </c>
      <c r="CU270">
        <f>IF(ISNUMBER(CQ270),IFERROR(MAX(0,CQ270-CE94),0),0)</f>
        <v>0</v>
      </c>
    </row>
    <row r="271" spans="21:99" x14ac:dyDescent="0.3">
      <c r="U271">
        <v>265</v>
      </c>
      <c r="V271">
        <f t="shared" si="276"/>
        <v>67</v>
      </c>
      <c r="W271">
        <f t="shared" si="277"/>
        <v>1</v>
      </c>
      <c r="X271">
        <f t="shared" si="278"/>
        <v>0</v>
      </c>
      <c r="Y271">
        <f>IF(X271&lt;&gt;1,9999,CHOOSE(W271,INDEX(Gantt!$BQ$7:$BQ$119,V271),INDEX(Gantt!$BR$7:$BR$119,V271),INDEX(Gantt!$BT$7:$BT$119,V271),INDEX(Gantt!$BU$7:$BU$119,V271)))</f>
        <v>9999</v>
      </c>
      <c r="Z271">
        <f t="shared" si="279"/>
        <v>0</v>
      </c>
      <c r="AA271" t="e">
        <f t="shared" si="280"/>
        <v>#N/A</v>
      </c>
      <c r="AB271" t="e">
        <f t="shared" si="281"/>
        <v>#N/A</v>
      </c>
      <c r="AC271" t="e">
        <f t="shared" si="282"/>
        <v>#N/A</v>
      </c>
      <c r="AD271" t="e">
        <f t="shared" si="283"/>
        <v>#N/A</v>
      </c>
      <c r="AE271" t="e">
        <f t="shared" si="284"/>
        <v>#N/A</v>
      </c>
      <c r="AF271" t="e">
        <f t="shared" si="285"/>
        <v>#N/A</v>
      </c>
      <c r="AG271" t="e">
        <f t="shared" si="286"/>
        <v>#N/A</v>
      </c>
      <c r="AH271" t="e">
        <f t="shared" si="287"/>
        <v>#N/A</v>
      </c>
      <c r="AI271" t="e">
        <f t="shared" si="288"/>
        <v>#N/A</v>
      </c>
      <c r="AJ271" t="e">
        <f t="shared" si="289"/>
        <v>#N/A</v>
      </c>
      <c r="AK271" t="e">
        <f t="shared" si="290"/>
        <v>#N/A</v>
      </c>
      <c r="AL271" t="e">
        <f t="shared" si="291"/>
        <v>#N/A</v>
      </c>
      <c r="AM271" t="e">
        <f t="shared" si="292"/>
        <v>#N/A</v>
      </c>
      <c r="AN271" t="e">
        <f t="shared" si="293"/>
        <v>#N/A</v>
      </c>
      <c r="AO271" t="e">
        <f t="shared" si="294"/>
        <v>#N/A</v>
      </c>
      <c r="AP271" t="e">
        <f t="shared" si="295"/>
        <v>#N/A</v>
      </c>
      <c r="AQ271" t="e">
        <f t="shared" si="296"/>
        <v>#N/A</v>
      </c>
      <c r="AR271" t="e">
        <f t="shared" si="297"/>
        <v>#N/A</v>
      </c>
      <c r="AS271" t="e">
        <f t="shared" si="298"/>
        <v>#N/A</v>
      </c>
      <c r="AT271" t="e">
        <f t="shared" si="299"/>
        <v>#N/A</v>
      </c>
      <c r="AU271" t="e">
        <f t="shared" si="300"/>
        <v>#N/A</v>
      </c>
      <c r="AV271" t="e">
        <f t="shared" si="301"/>
        <v>#N/A</v>
      </c>
      <c r="AW271" t="e">
        <f t="shared" si="302"/>
        <v>#N/A</v>
      </c>
      <c r="AX271" t="e">
        <f t="shared" si="303"/>
        <v>#N/A</v>
      </c>
      <c r="AY271" t="e">
        <f t="shared" si="304"/>
        <v>#N/A</v>
      </c>
      <c r="BE271" t="e">
        <f>IF(Z271=1,IF(INDEX($C$7:$C$126,V271)&gt;=Gantt!$BF$6,NA(),MATCH(INDEX($C$7:$C$126,V271),Gantt!$J$6:$BE$6,1)),NA())</f>
        <v>#N/A</v>
      </c>
      <c r="BF271" t="e">
        <f>IF(Z271=1,IF((INDEX($D$7:$D$126,AA271)-1)&gt;=Gantt!$BF$6,NA(),IF((INDEX($D$7:$D$126,AA271)-1)&lt;Gantt!$J$6,0,MATCH((INDEX($D$7:$D$126,AA271)-1),Gantt!$J$6:$BE$6,1))),NA())</f>
        <v>#N/A</v>
      </c>
      <c r="BG271" t="e">
        <f t="shared" si="305"/>
        <v>#N/A</v>
      </c>
      <c r="BH271" t="e">
        <f t="shared" si="306"/>
        <v>#N/A</v>
      </c>
      <c r="BI271" t="e">
        <f t="shared" si="307"/>
        <v>#N/A</v>
      </c>
      <c r="BJ271" t="e">
        <f t="shared" si="308"/>
        <v>#N/A</v>
      </c>
      <c r="BK271" t="e">
        <f t="shared" si="309"/>
        <v>#N/A</v>
      </c>
      <c r="BL271" t="e">
        <f t="shared" si="310"/>
        <v>#N/A</v>
      </c>
      <c r="BM271" t="e">
        <f t="shared" si="311"/>
        <v>#N/A</v>
      </c>
      <c r="BN271" t="e">
        <f t="shared" si="312"/>
        <v>#N/A</v>
      </c>
      <c r="BO271" t="e">
        <f t="shared" si="313"/>
        <v>#N/A</v>
      </c>
      <c r="BP271" t="e">
        <f t="shared" si="314"/>
        <v>#N/A</v>
      </c>
      <c r="BQ271" t="e">
        <f t="shared" si="315"/>
        <v>#N/A</v>
      </c>
      <c r="BR271" t="e">
        <f t="shared" si="316"/>
        <v>#N/A</v>
      </c>
      <c r="BS271" t="e">
        <f t="shared" si="317"/>
        <v>#N/A</v>
      </c>
      <c r="BT271" t="e">
        <f t="shared" si="318"/>
        <v>#N/A</v>
      </c>
      <c r="BU271" t="e">
        <f t="shared" si="319"/>
        <v>#N/A</v>
      </c>
      <c r="BV271" t="e">
        <f t="shared" si="320"/>
        <v>#N/A</v>
      </c>
      <c r="BW271" t="e">
        <f t="shared" si="321"/>
        <v>#N/A</v>
      </c>
      <c r="BX271" t="e">
        <f t="shared" si="322"/>
        <v>#N/A</v>
      </c>
      <c r="BY271" t="e">
        <f t="shared" si="323"/>
        <v>#N/A</v>
      </c>
      <c r="BZ271" t="e">
        <f t="shared" si="324"/>
        <v>#N/A</v>
      </c>
      <c r="CA271" t="e">
        <f t="shared" si="325"/>
        <v>#N/A</v>
      </c>
      <c r="CB271" t="e">
        <f t="shared" si="326"/>
        <v>#N/A</v>
      </c>
      <c r="CC271" t="e">
        <f t="shared" si="327"/>
        <v>#N/A</v>
      </c>
      <c r="CD271" t="e">
        <f t="shared" si="328"/>
        <v>#N/A</v>
      </c>
      <c r="CE271" t="e">
        <f t="shared" si="329"/>
        <v>#N/A</v>
      </c>
      <c r="CF271" t="e">
        <f t="shared" si="330"/>
        <v>#N/A</v>
      </c>
      <c r="CG271" t="e">
        <f t="shared" si="331"/>
        <v>#N/A</v>
      </c>
      <c r="CI271" t="e">
        <f>AL95</f>
        <v>#N/A</v>
      </c>
      <c r="CJ271" t="e">
        <f>AM95</f>
        <v>#N/A</v>
      </c>
      <c r="CK271">
        <f>IF(ISNUMBER(CI271),IFERROR(MAX(0,AN95-CI271),0),0)</f>
        <v>0</v>
      </c>
      <c r="CL271">
        <f>IF(ISNUMBER(CI271),IFERROR(MAX(0,CI271-AN95),0),0)</f>
        <v>0</v>
      </c>
      <c r="CM271">
        <f>IF(ISNUMBER(CJ271),IFERROR(MAX(0,AO95-CJ271),0),0)</f>
        <v>0</v>
      </c>
      <c r="CN271">
        <f>IF(ISNUMBER(CJ271),IFERROR(MAX(0,CJ271-AO95),0),0)</f>
        <v>0</v>
      </c>
      <c r="CP271" t="e">
        <f>BT95</f>
        <v>#N/A</v>
      </c>
      <c r="CQ271" t="e">
        <f>BU95</f>
        <v>#N/A</v>
      </c>
      <c r="CR271">
        <f>IF(ISNUMBER(CP271),IFERROR(MAX(0,BV95-CP271),0),0)</f>
        <v>0</v>
      </c>
      <c r="CS271">
        <f>IF(ISNUMBER(CP271),IFERROR(MAX(0,CP271-BV95),0),0)</f>
        <v>0</v>
      </c>
      <c r="CT271">
        <f>IF(ISNUMBER(CQ271),IFERROR(MAX(0,BW95-CQ271),0),0)</f>
        <v>0</v>
      </c>
      <c r="CU271">
        <f>IF(ISNUMBER(CQ271),IFERROR(MAX(0,CQ271-BW95),0),0)</f>
        <v>0</v>
      </c>
    </row>
    <row r="272" spans="21:99" x14ac:dyDescent="0.3">
      <c r="U272">
        <v>266</v>
      </c>
      <c r="V272">
        <f t="shared" si="276"/>
        <v>67</v>
      </c>
      <c r="W272">
        <f t="shared" si="277"/>
        <v>2</v>
      </c>
      <c r="X272">
        <f t="shared" si="278"/>
        <v>0</v>
      </c>
      <c r="Y272">
        <f>IF(X272&lt;&gt;1,9999,CHOOSE(W272,INDEX(Gantt!$BQ$7:$BQ$119,V272),INDEX(Gantt!$BR$7:$BR$119,V272),INDEX(Gantt!$BT$7:$BT$119,V272),INDEX(Gantt!$BU$7:$BU$119,V272)))</f>
        <v>9999</v>
      </c>
      <c r="Z272">
        <f t="shared" si="279"/>
        <v>0</v>
      </c>
      <c r="AA272" t="e">
        <f t="shared" si="280"/>
        <v>#N/A</v>
      </c>
      <c r="AB272" t="e">
        <f t="shared" si="281"/>
        <v>#N/A</v>
      </c>
      <c r="AC272" t="e">
        <f t="shared" si="282"/>
        <v>#N/A</v>
      </c>
      <c r="AD272" t="e">
        <f t="shared" si="283"/>
        <v>#N/A</v>
      </c>
      <c r="AE272" t="e">
        <f t="shared" si="284"/>
        <v>#N/A</v>
      </c>
      <c r="AF272" t="e">
        <f t="shared" si="285"/>
        <v>#N/A</v>
      </c>
      <c r="AG272" t="e">
        <f t="shared" si="286"/>
        <v>#N/A</v>
      </c>
      <c r="AH272" t="e">
        <f t="shared" si="287"/>
        <v>#N/A</v>
      </c>
      <c r="AI272" t="e">
        <f t="shared" si="288"/>
        <v>#N/A</v>
      </c>
      <c r="AJ272" t="e">
        <f t="shared" si="289"/>
        <v>#N/A</v>
      </c>
      <c r="AK272" t="e">
        <f t="shared" si="290"/>
        <v>#N/A</v>
      </c>
      <c r="AL272" t="e">
        <f t="shared" si="291"/>
        <v>#N/A</v>
      </c>
      <c r="AM272" t="e">
        <f t="shared" si="292"/>
        <v>#N/A</v>
      </c>
      <c r="AN272" t="e">
        <f t="shared" si="293"/>
        <v>#N/A</v>
      </c>
      <c r="AO272" t="e">
        <f t="shared" si="294"/>
        <v>#N/A</v>
      </c>
      <c r="AP272" t="e">
        <f t="shared" si="295"/>
        <v>#N/A</v>
      </c>
      <c r="AQ272" t="e">
        <f t="shared" si="296"/>
        <v>#N/A</v>
      </c>
      <c r="AR272" t="e">
        <f t="shared" si="297"/>
        <v>#N/A</v>
      </c>
      <c r="AS272" t="e">
        <f t="shared" si="298"/>
        <v>#N/A</v>
      </c>
      <c r="AT272" t="e">
        <f t="shared" si="299"/>
        <v>#N/A</v>
      </c>
      <c r="AU272" t="e">
        <f t="shared" si="300"/>
        <v>#N/A</v>
      </c>
      <c r="AV272" t="e">
        <f t="shared" si="301"/>
        <v>#N/A</v>
      </c>
      <c r="AW272" t="e">
        <f t="shared" si="302"/>
        <v>#N/A</v>
      </c>
      <c r="AX272" t="e">
        <f t="shared" si="303"/>
        <v>#N/A</v>
      </c>
      <c r="AY272" t="e">
        <f t="shared" si="304"/>
        <v>#N/A</v>
      </c>
      <c r="BE272" t="e">
        <f>IF(Z272=1,IF(INDEX($C$7:$C$126,V272)&gt;=Gantt!$BF$6,NA(),MATCH(INDEX($C$7:$C$126,V272),Gantt!$J$6:$BE$6,1)),NA())</f>
        <v>#N/A</v>
      </c>
      <c r="BF272" t="e">
        <f>IF(Z272=1,IF((INDEX($D$7:$D$126,AA272)-1)&gt;=Gantt!$BF$6,NA(),IF((INDEX($D$7:$D$126,AA272)-1)&lt;Gantt!$J$6,0,MATCH((INDEX($D$7:$D$126,AA272)-1),Gantt!$J$6:$BE$6,1))),NA())</f>
        <v>#N/A</v>
      </c>
      <c r="BG272" t="e">
        <f t="shared" si="305"/>
        <v>#N/A</v>
      </c>
      <c r="BH272" t="e">
        <f t="shared" si="306"/>
        <v>#N/A</v>
      </c>
      <c r="BI272" t="e">
        <f t="shared" si="307"/>
        <v>#N/A</v>
      </c>
      <c r="BJ272" t="e">
        <f t="shared" si="308"/>
        <v>#N/A</v>
      </c>
      <c r="BK272" t="e">
        <f t="shared" si="309"/>
        <v>#N/A</v>
      </c>
      <c r="BL272" t="e">
        <f t="shared" si="310"/>
        <v>#N/A</v>
      </c>
      <c r="BM272" t="e">
        <f t="shared" si="311"/>
        <v>#N/A</v>
      </c>
      <c r="BN272" t="e">
        <f t="shared" si="312"/>
        <v>#N/A</v>
      </c>
      <c r="BO272" t="e">
        <f t="shared" si="313"/>
        <v>#N/A</v>
      </c>
      <c r="BP272" t="e">
        <f t="shared" si="314"/>
        <v>#N/A</v>
      </c>
      <c r="BQ272" t="e">
        <f t="shared" si="315"/>
        <v>#N/A</v>
      </c>
      <c r="BR272" t="e">
        <f t="shared" si="316"/>
        <v>#N/A</v>
      </c>
      <c r="BS272" t="e">
        <f t="shared" si="317"/>
        <v>#N/A</v>
      </c>
      <c r="BT272" t="e">
        <f t="shared" si="318"/>
        <v>#N/A</v>
      </c>
      <c r="BU272" t="e">
        <f t="shared" si="319"/>
        <v>#N/A</v>
      </c>
      <c r="BV272" t="e">
        <f t="shared" si="320"/>
        <v>#N/A</v>
      </c>
      <c r="BW272" t="e">
        <f t="shared" si="321"/>
        <v>#N/A</v>
      </c>
      <c r="BX272" t="e">
        <f t="shared" si="322"/>
        <v>#N/A</v>
      </c>
      <c r="BY272" t="e">
        <f t="shared" si="323"/>
        <v>#N/A</v>
      </c>
      <c r="BZ272" t="e">
        <f t="shared" si="324"/>
        <v>#N/A</v>
      </c>
      <c r="CA272" t="e">
        <f t="shared" si="325"/>
        <v>#N/A</v>
      </c>
      <c r="CB272" t="e">
        <f t="shared" si="326"/>
        <v>#N/A</v>
      </c>
      <c r="CC272" t="e">
        <f t="shared" si="327"/>
        <v>#N/A</v>
      </c>
      <c r="CD272" t="e">
        <f t="shared" si="328"/>
        <v>#N/A</v>
      </c>
      <c r="CE272" t="e">
        <f t="shared" si="329"/>
        <v>#N/A</v>
      </c>
      <c r="CF272" t="e">
        <f t="shared" si="330"/>
        <v>#N/A</v>
      </c>
      <c r="CG272" t="e">
        <f t="shared" si="331"/>
        <v>#N/A</v>
      </c>
      <c r="CI272" t="e">
        <f>AP95</f>
        <v>#N/A</v>
      </c>
      <c r="CJ272" t="e">
        <f>AQ95</f>
        <v>#N/A</v>
      </c>
      <c r="CK272">
        <f>IF(ISNUMBER(CI272),IFERROR(MAX(0,AR95-CI272),0),0)</f>
        <v>0</v>
      </c>
      <c r="CL272">
        <f>IF(ISNUMBER(CI272),IFERROR(MAX(0,CI272-AR95),0),0)</f>
        <v>0</v>
      </c>
      <c r="CM272">
        <f>IF(ISNUMBER(CJ272),IFERROR(MAX(0,AS95-CJ272),0),0)</f>
        <v>0</v>
      </c>
      <c r="CN272">
        <f>IF(ISNUMBER(CJ272),IFERROR(MAX(0,CJ272-AS95),0),0)</f>
        <v>0</v>
      </c>
      <c r="CP272" t="e">
        <f>BX95</f>
        <v>#N/A</v>
      </c>
      <c r="CQ272" t="e">
        <f>BY95</f>
        <v>#N/A</v>
      </c>
      <c r="CR272">
        <f>IF(ISNUMBER(CP272),IFERROR(MAX(0,BZ95-CP272),0),0)</f>
        <v>0</v>
      </c>
      <c r="CS272">
        <f>IF(ISNUMBER(CP272),IFERROR(MAX(0,CP272-BZ95),0),0)</f>
        <v>0</v>
      </c>
      <c r="CT272">
        <f>IF(ISNUMBER(CQ272),IFERROR(MAX(0,CA95-CQ272),0),0)</f>
        <v>0</v>
      </c>
      <c r="CU272">
        <f>IF(ISNUMBER(CQ272),IFERROR(MAX(0,CQ272-CA95),0),0)</f>
        <v>0</v>
      </c>
    </row>
    <row r="273" spans="21:99" x14ac:dyDescent="0.3">
      <c r="U273">
        <v>267</v>
      </c>
      <c r="V273">
        <f t="shared" si="276"/>
        <v>67</v>
      </c>
      <c r="W273">
        <f t="shared" si="277"/>
        <v>3</v>
      </c>
      <c r="X273">
        <f t="shared" si="278"/>
        <v>0</v>
      </c>
      <c r="Y273">
        <f>IF(X273&lt;&gt;1,9999,CHOOSE(W273,INDEX(Gantt!$BQ$7:$BQ$119,V273),INDEX(Gantt!$BR$7:$BR$119,V273),INDEX(Gantt!$BT$7:$BT$119,V273),INDEX(Gantt!$BU$7:$BU$119,V273)))</f>
        <v>9999</v>
      </c>
      <c r="Z273">
        <f t="shared" si="279"/>
        <v>0</v>
      </c>
      <c r="AA273" t="e">
        <f t="shared" si="280"/>
        <v>#N/A</v>
      </c>
      <c r="AB273" t="e">
        <f t="shared" si="281"/>
        <v>#N/A</v>
      </c>
      <c r="AC273" t="e">
        <f t="shared" si="282"/>
        <v>#N/A</v>
      </c>
      <c r="AD273" t="e">
        <f t="shared" si="283"/>
        <v>#N/A</v>
      </c>
      <c r="AE273" t="e">
        <f t="shared" si="284"/>
        <v>#N/A</v>
      </c>
      <c r="AF273" t="e">
        <f t="shared" si="285"/>
        <v>#N/A</v>
      </c>
      <c r="AG273" t="e">
        <f t="shared" si="286"/>
        <v>#N/A</v>
      </c>
      <c r="AH273" t="e">
        <f t="shared" si="287"/>
        <v>#N/A</v>
      </c>
      <c r="AI273" t="e">
        <f t="shared" si="288"/>
        <v>#N/A</v>
      </c>
      <c r="AJ273" t="e">
        <f t="shared" si="289"/>
        <v>#N/A</v>
      </c>
      <c r="AK273" t="e">
        <f t="shared" si="290"/>
        <v>#N/A</v>
      </c>
      <c r="AL273" t="e">
        <f t="shared" si="291"/>
        <v>#N/A</v>
      </c>
      <c r="AM273" t="e">
        <f t="shared" si="292"/>
        <v>#N/A</v>
      </c>
      <c r="AN273" t="e">
        <f t="shared" si="293"/>
        <v>#N/A</v>
      </c>
      <c r="AO273" t="e">
        <f t="shared" si="294"/>
        <v>#N/A</v>
      </c>
      <c r="AP273" t="e">
        <f t="shared" si="295"/>
        <v>#N/A</v>
      </c>
      <c r="AQ273" t="e">
        <f t="shared" si="296"/>
        <v>#N/A</v>
      </c>
      <c r="AR273" t="e">
        <f t="shared" si="297"/>
        <v>#N/A</v>
      </c>
      <c r="AS273" t="e">
        <f t="shared" si="298"/>
        <v>#N/A</v>
      </c>
      <c r="AT273" t="e">
        <f t="shared" si="299"/>
        <v>#N/A</v>
      </c>
      <c r="AU273" t="e">
        <f t="shared" si="300"/>
        <v>#N/A</v>
      </c>
      <c r="AV273" t="e">
        <f t="shared" si="301"/>
        <v>#N/A</v>
      </c>
      <c r="AW273" t="e">
        <f t="shared" si="302"/>
        <v>#N/A</v>
      </c>
      <c r="AX273" t="e">
        <f t="shared" si="303"/>
        <v>#N/A</v>
      </c>
      <c r="AY273" t="e">
        <f t="shared" si="304"/>
        <v>#N/A</v>
      </c>
      <c r="BE273" t="e">
        <f>IF(Z273=1,IF(INDEX($C$7:$C$126,V273)&gt;=Gantt!$BF$6,NA(),MATCH(INDEX($C$7:$C$126,V273),Gantt!$J$6:$BE$6,1)),NA())</f>
        <v>#N/A</v>
      </c>
      <c r="BF273" t="e">
        <f>IF(Z273=1,IF((INDEX($D$7:$D$126,AA273)-1)&gt;=Gantt!$BF$6,NA(),IF((INDEX($D$7:$D$126,AA273)-1)&lt;Gantt!$J$6,0,MATCH((INDEX($D$7:$D$126,AA273)-1),Gantt!$J$6:$BE$6,1))),NA())</f>
        <v>#N/A</v>
      </c>
      <c r="BG273" t="e">
        <f t="shared" si="305"/>
        <v>#N/A</v>
      </c>
      <c r="BH273" t="e">
        <f t="shared" si="306"/>
        <v>#N/A</v>
      </c>
      <c r="BI273" t="e">
        <f t="shared" si="307"/>
        <v>#N/A</v>
      </c>
      <c r="BJ273" t="e">
        <f t="shared" si="308"/>
        <v>#N/A</v>
      </c>
      <c r="BK273" t="e">
        <f t="shared" si="309"/>
        <v>#N/A</v>
      </c>
      <c r="BL273" t="e">
        <f t="shared" si="310"/>
        <v>#N/A</v>
      </c>
      <c r="BM273" t="e">
        <f t="shared" si="311"/>
        <v>#N/A</v>
      </c>
      <c r="BN273" t="e">
        <f t="shared" si="312"/>
        <v>#N/A</v>
      </c>
      <c r="BO273" t="e">
        <f t="shared" si="313"/>
        <v>#N/A</v>
      </c>
      <c r="BP273" t="e">
        <f t="shared" si="314"/>
        <v>#N/A</v>
      </c>
      <c r="BQ273" t="e">
        <f t="shared" si="315"/>
        <v>#N/A</v>
      </c>
      <c r="BR273" t="e">
        <f t="shared" si="316"/>
        <v>#N/A</v>
      </c>
      <c r="BS273" t="e">
        <f t="shared" si="317"/>
        <v>#N/A</v>
      </c>
      <c r="BT273" t="e">
        <f t="shared" si="318"/>
        <v>#N/A</v>
      </c>
      <c r="BU273" t="e">
        <f t="shared" si="319"/>
        <v>#N/A</v>
      </c>
      <c r="BV273" t="e">
        <f t="shared" si="320"/>
        <v>#N/A</v>
      </c>
      <c r="BW273" t="e">
        <f t="shared" si="321"/>
        <v>#N/A</v>
      </c>
      <c r="BX273" t="e">
        <f t="shared" si="322"/>
        <v>#N/A</v>
      </c>
      <c r="BY273" t="e">
        <f t="shared" si="323"/>
        <v>#N/A</v>
      </c>
      <c r="BZ273" t="e">
        <f t="shared" si="324"/>
        <v>#N/A</v>
      </c>
      <c r="CA273" t="e">
        <f t="shared" si="325"/>
        <v>#N/A</v>
      </c>
      <c r="CB273" t="e">
        <f t="shared" si="326"/>
        <v>#N/A</v>
      </c>
      <c r="CC273" t="e">
        <f t="shared" si="327"/>
        <v>#N/A</v>
      </c>
      <c r="CD273" t="e">
        <f t="shared" si="328"/>
        <v>#N/A</v>
      </c>
      <c r="CE273" t="e">
        <f t="shared" si="329"/>
        <v>#N/A</v>
      </c>
      <c r="CF273" t="e">
        <f t="shared" si="330"/>
        <v>#N/A</v>
      </c>
      <c r="CG273" t="e">
        <f t="shared" si="331"/>
        <v>#N/A</v>
      </c>
      <c r="CI273" t="e">
        <f>AT95</f>
        <v>#N/A</v>
      </c>
      <c r="CJ273" t="e">
        <f>AU95</f>
        <v>#N/A</v>
      </c>
      <c r="CK273">
        <f>IF(ISNUMBER(CI273),IFERROR(MAX(0,AV95-CI273),0),0)</f>
        <v>0</v>
      </c>
      <c r="CL273">
        <f>IF(ISNUMBER(CI273),IFERROR(MAX(0,CI273-AV95),0),0)</f>
        <v>0</v>
      </c>
      <c r="CM273">
        <f>IF(ISNUMBER(CJ273),IFERROR(MAX(0,AW95-CJ273),0),0)</f>
        <v>0</v>
      </c>
      <c r="CN273">
        <f>IF(ISNUMBER(CJ273),IFERROR(MAX(0,CJ273-AW95),0),0)</f>
        <v>0</v>
      </c>
      <c r="CP273" t="e">
        <f>CB95</f>
        <v>#N/A</v>
      </c>
      <c r="CQ273" t="e">
        <f>CC95</f>
        <v>#N/A</v>
      </c>
      <c r="CR273">
        <f>IF(ISNUMBER(CP273),IFERROR(MAX(0,CD95-CP273),0),0)</f>
        <v>0</v>
      </c>
      <c r="CS273">
        <f>IF(ISNUMBER(CP273),IFERROR(MAX(0,CP273-CD95),0),0)</f>
        <v>0</v>
      </c>
      <c r="CT273">
        <f>IF(ISNUMBER(CQ273),IFERROR(MAX(0,CE95-CQ273),0),0)</f>
        <v>0</v>
      </c>
      <c r="CU273">
        <f>IF(ISNUMBER(CQ273),IFERROR(MAX(0,CQ273-CE95),0),0)</f>
        <v>0</v>
      </c>
    </row>
    <row r="274" spans="21:99" x14ac:dyDescent="0.3">
      <c r="U274">
        <v>268</v>
      </c>
      <c r="V274">
        <f t="shared" si="276"/>
        <v>67</v>
      </c>
      <c r="W274">
        <f t="shared" si="277"/>
        <v>4</v>
      </c>
      <c r="X274">
        <f t="shared" si="278"/>
        <v>0</v>
      </c>
      <c r="Y274">
        <f>IF(X274&lt;&gt;1,9999,CHOOSE(W274,INDEX(Gantt!$BQ$7:$BQ$119,V274),INDEX(Gantt!$BR$7:$BR$119,V274),INDEX(Gantt!$BT$7:$BT$119,V274),INDEX(Gantt!$BU$7:$BU$119,V274)))</f>
        <v>9999</v>
      </c>
      <c r="Z274">
        <f t="shared" si="279"/>
        <v>0</v>
      </c>
      <c r="AA274" t="e">
        <f t="shared" si="280"/>
        <v>#N/A</v>
      </c>
      <c r="AB274" t="e">
        <f t="shared" si="281"/>
        <v>#N/A</v>
      </c>
      <c r="AC274" t="e">
        <f t="shared" si="282"/>
        <v>#N/A</v>
      </c>
      <c r="AD274" t="e">
        <f t="shared" si="283"/>
        <v>#N/A</v>
      </c>
      <c r="AE274" t="e">
        <f t="shared" si="284"/>
        <v>#N/A</v>
      </c>
      <c r="AF274" t="e">
        <f t="shared" si="285"/>
        <v>#N/A</v>
      </c>
      <c r="AG274" t="e">
        <f t="shared" si="286"/>
        <v>#N/A</v>
      </c>
      <c r="AH274" t="e">
        <f t="shared" si="287"/>
        <v>#N/A</v>
      </c>
      <c r="AI274" t="e">
        <f t="shared" si="288"/>
        <v>#N/A</v>
      </c>
      <c r="AJ274" t="e">
        <f t="shared" si="289"/>
        <v>#N/A</v>
      </c>
      <c r="AK274" t="e">
        <f t="shared" si="290"/>
        <v>#N/A</v>
      </c>
      <c r="AL274" t="e">
        <f t="shared" si="291"/>
        <v>#N/A</v>
      </c>
      <c r="AM274" t="e">
        <f t="shared" si="292"/>
        <v>#N/A</v>
      </c>
      <c r="AN274" t="e">
        <f t="shared" si="293"/>
        <v>#N/A</v>
      </c>
      <c r="AO274" t="e">
        <f t="shared" si="294"/>
        <v>#N/A</v>
      </c>
      <c r="AP274" t="e">
        <f t="shared" si="295"/>
        <v>#N/A</v>
      </c>
      <c r="AQ274" t="e">
        <f t="shared" si="296"/>
        <v>#N/A</v>
      </c>
      <c r="AR274" t="e">
        <f t="shared" si="297"/>
        <v>#N/A</v>
      </c>
      <c r="AS274" t="e">
        <f t="shared" si="298"/>
        <v>#N/A</v>
      </c>
      <c r="AT274" t="e">
        <f t="shared" si="299"/>
        <v>#N/A</v>
      </c>
      <c r="AU274" t="e">
        <f t="shared" si="300"/>
        <v>#N/A</v>
      </c>
      <c r="AV274" t="e">
        <f t="shared" si="301"/>
        <v>#N/A</v>
      </c>
      <c r="AW274" t="e">
        <f t="shared" si="302"/>
        <v>#N/A</v>
      </c>
      <c r="AX274" t="e">
        <f t="shared" si="303"/>
        <v>#N/A</v>
      </c>
      <c r="AY274" t="e">
        <f t="shared" si="304"/>
        <v>#N/A</v>
      </c>
      <c r="BE274" t="e">
        <f>IF(Z274=1,IF(INDEX($C$7:$C$126,V274)&gt;=Gantt!$BF$6,NA(),MATCH(INDEX($C$7:$C$126,V274),Gantt!$J$6:$BE$6,1)),NA())</f>
        <v>#N/A</v>
      </c>
      <c r="BF274" t="e">
        <f>IF(Z274=1,IF((INDEX($D$7:$D$126,AA274)-1)&gt;=Gantt!$BF$6,NA(),IF((INDEX($D$7:$D$126,AA274)-1)&lt;Gantt!$J$6,0,MATCH((INDEX($D$7:$D$126,AA274)-1),Gantt!$J$6:$BE$6,1))),NA())</f>
        <v>#N/A</v>
      </c>
      <c r="BG274" t="e">
        <f t="shared" si="305"/>
        <v>#N/A</v>
      </c>
      <c r="BH274" t="e">
        <f t="shared" si="306"/>
        <v>#N/A</v>
      </c>
      <c r="BI274" t="e">
        <f t="shared" si="307"/>
        <v>#N/A</v>
      </c>
      <c r="BJ274" t="e">
        <f t="shared" si="308"/>
        <v>#N/A</v>
      </c>
      <c r="BK274" t="e">
        <f t="shared" si="309"/>
        <v>#N/A</v>
      </c>
      <c r="BL274" t="e">
        <f t="shared" si="310"/>
        <v>#N/A</v>
      </c>
      <c r="BM274" t="e">
        <f t="shared" si="311"/>
        <v>#N/A</v>
      </c>
      <c r="BN274" t="e">
        <f t="shared" si="312"/>
        <v>#N/A</v>
      </c>
      <c r="BO274" t="e">
        <f t="shared" si="313"/>
        <v>#N/A</v>
      </c>
      <c r="BP274" t="e">
        <f t="shared" si="314"/>
        <v>#N/A</v>
      </c>
      <c r="BQ274" t="e">
        <f t="shared" si="315"/>
        <v>#N/A</v>
      </c>
      <c r="BR274" t="e">
        <f t="shared" si="316"/>
        <v>#N/A</v>
      </c>
      <c r="BS274" t="e">
        <f t="shared" si="317"/>
        <v>#N/A</v>
      </c>
      <c r="BT274" t="e">
        <f t="shared" si="318"/>
        <v>#N/A</v>
      </c>
      <c r="BU274" t="e">
        <f t="shared" si="319"/>
        <v>#N/A</v>
      </c>
      <c r="BV274" t="e">
        <f t="shared" si="320"/>
        <v>#N/A</v>
      </c>
      <c r="BW274" t="e">
        <f t="shared" si="321"/>
        <v>#N/A</v>
      </c>
      <c r="BX274" t="e">
        <f t="shared" si="322"/>
        <v>#N/A</v>
      </c>
      <c r="BY274" t="e">
        <f t="shared" si="323"/>
        <v>#N/A</v>
      </c>
      <c r="BZ274" t="e">
        <f t="shared" si="324"/>
        <v>#N/A</v>
      </c>
      <c r="CA274" t="e">
        <f t="shared" si="325"/>
        <v>#N/A</v>
      </c>
      <c r="CB274" t="e">
        <f t="shared" si="326"/>
        <v>#N/A</v>
      </c>
      <c r="CC274" t="e">
        <f t="shared" si="327"/>
        <v>#N/A</v>
      </c>
      <c r="CD274" t="e">
        <f t="shared" si="328"/>
        <v>#N/A</v>
      </c>
      <c r="CE274" t="e">
        <f t="shared" si="329"/>
        <v>#N/A</v>
      </c>
      <c r="CF274" t="e">
        <f t="shared" si="330"/>
        <v>#N/A</v>
      </c>
      <c r="CG274" t="e">
        <f t="shared" si="331"/>
        <v>#N/A</v>
      </c>
      <c r="CI274" t="e">
        <f>AL96</f>
        <v>#N/A</v>
      </c>
      <c r="CJ274" t="e">
        <f>AM96</f>
        <v>#N/A</v>
      </c>
      <c r="CK274">
        <f>IF(ISNUMBER(CI274),IFERROR(MAX(0,AN96-CI274),0),0)</f>
        <v>0</v>
      </c>
      <c r="CL274">
        <f>IF(ISNUMBER(CI274),IFERROR(MAX(0,CI274-AN96),0),0)</f>
        <v>0</v>
      </c>
      <c r="CM274">
        <f>IF(ISNUMBER(CJ274),IFERROR(MAX(0,AO96-CJ274),0),0)</f>
        <v>0</v>
      </c>
      <c r="CN274">
        <f>IF(ISNUMBER(CJ274),IFERROR(MAX(0,CJ274-AO96),0),0)</f>
        <v>0</v>
      </c>
      <c r="CP274" t="e">
        <f>BT96</f>
        <v>#N/A</v>
      </c>
      <c r="CQ274" t="e">
        <f>BU96</f>
        <v>#N/A</v>
      </c>
      <c r="CR274">
        <f>IF(ISNUMBER(CP274),IFERROR(MAX(0,BV96-CP274),0),0)</f>
        <v>0</v>
      </c>
      <c r="CS274">
        <f>IF(ISNUMBER(CP274),IFERROR(MAX(0,CP274-BV96),0),0)</f>
        <v>0</v>
      </c>
      <c r="CT274">
        <f>IF(ISNUMBER(CQ274),IFERROR(MAX(0,BW96-CQ274),0),0)</f>
        <v>0</v>
      </c>
      <c r="CU274">
        <f>IF(ISNUMBER(CQ274),IFERROR(MAX(0,CQ274-BW96),0),0)</f>
        <v>0</v>
      </c>
    </row>
    <row r="275" spans="21:99" x14ac:dyDescent="0.3">
      <c r="U275">
        <v>269</v>
      </c>
      <c r="V275">
        <f t="shared" si="276"/>
        <v>68</v>
      </c>
      <c r="W275">
        <f t="shared" si="277"/>
        <v>1</v>
      </c>
      <c r="X275">
        <f t="shared" si="278"/>
        <v>0</v>
      </c>
      <c r="Y275">
        <f>IF(X275&lt;&gt;1,9999,CHOOSE(W275,INDEX(Gantt!$BQ$7:$BQ$119,V275),INDEX(Gantt!$BR$7:$BR$119,V275),INDEX(Gantt!$BT$7:$BT$119,V275),INDEX(Gantt!$BU$7:$BU$119,V275)))</f>
        <v>9999</v>
      </c>
      <c r="Z275">
        <f t="shared" si="279"/>
        <v>0</v>
      </c>
      <c r="AA275" t="e">
        <f t="shared" si="280"/>
        <v>#N/A</v>
      </c>
      <c r="AB275" t="e">
        <f t="shared" si="281"/>
        <v>#N/A</v>
      </c>
      <c r="AC275" t="e">
        <f t="shared" si="282"/>
        <v>#N/A</v>
      </c>
      <c r="AD275" t="e">
        <f t="shared" si="283"/>
        <v>#N/A</v>
      </c>
      <c r="AE275" t="e">
        <f t="shared" si="284"/>
        <v>#N/A</v>
      </c>
      <c r="AF275" t="e">
        <f t="shared" si="285"/>
        <v>#N/A</v>
      </c>
      <c r="AG275" t="e">
        <f t="shared" si="286"/>
        <v>#N/A</v>
      </c>
      <c r="AH275" t="e">
        <f t="shared" si="287"/>
        <v>#N/A</v>
      </c>
      <c r="AI275" t="e">
        <f t="shared" si="288"/>
        <v>#N/A</v>
      </c>
      <c r="AJ275" t="e">
        <f t="shared" si="289"/>
        <v>#N/A</v>
      </c>
      <c r="AK275" t="e">
        <f t="shared" si="290"/>
        <v>#N/A</v>
      </c>
      <c r="AL275" t="e">
        <f t="shared" si="291"/>
        <v>#N/A</v>
      </c>
      <c r="AM275" t="e">
        <f t="shared" si="292"/>
        <v>#N/A</v>
      </c>
      <c r="AN275" t="e">
        <f t="shared" si="293"/>
        <v>#N/A</v>
      </c>
      <c r="AO275" t="e">
        <f t="shared" si="294"/>
        <v>#N/A</v>
      </c>
      <c r="AP275" t="e">
        <f t="shared" si="295"/>
        <v>#N/A</v>
      </c>
      <c r="AQ275" t="e">
        <f t="shared" si="296"/>
        <v>#N/A</v>
      </c>
      <c r="AR275" t="e">
        <f t="shared" si="297"/>
        <v>#N/A</v>
      </c>
      <c r="AS275" t="e">
        <f t="shared" si="298"/>
        <v>#N/A</v>
      </c>
      <c r="AT275" t="e">
        <f t="shared" si="299"/>
        <v>#N/A</v>
      </c>
      <c r="AU275" t="e">
        <f t="shared" si="300"/>
        <v>#N/A</v>
      </c>
      <c r="AV275" t="e">
        <f t="shared" si="301"/>
        <v>#N/A</v>
      </c>
      <c r="AW275" t="e">
        <f t="shared" si="302"/>
        <v>#N/A</v>
      </c>
      <c r="AX275" t="e">
        <f t="shared" si="303"/>
        <v>#N/A</v>
      </c>
      <c r="AY275" t="e">
        <f t="shared" si="304"/>
        <v>#N/A</v>
      </c>
      <c r="BE275" t="e">
        <f>IF(Z275=1,IF(INDEX($C$7:$C$126,V275)&gt;=Gantt!$BF$6,NA(),MATCH(INDEX($C$7:$C$126,V275),Gantt!$J$6:$BE$6,1)),NA())</f>
        <v>#N/A</v>
      </c>
      <c r="BF275" t="e">
        <f>IF(Z275=1,IF((INDEX($D$7:$D$126,AA275)-1)&gt;=Gantt!$BF$6,NA(),IF((INDEX($D$7:$D$126,AA275)-1)&lt;Gantt!$J$6,0,MATCH((INDEX($D$7:$D$126,AA275)-1),Gantt!$J$6:$BE$6,1))),NA())</f>
        <v>#N/A</v>
      </c>
      <c r="BG275" t="e">
        <f t="shared" si="305"/>
        <v>#N/A</v>
      </c>
      <c r="BH275" t="e">
        <f t="shared" si="306"/>
        <v>#N/A</v>
      </c>
      <c r="BI275" t="e">
        <f t="shared" si="307"/>
        <v>#N/A</v>
      </c>
      <c r="BJ275" t="e">
        <f t="shared" si="308"/>
        <v>#N/A</v>
      </c>
      <c r="BK275" t="e">
        <f t="shared" si="309"/>
        <v>#N/A</v>
      </c>
      <c r="BL275" t="e">
        <f t="shared" si="310"/>
        <v>#N/A</v>
      </c>
      <c r="BM275" t="e">
        <f t="shared" si="311"/>
        <v>#N/A</v>
      </c>
      <c r="BN275" t="e">
        <f t="shared" si="312"/>
        <v>#N/A</v>
      </c>
      <c r="BO275" t="e">
        <f t="shared" si="313"/>
        <v>#N/A</v>
      </c>
      <c r="BP275" t="e">
        <f t="shared" si="314"/>
        <v>#N/A</v>
      </c>
      <c r="BQ275" t="e">
        <f t="shared" si="315"/>
        <v>#N/A</v>
      </c>
      <c r="BR275" t="e">
        <f t="shared" si="316"/>
        <v>#N/A</v>
      </c>
      <c r="BS275" t="e">
        <f t="shared" si="317"/>
        <v>#N/A</v>
      </c>
      <c r="BT275" t="e">
        <f t="shared" si="318"/>
        <v>#N/A</v>
      </c>
      <c r="BU275" t="e">
        <f t="shared" si="319"/>
        <v>#N/A</v>
      </c>
      <c r="BV275" t="e">
        <f t="shared" si="320"/>
        <v>#N/A</v>
      </c>
      <c r="BW275" t="e">
        <f t="shared" si="321"/>
        <v>#N/A</v>
      </c>
      <c r="BX275" t="e">
        <f t="shared" si="322"/>
        <v>#N/A</v>
      </c>
      <c r="BY275" t="e">
        <f t="shared" si="323"/>
        <v>#N/A</v>
      </c>
      <c r="BZ275" t="e">
        <f t="shared" si="324"/>
        <v>#N/A</v>
      </c>
      <c r="CA275" t="e">
        <f t="shared" si="325"/>
        <v>#N/A</v>
      </c>
      <c r="CB275" t="e">
        <f t="shared" si="326"/>
        <v>#N/A</v>
      </c>
      <c r="CC275" t="e">
        <f t="shared" si="327"/>
        <v>#N/A</v>
      </c>
      <c r="CD275" t="e">
        <f t="shared" si="328"/>
        <v>#N/A</v>
      </c>
      <c r="CE275" t="e">
        <f t="shared" si="329"/>
        <v>#N/A</v>
      </c>
      <c r="CF275" t="e">
        <f t="shared" si="330"/>
        <v>#N/A</v>
      </c>
      <c r="CG275" t="e">
        <f t="shared" si="331"/>
        <v>#N/A</v>
      </c>
      <c r="CI275" t="e">
        <f>AP96</f>
        <v>#N/A</v>
      </c>
      <c r="CJ275" t="e">
        <f>AQ96</f>
        <v>#N/A</v>
      </c>
      <c r="CK275">
        <f>IF(ISNUMBER(CI275),IFERROR(MAX(0,AR96-CI275),0),0)</f>
        <v>0</v>
      </c>
      <c r="CL275">
        <f>IF(ISNUMBER(CI275),IFERROR(MAX(0,CI275-AR96),0),0)</f>
        <v>0</v>
      </c>
      <c r="CM275">
        <f>IF(ISNUMBER(CJ275),IFERROR(MAX(0,AS96-CJ275),0),0)</f>
        <v>0</v>
      </c>
      <c r="CN275">
        <f>IF(ISNUMBER(CJ275),IFERROR(MAX(0,CJ275-AS96),0),0)</f>
        <v>0</v>
      </c>
      <c r="CP275" t="e">
        <f>BX96</f>
        <v>#N/A</v>
      </c>
      <c r="CQ275" t="e">
        <f>BY96</f>
        <v>#N/A</v>
      </c>
      <c r="CR275">
        <f>IF(ISNUMBER(CP275),IFERROR(MAX(0,BZ96-CP275),0),0)</f>
        <v>0</v>
      </c>
      <c r="CS275">
        <f>IF(ISNUMBER(CP275),IFERROR(MAX(0,CP275-BZ96),0),0)</f>
        <v>0</v>
      </c>
      <c r="CT275">
        <f>IF(ISNUMBER(CQ275),IFERROR(MAX(0,CA96-CQ275),0),0)</f>
        <v>0</v>
      </c>
      <c r="CU275">
        <f>IF(ISNUMBER(CQ275),IFERROR(MAX(0,CQ275-CA96),0),0)</f>
        <v>0</v>
      </c>
    </row>
    <row r="276" spans="21:99" x14ac:dyDescent="0.3">
      <c r="U276">
        <v>270</v>
      </c>
      <c r="V276">
        <f t="shared" si="276"/>
        <v>68</v>
      </c>
      <c r="W276">
        <f t="shared" si="277"/>
        <v>2</v>
      </c>
      <c r="X276">
        <f t="shared" si="278"/>
        <v>0</v>
      </c>
      <c r="Y276">
        <f>IF(X276&lt;&gt;1,9999,CHOOSE(W276,INDEX(Gantt!$BQ$7:$BQ$119,V276),INDEX(Gantt!$BR$7:$BR$119,V276),INDEX(Gantt!$BT$7:$BT$119,V276),INDEX(Gantt!$BU$7:$BU$119,V276)))</f>
        <v>9999</v>
      </c>
      <c r="Z276">
        <f t="shared" si="279"/>
        <v>0</v>
      </c>
      <c r="AA276" t="e">
        <f t="shared" si="280"/>
        <v>#N/A</v>
      </c>
      <c r="AB276" t="e">
        <f t="shared" si="281"/>
        <v>#N/A</v>
      </c>
      <c r="AC276" t="e">
        <f t="shared" si="282"/>
        <v>#N/A</v>
      </c>
      <c r="AD276" t="e">
        <f t="shared" si="283"/>
        <v>#N/A</v>
      </c>
      <c r="AE276" t="e">
        <f t="shared" si="284"/>
        <v>#N/A</v>
      </c>
      <c r="AF276" t="e">
        <f t="shared" si="285"/>
        <v>#N/A</v>
      </c>
      <c r="AG276" t="e">
        <f t="shared" si="286"/>
        <v>#N/A</v>
      </c>
      <c r="AH276" t="e">
        <f t="shared" si="287"/>
        <v>#N/A</v>
      </c>
      <c r="AI276" t="e">
        <f t="shared" si="288"/>
        <v>#N/A</v>
      </c>
      <c r="AJ276" t="e">
        <f t="shared" si="289"/>
        <v>#N/A</v>
      </c>
      <c r="AK276" t="e">
        <f t="shared" si="290"/>
        <v>#N/A</v>
      </c>
      <c r="AL276" t="e">
        <f t="shared" si="291"/>
        <v>#N/A</v>
      </c>
      <c r="AM276" t="e">
        <f t="shared" si="292"/>
        <v>#N/A</v>
      </c>
      <c r="AN276" t="e">
        <f t="shared" si="293"/>
        <v>#N/A</v>
      </c>
      <c r="AO276" t="e">
        <f t="shared" si="294"/>
        <v>#N/A</v>
      </c>
      <c r="AP276" t="e">
        <f t="shared" si="295"/>
        <v>#N/A</v>
      </c>
      <c r="AQ276" t="e">
        <f t="shared" si="296"/>
        <v>#N/A</v>
      </c>
      <c r="AR276" t="e">
        <f t="shared" si="297"/>
        <v>#N/A</v>
      </c>
      <c r="AS276" t="e">
        <f t="shared" si="298"/>
        <v>#N/A</v>
      </c>
      <c r="AT276" t="e">
        <f t="shared" si="299"/>
        <v>#N/A</v>
      </c>
      <c r="AU276" t="e">
        <f t="shared" si="300"/>
        <v>#N/A</v>
      </c>
      <c r="AV276" t="e">
        <f t="shared" si="301"/>
        <v>#N/A</v>
      </c>
      <c r="AW276" t="e">
        <f t="shared" si="302"/>
        <v>#N/A</v>
      </c>
      <c r="AX276" t="e">
        <f t="shared" si="303"/>
        <v>#N/A</v>
      </c>
      <c r="AY276" t="e">
        <f t="shared" si="304"/>
        <v>#N/A</v>
      </c>
      <c r="BE276" t="e">
        <f>IF(Z276=1,IF(INDEX($C$7:$C$126,V276)&gt;=Gantt!$BF$6,NA(),MATCH(INDEX($C$7:$C$126,V276),Gantt!$J$6:$BE$6,1)),NA())</f>
        <v>#N/A</v>
      </c>
      <c r="BF276" t="e">
        <f>IF(Z276=1,IF((INDEX($D$7:$D$126,AA276)-1)&gt;=Gantt!$BF$6,NA(),IF((INDEX($D$7:$D$126,AA276)-1)&lt;Gantt!$J$6,0,MATCH((INDEX($D$7:$D$126,AA276)-1),Gantt!$J$6:$BE$6,1))),NA())</f>
        <v>#N/A</v>
      </c>
      <c r="BG276" t="e">
        <f t="shared" si="305"/>
        <v>#N/A</v>
      </c>
      <c r="BH276" t="e">
        <f t="shared" si="306"/>
        <v>#N/A</v>
      </c>
      <c r="BI276" t="e">
        <f t="shared" si="307"/>
        <v>#N/A</v>
      </c>
      <c r="BJ276" t="e">
        <f t="shared" si="308"/>
        <v>#N/A</v>
      </c>
      <c r="BK276" t="e">
        <f t="shared" si="309"/>
        <v>#N/A</v>
      </c>
      <c r="BL276" t="e">
        <f t="shared" si="310"/>
        <v>#N/A</v>
      </c>
      <c r="BM276" t="e">
        <f t="shared" si="311"/>
        <v>#N/A</v>
      </c>
      <c r="BN276" t="e">
        <f t="shared" si="312"/>
        <v>#N/A</v>
      </c>
      <c r="BO276" t="e">
        <f t="shared" si="313"/>
        <v>#N/A</v>
      </c>
      <c r="BP276" t="e">
        <f t="shared" si="314"/>
        <v>#N/A</v>
      </c>
      <c r="BQ276" t="e">
        <f t="shared" si="315"/>
        <v>#N/A</v>
      </c>
      <c r="BR276" t="e">
        <f t="shared" si="316"/>
        <v>#N/A</v>
      </c>
      <c r="BS276" t="e">
        <f t="shared" si="317"/>
        <v>#N/A</v>
      </c>
      <c r="BT276" t="e">
        <f t="shared" si="318"/>
        <v>#N/A</v>
      </c>
      <c r="BU276" t="e">
        <f t="shared" si="319"/>
        <v>#N/A</v>
      </c>
      <c r="BV276" t="e">
        <f t="shared" si="320"/>
        <v>#N/A</v>
      </c>
      <c r="BW276" t="e">
        <f t="shared" si="321"/>
        <v>#N/A</v>
      </c>
      <c r="BX276" t="e">
        <f t="shared" si="322"/>
        <v>#N/A</v>
      </c>
      <c r="BY276" t="e">
        <f t="shared" si="323"/>
        <v>#N/A</v>
      </c>
      <c r="BZ276" t="e">
        <f t="shared" si="324"/>
        <v>#N/A</v>
      </c>
      <c r="CA276" t="e">
        <f t="shared" si="325"/>
        <v>#N/A</v>
      </c>
      <c r="CB276" t="e">
        <f t="shared" si="326"/>
        <v>#N/A</v>
      </c>
      <c r="CC276" t="e">
        <f t="shared" si="327"/>
        <v>#N/A</v>
      </c>
      <c r="CD276" t="e">
        <f t="shared" si="328"/>
        <v>#N/A</v>
      </c>
      <c r="CE276" t="e">
        <f t="shared" si="329"/>
        <v>#N/A</v>
      </c>
      <c r="CF276" t="e">
        <f t="shared" si="330"/>
        <v>#N/A</v>
      </c>
      <c r="CG276" t="e">
        <f t="shared" si="331"/>
        <v>#N/A</v>
      </c>
      <c r="CI276" t="e">
        <f>AT96</f>
        <v>#N/A</v>
      </c>
      <c r="CJ276" t="e">
        <f>AU96</f>
        <v>#N/A</v>
      </c>
      <c r="CK276">
        <f>IF(ISNUMBER(CI276),IFERROR(MAX(0,AV96-CI276),0),0)</f>
        <v>0</v>
      </c>
      <c r="CL276">
        <f>IF(ISNUMBER(CI276),IFERROR(MAX(0,CI276-AV96),0),0)</f>
        <v>0</v>
      </c>
      <c r="CM276">
        <f>IF(ISNUMBER(CJ276),IFERROR(MAX(0,AW96-CJ276),0),0)</f>
        <v>0</v>
      </c>
      <c r="CN276">
        <f>IF(ISNUMBER(CJ276),IFERROR(MAX(0,CJ276-AW96),0),0)</f>
        <v>0</v>
      </c>
      <c r="CP276" t="e">
        <f>CB96</f>
        <v>#N/A</v>
      </c>
      <c r="CQ276" t="e">
        <f>CC96</f>
        <v>#N/A</v>
      </c>
      <c r="CR276">
        <f>IF(ISNUMBER(CP276),IFERROR(MAX(0,CD96-CP276),0),0)</f>
        <v>0</v>
      </c>
      <c r="CS276">
        <f>IF(ISNUMBER(CP276),IFERROR(MAX(0,CP276-CD96),0),0)</f>
        <v>0</v>
      </c>
      <c r="CT276">
        <f>IF(ISNUMBER(CQ276),IFERROR(MAX(0,CE96-CQ276),0),0)</f>
        <v>0</v>
      </c>
      <c r="CU276">
        <f>IF(ISNUMBER(CQ276),IFERROR(MAX(0,CQ276-CE96),0),0)</f>
        <v>0</v>
      </c>
    </row>
    <row r="277" spans="21:99" x14ac:dyDescent="0.3">
      <c r="U277">
        <v>271</v>
      </c>
      <c r="V277">
        <f t="shared" si="276"/>
        <v>68</v>
      </c>
      <c r="W277">
        <f t="shared" si="277"/>
        <v>3</v>
      </c>
      <c r="X277">
        <f t="shared" si="278"/>
        <v>0</v>
      </c>
      <c r="Y277">
        <f>IF(X277&lt;&gt;1,9999,CHOOSE(W277,INDEX(Gantt!$BQ$7:$BQ$119,V277),INDEX(Gantt!$BR$7:$BR$119,V277),INDEX(Gantt!$BT$7:$BT$119,V277),INDEX(Gantt!$BU$7:$BU$119,V277)))</f>
        <v>9999</v>
      </c>
      <c r="Z277">
        <f t="shared" si="279"/>
        <v>0</v>
      </c>
      <c r="AA277" t="e">
        <f t="shared" si="280"/>
        <v>#N/A</v>
      </c>
      <c r="AB277" t="e">
        <f t="shared" si="281"/>
        <v>#N/A</v>
      </c>
      <c r="AC277" t="e">
        <f t="shared" si="282"/>
        <v>#N/A</v>
      </c>
      <c r="AD277" t="e">
        <f t="shared" si="283"/>
        <v>#N/A</v>
      </c>
      <c r="AE277" t="e">
        <f t="shared" si="284"/>
        <v>#N/A</v>
      </c>
      <c r="AF277" t="e">
        <f t="shared" si="285"/>
        <v>#N/A</v>
      </c>
      <c r="AG277" t="e">
        <f t="shared" si="286"/>
        <v>#N/A</v>
      </c>
      <c r="AH277" t="e">
        <f t="shared" si="287"/>
        <v>#N/A</v>
      </c>
      <c r="AI277" t="e">
        <f t="shared" si="288"/>
        <v>#N/A</v>
      </c>
      <c r="AJ277" t="e">
        <f t="shared" si="289"/>
        <v>#N/A</v>
      </c>
      <c r="AK277" t="e">
        <f t="shared" si="290"/>
        <v>#N/A</v>
      </c>
      <c r="AL277" t="e">
        <f t="shared" si="291"/>
        <v>#N/A</v>
      </c>
      <c r="AM277" t="e">
        <f t="shared" si="292"/>
        <v>#N/A</v>
      </c>
      <c r="AN277" t="e">
        <f t="shared" si="293"/>
        <v>#N/A</v>
      </c>
      <c r="AO277" t="e">
        <f t="shared" si="294"/>
        <v>#N/A</v>
      </c>
      <c r="AP277" t="e">
        <f t="shared" si="295"/>
        <v>#N/A</v>
      </c>
      <c r="AQ277" t="e">
        <f t="shared" si="296"/>
        <v>#N/A</v>
      </c>
      <c r="AR277" t="e">
        <f t="shared" si="297"/>
        <v>#N/A</v>
      </c>
      <c r="AS277" t="e">
        <f t="shared" si="298"/>
        <v>#N/A</v>
      </c>
      <c r="AT277" t="e">
        <f t="shared" si="299"/>
        <v>#N/A</v>
      </c>
      <c r="AU277" t="e">
        <f t="shared" si="300"/>
        <v>#N/A</v>
      </c>
      <c r="AV277" t="e">
        <f t="shared" si="301"/>
        <v>#N/A</v>
      </c>
      <c r="AW277" t="e">
        <f t="shared" si="302"/>
        <v>#N/A</v>
      </c>
      <c r="AX277" t="e">
        <f t="shared" si="303"/>
        <v>#N/A</v>
      </c>
      <c r="AY277" t="e">
        <f t="shared" si="304"/>
        <v>#N/A</v>
      </c>
      <c r="BE277" t="e">
        <f>IF(Z277=1,IF(INDEX($C$7:$C$126,V277)&gt;=Gantt!$BF$6,NA(),MATCH(INDEX($C$7:$C$126,V277),Gantt!$J$6:$BE$6,1)),NA())</f>
        <v>#N/A</v>
      </c>
      <c r="BF277" t="e">
        <f>IF(Z277=1,IF((INDEX($D$7:$D$126,AA277)-1)&gt;=Gantt!$BF$6,NA(),IF((INDEX($D$7:$D$126,AA277)-1)&lt;Gantt!$J$6,0,MATCH((INDEX($D$7:$D$126,AA277)-1),Gantt!$J$6:$BE$6,1))),NA())</f>
        <v>#N/A</v>
      </c>
      <c r="BG277" t="e">
        <f t="shared" si="305"/>
        <v>#N/A</v>
      </c>
      <c r="BH277" t="e">
        <f t="shared" si="306"/>
        <v>#N/A</v>
      </c>
      <c r="BI277" t="e">
        <f t="shared" si="307"/>
        <v>#N/A</v>
      </c>
      <c r="BJ277" t="e">
        <f t="shared" si="308"/>
        <v>#N/A</v>
      </c>
      <c r="BK277" t="e">
        <f t="shared" si="309"/>
        <v>#N/A</v>
      </c>
      <c r="BL277" t="e">
        <f t="shared" si="310"/>
        <v>#N/A</v>
      </c>
      <c r="BM277" t="e">
        <f t="shared" si="311"/>
        <v>#N/A</v>
      </c>
      <c r="BN277" t="e">
        <f t="shared" si="312"/>
        <v>#N/A</v>
      </c>
      <c r="BO277" t="e">
        <f t="shared" si="313"/>
        <v>#N/A</v>
      </c>
      <c r="BP277" t="e">
        <f t="shared" si="314"/>
        <v>#N/A</v>
      </c>
      <c r="BQ277" t="e">
        <f t="shared" si="315"/>
        <v>#N/A</v>
      </c>
      <c r="BR277" t="e">
        <f t="shared" si="316"/>
        <v>#N/A</v>
      </c>
      <c r="BS277" t="e">
        <f t="shared" si="317"/>
        <v>#N/A</v>
      </c>
      <c r="BT277" t="e">
        <f t="shared" si="318"/>
        <v>#N/A</v>
      </c>
      <c r="BU277" t="e">
        <f t="shared" si="319"/>
        <v>#N/A</v>
      </c>
      <c r="BV277" t="e">
        <f t="shared" si="320"/>
        <v>#N/A</v>
      </c>
      <c r="BW277" t="e">
        <f t="shared" si="321"/>
        <v>#N/A</v>
      </c>
      <c r="BX277" t="e">
        <f t="shared" si="322"/>
        <v>#N/A</v>
      </c>
      <c r="BY277" t="e">
        <f t="shared" si="323"/>
        <v>#N/A</v>
      </c>
      <c r="BZ277" t="e">
        <f t="shared" si="324"/>
        <v>#N/A</v>
      </c>
      <c r="CA277" t="e">
        <f t="shared" si="325"/>
        <v>#N/A</v>
      </c>
      <c r="CB277" t="e">
        <f t="shared" si="326"/>
        <v>#N/A</v>
      </c>
      <c r="CC277" t="e">
        <f t="shared" si="327"/>
        <v>#N/A</v>
      </c>
      <c r="CD277" t="e">
        <f t="shared" si="328"/>
        <v>#N/A</v>
      </c>
      <c r="CE277" t="e">
        <f t="shared" si="329"/>
        <v>#N/A</v>
      </c>
      <c r="CF277" t="e">
        <f t="shared" si="330"/>
        <v>#N/A</v>
      </c>
      <c r="CG277" t="e">
        <f t="shared" si="331"/>
        <v>#N/A</v>
      </c>
      <c r="CI277" t="e">
        <f>AL97</f>
        <v>#N/A</v>
      </c>
      <c r="CJ277" t="e">
        <f>AM97</f>
        <v>#N/A</v>
      </c>
      <c r="CK277">
        <f>IF(ISNUMBER(CI277),IFERROR(MAX(0,AN97-CI277),0),0)</f>
        <v>0</v>
      </c>
      <c r="CL277">
        <f>IF(ISNUMBER(CI277),IFERROR(MAX(0,CI277-AN97),0),0)</f>
        <v>0</v>
      </c>
      <c r="CM277">
        <f>IF(ISNUMBER(CJ277),IFERROR(MAX(0,AO97-CJ277),0),0)</f>
        <v>0</v>
      </c>
      <c r="CN277">
        <f>IF(ISNUMBER(CJ277),IFERROR(MAX(0,CJ277-AO97),0),0)</f>
        <v>0</v>
      </c>
      <c r="CP277" t="e">
        <f>BT97</f>
        <v>#N/A</v>
      </c>
      <c r="CQ277" t="e">
        <f>BU97</f>
        <v>#N/A</v>
      </c>
      <c r="CR277">
        <f>IF(ISNUMBER(CP277),IFERROR(MAX(0,BV97-CP277),0),0)</f>
        <v>0</v>
      </c>
      <c r="CS277">
        <f>IF(ISNUMBER(CP277),IFERROR(MAX(0,CP277-BV97),0),0)</f>
        <v>0</v>
      </c>
      <c r="CT277">
        <f>IF(ISNUMBER(CQ277),IFERROR(MAX(0,BW97-CQ277),0),0)</f>
        <v>0</v>
      </c>
      <c r="CU277">
        <f>IF(ISNUMBER(CQ277),IFERROR(MAX(0,CQ277-BW97),0),0)</f>
        <v>0</v>
      </c>
    </row>
    <row r="278" spans="21:99" x14ac:dyDescent="0.3">
      <c r="U278">
        <v>272</v>
      </c>
      <c r="V278">
        <f t="shared" si="276"/>
        <v>68</v>
      </c>
      <c r="W278">
        <f t="shared" si="277"/>
        <v>4</v>
      </c>
      <c r="X278">
        <f t="shared" si="278"/>
        <v>0</v>
      </c>
      <c r="Y278">
        <f>IF(X278&lt;&gt;1,9999,CHOOSE(W278,INDEX(Gantt!$BQ$7:$BQ$119,V278),INDEX(Gantt!$BR$7:$BR$119,V278),INDEX(Gantt!$BT$7:$BT$119,V278),INDEX(Gantt!$BU$7:$BU$119,V278)))</f>
        <v>9999</v>
      </c>
      <c r="Z278">
        <f t="shared" si="279"/>
        <v>0</v>
      </c>
      <c r="AA278" t="e">
        <f t="shared" si="280"/>
        <v>#N/A</v>
      </c>
      <c r="AB278" t="e">
        <f t="shared" si="281"/>
        <v>#N/A</v>
      </c>
      <c r="AC278" t="e">
        <f t="shared" si="282"/>
        <v>#N/A</v>
      </c>
      <c r="AD278" t="e">
        <f t="shared" si="283"/>
        <v>#N/A</v>
      </c>
      <c r="AE278" t="e">
        <f t="shared" si="284"/>
        <v>#N/A</v>
      </c>
      <c r="AF278" t="e">
        <f t="shared" si="285"/>
        <v>#N/A</v>
      </c>
      <c r="AG278" t="e">
        <f t="shared" si="286"/>
        <v>#N/A</v>
      </c>
      <c r="AH278" t="e">
        <f t="shared" si="287"/>
        <v>#N/A</v>
      </c>
      <c r="AI278" t="e">
        <f t="shared" si="288"/>
        <v>#N/A</v>
      </c>
      <c r="AJ278" t="e">
        <f t="shared" si="289"/>
        <v>#N/A</v>
      </c>
      <c r="AK278" t="e">
        <f t="shared" si="290"/>
        <v>#N/A</v>
      </c>
      <c r="AL278" t="e">
        <f t="shared" si="291"/>
        <v>#N/A</v>
      </c>
      <c r="AM278" t="e">
        <f t="shared" si="292"/>
        <v>#N/A</v>
      </c>
      <c r="AN278" t="e">
        <f t="shared" si="293"/>
        <v>#N/A</v>
      </c>
      <c r="AO278" t="e">
        <f t="shared" si="294"/>
        <v>#N/A</v>
      </c>
      <c r="AP278" t="e">
        <f t="shared" si="295"/>
        <v>#N/A</v>
      </c>
      <c r="AQ278" t="e">
        <f t="shared" si="296"/>
        <v>#N/A</v>
      </c>
      <c r="AR278" t="e">
        <f t="shared" si="297"/>
        <v>#N/A</v>
      </c>
      <c r="AS278" t="e">
        <f t="shared" si="298"/>
        <v>#N/A</v>
      </c>
      <c r="AT278" t="e">
        <f t="shared" si="299"/>
        <v>#N/A</v>
      </c>
      <c r="AU278" t="e">
        <f t="shared" si="300"/>
        <v>#N/A</v>
      </c>
      <c r="AV278" t="e">
        <f t="shared" si="301"/>
        <v>#N/A</v>
      </c>
      <c r="AW278" t="e">
        <f t="shared" si="302"/>
        <v>#N/A</v>
      </c>
      <c r="AX278" t="e">
        <f t="shared" si="303"/>
        <v>#N/A</v>
      </c>
      <c r="AY278" t="e">
        <f t="shared" si="304"/>
        <v>#N/A</v>
      </c>
      <c r="BE278" t="e">
        <f>IF(Z278=1,IF(INDEX($C$7:$C$126,V278)&gt;=Gantt!$BF$6,NA(),MATCH(INDEX($C$7:$C$126,V278),Gantt!$J$6:$BE$6,1)),NA())</f>
        <v>#N/A</v>
      </c>
      <c r="BF278" t="e">
        <f>IF(Z278=1,IF((INDEX($D$7:$D$126,AA278)-1)&gt;=Gantt!$BF$6,NA(),IF((INDEX($D$7:$D$126,AA278)-1)&lt;Gantt!$J$6,0,MATCH((INDEX($D$7:$D$126,AA278)-1),Gantt!$J$6:$BE$6,1))),NA())</f>
        <v>#N/A</v>
      </c>
      <c r="BG278" t="e">
        <f t="shared" si="305"/>
        <v>#N/A</v>
      </c>
      <c r="BH278" t="e">
        <f t="shared" si="306"/>
        <v>#N/A</v>
      </c>
      <c r="BI278" t="e">
        <f t="shared" si="307"/>
        <v>#N/A</v>
      </c>
      <c r="BJ278" t="e">
        <f t="shared" si="308"/>
        <v>#N/A</v>
      </c>
      <c r="BK278" t="e">
        <f t="shared" si="309"/>
        <v>#N/A</v>
      </c>
      <c r="BL278" t="e">
        <f t="shared" si="310"/>
        <v>#N/A</v>
      </c>
      <c r="BM278" t="e">
        <f t="shared" si="311"/>
        <v>#N/A</v>
      </c>
      <c r="BN278" t="e">
        <f t="shared" si="312"/>
        <v>#N/A</v>
      </c>
      <c r="BO278" t="e">
        <f t="shared" si="313"/>
        <v>#N/A</v>
      </c>
      <c r="BP278" t="e">
        <f t="shared" si="314"/>
        <v>#N/A</v>
      </c>
      <c r="BQ278" t="e">
        <f t="shared" si="315"/>
        <v>#N/A</v>
      </c>
      <c r="BR278" t="e">
        <f t="shared" si="316"/>
        <v>#N/A</v>
      </c>
      <c r="BS278" t="e">
        <f t="shared" si="317"/>
        <v>#N/A</v>
      </c>
      <c r="BT278" t="e">
        <f t="shared" si="318"/>
        <v>#N/A</v>
      </c>
      <c r="BU278" t="e">
        <f t="shared" si="319"/>
        <v>#N/A</v>
      </c>
      <c r="BV278" t="e">
        <f t="shared" si="320"/>
        <v>#N/A</v>
      </c>
      <c r="BW278" t="e">
        <f t="shared" si="321"/>
        <v>#N/A</v>
      </c>
      <c r="BX278" t="e">
        <f t="shared" si="322"/>
        <v>#N/A</v>
      </c>
      <c r="BY278" t="e">
        <f t="shared" si="323"/>
        <v>#N/A</v>
      </c>
      <c r="BZ278" t="e">
        <f t="shared" si="324"/>
        <v>#N/A</v>
      </c>
      <c r="CA278" t="e">
        <f t="shared" si="325"/>
        <v>#N/A</v>
      </c>
      <c r="CB278" t="e">
        <f t="shared" si="326"/>
        <v>#N/A</v>
      </c>
      <c r="CC278" t="e">
        <f t="shared" si="327"/>
        <v>#N/A</v>
      </c>
      <c r="CD278" t="e">
        <f t="shared" si="328"/>
        <v>#N/A</v>
      </c>
      <c r="CE278" t="e">
        <f t="shared" si="329"/>
        <v>#N/A</v>
      </c>
      <c r="CF278" t="e">
        <f t="shared" si="330"/>
        <v>#N/A</v>
      </c>
      <c r="CG278" t="e">
        <f t="shared" si="331"/>
        <v>#N/A</v>
      </c>
      <c r="CI278" t="e">
        <f>AP97</f>
        <v>#N/A</v>
      </c>
      <c r="CJ278" t="e">
        <f>AQ97</f>
        <v>#N/A</v>
      </c>
      <c r="CK278">
        <f>IF(ISNUMBER(CI278),IFERROR(MAX(0,AR97-CI278),0),0)</f>
        <v>0</v>
      </c>
      <c r="CL278">
        <f>IF(ISNUMBER(CI278),IFERROR(MAX(0,CI278-AR97),0),0)</f>
        <v>0</v>
      </c>
      <c r="CM278">
        <f>IF(ISNUMBER(CJ278),IFERROR(MAX(0,AS97-CJ278),0),0)</f>
        <v>0</v>
      </c>
      <c r="CN278">
        <f>IF(ISNUMBER(CJ278),IFERROR(MAX(0,CJ278-AS97),0),0)</f>
        <v>0</v>
      </c>
      <c r="CP278" t="e">
        <f>BX97</f>
        <v>#N/A</v>
      </c>
      <c r="CQ278" t="e">
        <f>BY97</f>
        <v>#N/A</v>
      </c>
      <c r="CR278">
        <f>IF(ISNUMBER(CP278),IFERROR(MAX(0,BZ97-CP278),0),0)</f>
        <v>0</v>
      </c>
      <c r="CS278">
        <f>IF(ISNUMBER(CP278),IFERROR(MAX(0,CP278-BZ97),0),0)</f>
        <v>0</v>
      </c>
      <c r="CT278">
        <f>IF(ISNUMBER(CQ278),IFERROR(MAX(0,CA97-CQ278),0),0)</f>
        <v>0</v>
      </c>
      <c r="CU278">
        <f>IF(ISNUMBER(CQ278),IFERROR(MAX(0,CQ278-CA97),0),0)</f>
        <v>0</v>
      </c>
    </row>
    <row r="279" spans="21:99" x14ac:dyDescent="0.3">
      <c r="U279">
        <v>273</v>
      </c>
      <c r="V279">
        <f t="shared" si="276"/>
        <v>69</v>
      </c>
      <c r="W279">
        <f t="shared" si="277"/>
        <v>1</v>
      </c>
      <c r="X279">
        <f t="shared" si="278"/>
        <v>0</v>
      </c>
      <c r="Y279">
        <f>IF(X279&lt;&gt;1,9999,CHOOSE(W279,INDEX(Gantt!$BQ$7:$BQ$119,V279),INDEX(Gantt!$BR$7:$BR$119,V279),INDEX(Gantt!$BT$7:$BT$119,V279),INDEX(Gantt!$BU$7:$BU$119,V279)))</f>
        <v>9999</v>
      </c>
      <c r="Z279">
        <f t="shared" si="279"/>
        <v>0</v>
      </c>
      <c r="AA279" t="e">
        <f t="shared" si="280"/>
        <v>#N/A</v>
      </c>
      <c r="AB279" t="e">
        <f t="shared" si="281"/>
        <v>#N/A</v>
      </c>
      <c r="AC279" t="e">
        <f t="shared" si="282"/>
        <v>#N/A</v>
      </c>
      <c r="AD279" t="e">
        <f t="shared" si="283"/>
        <v>#N/A</v>
      </c>
      <c r="AE279" t="e">
        <f t="shared" si="284"/>
        <v>#N/A</v>
      </c>
      <c r="AF279" t="e">
        <f t="shared" si="285"/>
        <v>#N/A</v>
      </c>
      <c r="AG279" t="e">
        <f t="shared" si="286"/>
        <v>#N/A</v>
      </c>
      <c r="AH279" t="e">
        <f t="shared" si="287"/>
        <v>#N/A</v>
      </c>
      <c r="AI279" t="e">
        <f t="shared" si="288"/>
        <v>#N/A</v>
      </c>
      <c r="AJ279" t="e">
        <f t="shared" si="289"/>
        <v>#N/A</v>
      </c>
      <c r="AK279" t="e">
        <f t="shared" si="290"/>
        <v>#N/A</v>
      </c>
      <c r="AL279" t="e">
        <f t="shared" si="291"/>
        <v>#N/A</v>
      </c>
      <c r="AM279" t="e">
        <f t="shared" si="292"/>
        <v>#N/A</v>
      </c>
      <c r="AN279" t="e">
        <f t="shared" si="293"/>
        <v>#N/A</v>
      </c>
      <c r="AO279" t="e">
        <f t="shared" si="294"/>
        <v>#N/A</v>
      </c>
      <c r="AP279" t="e">
        <f t="shared" si="295"/>
        <v>#N/A</v>
      </c>
      <c r="AQ279" t="e">
        <f t="shared" si="296"/>
        <v>#N/A</v>
      </c>
      <c r="AR279" t="e">
        <f t="shared" si="297"/>
        <v>#N/A</v>
      </c>
      <c r="AS279" t="e">
        <f t="shared" si="298"/>
        <v>#N/A</v>
      </c>
      <c r="AT279" t="e">
        <f t="shared" si="299"/>
        <v>#N/A</v>
      </c>
      <c r="AU279" t="e">
        <f t="shared" si="300"/>
        <v>#N/A</v>
      </c>
      <c r="AV279" t="e">
        <f t="shared" si="301"/>
        <v>#N/A</v>
      </c>
      <c r="AW279" t="e">
        <f t="shared" si="302"/>
        <v>#N/A</v>
      </c>
      <c r="AX279" t="e">
        <f t="shared" si="303"/>
        <v>#N/A</v>
      </c>
      <c r="AY279" t="e">
        <f t="shared" si="304"/>
        <v>#N/A</v>
      </c>
      <c r="BE279" t="e">
        <f>IF(Z279=1,IF(INDEX($C$7:$C$126,V279)&gt;=Gantt!$BF$6,NA(),MATCH(INDEX($C$7:$C$126,V279),Gantt!$J$6:$BE$6,1)),NA())</f>
        <v>#N/A</v>
      </c>
      <c r="BF279" t="e">
        <f>IF(Z279=1,IF((INDEX($D$7:$D$126,AA279)-1)&gt;=Gantt!$BF$6,NA(),IF((INDEX($D$7:$D$126,AA279)-1)&lt;Gantt!$J$6,0,MATCH((INDEX($D$7:$D$126,AA279)-1),Gantt!$J$6:$BE$6,1))),NA())</f>
        <v>#N/A</v>
      </c>
      <c r="BG279" t="e">
        <f t="shared" si="305"/>
        <v>#N/A</v>
      </c>
      <c r="BH279" t="e">
        <f t="shared" si="306"/>
        <v>#N/A</v>
      </c>
      <c r="BI279" t="e">
        <f t="shared" si="307"/>
        <v>#N/A</v>
      </c>
      <c r="BJ279" t="e">
        <f t="shared" si="308"/>
        <v>#N/A</v>
      </c>
      <c r="BK279" t="e">
        <f t="shared" si="309"/>
        <v>#N/A</v>
      </c>
      <c r="BL279" t="e">
        <f t="shared" si="310"/>
        <v>#N/A</v>
      </c>
      <c r="BM279" t="e">
        <f t="shared" si="311"/>
        <v>#N/A</v>
      </c>
      <c r="BN279" t="e">
        <f t="shared" si="312"/>
        <v>#N/A</v>
      </c>
      <c r="BO279" t="e">
        <f t="shared" si="313"/>
        <v>#N/A</v>
      </c>
      <c r="BP279" t="e">
        <f t="shared" si="314"/>
        <v>#N/A</v>
      </c>
      <c r="BQ279" t="e">
        <f t="shared" si="315"/>
        <v>#N/A</v>
      </c>
      <c r="BR279" t="e">
        <f t="shared" si="316"/>
        <v>#N/A</v>
      </c>
      <c r="BS279" t="e">
        <f t="shared" si="317"/>
        <v>#N/A</v>
      </c>
      <c r="BT279" t="e">
        <f t="shared" si="318"/>
        <v>#N/A</v>
      </c>
      <c r="BU279" t="e">
        <f t="shared" si="319"/>
        <v>#N/A</v>
      </c>
      <c r="BV279" t="e">
        <f t="shared" si="320"/>
        <v>#N/A</v>
      </c>
      <c r="BW279" t="e">
        <f t="shared" si="321"/>
        <v>#N/A</v>
      </c>
      <c r="BX279" t="e">
        <f t="shared" si="322"/>
        <v>#N/A</v>
      </c>
      <c r="BY279" t="e">
        <f t="shared" si="323"/>
        <v>#N/A</v>
      </c>
      <c r="BZ279" t="e">
        <f t="shared" si="324"/>
        <v>#N/A</v>
      </c>
      <c r="CA279" t="e">
        <f t="shared" si="325"/>
        <v>#N/A</v>
      </c>
      <c r="CB279" t="e">
        <f t="shared" si="326"/>
        <v>#N/A</v>
      </c>
      <c r="CC279" t="e">
        <f t="shared" si="327"/>
        <v>#N/A</v>
      </c>
      <c r="CD279" t="e">
        <f t="shared" si="328"/>
        <v>#N/A</v>
      </c>
      <c r="CE279" t="e">
        <f t="shared" si="329"/>
        <v>#N/A</v>
      </c>
      <c r="CF279" t="e">
        <f t="shared" si="330"/>
        <v>#N/A</v>
      </c>
      <c r="CG279" t="e">
        <f t="shared" si="331"/>
        <v>#N/A</v>
      </c>
      <c r="CI279" t="e">
        <f>AT97</f>
        <v>#N/A</v>
      </c>
      <c r="CJ279" t="e">
        <f>AU97</f>
        <v>#N/A</v>
      </c>
      <c r="CK279">
        <f>IF(ISNUMBER(CI279),IFERROR(MAX(0,AV97-CI279),0),0)</f>
        <v>0</v>
      </c>
      <c r="CL279">
        <f>IF(ISNUMBER(CI279),IFERROR(MAX(0,CI279-AV97),0),0)</f>
        <v>0</v>
      </c>
      <c r="CM279">
        <f>IF(ISNUMBER(CJ279),IFERROR(MAX(0,AW97-CJ279),0),0)</f>
        <v>0</v>
      </c>
      <c r="CN279">
        <f>IF(ISNUMBER(CJ279),IFERROR(MAX(0,CJ279-AW97),0),0)</f>
        <v>0</v>
      </c>
      <c r="CP279" t="e">
        <f>CB97</f>
        <v>#N/A</v>
      </c>
      <c r="CQ279" t="e">
        <f>CC97</f>
        <v>#N/A</v>
      </c>
      <c r="CR279">
        <f>IF(ISNUMBER(CP279),IFERROR(MAX(0,CD97-CP279),0),0)</f>
        <v>0</v>
      </c>
      <c r="CS279">
        <f>IF(ISNUMBER(CP279),IFERROR(MAX(0,CP279-CD97),0),0)</f>
        <v>0</v>
      </c>
      <c r="CT279">
        <f>IF(ISNUMBER(CQ279),IFERROR(MAX(0,CE97-CQ279),0),0)</f>
        <v>0</v>
      </c>
      <c r="CU279">
        <f>IF(ISNUMBER(CQ279),IFERROR(MAX(0,CQ279-CE97),0),0)</f>
        <v>0</v>
      </c>
    </row>
    <row r="280" spans="21:99" x14ac:dyDescent="0.3">
      <c r="U280">
        <v>274</v>
      </c>
      <c r="V280">
        <f t="shared" si="276"/>
        <v>69</v>
      </c>
      <c r="W280">
        <f t="shared" si="277"/>
        <v>2</v>
      </c>
      <c r="X280">
        <f t="shared" si="278"/>
        <v>0</v>
      </c>
      <c r="Y280">
        <f>IF(X280&lt;&gt;1,9999,CHOOSE(W280,INDEX(Gantt!$BQ$7:$BQ$119,V280),INDEX(Gantt!$BR$7:$BR$119,V280),INDEX(Gantt!$BT$7:$BT$119,V280),INDEX(Gantt!$BU$7:$BU$119,V280)))</f>
        <v>9999</v>
      </c>
      <c r="Z280">
        <f t="shared" si="279"/>
        <v>0</v>
      </c>
      <c r="AA280" t="e">
        <f t="shared" si="280"/>
        <v>#N/A</v>
      </c>
      <c r="AB280" t="e">
        <f t="shared" si="281"/>
        <v>#N/A</v>
      </c>
      <c r="AC280" t="e">
        <f t="shared" si="282"/>
        <v>#N/A</v>
      </c>
      <c r="AD280" t="e">
        <f t="shared" si="283"/>
        <v>#N/A</v>
      </c>
      <c r="AE280" t="e">
        <f t="shared" si="284"/>
        <v>#N/A</v>
      </c>
      <c r="AF280" t="e">
        <f t="shared" si="285"/>
        <v>#N/A</v>
      </c>
      <c r="AG280" t="e">
        <f t="shared" si="286"/>
        <v>#N/A</v>
      </c>
      <c r="AH280" t="e">
        <f t="shared" si="287"/>
        <v>#N/A</v>
      </c>
      <c r="AI280" t="e">
        <f t="shared" si="288"/>
        <v>#N/A</v>
      </c>
      <c r="AJ280" t="e">
        <f t="shared" si="289"/>
        <v>#N/A</v>
      </c>
      <c r="AK280" t="e">
        <f t="shared" si="290"/>
        <v>#N/A</v>
      </c>
      <c r="AL280" t="e">
        <f t="shared" si="291"/>
        <v>#N/A</v>
      </c>
      <c r="AM280" t="e">
        <f t="shared" si="292"/>
        <v>#N/A</v>
      </c>
      <c r="AN280" t="e">
        <f t="shared" si="293"/>
        <v>#N/A</v>
      </c>
      <c r="AO280" t="e">
        <f t="shared" si="294"/>
        <v>#N/A</v>
      </c>
      <c r="AP280" t="e">
        <f t="shared" si="295"/>
        <v>#N/A</v>
      </c>
      <c r="AQ280" t="e">
        <f t="shared" si="296"/>
        <v>#N/A</v>
      </c>
      <c r="AR280" t="e">
        <f t="shared" si="297"/>
        <v>#N/A</v>
      </c>
      <c r="AS280" t="e">
        <f t="shared" si="298"/>
        <v>#N/A</v>
      </c>
      <c r="AT280" t="e">
        <f t="shared" si="299"/>
        <v>#N/A</v>
      </c>
      <c r="AU280" t="e">
        <f t="shared" si="300"/>
        <v>#N/A</v>
      </c>
      <c r="AV280" t="e">
        <f t="shared" si="301"/>
        <v>#N/A</v>
      </c>
      <c r="AW280" t="e">
        <f t="shared" si="302"/>
        <v>#N/A</v>
      </c>
      <c r="AX280" t="e">
        <f t="shared" si="303"/>
        <v>#N/A</v>
      </c>
      <c r="AY280" t="e">
        <f t="shared" si="304"/>
        <v>#N/A</v>
      </c>
      <c r="BE280" t="e">
        <f>IF(Z280=1,IF(INDEX($C$7:$C$126,V280)&gt;=Gantt!$BF$6,NA(),MATCH(INDEX($C$7:$C$126,V280),Gantt!$J$6:$BE$6,1)),NA())</f>
        <v>#N/A</v>
      </c>
      <c r="BF280" t="e">
        <f>IF(Z280=1,IF((INDEX($D$7:$D$126,AA280)-1)&gt;=Gantt!$BF$6,NA(),IF((INDEX($D$7:$D$126,AA280)-1)&lt;Gantt!$J$6,0,MATCH((INDEX($D$7:$D$126,AA280)-1),Gantt!$J$6:$BE$6,1))),NA())</f>
        <v>#N/A</v>
      </c>
      <c r="BG280" t="e">
        <f t="shared" si="305"/>
        <v>#N/A</v>
      </c>
      <c r="BH280" t="e">
        <f t="shared" si="306"/>
        <v>#N/A</v>
      </c>
      <c r="BI280" t="e">
        <f t="shared" si="307"/>
        <v>#N/A</v>
      </c>
      <c r="BJ280" t="e">
        <f t="shared" si="308"/>
        <v>#N/A</v>
      </c>
      <c r="BK280" t="e">
        <f t="shared" si="309"/>
        <v>#N/A</v>
      </c>
      <c r="BL280" t="e">
        <f t="shared" si="310"/>
        <v>#N/A</v>
      </c>
      <c r="BM280" t="e">
        <f t="shared" si="311"/>
        <v>#N/A</v>
      </c>
      <c r="BN280" t="e">
        <f t="shared" si="312"/>
        <v>#N/A</v>
      </c>
      <c r="BO280" t="e">
        <f t="shared" si="313"/>
        <v>#N/A</v>
      </c>
      <c r="BP280" t="e">
        <f t="shared" si="314"/>
        <v>#N/A</v>
      </c>
      <c r="BQ280" t="e">
        <f t="shared" si="315"/>
        <v>#N/A</v>
      </c>
      <c r="BR280" t="e">
        <f t="shared" si="316"/>
        <v>#N/A</v>
      </c>
      <c r="BS280" t="e">
        <f t="shared" si="317"/>
        <v>#N/A</v>
      </c>
      <c r="BT280" t="e">
        <f t="shared" si="318"/>
        <v>#N/A</v>
      </c>
      <c r="BU280" t="e">
        <f t="shared" si="319"/>
        <v>#N/A</v>
      </c>
      <c r="BV280" t="e">
        <f t="shared" si="320"/>
        <v>#N/A</v>
      </c>
      <c r="BW280" t="e">
        <f t="shared" si="321"/>
        <v>#N/A</v>
      </c>
      <c r="BX280" t="e">
        <f t="shared" si="322"/>
        <v>#N/A</v>
      </c>
      <c r="BY280" t="e">
        <f t="shared" si="323"/>
        <v>#N/A</v>
      </c>
      <c r="BZ280" t="e">
        <f t="shared" si="324"/>
        <v>#N/A</v>
      </c>
      <c r="CA280" t="e">
        <f t="shared" si="325"/>
        <v>#N/A</v>
      </c>
      <c r="CB280" t="e">
        <f t="shared" si="326"/>
        <v>#N/A</v>
      </c>
      <c r="CC280" t="e">
        <f t="shared" si="327"/>
        <v>#N/A</v>
      </c>
      <c r="CD280" t="e">
        <f t="shared" si="328"/>
        <v>#N/A</v>
      </c>
      <c r="CE280" t="e">
        <f t="shared" si="329"/>
        <v>#N/A</v>
      </c>
      <c r="CF280" t="e">
        <f t="shared" si="330"/>
        <v>#N/A</v>
      </c>
      <c r="CG280" t="e">
        <f t="shared" si="331"/>
        <v>#N/A</v>
      </c>
      <c r="CI280" t="e">
        <f>AL98</f>
        <v>#N/A</v>
      </c>
      <c r="CJ280" t="e">
        <f>AM98</f>
        <v>#N/A</v>
      </c>
      <c r="CK280">
        <f>IF(ISNUMBER(CI280),IFERROR(MAX(0,AN98-CI280),0),0)</f>
        <v>0</v>
      </c>
      <c r="CL280">
        <f>IF(ISNUMBER(CI280),IFERROR(MAX(0,CI280-AN98),0),0)</f>
        <v>0</v>
      </c>
      <c r="CM280">
        <f>IF(ISNUMBER(CJ280),IFERROR(MAX(0,AO98-CJ280),0),0)</f>
        <v>0</v>
      </c>
      <c r="CN280">
        <f>IF(ISNUMBER(CJ280),IFERROR(MAX(0,CJ280-AO98),0),0)</f>
        <v>0</v>
      </c>
      <c r="CP280" t="e">
        <f>BT98</f>
        <v>#N/A</v>
      </c>
      <c r="CQ280" t="e">
        <f>BU98</f>
        <v>#N/A</v>
      </c>
      <c r="CR280">
        <f>IF(ISNUMBER(CP280),IFERROR(MAX(0,BV98-CP280),0),0)</f>
        <v>0</v>
      </c>
      <c r="CS280">
        <f>IF(ISNUMBER(CP280),IFERROR(MAX(0,CP280-BV98),0),0)</f>
        <v>0</v>
      </c>
      <c r="CT280">
        <f>IF(ISNUMBER(CQ280),IFERROR(MAX(0,BW98-CQ280),0),0)</f>
        <v>0</v>
      </c>
      <c r="CU280">
        <f>IF(ISNUMBER(CQ280),IFERROR(MAX(0,CQ280-BW98),0),0)</f>
        <v>0</v>
      </c>
    </row>
    <row r="281" spans="21:99" x14ac:dyDescent="0.3">
      <c r="U281">
        <v>275</v>
      </c>
      <c r="V281">
        <f t="shared" si="276"/>
        <v>69</v>
      </c>
      <c r="W281">
        <f t="shared" si="277"/>
        <v>3</v>
      </c>
      <c r="X281">
        <f t="shared" si="278"/>
        <v>0</v>
      </c>
      <c r="Y281">
        <f>IF(X281&lt;&gt;1,9999,CHOOSE(W281,INDEX(Gantt!$BQ$7:$BQ$119,V281),INDEX(Gantt!$BR$7:$BR$119,V281),INDEX(Gantt!$BT$7:$BT$119,V281),INDEX(Gantt!$BU$7:$BU$119,V281)))</f>
        <v>9999</v>
      </c>
      <c r="Z281">
        <f t="shared" si="279"/>
        <v>0</v>
      </c>
      <c r="AA281" t="e">
        <f t="shared" si="280"/>
        <v>#N/A</v>
      </c>
      <c r="AB281" t="e">
        <f t="shared" si="281"/>
        <v>#N/A</v>
      </c>
      <c r="AC281" t="e">
        <f t="shared" si="282"/>
        <v>#N/A</v>
      </c>
      <c r="AD281" t="e">
        <f t="shared" si="283"/>
        <v>#N/A</v>
      </c>
      <c r="AE281" t="e">
        <f t="shared" si="284"/>
        <v>#N/A</v>
      </c>
      <c r="AF281" t="e">
        <f t="shared" si="285"/>
        <v>#N/A</v>
      </c>
      <c r="AG281" t="e">
        <f t="shared" si="286"/>
        <v>#N/A</v>
      </c>
      <c r="AH281" t="e">
        <f t="shared" si="287"/>
        <v>#N/A</v>
      </c>
      <c r="AI281" t="e">
        <f t="shared" si="288"/>
        <v>#N/A</v>
      </c>
      <c r="AJ281" t="e">
        <f t="shared" si="289"/>
        <v>#N/A</v>
      </c>
      <c r="AK281" t="e">
        <f t="shared" si="290"/>
        <v>#N/A</v>
      </c>
      <c r="AL281" t="e">
        <f t="shared" si="291"/>
        <v>#N/A</v>
      </c>
      <c r="AM281" t="e">
        <f t="shared" si="292"/>
        <v>#N/A</v>
      </c>
      <c r="AN281" t="e">
        <f t="shared" si="293"/>
        <v>#N/A</v>
      </c>
      <c r="AO281" t="e">
        <f t="shared" si="294"/>
        <v>#N/A</v>
      </c>
      <c r="AP281" t="e">
        <f t="shared" si="295"/>
        <v>#N/A</v>
      </c>
      <c r="AQ281" t="e">
        <f t="shared" si="296"/>
        <v>#N/A</v>
      </c>
      <c r="AR281" t="e">
        <f t="shared" si="297"/>
        <v>#N/A</v>
      </c>
      <c r="AS281" t="e">
        <f t="shared" si="298"/>
        <v>#N/A</v>
      </c>
      <c r="AT281" t="e">
        <f t="shared" si="299"/>
        <v>#N/A</v>
      </c>
      <c r="AU281" t="e">
        <f t="shared" si="300"/>
        <v>#N/A</v>
      </c>
      <c r="AV281" t="e">
        <f t="shared" si="301"/>
        <v>#N/A</v>
      </c>
      <c r="AW281" t="e">
        <f t="shared" si="302"/>
        <v>#N/A</v>
      </c>
      <c r="AX281" t="e">
        <f t="shared" si="303"/>
        <v>#N/A</v>
      </c>
      <c r="AY281" t="e">
        <f t="shared" si="304"/>
        <v>#N/A</v>
      </c>
      <c r="BE281" t="e">
        <f>IF(Z281=1,IF(INDEX($C$7:$C$126,V281)&gt;=Gantt!$BF$6,NA(),MATCH(INDEX($C$7:$C$126,V281),Gantt!$J$6:$BE$6,1)),NA())</f>
        <v>#N/A</v>
      </c>
      <c r="BF281" t="e">
        <f>IF(Z281=1,IF((INDEX($D$7:$D$126,AA281)-1)&gt;=Gantt!$BF$6,NA(),IF((INDEX($D$7:$D$126,AA281)-1)&lt;Gantt!$J$6,0,MATCH((INDEX($D$7:$D$126,AA281)-1),Gantt!$J$6:$BE$6,1))),NA())</f>
        <v>#N/A</v>
      </c>
      <c r="BG281" t="e">
        <f t="shared" si="305"/>
        <v>#N/A</v>
      </c>
      <c r="BH281" t="e">
        <f t="shared" si="306"/>
        <v>#N/A</v>
      </c>
      <c r="BI281" t="e">
        <f t="shared" si="307"/>
        <v>#N/A</v>
      </c>
      <c r="BJ281" t="e">
        <f t="shared" si="308"/>
        <v>#N/A</v>
      </c>
      <c r="BK281" t="e">
        <f t="shared" si="309"/>
        <v>#N/A</v>
      </c>
      <c r="BL281" t="e">
        <f t="shared" si="310"/>
        <v>#N/A</v>
      </c>
      <c r="BM281" t="e">
        <f t="shared" si="311"/>
        <v>#N/A</v>
      </c>
      <c r="BN281" t="e">
        <f t="shared" si="312"/>
        <v>#N/A</v>
      </c>
      <c r="BO281" t="e">
        <f t="shared" si="313"/>
        <v>#N/A</v>
      </c>
      <c r="BP281" t="e">
        <f t="shared" si="314"/>
        <v>#N/A</v>
      </c>
      <c r="BQ281" t="e">
        <f t="shared" si="315"/>
        <v>#N/A</v>
      </c>
      <c r="BR281" t="e">
        <f t="shared" si="316"/>
        <v>#N/A</v>
      </c>
      <c r="BS281" t="e">
        <f t="shared" si="317"/>
        <v>#N/A</v>
      </c>
      <c r="BT281" t="e">
        <f t="shared" si="318"/>
        <v>#N/A</v>
      </c>
      <c r="BU281" t="e">
        <f t="shared" si="319"/>
        <v>#N/A</v>
      </c>
      <c r="BV281" t="e">
        <f t="shared" si="320"/>
        <v>#N/A</v>
      </c>
      <c r="BW281" t="e">
        <f t="shared" si="321"/>
        <v>#N/A</v>
      </c>
      <c r="BX281" t="e">
        <f t="shared" si="322"/>
        <v>#N/A</v>
      </c>
      <c r="BY281" t="e">
        <f t="shared" si="323"/>
        <v>#N/A</v>
      </c>
      <c r="BZ281" t="e">
        <f t="shared" si="324"/>
        <v>#N/A</v>
      </c>
      <c r="CA281" t="e">
        <f t="shared" si="325"/>
        <v>#N/A</v>
      </c>
      <c r="CB281" t="e">
        <f t="shared" si="326"/>
        <v>#N/A</v>
      </c>
      <c r="CC281" t="e">
        <f t="shared" si="327"/>
        <v>#N/A</v>
      </c>
      <c r="CD281" t="e">
        <f t="shared" si="328"/>
        <v>#N/A</v>
      </c>
      <c r="CE281" t="e">
        <f t="shared" si="329"/>
        <v>#N/A</v>
      </c>
      <c r="CF281" t="e">
        <f t="shared" si="330"/>
        <v>#N/A</v>
      </c>
      <c r="CG281" t="e">
        <f t="shared" si="331"/>
        <v>#N/A</v>
      </c>
      <c r="CI281" t="e">
        <f>AP98</f>
        <v>#N/A</v>
      </c>
      <c r="CJ281" t="e">
        <f>AQ98</f>
        <v>#N/A</v>
      </c>
      <c r="CK281">
        <f>IF(ISNUMBER(CI281),IFERROR(MAX(0,AR98-CI281),0),0)</f>
        <v>0</v>
      </c>
      <c r="CL281">
        <f>IF(ISNUMBER(CI281),IFERROR(MAX(0,CI281-AR98),0),0)</f>
        <v>0</v>
      </c>
      <c r="CM281">
        <f>IF(ISNUMBER(CJ281),IFERROR(MAX(0,AS98-CJ281),0),0)</f>
        <v>0</v>
      </c>
      <c r="CN281">
        <f>IF(ISNUMBER(CJ281),IFERROR(MAX(0,CJ281-AS98),0),0)</f>
        <v>0</v>
      </c>
      <c r="CP281" t="e">
        <f>BX98</f>
        <v>#N/A</v>
      </c>
      <c r="CQ281" t="e">
        <f>BY98</f>
        <v>#N/A</v>
      </c>
      <c r="CR281">
        <f>IF(ISNUMBER(CP281),IFERROR(MAX(0,BZ98-CP281),0),0)</f>
        <v>0</v>
      </c>
      <c r="CS281">
        <f>IF(ISNUMBER(CP281),IFERROR(MAX(0,CP281-BZ98),0),0)</f>
        <v>0</v>
      </c>
      <c r="CT281">
        <f>IF(ISNUMBER(CQ281),IFERROR(MAX(0,CA98-CQ281),0),0)</f>
        <v>0</v>
      </c>
      <c r="CU281">
        <f>IF(ISNUMBER(CQ281),IFERROR(MAX(0,CQ281-CA98),0),0)</f>
        <v>0</v>
      </c>
    </row>
    <row r="282" spans="21:99" x14ac:dyDescent="0.3">
      <c r="U282">
        <v>276</v>
      </c>
      <c r="V282">
        <f t="shared" si="276"/>
        <v>69</v>
      </c>
      <c r="W282">
        <f t="shared" si="277"/>
        <v>4</v>
      </c>
      <c r="X282">
        <f t="shared" si="278"/>
        <v>0</v>
      </c>
      <c r="Y282">
        <f>IF(X282&lt;&gt;1,9999,CHOOSE(W282,INDEX(Gantt!$BQ$7:$BQ$119,V282),INDEX(Gantt!$BR$7:$BR$119,V282),INDEX(Gantt!$BT$7:$BT$119,V282),INDEX(Gantt!$BU$7:$BU$119,V282)))</f>
        <v>9999</v>
      </c>
      <c r="Z282">
        <f t="shared" si="279"/>
        <v>0</v>
      </c>
      <c r="AA282" t="e">
        <f t="shared" si="280"/>
        <v>#N/A</v>
      </c>
      <c r="AB282" t="e">
        <f t="shared" si="281"/>
        <v>#N/A</v>
      </c>
      <c r="AC282" t="e">
        <f t="shared" si="282"/>
        <v>#N/A</v>
      </c>
      <c r="AD282" t="e">
        <f t="shared" si="283"/>
        <v>#N/A</v>
      </c>
      <c r="AE282" t="e">
        <f t="shared" si="284"/>
        <v>#N/A</v>
      </c>
      <c r="AF282" t="e">
        <f t="shared" si="285"/>
        <v>#N/A</v>
      </c>
      <c r="AG282" t="e">
        <f t="shared" si="286"/>
        <v>#N/A</v>
      </c>
      <c r="AH282" t="e">
        <f t="shared" si="287"/>
        <v>#N/A</v>
      </c>
      <c r="AI282" t="e">
        <f t="shared" si="288"/>
        <v>#N/A</v>
      </c>
      <c r="AJ282" t="e">
        <f t="shared" si="289"/>
        <v>#N/A</v>
      </c>
      <c r="AK282" t="e">
        <f t="shared" si="290"/>
        <v>#N/A</v>
      </c>
      <c r="AL282" t="e">
        <f t="shared" si="291"/>
        <v>#N/A</v>
      </c>
      <c r="AM282" t="e">
        <f t="shared" si="292"/>
        <v>#N/A</v>
      </c>
      <c r="AN282" t="e">
        <f t="shared" si="293"/>
        <v>#N/A</v>
      </c>
      <c r="AO282" t="e">
        <f t="shared" si="294"/>
        <v>#N/A</v>
      </c>
      <c r="AP282" t="e">
        <f t="shared" si="295"/>
        <v>#N/A</v>
      </c>
      <c r="AQ282" t="e">
        <f t="shared" si="296"/>
        <v>#N/A</v>
      </c>
      <c r="AR282" t="e">
        <f t="shared" si="297"/>
        <v>#N/A</v>
      </c>
      <c r="AS282" t="e">
        <f t="shared" si="298"/>
        <v>#N/A</v>
      </c>
      <c r="AT282" t="e">
        <f t="shared" si="299"/>
        <v>#N/A</v>
      </c>
      <c r="AU282" t="e">
        <f t="shared" si="300"/>
        <v>#N/A</v>
      </c>
      <c r="AV282" t="e">
        <f t="shared" si="301"/>
        <v>#N/A</v>
      </c>
      <c r="AW282" t="e">
        <f t="shared" si="302"/>
        <v>#N/A</v>
      </c>
      <c r="AX282" t="e">
        <f t="shared" si="303"/>
        <v>#N/A</v>
      </c>
      <c r="AY282" t="e">
        <f t="shared" si="304"/>
        <v>#N/A</v>
      </c>
      <c r="BE282" t="e">
        <f>IF(Z282=1,IF(INDEX($C$7:$C$126,V282)&gt;=Gantt!$BF$6,NA(),MATCH(INDEX($C$7:$C$126,V282),Gantt!$J$6:$BE$6,1)),NA())</f>
        <v>#N/A</v>
      </c>
      <c r="BF282" t="e">
        <f>IF(Z282=1,IF((INDEX($D$7:$D$126,AA282)-1)&gt;=Gantt!$BF$6,NA(),IF((INDEX($D$7:$D$126,AA282)-1)&lt;Gantt!$J$6,0,MATCH((INDEX($D$7:$D$126,AA282)-1),Gantt!$J$6:$BE$6,1))),NA())</f>
        <v>#N/A</v>
      </c>
      <c r="BG282" t="e">
        <f t="shared" si="305"/>
        <v>#N/A</v>
      </c>
      <c r="BH282" t="e">
        <f t="shared" si="306"/>
        <v>#N/A</v>
      </c>
      <c r="BI282" t="e">
        <f t="shared" si="307"/>
        <v>#N/A</v>
      </c>
      <c r="BJ282" t="e">
        <f t="shared" si="308"/>
        <v>#N/A</v>
      </c>
      <c r="BK282" t="e">
        <f t="shared" si="309"/>
        <v>#N/A</v>
      </c>
      <c r="BL282" t="e">
        <f t="shared" si="310"/>
        <v>#N/A</v>
      </c>
      <c r="BM282" t="e">
        <f t="shared" si="311"/>
        <v>#N/A</v>
      </c>
      <c r="BN282" t="e">
        <f t="shared" si="312"/>
        <v>#N/A</v>
      </c>
      <c r="BO282" t="e">
        <f t="shared" si="313"/>
        <v>#N/A</v>
      </c>
      <c r="BP282" t="e">
        <f t="shared" si="314"/>
        <v>#N/A</v>
      </c>
      <c r="BQ282" t="e">
        <f t="shared" si="315"/>
        <v>#N/A</v>
      </c>
      <c r="BR282" t="e">
        <f t="shared" si="316"/>
        <v>#N/A</v>
      </c>
      <c r="BS282" t="e">
        <f t="shared" si="317"/>
        <v>#N/A</v>
      </c>
      <c r="BT282" t="e">
        <f t="shared" si="318"/>
        <v>#N/A</v>
      </c>
      <c r="BU282" t="e">
        <f t="shared" si="319"/>
        <v>#N/A</v>
      </c>
      <c r="BV282" t="e">
        <f t="shared" si="320"/>
        <v>#N/A</v>
      </c>
      <c r="BW282" t="e">
        <f t="shared" si="321"/>
        <v>#N/A</v>
      </c>
      <c r="BX282" t="e">
        <f t="shared" si="322"/>
        <v>#N/A</v>
      </c>
      <c r="BY282" t="e">
        <f t="shared" si="323"/>
        <v>#N/A</v>
      </c>
      <c r="BZ282" t="e">
        <f t="shared" si="324"/>
        <v>#N/A</v>
      </c>
      <c r="CA282" t="e">
        <f t="shared" si="325"/>
        <v>#N/A</v>
      </c>
      <c r="CB282" t="e">
        <f t="shared" si="326"/>
        <v>#N/A</v>
      </c>
      <c r="CC282" t="e">
        <f t="shared" si="327"/>
        <v>#N/A</v>
      </c>
      <c r="CD282" t="e">
        <f t="shared" si="328"/>
        <v>#N/A</v>
      </c>
      <c r="CE282" t="e">
        <f t="shared" si="329"/>
        <v>#N/A</v>
      </c>
      <c r="CF282" t="e">
        <f t="shared" si="330"/>
        <v>#N/A</v>
      </c>
      <c r="CG282" t="e">
        <f t="shared" si="331"/>
        <v>#N/A</v>
      </c>
      <c r="CI282" t="e">
        <f>AT98</f>
        <v>#N/A</v>
      </c>
      <c r="CJ282" t="e">
        <f>AU98</f>
        <v>#N/A</v>
      </c>
      <c r="CK282">
        <f>IF(ISNUMBER(CI282),IFERROR(MAX(0,AV98-CI282),0),0)</f>
        <v>0</v>
      </c>
      <c r="CL282">
        <f>IF(ISNUMBER(CI282),IFERROR(MAX(0,CI282-AV98),0),0)</f>
        <v>0</v>
      </c>
      <c r="CM282">
        <f>IF(ISNUMBER(CJ282),IFERROR(MAX(0,AW98-CJ282),0),0)</f>
        <v>0</v>
      </c>
      <c r="CN282">
        <f>IF(ISNUMBER(CJ282),IFERROR(MAX(0,CJ282-AW98),0),0)</f>
        <v>0</v>
      </c>
      <c r="CP282" t="e">
        <f>CB98</f>
        <v>#N/A</v>
      </c>
      <c r="CQ282" t="e">
        <f>CC98</f>
        <v>#N/A</v>
      </c>
      <c r="CR282">
        <f>IF(ISNUMBER(CP282),IFERROR(MAX(0,CD98-CP282),0),0)</f>
        <v>0</v>
      </c>
      <c r="CS282">
        <f>IF(ISNUMBER(CP282),IFERROR(MAX(0,CP282-CD98),0),0)</f>
        <v>0</v>
      </c>
      <c r="CT282">
        <f>IF(ISNUMBER(CQ282),IFERROR(MAX(0,CE98-CQ282),0),0)</f>
        <v>0</v>
      </c>
      <c r="CU282">
        <f>IF(ISNUMBER(CQ282),IFERROR(MAX(0,CQ282-CE98),0),0)</f>
        <v>0</v>
      </c>
    </row>
    <row r="283" spans="21:99" x14ac:dyDescent="0.3">
      <c r="U283">
        <v>277</v>
      </c>
      <c r="V283">
        <f t="shared" si="276"/>
        <v>70</v>
      </c>
      <c r="W283">
        <f t="shared" si="277"/>
        <v>1</v>
      </c>
      <c r="X283">
        <f t="shared" si="278"/>
        <v>0</v>
      </c>
      <c r="Y283">
        <f>IF(X283&lt;&gt;1,9999,CHOOSE(W283,INDEX(Gantt!$BQ$7:$BQ$119,V283),INDEX(Gantt!$BR$7:$BR$119,V283),INDEX(Gantt!$BT$7:$BT$119,V283),INDEX(Gantt!$BU$7:$BU$119,V283)))</f>
        <v>9999</v>
      </c>
      <c r="Z283">
        <f t="shared" si="279"/>
        <v>0</v>
      </c>
      <c r="AA283" t="e">
        <f t="shared" si="280"/>
        <v>#N/A</v>
      </c>
      <c r="AB283" t="e">
        <f t="shared" si="281"/>
        <v>#N/A</v>
      </c>
      <c r="AC283" t="e">
        <f t="shared" si="282"/>
        <v>#N/A</v>
      </c>
      <c r="AD283" t="e">
        <f t="shared" si="283"/>
        <v>#N/A</v>
      </c>
      <c r="AE283" t="e">
        <f t="shared" si="284"/>
        <v>#N/A</v>
      </c>
      <c r="AF283" t="e">
        <f t="shared" si="285"/>
        <v>#N/A</v>
      </c>
      <c r="AG283" t="e">
        <f t="shared" si="286"/>
        <v>#N/A</v>
      </c>
      <c r="AH283" t="e">
        <f t="shared" si="287"/>
        <v>#N/A</v>
      </c>
      <c r="AI283" t="e">
        <f t="shared" si="288"/>
        <v>#N/A</v>
      </c>
      <c r="AJ283" t="e">
        <f t="shared" si="289"/>
        <v>#N/A</v>
      </c>
      <c r="AK283" t="e">
        <f t="shared" si="290"/>
        <v>#N/A</v>
      </c>
      <c r="AL283" t="e">
        <f t="shared" si="291"/>
        <v>#N/A</v>
      </c>
      <c r="AM283" t="e">
        <f t="shared" si="292"/>
        <v>#N/A</v>
      </c>
      <c r="AN283" t="e">
        <f t="shared" si="293"/>
        <v>#N/A</v>
      </c>
      <c r="AO283" t="e">
        <f t="shared" si="294"/>
        <v>#N/A</v>
      </c>
      <c r="AP283" t="e">
        <f t="shared" si="295"/>
        <v>#N/A</v>
      </c>
      <c r="AQ283" t="e">
        <f t="shared" si="296"/>
        <v>#N/A</v>
      </c>
      <c r="AR283" t="e">
        <f t="shared" si="297"/>
        <v>#N/A</v>
      </c>
      <c r="AS283" t="e">
        <f t="shared" si="298"/>
        <v>#N/A</v>
      </c>
      <c r="AT283" t="e">
        <f t="shared" si="299"/>
        <v>#N/A</v>
      </c>
      <c r="AU283" t="e">
        <f t="shared" si="300"/>
        <v>#N/A</v>
      </c>
      <c r="AV283" t="e">
        <f t="shared" si="301"/>
        <v>#N/A</v>
      </c>
      <c r="AW283" t="e">
        <f t="shared" si="302"/>
        <v>#N/A</v>
      </c>
      <c r="AX283" t="e">
        <f t="shared" si="303"/>
        <v>#N/A</v>
      </c>
      <c r="AY283" t="e">
        <f t="shared" si="304"/>
        <v>#N/A</v>
      </c>
      <c r="BE283" t="e">
        <f>IF(Z283=1,IF(INDEX($C$7:$C$126,V283)&gt;=Gantt!$BF$6,NA(),MATCH(INDEX($C$7:$C$126,V283),Gantt!$J$6:$BE$6,1)),NA())</f>
        <v>#N/A</v>
      </c>
      <c r="BF283" t="e">
        <f>IF(Z283=1,IF((INDEX($D$7:$D$126,AA283)-1)&gt;=Gantt!$BF$6,NA(),IF((INDEX($D$7:$D$126,AA283)-1)&lt;Gantt!$J$6,0,MATCH((INDEX($D$7:$D$126,AA283)-1),Gantt!$J$6:$BE$6,1))),NA())</f>
        <v>#N/A</v>
      </c>
      <c r="BG283" t="e">
        <f t="shared" si="305"/>
        <v>#N/A</v>
      </c>
      <c r="BH283" t="e">
        <f t="shared" si="306"/>
        <v>#N/A</v>
      </c>
      <c r="BI283" t="e">
        <f t="shared" si="307"/>
        <v>#N/A</v>
      </c>
      <c r="BJ283" t="e">
        <f t="shared" si="308"/>
        <v>#N/A</v>
      </c>
      <c r="BK283" t="e">
        <f t="shared" si="309"/>
        <v>#N/A</v>
      </c>
      <c r="BL283" t="e">
        <f t="shared" si="310"/>
        <v>#N/A</v>
      </c>
      <c r="BM283" t="e">
        <f t="shared" si="311"/>
        <v>#N/A</v>
      </c>
      <c r="BN283" t="e">
        <f t="shared" si="312"/>
        <v>#N/A</v>
      </c>
      <c r="BO283" t="e">
        <f t="shared" si="313"/>
        <v>#N/A</v>
      </c>
      <c r="BP283" t="e">
        <f t="shared" si="314"/>
        <v>#N/A</v>
      </c>
      <c r="BQ283" t="e">
        <f t="shared" si="315"/>
        <v>#N/A</v>
      </c>
      <c r="BR283" t="e">
        <f t="shared" si="316"/>
        <v>#N/A</v>
      </c>
      <c r="BS283" t="e">
        <f t="shared" si="317"/>
        <v>#N/A</v>
      </c>
      <c r="BT283" t="e">
        <f t="shared" si="318"/>
        <v>#N/A</v>
      </c>
      <c r="BU283" t="e">
        <f t="shared" si="319"/>
        <v>#N/A</v>
      </c>
      <c r="BV283" t="e">
        <f t="shared" si="320"/>
        <v>#N/A</v>
      </c>
      <c r="BW283" t="e">
        <f t="shared" si="321"/>
        <v>#N/A</v>
      </c>
      <c r="BX283" t="e">
        <f t="shared" si="322"/>
        <v>#N/A</v>
      </c>
      <c r="BY283" t="e">
        <f t="shared" si="323"/>
        <v>#N/A</v>
      </c>
      <c r="BZ283" t="e">
        <f t="shared" si="324"/>
        <v>#N/A</v>
      </c>
      <c r="CA283" t="e">
        <f t="shared" si="325"/>
        <v>#N/A</v>
      </c>
      <c r="CB283" t="e">
        <f t="shared" si="326"/>
        <v>#N/A</v>
      </c>
      <c r="CC283" t="e">
        <f t="shared" si="327"/>
        <v>#N/A</v>
      </c>
      <c r="CD283" t="e">
        <f t="shared" si="328"/>
        <v>#N/A</v>
      </c>
      <c r="CE283" t="e">
        <f t="shared" si="329"/>
        <v>#N/A</v>
      </c>
      <c r="CF283" t="e">
        <f t="shared" si="330"/>
        <v>#N/A</v>
      </c>
      <c r="CG283" t="e">
        <f t="shared" si="331"/>
        <v>#N/A</v>
      </c>
      <c r="CI283" t="e">
        <f>AL99</f>
        <v>#N/A</v>
      </c>
      <c r="CJ283" t="e">
        <f>AM99</f>
        <v>#N/A</v>
      </c>
      <c r="CK283">
        <f>IF(ISNUMBER(CI283),IFERROR(MAX(0,AN99-CI283),0),0)</f>
        <v>0</v>
      </c>
      <c r="CL283">
        <f>IF(ISNUMBER(CI283),IFERROR(MAX(0,CI283-AN99),0),0)</f>
        <v>0</v>
      </c>
      <c r="CM283">
        <f>IF(ISNUMBER(CJ283),IFERROR(MAX(0,AO99-CJ283),0),0)</f>
        <v>0</v>
      </c>
      <c r="CN283">
        <f>IF(ISNUMBER(CJ283),IFERROR(MAX(0,CJ283-AO99),0),0)</f>
        <v>0</v>
      </c>
      <c r="CP283" t="e">
        <f>BT99</f>
        <v>#N/A</v>
      </c>
      <c r="CQ283" t="e">
        <f>BU99</f>
        <v>#N/A</v>
      </c>
      <c r="CR283">
        <f>IF(ISNUMBER(CP283),IFERROR(MAX(0,BV99-CP283),0),0)</f>
        <v>0</v>
      </c>
      <c r="CS283">
        <f>IF(ISNUMBER(CP283),IFERROR(MAX(0,CP283-BV99),0),0)</f>
        <v>0</v>
      </c>
      <c r="CT283">
        <f>IF(ISNUMBER(CQ283),IFERROR(MAX(0,BW99-CQ283),0),0)</f>
        <v>0</v>
      </c>
      <c r="CU283">
        <f>IF(ISNUMBER(CQ283),IFERROR(MAX(0,CQ283-BW99),0),0)</f>
        <v>0</v>
      </c>
    </row>
    <row r="284" spans="21:99" x14ac:dyDescent="0.3">
      <c r="U284">
        <v>278</v>
      </c>
      <c r="V284">
        <f t="shared" si="276"/>
        <v>70</v>
      </c>
      <c r="W284">
        <f t="shared" si="277"/>
        <v>2</v>
      </c>
      <c r="X284">
        <f t="shared" si="278"/>
        <v>0</v>
      </c>
      <c r="Y284">
        <f>IF(X284&lt;&gt;1,9999,CHOOSE(W284,INDEX(Gantt!$BQ$7:$BQ$119,V284),INDEX(Gantt!$BR$7:$BR$119,V284),INDEX(Gantt!$BT$7:$BT$119,V284),INDEX(Gantt!$BU$7:$BU$119,V284)))</f>
        <v>9999</v>
      </c>
      <c r="Z284">
        <f t="shared" si="279"/>
        <v>0</v>
      </c>
      <c r="AA284" t="e">
        <f t="shared" si="280"/>
        <v>#N/A</v>
      </c>
      <c r="AB284" t="e">
        <f t="shared" si="281"/>
        <v>#N/A</v>
      </c>
      <c r="AC284" t="e">
        <f t="shared" si="282"/>
        <v>#N/A</v>
      </c>
      <c r="AD284" t="e">
        <f t="shared" si="283"/>
        <v>#N/A</v>
      </c>
      <c r="AE284" t="e">
        <f t="shared" si="284"/>
        <v>#N/A</v>
      </c>
      <c r="AF284" t="e">
        <f t="shared" si="285"/>
        <v>#N/A</v>
      </c>
      <c r="AG284" t="e">
        <f t="shared" si="286"/>
        <v>#N/A</v>
      </c>
      <c r="AH284" t="e">
        <f t="shared" si="287"/>
        <v>#N/A</v>
      </c>
      <c r="AI284" t="e">
        <f t="shared" si="288"/>
        <v>#N/A</v>
      </c>
      <c r="AJ284" t="e">
        <f t="shared" si="289"/>
        <v>#N/A</v>
      </c>
      <c r="AK284" t="e">
        <f t="shared" si="290"/>
        <v>#N/A</v>
      </c>
      <c r="AL284" t="e">
        <f t="shared" si="291"/>
        <v>#N/A</v>
      </c>
      <c r="AM284" t="e">
        <f t="shared" si="292"/>
        <v>#N/A</v>
      </c>
      <c r="AN284" t="e">
        <f t="shared" si="293"/>
        <v>#N/A</v>
      </c>
      <c r="AO284" t="e">
        <f t="shared" si="294"/>
        <v>#N/A</v>
      </c>
      <c r="AP284" t="e">
        <f t="shared" si="295"/>
        <v>#N/A</v>
      </c>
      <c r="AQ284" t="e">
        <f t="shared" si="296"/>
        <v>#N/A</v>
      </c>
      <c r="AR284" t="e">
        <f t="shared" si="297"/>
        <v>#N/A</v>
      </c>
      <c r="AS284" t="e">
        <f t="shared" si="298"/>
        <v>#N/A</v>
      </c>
      <c r="AT284" t="e">
        <f t="shared" si="299"/>
        <v>#N/A</v>
      </c>
      <c r="AU284" t="e">
        <f t="shared" si="300"/>
        <v>#N/A</v>
      </c>
      <c r="AV284" t="e">
        <f t="shared" si="301"/>
        <v>#N/A</v>
      </c>
      <c r="AW284" t="e">
        <f t="shared" si="302"/>
        <v>#N/A</v>
      </c>
      <c r="AX284" t="e">
        <f t="shared" si="303"/>
        <v>#N/A</v>
      </c>
      <c r="AY284" t="e">
        <f t="shared" si="304"/>
        <v>#N/A</v>
      </c>
      <c r="BE284" t="e">
        <f>IF(Z284=1,IF(INDEX($C$7:$C$126,V284)&gt;=Gantt!$BF$6,NA(),MATCH(INDEX($C$7:$C$126,V284),Gantt!$J$6:$BE$6,1)),NA())</f>
        <v>#N/A</v>
      </c>
      <c r="BF284" t="e">
        <f>IF(Z284=1,IF((INDEX($D$7:$D$126,AA284)-1)&gt;=Gantt!$BF$6,NA(),IF((INDEX($D$7:$D$126,AA284)-1)&lt;Gantt!$J$6,0,MATCH((INDEX($D$7:$D$126,AA284)-1),Gantt!$J$6:$BE$6,1))),NA())</f>
        <v>#N/A</v>
      </c>
      <c r="BG284" t="e">
        <f t="shared" si="305"/>
        <v>#N/A</v>
      </c>
      <c r="BH284" t="e">
        <f t="shared" si="306"/>
        <v>#N/A</v>
      </c>
      <c r="BI284" t="e">
        <f t="shared" si="307"/>
        <v>#N/A</v>
      </c>
      <c r="BJ284" t="e">
        <f t="shared" si="308"/>
        <v>#N/A</v>
      </c>
      <c r="BK284" t="e">
        <f t="shared" si="309"/>
        <v>#N/A</v>
      </c>
      <c r="BL284" t="e">
        <f t="shared" si="310"/>
        <v>#N/A</v>
      </c>
      <c r="BM284" t="e">
        <f t="shared" si="311"/>
        <v>#N/A</v>
      </c>
      <c r="BN284" t="e">
        <f t="shared" si="312"/>
        <v>#N/A</v>
      </c>
      <c r="BO284" t="e">
        <f t="shared" si="313"/>
        <v>#N/A</v>
      </c>
      <c r="BP284" t="e">
        <f t="shared" si="314"/>
        <v>#N/A</v>
      </c>
      <c r="BQ284" t="e">
        <f t="shared" si="315"/>
        <v>#N/A</v>
      </c>
      <c r="BR284" t="e">
        <f t="shared" si="316"/>
        <v>#N/A</v>
      </c>
      <c r="BS284" t="e">
        <f t="shared" si="317"/>
        <v>#N/A</v>
      </c>
      <c r="BT284" t="e">
        <f t="shared" si="318"/>
        <v>#N/A</v>
      </c>
      <c r="BU284" t="e">
        <f t="shared" si="319"/>
        <v>#N/A</v>
      </c>
      <c r="BV284" t="e">
        <f t="shared" si="320"/>
        <v>#N/A</v>
      </c>
      <c r="BW284" t="e">
        <f t="shared" si="321"/>
        <v>#N/A</v>
      </c>
      <c r="BX284" t="e">
        <f t="shared" si="322"/>
        <v>#N/A</v>
      </c>
      <c r="BY284" t="e">
        <f t="shared" si="323"/>
        <v>#N/A</v>
      </c>
      <c r="BZ284" t="e">
        <f t="shared" si="324"/>
        <v>#N/A</v>
      </c>
      <c r="CA284" t="e">
        <f t="shared" si="325"/>
        <v>#N/A</v>
      </c>
      <c r="CB284" t="e">
        <f t="shared" si="326"/>
        <v>#N/A</v>
      </c>
      <c r="CC284" t="e">
        <f t="shared" si="327"/>
        <v>#N/A</v>
      </c>
      <c r="CD284" t="e">
        <f t="shared" si="328"/>
        <v>#N/A</v>
      </c>
      <c r="CE284" t="e">
        <f t="shared" si="329"/>
        <v>#N/A</v>
      </c>
      <c r="CF284" t="e">
        <f t="shared" si="330"/>
        <v>#N/A</v>
      </c>
      <c r="CG284" t="e">
        <f t="shared" si="331"/>
        <v>#N/A</v>
      </c>
      <c r="CI284" t="e">
        <f>AP99</f>
        <v>#N/A</v>
      </c>
      <c r="CJ284" t="e">
        <f>AQ99</f>
        <v>#N/A</v>
      </c>
      <c r="CK284">
        <f>IF(ISNUMBER(CI284),IFERROR(MAX(0,AR99-CI284),0),0)</f>
        <v>0</v>
      </c>
      <c r="CL284">
        <f>IF(ISNUMBER(CI284),IFERROR(MAX(0,CI284-AR99),0),0)</f>
        <v>0</v>
      </c>
      <c r="CM284">
        <f>IF(ISNUMBER(CJ284),IFERROR(MAX(0,AS99-CJ284),0),0)</f>
        <v>0</v>
      </c>
      <c r="CN284">
        <f>IF(ISNUMBER(CJ284),IFERROR(MAX(0,CJ284-AS99),0),0)</f>
        <v>0</v>
      </c>
      <c r="CP284" t="e">
        <f>BX99</f>
        <v>#N/A</v>
      </c>
      <c r="CQ284" t="e">
        <f>BY99</f>
        <v>#N/A</v>
      </c>
      <c r="CR284">
        <f>IF(ISNUMBER(CP284),IFERROR(MAX(0,BZ99-CP284),0),0)</f>
        <v>0</v>
      </c>
      <c r="CS284">
        <f>IF(ISNUMBER(CP284),IFERROR(MAX(0,CP284-BZ99),0),0)</f>
        <v>0</v>
      </c>
      <c r="CT284">
        <f>IF(ISNUMBER(CQ284),IFERROR(MAX(0,CA99-CQ284),0),0)</f>
        <v>0</v>
      </c>
      <c r="CU284">
        <f>IF(ISNUMBER(CQ284),IFERROR(MAX(0,CQ284-CA99),0),0)</f>
        <v>0</v>
      </c>
    </row>
    <row r="285" spans="21:99" x14ac:dyDescent="0.3">
      <c r="U285">
        <v>279</v>
      </c>
      <c r="V285">
        <f t="shared" si="276"/>
        <v>70</v>
      </c>
      <c r="W285">
        <f t="shared" si="277"/>
        <v>3</v>
      </c>
      <c r="X285">
        <f t="shared" si="278"/>
        <v>0</v>
      </c>
      <c r="Y285">
        <f>IF(X285&lt;&gt;1,9999,CHOOSE(W285,INDEX(Gantt!$BQ$7:$BQ$119,V285),INDEX(Gantt!$BR$7:$BR$119,V285),INDEX(Gantt!$BT$7:$BT$119,V285),INDEX(Gantt!$BU$7:$BU$119,V285)))</f>
        <v>9999</v>
      </c>
      <c r="Z285">
        <f t="shared" si="279"/>
        <v>0</v>
      </c>
      <c r="AA285" t="e">
        <f t="shared" si="280"/>
        <v>#N/A</v>
      </c>
      <c r="AB285" t="e">
        <f t="shared" si="281"/>
        <v>#N/A</v>
      </c>
      <c r="AC285" t="e">
        <f t="shared" si="282"/>
        <v>#N/A</v>
      </c>
      <c r="AD285" t="e">
        <f t="shared" si="283"/>
        <v>#N/A</v>
      </c>
      <c r="AE285" t="e">
        <f t="shared" si="284"/>
        <v>#N/A</v>
      </c>
      <c r="AF285" t="e">
        <f t="shared" si="285"/>
        <v>#N/A</v>
      </c>
      <c r="AG285" t="e">
        <f t="shared" si="286"/>
        <v>#N/A</v>
      </c>
      <c r="AH285" t="e">
        <f t="shared" si="287"/>
        <v>#N/A</v>
      </c>
      <c r="AI285" t="e">
        <f t="shared" si="288"/>
        <v>#N/A</v>
      </c>
      <c r="AJ285" t="e">
        <f t="shared" si="289"/>
        <v>#N/A</v>
      </c>
      <c r="AK285" t="e">
        <f t="shared" si="290"/>
        <v>#N/A</v>
      </c>
      <c r="AL285" t="e">
        <f t="shared" si="291"/>
        <v>#N/A</v>
      </c>
      <c r="AM285" t="e">
        <f t="shared" si="292"/>
        <v>#N/A</v>
      </c>
      <c r="AN285" t="e">
        <f t="shared" si="293"/>
        <v>#N/A</v>
      </c>
      <c r="AO285" t="e">
        <f t="shared" si="294"/>
        <v>#N/A</v>
      </c>
      <c r="AP285" t="e">
        <f t="shared" si="295"/>
        <v>#N/A</v>
      </c>
      <c r="AQ285" t="e">
        <f t="shared" si="296"/>
        <v>#N/A</v>
      </c>
      <c r="AR285" t="e">
        <f t="shared" si="297"/>
        <v>#N/A</v>
      </c>
      <c r="AS285" t="e">
        <f t="shared" si="298"/>
        <v>#N/A</v>
      </c>
      <c r="AT285" t="e">
        <f t="shared" si="299"/>
        <v>#N/A</v>
      </c>
      <c r="AU285" t="e">
        <f t="shared" si="300"/>
        <v>#N/A</v>
      </c>
      <c r="AV285" t="e">
        <f t="shared" si="301"/>
        <v>#N/A</v>
      </c>
      <c r="AW285" t="e">
        <f t="shared" si="302"/>
        <v>#N/A</v>
      </c>
      <c r="AX285" t="e">
        <f t="shared" si="303"/>
        <v>#N/A</v>
      </c>
      <c r="AY285" t="e">
        <f t="shared" si="304"/>
        <v>#N/A</v>
      </c>
      <c r="BE285" t="e">
        <f>IF(Z285=1,IF(INDEX($C$7:$C$126,V285)&gt;=Gantt!$BF$6,NA(),MATCH(INDEX($C$7:$C$126,V285),Gantt!$J$6:$BE$6,1)),NA())</f>
        <v>#N/A</v>
      </c>
      <c r="BF285" t="e">
        <f>IF(Z285=1,IF((INDEX($D$7:$D$126,AA285)-1)&gt;=Gantt!$BF$6,NA(),IF((INDEX($D$7:$D$126,AA285)-1)&lt;Gantt!$J$6,0,MATCH((INDEX($D$7:$D$126,AA285)-1),Gantt!$J$6:$BE$6,1))),NA())</f>
        <v>#N/A</v>
      </c>
      <c r="BG285" t="e">
        <f t="shared" si="305"/>
        <v>#N/A</v>
      </c>
      <c r="BH285" t="e">
        <f t="shared" si="306"/>
        <v>#N/A</v>
      </c>
      <c r="BI285" t="e">
        <f t="shared" si="307"/>
        <v>#N/A</v>
      </c>
      <c r="BJ285" t="e">
        <f t="shared" si="308"/>
        <v>#N/A</v>
      </c>
      <c r="BK285" t="e">
        <f t="shared" si="309"/>
        <v>#N/A</v>
      </c>
      <c r="BL285" t="e">
        <f t="shared" si="310"/>
        <v>#N/A</v>
      </c>
      <c r="BM285" t="e">
        <f t="shared" si="311"/>
        <v>#N/A</v>
      </c>
      <c r="BN285" t="e">
        <f t="shared" si="312"/>
        <v>#N/A</v>
      </c>
      <c r="BO285" t="e">
        <f t="shared" si="313"/>
        <v>#N/A</v>
      </c>
      <c r="BP285" t="e">
        <f t="shared" si="314"/>
        <v>#N/A</v>
      </c>
      <c r="BQ285" t="e">
        <f t="shared" si="315"/>
        <v>#N/A</v>
      </c>
      <c r="BR285" t="e">
        <f t="shared" si="316"/>
        <v>#N/A</v>
      </c>
      <c r="BS285" t="e">
        <f t="shared" si="317"/>
        <v>#N/A</v>
      </c>
      <c r="BT285" t="e">
        <f t="shared" si="318"/>
        <v>#N/A</v>
      </c>
      <c r="BU285" t="e">
        <f t="shared" si="319"/>
        <v>#N/A</v>
      </c>
      <c r="BV285" t="e">
        <f t="shared" si="320"/>
        <v>#N/A</v>
      </c>
      <c r="BW285" t="e">
        <f t="shared" si="321"/>
        <v>#N/A</v>
      </c>
      <c r="BX285" t="e">
        <f t="shared" si="322"/>
        <v>#N/A</v>
      </c>
      <c r="BY285" t="e">
        <f t="shared" si="323"/>
        <v>#N/A</v>
      </c>
      <c r="BZ285" t="e">
        <f t="shared" si="324"/>
        <v>#N/A</v>
      </c>
      <c r="CA285" t="e">
        <f t="shared" si="325"/>
        <v>#N/A</v>
      </c>
      <c r="CB285" t="e">
        <f t="shared" si="326"/>
        <v>#N/A</v>
      </c>
      <c r="CC285" t="e">
        <f t="shared" si="327"/>
        <v>#N/A</v>
      </c>
      <c r="CD285" t="e">
        <f t="shared" si="328"/>
        <v>#N/A</v>
      </c>
      <c r="CE285" t="e">
        <f t="shared" si="329"/>
        <v>#N/A</v>
      </c>
      <c r="CF285" t="e">
        <f t="shared" si="330"/>
        <v>#N/A</v>
      </c>
      <c r="CG285" t="e">
        <f t="shared" si="331"/>
        <v>#N/A</v>
      </c>
      <c r="CI285" t="e">
        <f>AT99</f>
        <v>#N/A</v>
      </c>
      <c r="CJ285" t="e">
        <f>AU99</f>
        <v>#N/A</v>
      </c>
      <c r="CK285">
        <f>IF(ISNUMBER(CI285),IFERROR(MAX(0,AV99-CI285),0),0)</f>
        <v>0</v>
      </c>
      <c r="CL285">
        <f>IF(ISNUMBER(CI285),IFERROR(MAX(0,CI285-AV99),0),0)</f>
        <v>0</v>
      </c>
      <c r="CM285">
        <f>IF(ISNUMBER(CJ285),IFERROR(MAX(0,AW99-CJ285),0),0)</f>
        <v>0</v>
      </c>
      <c r="CN285">
        <f>IF(ISNUMBER(CJ285),IFERROR(MAX(0,CJ285-AW99),0),0)</f>
        <v>0</v>
      </c>
      <c r="CP285" t="e">
        <f>CB99</f>
        <v>#N/A</v>
      </c>
      <c r="CQ285" t="e">
        <f>CC99</f>
        <v>#N/A</v>
      </c>
      <c r="CR285">
        <f>IF(ISNUMBER(CP285),IFERROR(MAX(0,CD99-CP285),0),0)</f>
        <v>0</v>
      </c>
      <c r="CS285">
        <f>IF(ISNUMBER(CP285),IFERROR(MAX(0,CP285-CD99),0),0)</f>
        <v>0</v>
      </c>
      <c r="CT285">
        <f>IF(ISNUMBER(CQ285),IFERROR(MAX(0,CE99-CQ285),0),0)</f>
        <v>0</v>
      </c>
      <c r="CU285">
        <f>IF(ISNUMBER(CQ285),IFERROR(MAX(0,CQ285-CE99),0),0)</f>
        <v>0</v>
      </c>
    </row>
    <row r="286" spans="21:99" x14ac:dyDescent="0.3">
      <c r="U286">
        <v>280</v>
      </c>
      <c r="V286">
        <f t="shared" si="276"/>
        <v>70</v>
      </c>
      <c r="W286">
        <f t="shared" si="277"/>
        <v>4</v>
      </c>
      <c r="X286">
        <f t="shared" si="278"/>
        <v>0</v>
      </c>
      <c r="Y286">
        <f>IF(X286&lt;&gt;1,9999,CHOOSE(W286,INDEX(Gantt!$BQ$7:$BQ$119,V286),INDEX(Gantt!$BR$7:$BR$119,V286),INDEX(Gantt!$BT$7:$BT$119,V286),INDEX(Gantt!$BU$7:$BU$119,V286)))</f>
        <v>9999</v>
      </c>
      <c r="Z286">
        <f t="shared" si="279"/>
        <v>0</v>
      </c>
      <c r="AA286" t="e">
        <f t="shared" si="280"/>
        <v>#N/A</v>
      </c>
      <c r="AB286" t="e">
        <f t="shared" si="281"/>
        <v>#N/A</v>
      </c>
      <c r="AC286" t="e">
        <f t="shared" si="282"/>
        <v>#N/A</v>
      </c>
      <c r="AD286" t="e">
        <f t="shared" si="283"/>
        <v>#N/A</v>
      </c>
      <c r="AE286" t="e">
        <f t="shared" si="284"/>
        <v>#N/A</v>
      </c>
      <c r="AF286" t="e">
        <f t="shared" si="285"/>
        <v>#N/A</v>
      </c>
      <c r="AG286" t="e">
        <f t="shared" si="286"/>
        <v>#N/A</v>
      </c>
      <c r="AH286" t="e">
        <f t="shared" si="287"/>
        <v>#N/A</v>
      </c>
      <c r="AI286" t="e">
        <f t="shared" si="288"/>
        <v>#N/A</v>
      </c>
      <c r="AJ286" t="e">
        <f t="shared" si="289"/>
        <v>#N/A</v>
      </c>
      <c r="AK286" t="e">
        <f t="shared" si="290"/>
        <v>#N/A</v>
      </c>
      <c r="AL286" t="e">
        <f t="shared" si="291"/>
        <v>#N/A</v>
      </c>
      <c r="AM286" t="e">
        <f t="shared" si="292"/>
        <v>#N/A</v>
      </c>
      <c r="AN286" t="e">
        <f t="shared" si="293"/>
        <v>#N/A</v>
      </c>
      <c r="AO286" t="e">
        <f t="shared" si="294"/>
        <v>#N/A</v>
      </c>
      <c r="AP286" t="e">
        <f t="shared" si="295"/>
        <v>#N/A</v>
      </c>
      <c r="AQ286" t="e">
        <f t="shared" si="296"/>
        <v>#N/A</v>
      </c>
      <c r="AR286" t="e">
        <f t="shared" si="297"/>
        <v>#N/A</v>
      </c>
      <c r="AS286" t="e">
        <f t="shared" si="298"/>
        <v>#N/A</v>
      </c>
      <c r="AT286" t="e">
        <f t="shared" si="299"/>
        <v>#N/A</v>
      </c>
      <c r="AU286" t="e">
        <f t="shared" si="300"/>
        <v>#N/A</v>
      </c>
      <c r="AV286" t="e">
        <f t="shared" si="301"/>
        <v>#N/A</v>
      </c>
      <c r="AW286" t="e">
        <f t="shared" si="302"/>
        <v>#N/A</v>
      </c>
      <c r="AX286" t="e">
        <f t="shared" si="303"/>
        <v>#N/A</v>
      </c>
      <c r="AY286" t="e">
        <f t="shared" si="304"/>
        <v>#N/A</v>
      </c>
      <c r="BE286" t="e">
        <f>IF(Z286=1,IF(INDEX($C$7:$C$126,V286)&gt;=Gantt!$BF$6,NA(),MATCH(INDEX($C$7:$C$126,V286),Gantt!$J$6:$BE$6,1)),NA())</f>
        <v>#N/A</v>
      </c>
      <c r="BF286" t="e">
        <f>IF(Z286=1,IF((INDEX($D$7:$D$126,AA286)-1)&gt;=Gantt!$BF$6,NA(),IF((INDEX($D$7:$D$126,AA286)-1)&lt;Gantt!$J$6,0,MATCH((INDEX($D$7:$D$126,AA286)-1),Gantt!$J$6:$BE$6,1))),NA())</f>
        <v>#N/A</v>
      </c>
      <c r="BG286" t="e">
        <f t="shared" si="305"/>
        <v>#N/A</v>
      </c>
      <c r="BH286" t="e">
        <f t="shared" si="306"/>
        <v>#N/A</v>
      </c>
      <c r="BI286" t="e">
        <f t="shared" si="307"/>
        <v>#N/A</v>
      </c>
      <c r="BJ286" t="e">
        <f t="shared" si="308"/>
        <v>#N/A</v>
      </c>
      <c r="BK286" t="e">
        <f t="shared" si="309"/>
        <v>#N/A</v>
      </c>
      <c r="BL286" t="e">
        <f t="shared" si="310"/>
        <v>#N/A</v>
      </c>
      <c r="BM286" t="e">
        <f t="shared" si="311"/>
        <v>#N/A</v>
      </c>
      <c r="BN286" t="e">
        <f t="shared" si="312"/>
        <v>#N/A</v>
      </c>
      <c r="BO286" t="e">
        <f t="shared" si="313"/>
        <v>#N/A</v>
      </c>
      <c r="BP286" t="e">
        <f t="shared" si="314"/>
        <v>#N/A</v>
      </c>
      <c r="BQ286" t="e">
        <f t="shared" si="315"/>
        <v>#N/A</v>
      </c>
      <c r="BR286" t="e">
        <f t="shared" si="316"/>
        <v>#N/A</v>
      </c>
      <c r="BS286" t="e">
        <f t="shared" si="317"/>
        <v>#N/A</v>
      </c>
      <c r="BT286" t="e">
        <f t="shared" si="318"/>
        <v>#N/A</v>
      </c>
      <c r="BU286" t="e">
        <f t="shared" si="319"/>
        <v>#N/A</v>
      </c>
      <c r="BV286" t="e">
        <f t="shared" si="320"/>
        <v>#N/A</v>
      </c>
      <c r="BW286" t="e">
        <f t="shared" si="321"/>
        <v>#N/A</v>
      </c>
      <c r="BX286" t="e">
        <f t="shared" si="322"/>
        <v>#N/A</v>
      </c>
      <c r="BY286" t="e">
        <f t="shared" si="323"/>
        <v>#N/A</v>
      </c>
      <c r="BZ286" t="e">
        <f t="shared" si="324"/>
        <v>#N/A</v>
      </c>
      <c r="CA286" t="e">
        <f t="shared" si="325"/>
        <v>#N/A</v>
      </c>
      <c r="CB286" t="e">
        <f t="shared" si="326"/>
        <v>#N/A</v>
      </c>
      <c r="CC286" t="e">
        <f t="shared" si="327"/>
        <v>#N/A</v>
      </c>
      <c r="CD286" t="e">
        <f t="shared" si="328"/>
        <v>#N/A</v>
      </c>
      <c r="CE286" t="e">
        <f t="shared" si="329"/>
        <v>#N/A</v>
      </c>
      <c r="CF286" t="e">
        <f t="shared" si="330"/>
        <v>#N/A</v>
      </c>
      <c r="CG286" t="e">
        <f t="shared" si="331"/>
        <v>#N/A</v>
      </c>
      <c r="CI286" t="e">
        <f>AL100</f>
        <v>#N/A</v>
      </c>
      <c r="CJ286" t="e">
        <f>AM100</f>
        <v>#N/A</v>
      </c>
      <c r="CK286">
        <f>IF(ISNUMBER(CI286),IFERROR(MAX(0,AN100-CI286),0),0)</f>
        <v>0</v>
      </c>
      <c r="CL286">
        <f>IF(ISNUMBER(CI286),IFERROR(MAX(0,CI286-AN100),0),0)</f>
        <v>0</v>
      </c>
      <c r="CM286">
        <f>IF(ISNUMBER(CJ286),IFERROR(MAX(0,AO100-CJ286),0),0)</f>
        <v>0</v>
      </c>
      <c r="CN286">
        <f>IF(ISNUMBER(CJ286),IFERROR(MAX(0,CJ286-AO100),0),0)</f>
        <v>0</v>
      </c>
      <c r="CP286" t="e">
        <f>BT100</f>
        <v>#N/A</v>
      </c>
      <c r="CQ286" t="e">
        <f>BU100</f>
        <v>#N/A</v>
      </c>
      <c r="CR286">
        <f>IF(ISNUMBER(CP286),IFERROR(MAX(0,BV100-CP286),0),0)</f>
        <v>0</v>
      </c>
      <c r="CS286">
        <f>IF(ISNUMBER(CP286),IFERROR(MAX(0,CP286-BV100),0),0)</f>
        <v>0</v>
      </c>
      <c r="CT286">
        <f>IF(ISNUMBER(CQ286),IFERROR(MAX(0,BW100-CQ286),0),0)</f>
        <v>0</v>
      </c>
      <c r="CU286">
        <f>IF(ISNUMBER(CQ286),IFERROR(MAX(0,CQ286-BW100),0),0)</f>
        <v>0</v>
      </c>
    </row>
    <row r="287" spans="21:99" x14ac:dyDescent="0.3">
      <c r="U287">
        <v>281</v>
      </c>
      <c r="V287">
        <f t="shared" si="276"/>
        <v>71</v>
      </c>
      <c r="W287">
        <f t="shared" si="277"/>
        <v>1</v>
      </c>
      <c r="X287">
        <f t="shared" si="278"/>
        <v>0</v>
      </c>
      <c r="Y287">
        <f>IF(X287&lt;&gt;1,9999,CHOOSE(W287,INDEX(Gantt!$BQ$7:$BQ$119,V287),INDEX(Gantt!$BR$7:$BR$119,V287),INDEX(Gantt!$BT$7:$BT$119,V287),INDEX(Gantt!$BU$7:$BU$119,V287)))</f>
        <v>9999</v>
      </c>
      <c r="Z287">
        <f t="shared" si="279"/>
        <v>0</v>
      </c>
      <c r="AA287" t="e">
        <f t="shared" si="280"/>
        <v>#N/A</v>
      </c>
      <c r="AB287" t="e">
        <f t="shared" si="281"/>
        <v>#N/A</v>
      </c>
      <c r="AC287" t="e">
        <f t="shared" si="282"/>
        <v>#N/A</v>
      </c>
      <c r="AD287" t="e">
        <f t="shared" si="283"/>
        <v>#N/A</v>
      </c>
      <c r="AE287" t="e">
        <f t="shared" si="284"/>
        <v>#N/A</v>
      </c>
      <c r="AF287" t="e">
        <f t="shared" si="285"/>
        <v>#N/A</v>
      </c>
      <c r="AG287" t="e">
        <f t="shared" si="286"/>
        <v>#N/A</v>
      </c>
      <c r="AH287" t="e">
        <f t="shared" si="287"/>
        <v>#N/A</v>
      </c>
      <c r="AI287" t="e">
        <f t="shared" si="288"/>
        <v>#N/A</v>
      </c>
      <c r="AJ287" t="e">
        <f t="shared" si="289"/>
        <v>#N/A</v>
      </c>
      <c r="AK287" t="e">
        <f t="shared" si="290"/>
        <v>#N/A</v>
      </c>
      <c r="AL287" t="e">
        <f t="shared" si="291"/>
        <v>#N/A</v>
      </c>
      <c r="AM287" t="e">
        <f t="shared" si="292"/>
        <v>#N/A</v>
      </c>
      <c r="AN287" t="e">
        <f t="shared" si="293"/>
        <v>#N/A</v>
      </c>
      <c r="AO287" t="e">
        <f t="shared" si="294"/>
        <v>#N/A</v>
      </c>
      <c r="AP287" t="e">
        <f t="shared" si="295"/>
        <v>#N/A</v>
      </c>
      <c r="AQ287" t="e">
        <f t="shared" si="296"/>
        <v>#N/A</v>
      </c>
      <c r="AR287" t="e">
        <f t="shared" si="297"/>
        <v>#N/A</v>
      </c>
      <c r="AS287" t="e">
        <f t="shared" si="298"/>
        <v>#N/A</v>
      </c>
      <c r="AT287" t="e">
        <f t="shared" si="299"/>
        <v>#N/A</v>
      </c>
      <c r="AU287" t="e">
        <f t="shared" si="300"/>
        <v>#N/A</v>
      </c>
      <c r="AV287" t="e">
        <f t="shared" si="301"/>
        <v>#N/A</v>
      </c>
      <c r="AW287" t="e">
        <f t="shared" si="302"/>
        <v>#N/A</v>
      </c>
      <c r="AX287" t="e">
        <f t="shared" si="303"/>
        <v>#N/A</v>
      </c>
      <c r="AY287" t="e">
        <f t="shared" si="304"/>
        <v>#N/A</v>
      </c>
      <c r="BE287" t="e">
        <f>IF(Z287=1,IF(INDEX($C$7:$C$126,V287)&gt;=Gantt!$BF$6,NA(),MATCH(INDEX($C$7:$C$126,V287),Gantt!$J$6:$BE$6,1)),NA())</f>
        <v>#N/A</v>
      </c>
      <c r="BF287" t="e">
        <f>IF(Z287=1,IF((INDEX($D$7:$D$126,AA287)-1)&gt;=Gantt!$BF$6,NA(),IF((INDEX($D$7:$D$126,AA287)-1)&lt;Gantt!$J$6,0,MATCH((INDEX($D$7:$D$126,AA287)-1),Gantt!$J$6:$BE$6,1))),NA())</f>
        <v>#N/A</v>
      </c>
      <c r="BG287" t="e">
        <f t="shared" si="305"/>
        <v>#N/A</v>
      </c>
      <c r="BH287" t="e">
        <f t="shared" si="306"/>
        <v>#N/A</v>
      </c>
      <c r="BI287" t="e">
        <f t="shared" si="307"/>
        <v>#N/A</v>
      </c>
      <c r="BJ287" t="e">
        <f t="shared" si="308"/>
        <v>#N/A</v>
      </c>
      <c r="BK287" t="e">
        <f t="shared" si="309"/>
        <v>#N/A</v>
      </c>
      <c r="BL287" t="e">
        <f t="shared" si="310"/>
        <v>#N/A</v>
      </c>
      <c r="BM287" t="e">
        <f t="shared" si="311"/>
        <v>#N/A</v>
      </c>
      <c r="BN287" t="e">
        <f t="shared" si="312"/>
        <v>#N/A</v>
      </c>
      <c r="BO287" t="e">
        <f t="shared" si="313"/>
        <v>#N/A</v>
      </c>
      <c r="BP287" t="e">
        <f t="shared" si="314"/>
        <v>#N/A</v>
      </c>
      <c r="BQ287" t="e">
        <f t="shared" si="315"/>
        <v>#N/A</v>
      </c>
      <c r="BR287" t="e">
        <f t="shared" si="316"/>
        <v>#N/A</v>
      </c>
      <c r="BS287" t="e">
        <f t="shared" si="317"/>
        <v>#N/A</v>
      </c>
      <c r="BT287" t="e">
        <f t="shared" si="318"/>
        <v>#N/A</v>
      </c>
      <c r="BU287" t="e">
        <f t="shared" si="319"/>
        <v>#N/A</v>
      </c>
      <c r="BV287" t="e">
        <f t="shared" si="320"/>
        <v>#N/A</v>
      </c>
      <c r="BW287" t="e">
        <f t="shared" si="321"/>
        <v>#N/A</v>
      </c>
      <c r="BX287" t="e">
        <f t="shared" si="322"/>
        <v>#N/A</v>
      </c>
      <c r="BY287" t="e">
        <f t="shared" si="323"/>
        <v>#N/A</v>
      </c>
      <c r="BZ287" t="e">
        <f t="shared" si="324"/>
        <v>#N/A</v>
      </c>
      <c r="CA287" t="e">
        <f t="shared" si="325"/>
        <v>#N/A</v>
      </c>
      <c r="CB287" t="e">
        <f t="shared" si="326"/>
        <v>#N/A</v>
      </c>
      <c r="CC287" t="e">
        <f t="shared" si="327"/>
        <v>#N/A</v>
      </c>
      <c r="CD287" t="e">
        <f t="shared" si="328"/>
        <v>#N/A</v>
      </c>
      <c r="CE287" t="e">
        <f t="shared" si="329"/>
        <v>#N/A</v>
      </c>
      <c r="CF287" t="e">
        <f t="shared" si="330"/>
        <v>#N/A</v>
      </c>
      <c r="CG287" t="e">
        <f t="shared" si="331"/>
        <v>#N/A</v>
      </c>
      <c r="CI287" t="e">
        <f>AP100</f>
        <v>#N/A</v>
      </c>
      <c r="CJ287" t="e">
        <f>AQ100</f>
        <v>#N/A</v>
      </c>
      <c r="CK287">
        <f>IF(ISNUMBER(CI287),IFERROR(MAX(0,AR100-CI287),0),0)</f>
        <v>0</v>
      </c>
      <c r="CL287">
        <f>IF(ISNUMBER(CI287),IFERROR(MAX(0,CI287-AR100),0),0)</f>
        <v>0</v>
      </c>
      <c r="CM287">
        <f>IF(ISNUMBER(CJ287),IFERROR(MAX(0,AS100-CJ287),0),0)</f>
        <v>0</v>
      </c>
      <c r="CN287">
        <f>IF(ISNUMBER(CJ287),IFERROR(MAX(0,CJ287-AS100),0),0)</f>
        <v>0</v>
      </c>
      <c r="CP287" t="e">
        <f>BX100</f>
        <v>#N/A</v>
      </c>
      <c r="CQ287" t="e">
        <f>BY100</f>
        <v>#N/A</v>
      </c>
      <c r="CR287">
        <f>IF(ISNUMBER(CP287),IFERROR(MAX(0,BZ100-CP287),0),0)</f>
        <v>0</v>
      </c>
      <c r="CS287">
        <f>IF(ISNUMBER(CP287),IFERROR(MAX(0,CP287-BZ100),0),0)</f>
        <v>0</v>
      </c>
      <c r="CT287">
        <f>IF(ISNUMBER(CQ287),IFERROR(MAX(0,CA100-CQ287),0),0)</f>
        <v>0</v>
      </c>
      <c r="CU287">
        <f>IF(ISNUMBER(CQ287),IFERROR(MAX(0,CQ287-CA100),0),0)</f>
        <v>0</v>
      </c>
    </row>
    <row r="288" spans="21:99" x14ac:dyDescent="0.3">
      <c r="U288">
        <v>282</v>
      </c>
      <c r="V288">
        <f t="shared" si="276"/>
        <v>71</v>
      </c>
      <c r="W288">
        <f t="shared" si="277"/>
        <v>2</v>
      </c>
      <c r="X288">
        <f t="shared" si="278"/>
        <v>0</v>
      </c>
      <c r="Y288">
        <f>IF(X288&lt;&gt;1,9999,CHOOSE(W288,INDEX(Gantt!$BQ$7:$BQ$119,V288),INDEX(Gantt!$BR$7:$BR$119,V288),INDEX(Gantt!$BT$7:$BT$119,V288),INDEX(Gantt!$BU$7:$BU$119,V288)))</f>
        <v>9999</v>
      </c>
      <c r="Z288">
        <f t="shared" si="279"/>
        <v>0</v>
      </c>
      <c r="AA288" t="e">
        <f t="shared" si="280"/>
        <v>#N/A</v>
      </c>
      <c r="AB288" t="e">
        <f t="shared" si="281"/>
        <v>#N/A</v>
      </c>
      <c r="AC288" t="e">
        <f t="shared" si="282"/>
        <v>#N/A</v>
      </c>
      <c r="AD288" t="e">
        <f t="shared" si="283"/>
        <v>#N/A</v>
      </c>
      <c r="AE288" t="e">
        <f t="shared" si="284"/>
        <v>#N/A</v>
      </c>
      <c r="AF288" t="e">
        <f t="shared" si="285"/>
        <v>#N/A</v>
      </c>
      <c r="AG288" t="e">
        <f t="shared" si="286"/>
        <v>#N/A</v>
      </c>
      <c r="AH288" t="e">
        <f t="shared" si="287"/>
        <v>#N/A</v>
      </c>
      <c r="AI288" t="e">
        <f t="shared" si="288"/>
        <v>#N/A</v>
      </c>
      <c r="AJ288" t="e">
        <f t="shared" si="289"/>
        <v>#N/A</v>
      </c>
      <c r="AK288" t="e">
        <f t="shared" si="290"/>
        <v>#N/A</v>
      </c>
      <c r="AL288" t="e">
        <f t="shared" si="291"/>
        <v>#N/A</v>
      </c>
      <c r="AM288" t="e">
        <f t="shared" si="292"/>
        <v>#N/A</v>
      </c>
      <c r="AN288" t="e">
        <f t="shared" si="293"/>
        <v>#N/A</v>
      </c>
      <c r="AO288" t="e">
        <f t="shared" si="294"/>
        <v>#N/A</v>
      </c>
      <c r="AP288" t="e">
        <f t="shared" si="295"/>
        <v>#N/A</v>
      </c>
      <c r="AQ288" t="e">
        <f t="shared" si="296"/>
        <v>#N/A</v>
      </c>
      <c r="AR288" t="e">
        <f t="shared" si="297"/>
        <v>#N/A</v>
      </c>
      <c r="AS288" t="e">
        <f t="shared" si="298"/>
        <v>#N/A</v>
      </c>
      <c r="AT288" t="e">
        <f t="shared" si="299"/>
        <v>#N/A</v>
      </c>
      <c r="AU288" t="e">
        <f t="shared" si="300"/>
        <v>#N/A</v>
      </c>
      <c r="AV288" t="e">
        <f t="shared" si="301"/>
        <v>#N/A</v>
      </c>
      <c r="AW288" t="e">
        <f t="shared" si="302"/>
        <v>#N/A</v>
      </c>
      <c r="AX288" t="e">
        <f t="shared" si="303"/>
        <v>#N/A</v>
      </c>
      <c r="AY288" t="e">
        <f t="shared" si="304"/>
        <v>#N/A</v>
      </c>
      <c r="BE288" t="e">
        <f>IF(Z288=1,IF(INDEX($C$7:$C$126,V288)&gt;=Gantt!$BF$6,NA(),MATCH(INDEX($C$7:$C$126,V288),Gantt!$J$6:$BE$6,1)),NA())</f>
        <v>#N/A</v>
      </c>
      <c r="BF288" t="e">
        <f>IF(Z288=1,IF((INDEX($D$7:$D$126,AA288)-1)&gt;=Gantt!$BF$6,NA(),IF((INDEX($D$7:$D$126,AA288)-1)&lt;Gantt!$J$6,0,MATCH((INDEX($D$7:$D$126,AA288)-1),Gantt!$J$6:$BE$6,1))),NA())</f>
        <v>#N/A</v>
      </c>
      <c r="BG288" t="e">
        <f t="shared" si="305"/>
        <v>#N/A</v>
      </c>
      <c r="BH288" t="e">
        <f t="shared" si="306"/>
        <v>#N/A</v>
      </c>
      <c r="BI288" t="e">
        <f t="shared" si="307"/>
        <v>#N/A</v>
      </c>
      <c r="BJ288" t="e">
        <f t="shared" si="308"/>
        <v>#N/A</v>
      </c>
      <c r="BK288" t="e">
        <f t="shared" si="309"/>
        <v>#N/A</v>
      </c>
      <c r="BL288" t="e">
        <f t="shared" si="310"/>
        <v>#N/A</v>
      </c>
      <c r="BM288" t="e">
        <f t="shared" si="311"/>
        <v>#N/A</v>
      </c>
      <c r="BN288" t="e">
        <f t="shared" si="312"/>
        <v>#N/A</v>
      </c>
      <c r="BO288" t="e">
        <f t="shared" si="313"/>
        <v>#N/A</v>
      </c>
      <c r="BP288" t="e">
        <f t="shared" si="314"/>
        <v>#N/A</v>
      </c>
      <c r="BQ288" t="e">
        <f t="shared" si="315"/>
        <v>#N/A</v>
      </c>
      <c r="BR288" t="e">
        <f t="shared" si="316"/>
        <v>#N/A</v>
      </c>
      <c r="BS288" t="e">
        <f t="shared" si="317"/>
        <v>#N/A</v>
      </c>
      <c r="BT288" t="e">
        <f t="shared" si="318"/>
        <v>#N/A</v>
      </c>
      <c r="BU288" t="e">
        <f t="shared" si="319"/>
        <v>#N/A</v>
      </c>
      <c r="BV288" t="e">
        <f t="shared" si="320"/>
        <v>#N/A</v>
      </c>
      <c r="BW288" t="e">
        <f t="shared" si="321"/>
        <v>#N/A</v>
      </c>
      <c r="BX288" t="e">
        <f t="shared" si="322"/>
        <v>#N/A</v>
      </c>
      <c r="BY288" t="e">
        <f t="shared" si="323"/>
        <v>#N/A</v>
      </c>
      <c r="BZ288" t="e">
        <f t="shared" si="324"/>
        <v>#N/A</v>
      </c>
      <c r="CA288" t="e">
        <f t="shared" si="325"/>
        <v>#N/A</v>
      </c>
      <c r="CB288" t="e">
        <f t="shared" si="326"/>
        <v>#N/A</v>
      </c>
      <c r="CC288" t="e">
        <f t="shared" si="327"/>
        <v>#N/A</v>
      </c>
      <c r="CD288" t="e">
        <f t="shared" si="328"/>
        <v>#N/A</v>
      </c>
      <c r="CE288" t="e">
        <f t="shared" si="329"/>
        <v>#N/A</v>
      </c>
      <c r="CF288" t="e">
        <f t="shared" si="330"/>
        <v>#N/A</v>
      </c>
      <c r="CG288" t="e">
        <f t="shared" si="331"/>
        <v>#N/A</v>
      </c>
      <c r="CI288" t="e">
        <f>AT100</f>
        <v>#N/A</v>
      </c>
      <c r="CJ288" t="e">
        <f>AU100</f>
        <v>#N/A</v>
      </c>
      <c r="CK288">
        <f>IF(ISNUMBER(CI288),IFERROR(MAX(0,AV100-CI288),0),0)</f>
        <v>0</v>
      </c>
      <c r="CL288">
        <f>IF(ISNUMBER(CI288),IFERROR(MAX(0,CI288-AV100),0),0)</f>
        <v>0</v>
      </c>
      <c r="CM288">
        <f>IF(ISNUMBER(CJ288),IFERROR(MAX(0,AW100-CJ288),0),0)</f>
        <v>0</v>
      </c>
      <c r="CN288">
        <f>IF(ISNUMBER(CJ288),IFERROR(MAX(0,CJ288-AW100),0),0)</f>
        <v>0</v>
      </c>
      <c r="CP288" t="e">
        <f>CB100</f>
        <v>#N/A</v>
      </c>
      <c r="CQ288" t="e">
        <f>CC100</f>
        <v>#N/A</v>
      </c>
      <c r="CR288">
        <f>IF(ISNUMBER(CP288),IFERROR(MAX(0,CD100-CP288),0),0)</f>
        <v>0</v>
      </c>
      <c r="CS288">
        <f>IF(ISNUMBER(CP288),IFERROR(MAX(0,CP288-CD100),0),0)</f>
        <v>0</v>
      </c>
      <c r="CT288">
        <f>IF(ISNUMBER(CQ288),IFERROR(MAX(0,CE100-CQ288),0),0)</f>
        <v>0</v>
      </c>
      <c r="CU288">
        <f>IF(ISNUMBER(CQ288),IFERROR(MAX(0,CQ288-CE100),0),0)</f>
        <v>0</v>
      </c>
    </row>
    <row r="289" spans="21:99" x14ac:dyDescent="0.3">
      <c r="U289">
        <v>283</v>
      </c>
      <c r="V289">
        <f t="shared" si="276"/>
        <v>71</v>
      </c>
      <c r="W289">
        <f t="shared" si="277"/>
        <v>3</v>
      </c>
      <c r="X289">
        <f t="shared" si="278"/>
        <v>0</v>
      </c>
      <c r="Y289">
        <f>IF(X289&lt;&gt;1,9999,CHOOSE(W289,INDEX(Gantt!$BQ$7:$BQ$119,V289),INDEX(Gantt!$BR$7:$BR$119,V289),INDEX(Gantt!$BT$7:$BT$119,V289),INDEX(Gantt!$BU$7:$BU$119,V289)))</f>
        <v>9999</v>
      </c>
      <c r="Z289">
        <f t="shared" si="279"/>
        <v>0</v>
      </c>
      <c r="AA289" t="e">
        <f t="shared" si="280"/>
        <v>#N/A</v>
      </c>
      <c r="AB289" t="e">
        <f t="shared" si="281"/>
        <v>#N/A</v>
      </c>
      <c r="AC289" t="e">
        <f t="shared" si="282"/>
        <v>#N/A</v>
      </c>
      <c r="AD289" t="e">
        <f t="shared" si="283"/>
        <v>#N/A</v>
      </c>
      <c r="AE289" t="e">
        <f t="shared" si="284"/>
        <v>#N/A</v>
      </c>
      <c r="AF289" t="e">
        <f t="shared" si="285"/>
        <v>#N/A</v>
      </c>
      <c r="AG289" t="e">
        <f t="shared" si="286"/>
        <v>#N/A</v>
      </c>
      <c r="AH289" t="e">
        <f t="shared" si="287"/>
        <v>#N/A</v>
      </c>
      <c r="AI289" t="e">
        <f t="shared" si="288"/>
        <v>#N/A</v>
      </c>
      <c r="AJ289" t="e">
        <f t="shared" si="289"/>
        <v>#N/A</v>
      </c>
      <c r="AK289" t="e">
        <f t="shared" si="290"/>
        <v>#N/A</v>
      </c>
      <c r="AL289" t="e">
        <f t="shared" si="291"/>
        <v>#N/A</v>
      </c>
      <c r="AM289" t="e">
        <f t="shared" si="292"/>
        <v>#N/A</v>
      </c>
      <c r="AN289" t="e">
        <f t="shared" si="293"/>
        <v>#N/A</v>
      </c>
      <c r="AO289" t="e">
        <f t="shared" si="294"/>
        <v>#N/A</v>
      </c>
      <c r="AP289" t="e">
        <f t="shared" si="295"/>
        <v>#N/A</v>
      </c>
      <c r="AQ289" t="e">
        <f t="shared" si="296"/>
        <v>#N/A</v>
      </c>
      <c r="AR289" t="e">
        <f t="shared" si="297"/>
        <v>#N/A</v>
      </c>
      <c r="AS289" t="e">
        <f t="shared" si="298"/>
        <v>#N/A</v>
      </c>
      <c r="AT289" t="e">
        <f t="shared" si="299"/>
        <v>#N/A</v>
      </c>
      <c r="AU289" t="e">
        <f t="shared" si="300"/>
        <v>#N/A</v>
      </c>
      <c r="AV289" t="e">
        <f t="shared" si="301"/>
        <v>#N/A</v>
      </c>
      <c r="AW289" t="e">
        <f t="shared" si="302"/>
        <v>#N/A</v>
      </c>
      <c r="AX289" t="e">
        <f t="shared" si="303"/>
        <v>#N/A</v>
      </c>
      <c r="AY289" t="e">
        <f t="shared" si="304"/>
        <v>#N/A</v>
      </c>
      <c r="BE289" t="e">
        <f>IF(Z289=1,IF(INDEX($C$7:$C$126,V289)&gt;=Gantt!$BF$6,NA(),MATCH(INDEX($C$7:$C$126,V289),Gantt!$J$6:$BE$6,1)),NA())</f>
        <v>#N/A</v>
      </c>
      <c r="BF289" t="e">
        <f>IF(Z289=1,IF((INDEX($D$7:$D$126,AA289)-1)&gt;=Gantt!$BF$6,NA(),IF((INDEX($D$7:$D$126,AA289)-1)&lt;Gantt!$J$6,0,MATCH((INDEX($D$7:$D$126,AA289)-1),Gantt!$J$6:$BE$6,1))),NA())</f>
        <v>#N/A</v>
      </c>
      <c r="BG289" t="e">
        <f t="shared" si="305"/>
        <v>#N/A</v>
      </c>
      <c r="BH289" t="e">
        <f t="shared" si="306"/>
        <v>#N/A</v>
      </c>
      <c r="BI289" t="e">
        <f t="shared" si="307"/>
        <v>#N/A</v>
      </c>
      <c r="BJ289" t="e">
        <f t="shared" si="308"/>
        <v>#N/A</v>
      </c>
      <c r="BK289" t="e">
        <f t="shared" si="309"/>
        <v>#N/A</v>
      </c>
      <c r="BL289" t="e">
        <f t="shared" si="310"/>
        <v>#N/A</v>
      </c>
      <c r="BM289" t="e">
        <f t="shared" si="311"/>
        <v>#N/A</v>
      </c>
      <c r="BN289" t="e">
        <f t="shared" si="312"/>
        <v>#N/A</v>
      </c>
      <c r="BO289" t="e">
        <f t="shared" si="313"/>
        <v>#N/A</v>
      </c>
      <c r="BP289" t="e">
        <f t="shared" si="314"/>
        <v>#N/A</v>
      </c>
      <c r="BQ289" t="e">
        <f t="shared" si="315"/>
        <v>#N/A</v>
      </c>
      <c r="BR289" t="e">
        <f t="shared" si="316"/>
        <v>#N/A</v>
      </c>
      <c r="BS289" t="e">
        <f t="shared" si="317"/>
        <v>#N/A</v>
      </c>
      <c r="BT289" t="e">
        <f t="shared" si="318"/>
        <v>#N/A</v>
      </c>
      <c r="BU289" t="e">
        <f t="shared" si="319"/>
        <v>#N/A</v>
      </c>
      <c r="BV289" t="e">
        <f t="shared" si="320"/>
        <v>#N/A</v>
      </c>
      <c r="BW289" t="e">
        <f t="shared" si="321"/>
        <v>#N/A</v>
      </c>
      <c r="BX289" t="e">
        <f t="shared" si="322"/>
        <v>#N/A</v>
      </c>
      <c r="BY289" t="e">
        <f t="shared" si="323"/>
        <v>#N/A</v>
      </c>
      <c r="BZ289" t="e">
        <f t="shared" si="324"/>
        <v>#N/A</v>
      </c>
      <c r="CA289" t="e">
        <f t="shared" si="325"/>
        <v>#N/A</v>
      </c>
      <c r="CB289" t="e">
        <f t="shared" si="326"/>
        <v>#N/A</v>
      </c>
      <c r="CC289" t="e">
        <f t="shared" si="327"/>
        <v>#N/A</v>
      </c>
      <c r="CD289" t="e">
        <f t="shared" si="328"/>
        <v>#N/A</v>
      </c>
      <c r="CE289" t="e">
        <f t="shared" si="329"/>
        <v>#N/A</v>
      </c>
      <c r="CF289" t="e">
        <f t="shared" si="330"/>
        <v>#N/A</v>
      </c>
      <c r="CG289" t="e">
        <f t="shared" si="331"/>
        <v>#N/A</v>
      </c>
      <c r="CI289" t="e">
        <f>AL101</f>
        <v>#N/A</v>
      </c>
      <c r="CJ289" t="e">
        <f>AM101</f>
        <v>#N/A</v>
      </c>
      <c r="CK289">
        <f>IF(ISNUMBER(CI289),IFERROR(MAX(0,AN101-CI289),0),0)</f>
        <v>0</v>
      </c>
      <c r="CL289">
        <f>IF(ISNUMBER(CI289),IFERROR(MAX(0,CI289-AN101),0),0)</f>
        <v>0</v>
      </c>
      <c r="CM289">
        <f>IF(ISNUMBER(CJ289),IFERROR(MAX(0,AO101-CJ289),0),0)</f>
        <v>0</v>
      </c>
      <c r="CN289">
        <f>IF(ISNUMBER(CJ289),IFERROR(MAX(0,CJ289-AO101),0),0)</f>
        <v>0</v>
      </c>
      <c r="CP289" t="e">
        <f>BT101</f>
        <v>#N/A</v>
      </c>
      <c r="CQ289" t="e">
        <f>BU101</f>
        <v>#N/A</v>
      </c>
      <c r="CR289">
        <f>IF(ISNUMBER(CP289),IFERROR(MAX(0,BV101-CP289),0),0)</f>
        <v>0</v>
      </c>
      <c r="CS289">
        <f>IF(ISNUMBER(CP289),IFERROR(MAX(0,CP289-BV101),0),0)</f>
        <v>0</v>
      </c>
      <c r="CT289">
        <f>IF(ISNUMBER(CQ289),IFERROR(MAX(0,BW101-CQ289),0),0)</f>
        <v>0</v>
      </c>
      <c r="CU289">
        <f>IF(ISNUMBER(CQ289),IFERROR(MAX(0,CQ289-BW101),0),0)</f>
        <v>0</v>
      </c>
    </row>
    <row r="290" spans="21:99" x14ac:dyDescent="0.3">
      <c r="U290">
        <v>284</v>
      </c>
      <c r="V290">
        <f t="shared" si="276"/>
        <v>71</v>
      </c>
      <c r="W290">
        <f t="shared" si="277"/>
        <v>4</v>
      </c>
      <c r="X290">
        <f t="shared" si="278"/>
        <v>0</v>
      </c>
      <c r="Y290">
        <f>IF(X290&lt;&gt;1,9999,CHOOSE(W290,INDEX(Gantt!$BQ$7:$BQ$119,V290),INDEX(Gantt!$BR$7:$BR$119,V290),INDEX(Gantt!$BT$7:$BT$119,V290),INDEX(Gantt!$BU$7:$BU$119,V290)))</f>
        <v>9999</v>
      </c>
      <c r="Z290">
        <f t="shared" si="279"/>
        <v>0</v>
      </c>
      <c r="AA290" t="e">
        <f t="shared" si="280"/>
        <v>#N/A</v>
      </c>
      <c r="AB290" t="e">
        <f t="shared" si="281"/>
        <v>#N/A</v>
      </c>
      <c r="AC290" t="e">
        <f t="shared" si="282"/>
        <v>#N/A</v>
      </c>
      <c r="AD290" t="e">
        <f t="shared" si="283"/>
        <v>#N/A</v>
      </c>
      <c r="AE290" t="e">
        <f t="shared" si="284"/>
        <v>#N/A</v>
      </c>
      <c r="AF290" t="e">
        <f t="shared" si="285"/>
        <v>#N/A</v>
      </c>
      <c r="AG290" t="e">
        <f t="shared" si="286"/>
        <v>#N/A</v>
      </c>
      <c r="AH290" t="e">
        <f t="shared" si="287"/>
        <v>#N/A</v>
      </c>
      <c r="AI290" t="e">
        <f t="shared" si="288"/>
        <v>#N/A</v>
      </c>
      <c r="AJ290" t="e">
        <f t="shared" si="289"/>
        <v>#N/A</v>
      </c>
      <c r="AK290" t="e">
        <f t="shared" si="290"/>
        <v>#N/A</v>
      </c>
      <c r="AL290" t="e">
        <f t="shared" si="291"/>
        <v>#N/A</v>
      </c>
      <c r="AM290" t="e">
        <f t="shared" si="292"/>
        <v>#N/A</v>
      </c>
      <c r="AN290" t="e">
        <f t="shared" si="293"/>
        <v>#N/A</v>
      </c>
      <c r="AO290" t="e">
        <f t="shared" si="294"/>
        <v>#N/A</v>
      </c>
      <c r="AP290" t="e">
        <f t="shared" si="295"/>
        <v>#N/A</v>
      </c>
      <c r="AQ290" t="e">
        <f t="shared" si="296"/>
        <v>#N/A</v>
      </c>
      <c r="AR290" t="e">
        <f t="shared" si="297"/>
        <v>#N/A</v>
      </c>
      <c r="AS290" t="e">
        <f t="shared" si="298"/>
        <v>#N/A</v>
      </c>
      <c r="AT290" t="e">
        <f t="shared" si="299"/>
        <v>#N/A</v>
      </c>
      <c r="AU290" t="e">
        <f t="shared" si="300"/>
        <v>#N/A</v>
      </c>
      <c r="AV290" t="e">
        <f t="shared" si="301"/>
        <v>#N/A</v>
      </c>
      <c r="AW290" t="e">
        <f t="shared" si="302"/>
        <v>#N/A</v>
      </c>
      <c r="AX290" t="e">
        <f t="shared" si="303"/>
        <v>#N/A</v>
      </c>
      <c r="AY290" t="e">
        <f t="shared" si="304"/>
        <v>#N/A</v>
      </c>
      <c r="BE290" t="e">
        <f>IF(Z290=1,IF(INDEX($C$7:$C$126,V290)&gt;=Gantt!$BF$6,NA(),MATCH(INDEX($C$7:$C$126,V290),Gantt!$J$6:$BE$6,1)),NA())</f>
        <v>#N/A</v>
      </c>
      <c r="BF290" t="e">
        <f>IF(Z290=1,IF((INDEX($D$7:$D$126,AA290)-1)&gt;=Gantt!$BF$6,NA(),IF((INDEX($D$7:$D$126,AA290)-1)&lt;Gantt!$J$6,0,MATCH((INDEX($D$7:$D$126,AA290)-1),Gantt!$J$6:$BE$6,1))),NA())</f>
        <v>#N/A</v>
      </c>
      <c r="BG290" t="e">
        <f t="shared" si="305"/>
        <v>#N/A</v>
      </c>
      <c r="BH290" t="e">
        <f t="shared" si="306"/>
        <v>#N/A</v>
      </c>
      <c r="BI290" t="e">
        <f t="shared" si="307"/>
        <v>#N/A</v>
      </c>
      <c r="BJ290" t="e">
        <f t="shared" si="308"/>
        <v>#N/A</v>
      </c>
      <c r="BK290" t="e">
        <f t="shared" si="309"/>
        <v>#N/A</v>
      </c>
      <c r="BL290" t="e">
        <f t="shared" si="310"/>
        <v>#N/A</v>
      </c>
      <c r="BM290" t="e">
        <f t="shared" si="311"/>
        <v>#N/A</v>
      </c>
      <c r="BN290" t="e">
        <f t="shared" si="312"/>
        <v>#N/A</v>
      </c>
      <c r="BO290" t="e">
        <f t="shared" si="313"/>
        <v>#N/A</v>
      </c>
      <c r="BP290" t="e">
        <f t="shared" si="314"/>
        <v>#N/A</v>
      </c>
      <c r="BQ290" t="e">
        <f t="shared" si="315"/>
        <v>#N/A</v>
      </c>
      <c r="BR290" t="e">
        <f t="shared" si="316"/>
        <v>#N/A</v>
      </c>
      <c r="BS290" t="e">
        <f t="shared" si="317"/>
        <v>#N/A</v>
      </c>
      <c r="BT290" t="e">
        <f t="shared" si="318"/>
        <v>#N/A</v>
      </c>
      <c r="BU290" t="e">
        <f t="shared" si="319"/>
        <v>#N/A</v>
      </c>
      <c r="BV290" t="e">
        <f t="shared" si="320"/>
        <v>#N/A</v>
      </c>
      <c r="BW290" t="e">
        <f t="shared" si="321"/>
        <v>#N/A</v>
      </c>
      <c r="BX290" t="e">
        <f t="shared" si="322"/>
        <v>#N/A</v>
      </c>
      <c r="BY290" t="e">
        <f t="shared" si="323"/>
        <v>#N/A</v>
      </c>
      <c r="BZ290" t="e">
        <f t="shared" si="324"/>
        <v>#N/A</v>
      </c>
      <c r="CA290" t="e">
        <f t="shared" si="325"/>
        <v>#N/A</v>
      </c>
      <c r="CB290" t="e">
        <f t="shared" si="326"/>
        <v>#N/A</v>
      </c>
      <c r="CC290" t="e">
        <f t="shared" si="327"/>
        <v>#N/A</v>
      </c>
      <c r="CD290" t="e">
        <f t="shared" si="328"/>
        <v>#N/A</v>
      </c>
      <c r="CE290" t="e">
        <f t="shared" si="329"/>
        <v>#N/A</v>
      </c>
      <c r="CF290" t="e">
        <f t="shared" si="330"/>
        <v>#N/A</v>
      </c>
      <c r="CG290" t="e">
        <f t="shared" si="331"/>
        <v>#N/A</v>
      </c>
      <c r="CI290" t="e">
        <f>AP101</f>
        <v>#N/A</v>
      </c>
      <c r="CJ290" t="e">
        <f>AQ101</f>
        <v>#N/A</v>
      </c>
      <c r="CK290">
        <f>IF(ISNUMBER(CI290),IFERROR(MAX(0,AR101-CI290),0),0)</f>
        <v>0</v>
      </c>
      <c r="CL290">
        <f>IF(ISNUMBER(CI290),IFERROR(MAX(0,CI290-AR101),0),0)</f>
        <v>0</v>
      </c>
      <c r="CM290">
        <f>IF(ISNUMBER(CJ290),IFERROR(MAX(0,AS101-CJ290),0),0)</f>
        <v>0</v>
      </c>
      <c r="CN290">
        <f>IF(ISNUMBER(CJ290),IFERROR(MAX(0,CJ290-AS101),0),0)</f>
        <v>0</v>
      </c>
      <c r="CP290" t="e">
        <f>BX101</f>
        <v>#N/A</v>
      </c>
      <c r="CQ290" t="e">
        <f>BY101</f>
        <v>#N/A</v>
      </c>
      <c r="CR290">
        <f>IF(ISNUMBER(CP290),IFERROR(MAX(0,BZ101-CP290),0),0)</f>
        <v>0</v>
      </c>
      <c r="CS290">
        <f>IF(ISNUMBER(CP290),IFERROR(MAX(0,CP290-BZ101),0),0)</f>
        <v>0</v>
      </c>
      <c r="CT290">
        <f>IF(ISNUMBER(CQ290),IFERROR(MAX(0,CA101-CQ290),0),0)</f>
        <v>0</v>
      </c>
      <c r="CU290">
        <f>IF(ISNUMBER(CQ290),IFERROR(MAX(0,CQ290-CA101),0),0)</f>
        <v>0</v>
      </c>
    </row>
    <row r="291" spans="21:99" x14ac:dyDescent="0.3">
      <c r="U291">
        <v>285</v>
      </c>
      <c r="V291">
        <f t="shared" si="276"/>
        <v>72</v>
      </c>
      <c r="W291">
        <f t="shared" si="277"/>
        <v>1</v>
      </c>
      <c r="X291">
        <f t="shared" si="278"/>
        <v>0</v>
      </c>
      <c r="Y291">
        <f>IF(X291&lt;&gt;1,9999,CHOOSE(W291,INDEX(Gantt!$BQ$7:$BQ$119,V291),INDEX(Gantt!$BR$7:$BR$119,V291),INDEX(Gantt!$BT$7:$BT$119,V291),INDEX(Gantt!$BU$7:$BU$119,V291)))</f>
        <v>9999</v>
      </c>
      <c r="Z291">
        <f t="shared" si="279"/>
        <v>0</v>
      </c>
      <c r="AA291" t="e">
        <f t="shared" si="280"/>
        <v>#N/A</v>
      </c>
      <c r="AB291" t="e">
        <f t="shared" si="281"/>
        <v>#N/A</v>
      </c>
      <c r="AC291" t="e">
        <f t="shared" si="282"/>
        <v>#N/A</v>
      </c>
      <c r="AD291" t="e">
        <f t="shared" si="283"/>
        <v>#N/A</v>
      </c>
      <c r="AE291" t="e">
        <f t="shared" si="284"/>
        <v>#N/A</v>
      </c>
      <c r="AF291" t="e">
        <f t="shared" si="285"/>
        <v>#N/A</v>
      </c>
      <c r="AG291" t="e">
        <f t="shared" si="286"/>
        <v>#N/A</v>
      </c>
      <c r="AH291" t="e">
        <f t="shared" si="287"/>
        <v>#N/A</v>
      </c>
      <c r="AI291" t="e">
        <f t="shared" si="288"/>
        <v>#N/A</v>
      </c>
      <c r="AJ291" t="e">
        <f t="shared" si="289"/>
        <v>#N/A</v>
      </c>
      <c r="AK291" t="e">
        <f t="shared" si="290"/>
        <v>#N/A</v>
      </c>
      <c r="AL291" t="e">
        <f t="shared" si="291"/>
        <v>#N/A</v>
      </c>
      <c r="AM291" t="e">
        <f t="shared" si="292"/>
        <v>#N/A</v>
      </c>
      <c r="AN291" t="e">
        <f t="shared" si="293"/>
        <v>#N/A</v>
      </c>
      <c r="AO291" t="e">
        <f t="shared" si="294"/>
        <v>#N/A</v>
      </c>
      <c r="AP291" t="e">
        <f t="shared" si="295"/>
        <v>#N/A</v>
      </c>
      <c r="AQ291" t="e">
        <f t="shared" si="296"/>
        <v>#N/A</v>
      </c>
      <c r="AR291" t="e">
        <f t="shared" si="297"/>
        <v>#N/A</v>
      </c>
      <c r="AS291" t="e">
        <f t="shared" si="298"/>
        <v>#N/A</v>
      </c>
      <c r="AT291" t="e">
        <f t="shared" si="299"/>
        <v>#N/A</v>
      </c>
      <c r="AU291" t="e">
        <f t="shared" si="300"/>
        <v>#N/A</v>
      </c>
      <c r="AV291" t="e">
        <f t="shared" si="301"/>
        <v>#N/A</v>
      </c>
      <c r="AW291" t="e">
        <f t="shared" si="302"/>
        <v>#N/A</v>
      </c>
      <c r="AX291" t="e">
        <f t="shared" si="303"/>
        <v>#N/A</v>
      </c>
      <c r="AY291" t="e">
        <f t="shared" si="304"/>
        <v>#N/A</v>
      </c>
      <c r="BE291" t="e">
        <f>IF(Z291=1,IF(INDEX($C$7:$C$126,V291)&gt;=Gantt!$BF$6,NA(),MATCH(INDEX($C$7:$C$126,V291),Gantt!$J$6:$BE$6,1)),NA())</f>
        <v>#N/A</v>
      </c>
      <c r="BF291" t="e">
        <f>IF(Z291=1,IF((INDEX($D$7:$D$126,AA291)-1)&gt;=Gantt!$BF$6,NA(),IF((INDEX($D$7:$D$126,AA291)-1)&lt;Gantt!$J$6,0,MATCH((INDEX($D$7:$D$126,AA291)-1),Gantt!$J$6:$BE$6,1))),NA())</f>
        <v>#N/A</v>
      </c>
      <c r="BG291" t="e">
        <f t="shared" si="305"/>
        <v>#N/A</v>
      </c>
      <c r="BH291" t="e">
        <f t="shared" si="306"/>
        <v>#N/A</v>
      </c>
      <c r="BI291" t="e">
        <f t="shared" si="307"/>
        <v>#N/A</v>
      </c>
      <c r="BJ291" t="e">
        <f t="shared" si="308"/>
        <v>#N/A</v>
      </c>
      <c r="BK291" t="e">
        <f t="shared" si="309"/>
        <v>#N/A</v>
      </c>
      <c r="BL291" t="e">
        <f t="shared" si="310"/>
        <v>#N/A</v>
      </c>
      <c r="BM291" t="e">
        <f t="shared" si="311"/>
        <v>#N/A</v>
      </c>
      <c r="BN291" t="e">
        <f t="shared" si="312"/>
        <v>#N/A</v>
      </c>
      <c r="BO291" t="e">
        <f t="shared" si="313"/>
        <v>#N/A</v>
      </c>
      <c r="BP291" t="e">
        <f t="shared" si="314"/>
        <v>#N/A</v>
      </c>
      <c r="BQ291" t="e">
        <f t="shared" si="315"/>
        <v>#N/A</v>
      </c>
      <c r="BR291" t="e">
        <f t="shared" si="316"/>
        <v>#N/A</v>
      </c>
      <c r="BS291" t="e">
        <f t="shared" si="317"/>
        <v>#N/A</v>
      </c>
      <c r="BT291" t="e">
        <f t="shared" si="318"/>
        <v>#N/A</v>
      </c>
      <c r="BU291" t="e">
        <f t="shared" si="319"/>
        <v>#N/A</v>
      </c>
      <c r="BV291" t="e">
        <f t="shared" si="320"/>
        <v>#N/A</v>
      </c>
      <c r="BW291" t="e">
        <f t="shared" si="321"/>
        <v>#N/A</v>
      </c>
      <c r="BX291" t="e">
        <f t="shared" si="322"/>
        <v>#N/A</v>
      </c>
      <c r="BY291" t="e">
        <f t="shared" si="323"/>
        <v>#N/A</v>
      </c>
      <c r="BZ291" t="e">
        <f t="shared" si="324"/>
        <v>#N/A</v>
      </c>
      <c r="CA291" t="e">
        <f t="shared" si="325"/>
        <v>#N/A</v>
      </c>
      <c r="CB291" t="e">
        <f t="shared" si="326"/>
        <v>#N/A</v>
      </c>
      <c r="CC291" t="e">
        <f t="shared" si="327"/>
        <v>#N/A</v>
      </c>
      <c r="CD291" t="e">
        <f t="shared" si="328"/>
        <v>#N/A</v>
      </c>
      <c r="CE291" t="e">
        <f t="shared" si="329"/>
        <v>#N/A</v>
      </c>
      <c r="CF291" t="e">
        <f t="shared" si="330"/>
        <v>#N/A</v>
      </c>
      <c r="CG291" t="e">
        <f t="shared" si="331"/>
        <v>#N/A</v>
      </c>
      <c r="CI291" t="e">
        <f>AT101</f>
        <v>#N/A</v>
      </c>
      <c r="CJ291" t="e">
        <f>AU101</f>
        <v>#N/A</v>
      </c>
      <c r="CK291">
        <f>IF(ISNUMBER(CI291),IFERROR(MAX(0,AV101-CI291),0),0)</f>
        <v>0</v>
      </c>
      <c r="CL291">
        <f>IF(ISNUMBER(CI291),IFERROR(MAX(0,CI291-AV101),0),0)</f>
        <v>0</v>
      </c>
      <c r="CM291">
        <f>IF(ISNUMBER(CJ291),IFERROR(MAX(0,AW101-CJ291),0),0)</f>
        <v>0</v>
      </c>
      <c r="CN291">
        <f>IF(ISNUMBER(CJ291),IFERROR(MAX(0,CJ291-AW101),0),0)</f>
        <v>0</v>
      </c>
      <c r="CP291" t="e">
        <f>CB101</f>
        <v>#N/A</v>
      </c>
      <c r="CQ291" t="e">
        <f>CC101</f>
        <v>#N/A</v>
      </c>
      <c r="CR291">
        <f>IF(ISNUMBER(CP291),IFERROR(MAX(0,CD101-CP291),0),0)</f>
        <v>0</v>
      </c>
      <c r="CS291">
        <f>IF(ISNUMBER(CP291),IFERROR(MAX(0,CP291-CD101),0),0)</f>
        <v>0</v>
      </c>
      <c r="CT291">
        <f>IF(ISNUMBER(CQ291),IFERROR(MAX(0,CE101-CQ291),0),0)</f>
        <v>0</v>
      </c>
      <c r="CU291">
        <f>IF(ISNUMBER(CQ291),IFERROR(MAX(0,CQ291-CE101),0),0)</f>
        <v>0</v>
      </c>
    </row>
    <row r="292" spans="21:99" x14ac:dyDescent="0.3">
      <c r="U292">
        <v>286</v>
      </c>
      <c r="V292">
        <f t="shared" si="276"/>
        <v>72</v>
      </c>
      <c r="W292">
        <f t="shared" si="277"/>
        <v>2</v>
      </c>
      <c r="X292">
        <f t="shared" si="278"/>
        <v>0</v>
      </c>
      <c r="Y292">
        <f>IF(X292&lt;&gt;1,9999,CHOOSE(W292,INDEX(Gantt!$BQ$7:$BQ$119,V292),INDEX(Gantt!$BR$7:$BR$119,V292),INDEX(Gantt!$BT$7:$BT$119,V292),INDEX(Gantt!$BU$7:$BU$119,V292)))</f>
        <v>9999</v>
      </c>
      <c r="Z292">
        <f t="shared" si="279"/>
        <v>0</v>
      </c>
      <c r="AA292" t="e">
        <f t="shared" si="280"/>
        <v>#N/A</v>
      </c>
      <c r="AB292" t="e">
        <f t="shared" si="281"/>
        <v>#N/A</v>
      </c>
      <c r="AC292" t="e">
        <f t="shared" si="282"/>
        <v>#N/A</v>
      </c>
      <c r="AD292" t="e">
        <f t="shared" si="283"/>
        <v>#N/A</v>
      </c>
      <c r="AE292" t="e">
        <f t="shared" si="284"/>
        <v>#N/A</v>
      </c>
      <c r="AF292" t="e">
        <f t="shared" si="285"/>
        <v>#N/A</v>
      </c>
      <c r="AG292" t="e">
        <f t="shared" si="286"/>
        <v>#N/A</v>
      </c>
      <c r="AH292" t="e">
        <f t="shared" si="287"/>
        <v>#N/A</v>
      </c>
      <c r="AI292" t="e">
        <f t="shared" si="288"/>
        <v>#N/A</v>
      </c>
      <c r="AJ292" t="e">
        <f t="shared" si="289"/>
        <v>#N/A</v>
      </c>
      <c r="AK292" t="e">
        <f t="shared" si="290"/>
        <v>#N/A</v>
      </c>
      <c r="AL292" t="e">
        <f t="shared" si="291"/>
        <v>#N/A</v>
      </c>
      <c r="AM292" t="e">
        <f t="shared" si="292"/>
        <v>#N/A</v>
      </c>
      <c r="AN292" t="e">
        <f t="shared" si="293"/>
        <v>#N/A</v>
      </c>
      <c r="AO292" t="e">
        <f t="shared" si="294"/>
        <v>#N/A</v>
      </c>
      <c r="AP292" t="e">
        <f t="shared" si="295"/>
        <v>#N/A</v>
      </c>
      <c r="AQ292" t="e">
        <f t="shared" si="296"/>
        <v>#N/A</v>
      </c>
      <c r="AR292" t="e">
        <f t="shared" si="297"/>
        <v>#N/A</v>
      </c>
      <c r="AS292" t="e">
        <f t="shared" si="298"/>
        <v>#N/A</v>
      </c>
      <c r="AT292" t="e">
        <f t="shared" si="299"/>
        <v>#N/A</v>
      </c>
      <c r="AU292" t="e">
        <f t="shared" si="300"/>
        <v>#N/A</v>
      </c>
      <c r="AV292" t="e">
        <f t="shared" si="301"/>
        <v>#N/A</v>
      </c>
      <c r="AW292" t="e">
        <f t="shared" si="302"/>
        <v>#N/A</v>
      </c>
      <c r="AX292" t="e">
        <f t="shared" si="303"/>
        <v>#N/A</v>
      </c>
      <c r="AY292" t="e">
        <f t="shared" si="304"/>
        <v>#N/A</v>
      </c>
      <c r="BE292" t="e">
        <f>IF(Z292=1,IF(INDEX($C$7:$C$126,V292)&gt;=Gantt!$BF$6,NA(),MATCH(INDEX($C$7:$C$126,V292),Gantt!$J$6:$BE$6,1)),NA())</f>
        <v>#N/A</v>
      </c>
      <c r="BF292" t="e">
        <f>IF(Z292=1,IF((INDEX($D$7:$D$126,AA292)-1)&gt;=Gantt!$BF$6,NA(),IF((INDEX($D$7:$D$126,AA292)-1)&lt;Gantt!$J$6,0,MATCH((INDEX($D$7:$D$126,AA292)-1),Gantt!$J$6:$BE$6,1))),NA())</f>
        <v>#N/A</v>
      </c>
      <c r="BG292" t="e">
        <f t="shared" si="305"/>
        <v>#N/A</v>
      </c>
      <c r="BH292" t="e">
        <f t="shared" si="306"/>
        <v>#N/A</v>
      </c>
      <c r="BI292" t="e">
        <f t="shared" si="307"/>
        <v>#N/A</v>
      </c>
      <c r="BJ292" t="e">
        <f t="shared" si="308"/>
        <v>#N/A</v>
      </c>
      <c r="BK292" t="e">
        <f t="shared" si="309"/>
        <v>#N/A</v>
      </c>
      <c r="BL292" t="e">
        <f t="shared" si="310"/>
        <v>#N/A</v>
      </c>
      <c r="BM292" t="e">
        <f t="shared" si="311"/>
        <v>#N/A</v>
      </c>
      <c r="BN292" t="e">
        <f t="shared" si="312"/>
        <v>#N/A</v>
      </c>
      <c r="BO292" t="e">
        <f t="shared" si="313"/>
        <v>#N/A</v>
      </c>
      <c r="BP292" t="e">
        <f t="shared" si="314"/>
        <v>#N/A</v>
      </c>
      <c r="BQ292" t="e">
        <f t="shared" si="315"/>
        <v>#N/A</v>
      </c>
      <c r="BR292" t="e">
        <f t="shared" si="316"/>
        <v>#N/A</v>
      </c>
      <c r="BS292" t="e">
        <f t="shared" si="317"/>
        <v>#N/A</v>
      </c>
      <c r="BT292" t="e">
        <f t="shared" si="318"/>
        <v>#N/A</v>
      </c>
      <c r="BU292" t="e">
        <f t="shared" si="319"/>
        <v>#N/A</v>
      </c>
      <c r="BV292" t="e">
        <f t="shared" si="320"/>
        <v>#N/A</v>
      </c>
      <c r="BW292" t="e">
        <f t="shared" si="321"/>
        <v>#N/A</v>
      </c>
      <c r="BX292" t="e">
        <f t="shared" si="322"/>
        <v>#N/A</v>
      </c>
      <c r="BY292" t="e">
        <f t="shared" si="323"/>
        <v>#N/A</v>
      </c>
      <c r="BZ292" t="e">
        <f t="shared" si="324"/>
        <v>#N/A</v>
      </c>
      <c r="CA292" t="e">
        <f t="shared" si="325"/>
        <v>#N/A</v>
      </c>
      <c r="CB292" t="e">
        <f t="shared" si="326"/>
        <v>#N/A</v>
      </c>
      <c r="CC292" t="e">
        <f t="shared" si="327"/>
        <v>#N/A</v>
      </c>
      <c r="CD292" t="e">
        <f t="shared" si="328"/>
        <v>#N/A</v>
      </c>
      <c r="CE292" t="e">
        <f t="shared" si="329"/>
        <v>#N/A</v>
      </c>
      <c r="CF292" t="e">
        <f t="shared" si="330"/>
        <v>#N/A</v>
      </c>
      <c r="CG292" t="e">
        <f t="shared" si="331"/>
        <v>#N/A</v>
      </c>
      <c r="CI292" t="e">
        <f>AL102</f>
        <v>#N/A</v>
      </c>
      <c r="CJ292" t="e">
        <f>AM102</f>
        <v>#N/A</v>
      </c>
      <c r="CK292">
        <f>IF(ISNUMBER(CI292),IFERROR(MAX(0,AN102-CI292),0),0)</f>
        <v>0</v>
      </c>
      <c r="CL292">
        <f>IF(ISNUMBER(CI292),IFERROR(MAX(0,CI292-AN102),0),0)</f>
        <v>0</v>
      </c>
      <c r="CM292">
        <f>IF(ISNUMBER(CJ292),IFERROR(MAX(0,AO102-CJ292),0),0)</f>
        <v>0</v>
      </c>
      <c r="CN292">
        <f>IF(ISNUMBER(CJ292),IFERROR(MAX(0,CJ292-AO102),0),0)</f>
        <v>0</v>
      </c>
      <c r="CP292" t="e">
        <f>BT102</f>
        <v>#N/A</v>
      </c>
      <c r="CQ292" t="e">
        <f>BU102</f>
        <v>#N/A</v>
      </c>
      <c r="CR292">
        <f>IF(ISNUMBER(CP292),IFERROR(MAX(0,BV102-CP292),0),0)</f>
        <v>0</v>
      </c>
      <c r="CS292">
        <f>IF(ISNUMBER(CP292),IFERROR(MAX(0,CP292-BV102),0),0)</f>
        <v>0</v>
      </c>
      <c r="CT292">
        <f>IF(ISNUMBER(CQ292),IFERROR(MAX(0,BW102-CQ292),0),0)</f>
        <v>0</v>
      </c>
      <c r="CU292">
        <f>IF(ISNUMBER(CQ292),IFERROR(MAX(0,CQ292-BW102),0),0)</f>
        <v>0</v>
      </c>
    </row>
    <row r="293" spans="21:99" x14ac:dyDescent="0.3">
      <c r="U293">
        <v>287</v>
      </c>
      <c r="V293">
        <f t="shared" si="276"/>
        <v>72</v>
      </c>
      <c r="W293">
        <f t="shared" si="277"/>
        <v>3</v>
      </c>
      <c r="X293">
        <f t="shared" si="278"/>
        <v>0</v>
      </c>
      <c r="Y293">
        <f>IF(X293&lt;&gt;1,9999,CHOOSE(W293,INDEX(Gantt!$BQ$7:$BQ$119,V293),INDEX(Gantt!$BR$7:$BR$119,V293),INDEX(Gantt!$BT$7:$BT$119,V293),INDEX(Gantt!$BU$7:$BU$119,V293)))</f>
        <v>9999</v>
      </c>
      <c r="Z293">
        <f t="shared" si="279"/>
        <v>0</v>
      </c>
      <c r="AA293" t="e">
        <f t="shared" si="280"/>
        <v>#N/A</v>
      </c>
      <c r="AB293" t="e">
        <f t="shared" si="281"/>
        <v>#N/A</v>
      </c>
      <c r="AC293" t="e">
        <f t="shared" si="282"/>
        <v>#N/A</v>
      </c>
      <c r="AD293" t="e">
        <f t="shared" si="283"/>
        <v>#N/A</v>
      </c>
      <c r="AE293" t="e">
        <f t="shared" si="284"/>
        <v>#N/A</v>
      </c>
      <c r="AF293" t="e">
        <f t="shared" si="285"/>
        <v>#N/A</v>
      </c>
      <c r="AG293" t="e">
        <f t="shared" si="286"/>
        <v>#N/A</v>
      </c>
      <c r="AH293" t="e">
        <f t="shared" si="287"/>
        <v>#N/A</v>
      </c>
      <c r="AI293" t="e">
        <f t="shared" si="288"/>
        <v>#N/A</v>
      </c>
      <c r="AJ293" t="e">
        <f t="shared" si="289"/>
        <v>#N/A</v>
      </c>
      <c r="AK293" t="e">
        <f t="shared" si="290"/>
        <v>#N/A</v>
      </c>
      <c r="AL293" t="e">
        <f t="shared" si="291"/>
        <v>#N/A</v>
      </c>
      <c r="AM293" t="e">
        <f t="shared" si="292"/>
        <v>#N/A</v>
      </c>
      <c r="AN293" t="e">
        <f t="shared" si="293"/>
        <v>#N/A</v>
      </c>
      <c r="AO293" t="e">
        <f t="shared" si="294"/>
        <v>#N/A</v>
      </c>
      <c r="AP293" t="e">
        <f t="shared" si="295"/>
        <v>#N/A</v>
      </c>
      <c r="AQ293" t="e">
        <f t="shared" si="296"/>
        <v>#N/A</v>
      </c>
      <c r="AR293" t="e">
        <f t="shared" si="297"/>
        <v>#N/A</v>
      </c>
      <c r="AS293" t="e">
        <f t="shared" si="298"/>
        <v>#N/A</v>
      </c>
      <c r="AT293" t="e">
        <f t="shared" si="299"/>
        <v>#N/A</v>
      </c>
      <c r="AU293" t="e">
        <f t="shared" si="300"/>
        <v>#N/A</v>
      </c>
      <c r="AV293" t="e">
        <f t="shared" si="301"/>
        <v>#N/A</v>
      </c>
      <c r="AW293" t="e">
        <f t="shared" si="302"/>
        <v>#N/A</v>
      </c>
      <c r="AX293" t="e">
        <f t="shared" si="303"/>
        <v>#N/A</v>
      </c>
      <c r="AY293" t="e">
        <f t="shared" si="304"/>
        <v>#N/A</v>
      </c>
      <c r="BE293" t="e">
        <f>IF(Z293=1,IF(INDEX($C$7:$C$126,V293)&gt;=Gantt!$BF$6,NA(),MATCH(INDEX($C$7:$C$126,V293),Gantt!$J$6:$BE$6,1)),NA())</f>
        <v>#N/A</v>
      </c>
      <c r="BF293" t="e">
        <f>IF(Z293=1,IF((INDEX($D$7:$D$126,AA293)-1)&gt;=Gantt!$BF$6,NA(),IF((INDEX($D$7:$D$126,AA293)-1)&lt;Gantt!$J$6,0,MATCH((INDEX($D$7:$D$126,AA293)-1),Gantt!$J$6:$BE$6,1))),NA())</f>
        <v>#N/A</v>
      </c>
      <c r="BG293" t="e">
        <f t="shared" si="305"/>
        <v>#N/A</v>
      </c>
      <c r="BH293" t="e">
        <f t="shared" si="306"/>
        <v>#N/A</v>
      </c>
      <c r="BI293" t="e">
        <f t="shared" si="307"/>
        <v>#N/A</v>
      </c>
      <c r="BJ293" t="e">
        <f t="shared" si="308"/>
        <v>#N/A</v>
      </c>
      <c r="BK293" t="e">
        <f t="shared" si="309"/>
        <v>#N/A</v>
      </c>
      <c r="BL293" t="e">
        <f t="shared" si="310"/>
        <v>#N/A</v>
      </c>
      <c r="BM293" t="e">
        <f t="shared" si="311"/>
        <v>#N/A</v>
      </c>
      <c r="BN293" t="e">
        <f t="shared" si="312"/>
        <v>#N/A</v>
      </c>
      <c r="BO293" t="e">
        <f t="shared" si="313"/>
        <v>#N/A</v>
      </c>
      <c r="BP293" t="e">
        <f t="shared" si="314"/>
        <v>#N/A</v>
      </c>
      <c r="BQ293" t="e">
        <f t="shared" si="315"/>
        <v>#N/A</v>
      </c>
      <c r="BR293" t="e">
        <f t="shared" si="316"/>
        <v>#N/A</v>
      </c>
      <c r="BS293" t="e">
        <f t="shared" si="317"/>
        <v>#N/A</v>
      </c>
      <c r="BT293" t="e">
        <f t="shared" si="318"/>
        <v>#N/A</v>
      </c>
      <c r="BU293" t="e">
        <f t="shared" si="319"/>
        <v>#N/A</v>
      </c>
      <c r="BV293" t="e">
        <f t="shared" si="320"/>
        <v>#N/A</v>
      </c>
      <c r="BW293" t="e">
        <f t="shared" si="321"/>
        <v>#N/A</v>
      </c>
      <c r="BX293" t="e">
        <f t="shared" si="322"/>
        <v>#N/A</v>
      </c>
      <c r="BY293" t="e">
        <f t="shared" si="323"/>
        <v>#N/A</v>
      </c>
      <c r="BZ293" t="e">
        <f t="shared" si="324"/>
        <v>#N/A</v>
      </c>
      <c r="CA293" t="e">
        <f t="shared" si="325"/>
        <v>#N/A</v>
      </c>
      <c r="CB293" t="e">
        <f t="shared" si="326"/>
        <v>#N/A</v>
      </c>
      <c r="CC293" t="e">
        <f t="shared" si="327"/>
        <v>#N/A</v>
      </c>
      <c r="CD293" t="e">
        <f t="shared" si="328"/>
        <v>#N/A</v>
      </c>
      <c r="CE293" t="e">
        <f t="shared" si="329"/>
        <v>#N/A</v>
      </c>
      <c r="CF293" t="e">
        <f t="shared" si="330"/>
        <v>#N/A</v>
      </c>
      <c r="CG293" t="e">
        <f t="shared" si="331"/>
        <v>#N/A</v>
      </c>
      <c r="CI293" t="e">
        <f>AP102</f>
        <v>#N/A</v>
      </c>
      <c r="CJ293" t="e">
        <f>AQ102</f>
        <v>#N/A</v>
      </c>
      <c r="CK293">
        <f>IF(ISNUMBER(CI293),IFERROR(MAX(0,AR102-CI293),0),0)</f>
        <v>0</v>
      </c>
      <c r="CL293">
        <f>IF(ISNUMBER(CI293),IFERROR(MAX(0,CI293-AR102),0),0)</f>
        <v>0</v>
      </c>
      <c r="CM293">
        <f>IF(ISNUMBER(CJ293),IFERROR(MAX(0,AS102-CJ293),0),0)</f>
        <v>0</v>
      </c>
      <c r="CN293">
        <f>IF(ISNUMBER(CJ293),IFERROR(MAX(0,CJ293-AS102),0),0)</f>
        <v>0</v>
      </c>
      <c r="CP293" t="e">
        <f>BX102</f>
        <v>#N/A</v>
      </c>
      <c r="CQ293" t="e">
        <f>BY102</f>
        <v>#N/A</v>
      </c>
      <c r="CR293">
        <f>IF(ISNUMBER(CP293),IFERROR(MAX(0,BZ102-CP293),0),0)</f>
        <v>0</v>
      </c>
      <c r="CS293">
        <f>IF(ISNUMBER(CP293),IFERROR(MAX(0,CP293-BZ102),0),0)</f>
        <v>0</v>
      </c>
      <c r="CT293">
        <f>IF(ISNUMBER(CQ293),IFERROR(MAX(0,CA102-CQ293),0),0)</f>
        <v>0</v>
      </c>
      <c r="CU293">
        <f>IF(ISNUMBER(CQ293),IFERROR(MAX(0,CQ293-CA102),0),0)</f>
        <v>0</v>
      </c>
    </row>
    <row r="294" spans="21:99" x14ac:dyDescent="0.3">
      <c r="U294">
        <v>288</v>
      </c>
      <c r="V294">
        <f t="shared" si="276"/>
        <v>72</v>
      </c>
      <c r="W294">
        <f t="shared" si="277"/>
        <v>4</v>
      </c>
      <c r="X294">
        <f t="shared" si="278"/>
        <v>0</v>
      </c>
      <c r="Y294">
        <f>IF(X294&lt;&gt;1,9999,CHOOSE(W294,INDEX(Gantt!$BQ$7:$BQ$119,V294),INDEX(Gantt!$BR$7:$BR$119,V294),INDEX(Gantt!$BT$7:$BT$119,V294),INDEX(Gantt!$BU$7:$BU$119,V294)))</f>
        <v>9999</v>
      </c>
      <c r="Z294">
        <f t="shared" si="279"/>
        <v>0</v>
      </c>
      <c r="AA294" t="e">
        <f t="shared" si="280"/>
        <v>#N/A</v>
      </c>
      <c r="AB294" t="e">
        <f t="shared" si="281"/>
        <v>#N/A</v>
      </c>
      <c r="AC294" t="e">
        <f t="shared" si="282"/>
        <v>#N/A</v>
      </c>
      <c r="AD294" t="e">
        <f t="shared" si="283"/>
        <v>#N/A</v>
      </c>
      <c r="AE294" t="e">
        <f t="shared" si="284"/>
        <v>#N/A</v>
      </c>
      <c r="AF294" t="e">
        <f t="shared" si="285"/>
        <v>#N/A</v>
      </c>
      <c r="AG294" t="e">
        <f t="shared" si="286"/>
        <v>#N/A</v>
      </c>
      <c r="AH294" t="e">
        <f t="shared" si="287"/>
        <v>#N/A</v>
      </c>
      <c r="AI294" t="e">
        <f t="shared" si="288"/>
        <v>#N/A</v>
      </c>
      <c r="AJ294" t="e">
        <f t="shared" si="289"/>
        <v>#N/A</v>
      </c>
      <c r="AK294" t="e">
        <f t="shared" si="290"/>
        <v>#N/A</v>
      </c>
      <c r="AL294" t="e">
        <f t="shared" si="291"/>
        <v>#N/A</v>
      </c>
      <c r="AM294" t="e">
        <f t="shared" si="292"/>
        <v>#N/A</v>
      </c>
      <c r="AN294" t="e">
        <f t="shared" si="293"/>
        <v>#N/A</v>
      </c>
      <c r="AO294" t="e">
        <f t="shared" si="294"/>
        <v>#N/A</v>
      </c>
      <c r="AP294" t="e">
        <f t="shared" si="295"/>
        <v>#N/A</v>
      </c>
      <c r="AQ294" t="e">
        <f t="shared" si="296"/>
        <v>#N/A</v>
      </c>
      <c r="AR294" t="e">
        <f t="shared" si="297"/>
        <v>#N/A</v>
      </c>
      <c r="AS294" t="e">
        <f t="shared" si="298"/>
        <v>#N/A</v>
      </c>
      <c r="AT294" t="e">
        <f t="shared" si="299"/>
        <v>#N/A</v>
      </c>
      <c r="AU294" t="e">
        <f t="shared" si="300"/>
        <v>#N/A</v>
      </c>
      <c r="AV294" t="e">
        <f t="shared" si="301"/>
        <v>#N/A</v>
      </c>
      <c r="AW294" t="e">
        <f t="shared" si="302"/>
        <v>#N/A</v>
      </c>
      <c r="AX294" t="e">
        <f t="shared" si="303"/>
        <v>#N/A</v>
      </c>
      <c r="AY294" t="e">
        <f t="shared" si="304"/>
        <v>#N/A</v>
      </c>
      <c r="BE294" t="e">
        <f>IF(Z294=1,IF(INDEX($C$7:$C$126,V294)&gt;=Gantt!$BF$6,NA(),MATCH(INDEX($C$7:$C$126,V294),Gantt!$J$6:$BE$6,1)),NA())</f>
        <v>#N/A</v>
      </c>
      <c r="BF294" t="e">
        <f>IF(Z294=1,IF((INDEX($D$7:$D$126,AA294)-1)&gt;=Gantt!$BF$6,NA(),IF((INDEX($D$7:$D$126,AA294)-1)&lt;Gantt!$J$6,0,MATCH((INDEX($D$7:$D$126,AA294)-1),Gantt!$J$6:$BE$6,1))),NA())</f>
        <v>#N/A</v>
      </c>
      <c r="BG294" t="e">
        <f t="shared" si="305"/>
        <v>#N/A</v>
      </c>
      <c r="BH294" t="e">
        <f t="shared" si="306"/>
        <v>#N/A</v>
      </c>
      <c r="BI294" t="e">
        <f t="shared" si="307"/>
        <v>#N/A</v>
      </c>
      <c r="BJ294" t="e">
        <f t="shared" si="308"/>
        <v>#N/A</v>
      </c>
      <c r="BK294" t="e">
        <f t="shared" si="309"/>
        <v>#N/A</v>
      </c>
      <c r="BL294" t="e">
        <f t="shared" si="310"/>
        <v>#N/A</v>
      </c>
      <c r="BM294" t="e">
        <f t="shared" si="311"/>
        <v>#N/A</v>
      </c>
      <c r="BN294" t="e">
        <f t="shared" si="312"/>
        <v>#N/A</v>
      </c>
      <c r="BO294" t="e">
        <f t="shared" si="313"/>
        <v>#N/A</v>
      </c>
      <c r="BP294" t="e">
        <f t="shared" si="314"/>
        <v>#N/A</v>
      </c>
      <c r="BQ294" t="e">
        <f t="shared" si="315"/>
        <v>#N/A</v>
      </c>
      <c r="BR294" t="e">
        <f t="shared" si="316"/>
        <v>#N/A</v>
      </c>
      <c r="BS294" t="e">
        <f t="shared" si="317"/>
        <v>#N/A</v>
      </c>
      <c r="BT294" t="e">
        <f t="shared" si="318"/>
        <v>#N/A</v>
      </c>
      <c r="BU294" t="e">
        <f t="shared" si="319"/>
        <v>#N/A</v>
      </c>
      <c r="BV294" t="e">
        <f t="shared" si="320"/>
        <v>#N/A</v>
      </c>
      <c r="BW294" t="e">
        <f t="shared" si="321"/>
        <v>#N/A</v>
      </c>
      <c r="BX294" t="e">
        <f t="shared" si="322"/>
        <v>#N/A</v>
      </c>
      <c r="BY294" t="e">
        <f t="shared" si="323"/>
        <v>#N/A</v>
      </c>
      <c r="BZ294" t="e">
        <f t="shared" si="324"/>
        <v>#N/A</v>
      </c>
      <c r="CA294" t="e">
        <f t="shared" si="325"/>
        <v>#N/A</v>
      </c>
      <c r="CB294" t="e">
        <f t="shared" si="326"/>
        <v>#N/A</v>
      </c>
      <c r="CC294" t="e">
        <f t="shared" si="327"/>
        <v>#N/A</v>
      </c>
      <c r="CD294" t="e">
        <f t="shared" si="328"/>
        <v>#N/A</v>
      </c>
      <c r="CE294" t="e">
        <f t="shared" si="329"/>
        <v>#N/A</v>
      </c>
      <c r="CF294" t="e">
        <f t="shared" si="330"/>
        <v>#N/A</v>
      </c>
      <c r="CG294" t="e">
        <f t="shared" si="331"/>
        <v>#N/A</v>
      </c>
      <c r="CI294" t="e">
        <f>AT102</f>
        <v>#N/A</v>
      </c>
      <c r="CJ294" t="e">
        <f>AU102</f>
        <v>#N/A</v>
      </c>
      <c r="CK294">
        <f>IF(ISNUMBER(CI294),IFERROR(MAX(0,AV102-CI294),0),0)</f>
        <v>0</v>
      </c>
      <c r="CL294">
        <f>IF(ISNUMBER(CI294),IFERROR(MAX(0,CI294-AV102),0),0)</f>
        <v>0</v>
      </c>
      <c r="CM294">
        <f>IF(ISNUMBER(CJ294),IFERROR(MAX(0,AW102-CJ294),0),0)</f>
        <v>0</v>
      </c>
      <c r="CN294">
        <f>IF(ISNUMBER(CJ294),IFERROR(MAX(0,CJ294-AW102),0),0)</f>
        <v>0</v>
      </c>
      <c r="CP294" t="e">
        <f>CB102</f>
        <v>#N/A</v>
      </c>
      <c r="CQ294" t="e">
        <f>CC102</f>
        <v>#N/A</v>
      </c>
      <c r="CR294">
        <f>IF(ISNUMBER(CP294),IFERROR(MAX(0,CD102-CP294),0),0)</f>
        <v>0</v>
      </c>
      <c r="CS294">
        <f>IF(ISNUMBER(CP294),IFERROR(MAX(0,CP294-CD102),0),0)</f>
        <v>0</v>
      </c>
      <c r="CT294">
        <f>IF(ISNUMBER(CQ294),IFERROR(MAX(0,CE102-CQ294),0),0)</f>
        <v>0</v>
      </c>
      <c r="CU294">
        <f>IF(ISNUMBER(CQ294),IFERROR(MAX(0,CQ294-CE102),0),0)</f>
        <v>0</v>
      </c>
    </row>
    <row r="295" spans="21:99" x14ac:dyDescent="0.3">
      <c r="U295">
        <v>289</v>
      </c>
      <c r="V295">
        <f t="shared" si="276"/>
        <v>73</v>
      </c>
      <c r="W295">
        <f t="shared" si="277"/>
        <v>1</v>
      </c>
      <c r="X295">
        <f t="shared" si="278"/>
        <v>0</v>
      </c>
      <c r="Y295">
        <f>IF(X295&lt;&gt;1,9999,CHOOSE(W295,INDEX(Gantt!$BQ$7:$BQ$119,V295),INDEX(Gantt!$BR$7:$BR$119,V295),INDEX(Gantt!$BT$7:$BT$119,V295),INDEX(Gantt!$BU$7:$BU$119,V295)))</f>
        <v>9999</v>
      </c>
      <c r="Z295">
        <f t="shared" si="279"/>
        <v>0</v>
      </c>
      <c r="AA295" t="e">
        <f t="shared" si="280"/>
        <v>#N/A</v>
      </c>
      <c r="AB295" t="e">
        <f t="shared" si="281"/>
        <v>#N/A</v>
      </c>
      <c r="AC295" t="e">
        <f t="shared" si="282"/>
        <v>#N/A</v>
      </c>
      <c r="AD295" t="e">
        <f t="shared" si="283"/>
        <v>#N/A</v>
      </c>
      <c r="AE295" t="e">
        <f t="shared" si="284"/>
        <v>#N/A</v>
      </c>
      <c r="AF295" t="e">
        <f t="shared" si="285"/>
        <v>#N/A</v>
      </c>
      <c r="AG295" t="e">
        <f t="shared" si="286"/>
        <v>#N/A</v>
      </c>
      <c r="AH295" t="e">
        <f t="shared" si="287"/>
        <v>#N/A</v>
      </c>
      <c r="AI295" t="e">
        <f t="shared" si="288"/>
        <v>#N/A</v>
      </c>
      <c r="AJ295" t="e">
        <f t="shared" si="289"/>
        <v>#N/A</v>
      </c>
      <c r="AK295" t="e">
        <f t="shared" si="290"/>
        <v>#N/A</v>
      </c>
      <c r="AL295" t="e">
        <f t="shared" si="291"/>
        <v>#N/A</v>
      </c>
      <c r="AM295" t="e">
        <f t="shared" si="292"/>
        <v>#N/A</v>
      </c>
      <c r="AN295" t="e">
        <f t="shared" si="293"/>
        <v>#N/A</v>
      </c>
      <c r="AO295" t="e">
        <f t="shared" si="294"/>
        <v>#N/A</v>
      </c>
      <c r="AP295" t="e">
        <f t="shared" si="295"/>
        <v>#N/A</v>
      </c>
      <c r="AQ295" t="e">
        <f t="shared" si="296"/>
        <v>#N/A</v>
      </c>
      <c r="AR295" t="e">
        <f t="shared" si="297"/>
        <v>#N/A</v>
      </c>
      <c r="AS295" t="e">
        <f t="shared" si="298"/>
        <v>#N/A</v>
      </c>
      <c r="AT295" t="e">
        <f t="shared" si="299"/>
        <v>#N/A</v>
      </c>
      <c r="AU295" t="e">
        <f t="shared" si="300"/>
        <v>#N/A</v>
      </c>
      <c r="AV295" t="e">
        <f t="shared" si="301"/>
        <v>#N/A</v>
      </c>
      <c r="AW295" t="e">
        <f t="shared" si="302"/>
        <v>#N/A</v>
      </c>
      <c r="AX295" t="e">
        <f t="shared" si="303"/>
        <v>#N/A</v>
      </c>
      <c r="AY295" t="e">
        <f t="shared" si="304"/>
        <v>#N/A</v>
      </c>
      <c r="BE295" t="e">
        <f>IF(Z295=1,IF(INDEX($C$7:$C$126,V295)&gt;=Gantt!$BF$6,NA(),MATCH(INDEX($C$7:$C$126,V295),Gantt!$J$6:$BE$6,1)),NA())</f>
        <v>#N/A</v>
      </c>
      <c r="BF295" t="e">
        <f>IF(Z295=1,IF((INDEX($D$7:$D$126,AA295)-1)&gt;=Gantt!$BF$6,NA(),IF((INDEX($D$7:$D$126,AA295)-1)&lt;Gantt!$J$6,0,MATCH((INDEX($D$7:$D$126,AA295)-1),Gantt!$J$6:$BE$6,1))),NA())</f>
        <v>#N/A</v>
      </c>
      <c r="BG295" t="e">
        <f t="shared" si="305"/>
        <v>#N/A</v>
      </c>
      <c r="BH295" t="e">
        <f t="shared" si="306"/>
        <v>#N/A</v>
      </c>
      <c r="BI295" t="e">
        <f t="shared" si="307"/>
        <v>#N/A</v>
      </c>
      <c r="BJ295" t="e">
        <f t="shared" si="308"/>
        <v>#N/A</v>
      </c>
      <c r="BK295" t="e">
        <f t="shared" si="309"/>
        <v>#N/A</v>
      </c>
      <c r="BL295" t="e">
        <f t="shared" si="310"/>
        <v>#N/A</v>
      </c>
      <c r="BM295" t="e">
        <f t="shared" si="311"/>
        <v>#N/A</v>
      </c>
      <c r="BN295" t="e">
        <f t="shared" si="312"/>
        <v>#N/A</v>
      </c>
      <c r="BO295" t="e">
        <f t="shared" si="313"/>
        <v>#N/A</v>
      </c>
      <c r="BP295" t="e">
        <f t="shared" si="314"/>
        <v>#N/A</v>
      </c>
      <c r="BQ295" t="e">
        <f t="shared" si="315"/>
        <v>#N/A</v>
      </c>
      <c r="BR295" t="e">
        <f t="shared" si="316"/>
        <v>#N/A</v>
      </c>
      <c r="BS295" t="e">
        <f t="shared" si="317"/>
        <v>#N/A</v>
      </c>
      <c r="BT295" t="e">
        <f t="shared" si="318"/>
        <v>#N/A</v>
      </c>
      <c r="BU295" t="e">
        <f t="shared" si="319"/>
        <v>#N/A</v>
      </c>
      <c r="BV295" t="e">
        <f t="shared" si="320"/>
        <v>#N/A</v>
      </c>
      <c r="BW295" t="e">
        <f t="shared" si="321"/>
        <v>#N/A</v>
      </c>
      <c r="BX295" t="e">
        <f t="shared" si="322"/>
        <v>#N/A</v>
      </c>
      <c r="BY295" t="e">
        <f t="shared" si="323"/>
        <v>#N/A</v>
      </c>
      <c r="BZ295" t="e">
        <f t="shared" si="324"/>
        <v>#N/A</v>
      </c>
      <c r="CA295" t="e">
        <f t="shared" si="325"/>
        <v>#N/A</v>
      </c>
      <c r="CB295" t="e">
        <f t="shared" si="326"/>
        <v>#N/A</v>
      </c>
      <c r="CC295" t="e">
        <f t="shared" si="327"/>
        <v>#N/A</v>
      </c>
      <c r="CD295" t="e">
        <f t="shared" si="328"/>
        <v>#N/A</v>
      </c>
      <c r="CE295" t="e">
        <f t="shared" si="329"/>
        <v>#N/A</v>
      </c>
      <c r="CF295" t="e">
        <f t="shared" si="330"/>
        <v>#N/A</v>
      </c>
      <c r="CG295" t="e">
        <f t="shared" si="331"/>
        <v>#N/A</v>
      </c>
      <c r="CI295" t="e">
        <f>AL103</f>
        <v>#N/A</v>
      </c>
      <c r="CJ295" t="e">
        <f>AM103</f>
        <v>#N/A</v>
      </c>
      <c r="CK295">
        <f>IF(ISNUMBER(CI295),IFERROR(MAX(0,AN103-CI295),0),0)</f>
        <v>0</v>
      </c>
      <c r="CL295">
        <f>IF(ISNUMBER(CI295),IFERROR(MAX(0,CI295-AN103),0),0)</f>
        <v>0</v>
      </c>
      <c r="CM295">
        <f>IF(ISNUMBER(CJ295),IFERROR(MAX(0,AO103-CJ295),0),0)</f>
        <v>0</v>
      </c>
      <c r="CN295">
        <f>IF(ISNUMBER(CJ295),IFERROR(MAX(0,CJ295-AO103),0),0)</f>
        <v>0</v>
      </c>
      <c r="CP295" t="e">
        <f>BT103</f>
        <v>#N/A</v>
      </c>
      <c r="CQ295" t="e">
        <f>BU103</f>
        <v>#N/A</v>
      </c>
      <c r="CR295">
        <f>IF(ISNUMBER(CP295),IFERROR(MAX(0,BV103-CP295),0),0)</f>
        <v>0</v>
      </c>
      <c r="CS295">
        <f>IF(ISNUMBER(CP295),IFERROR(MAX(0,CP295-BV103),0),0)</f>
        <v>0</v>
      </c>
      <c r="CT295">
        <f>IF(ISNUMBER(CQ295),IFERROR(MAX(0,BW103-CQ295),0),0)</f>
        <v>0</v>
      </c>
      <c r="CU295">
        <f>IF(ISNUMBER(CQ295),IFERROR(MAX(0,CQ295-BW103),0),0)</f>
        <v>0</v>
      </c>
    </row>
    <row r="296" spans="21:99" x14ac:dyDescent="0.3">
      <c r="U296">
        <v>290</v>
      </c>
      <c r="V296">
        <f t="shared" si="276"/>
        <v>73</v>
      </c>
      <c r="W296">
        <f t="shared" si="277"/>
        <v>2</v>
      </c>
      <c r="X296">
        <f t="shared" si="278"/>
        <v>0</v>
      </c>
      <c r="Y296">
        <f>IF(X296&lt;&gt;1,9999,CHOOSE(W296,INDEX(Gantt!$BQ$7:$BQ$119,V296),INDEX(Gantt!$BR$7:$BR$119,V296),INDEX(Gantt!$BT$7:$BT$119,V296),INDEX(Gantt!$BU$7:$BU$119,V296)))</f>
        <v>9999</v>
      </c>
      <c r="Z296">
        <f t="shared" si="279"/>
        <v>0</v>
      </c>
      <c r="AA296" t="e">
        <f t="shared" si="280"/>
        <v>#N/A</v>
      </c>
      <c r="AB296" t="e">
        <f t="shared" si="281"/>
        <v>#N/A</v>
      </c>
      <c r="AC296" t="e">
        <f t="shared" si="282"/>
        <v>#N/A</v>
      </c>
      <c r="AD296" t="e">
        <f t="shared" si="283"/>
        <v>#N/A</v>
      </c>
      <c r="AE296" t="e">
        <f t="shared" si="284"/>
        <v>#N/A</v>
      </c>
      <c r="AF296" t="e">
        <f t="shared" si="285"/>
        <v>#N/A</v>
      </c>
      <c r="AG296" t="e">
        <f t="shared" si="286"/>
        <v>#N/A</v>
      </c>
      <c r="AH296" t="e">
        <f t="shared" si="287"/>
        <v>#N/A</v>
      </c>
      <c r="AI296" t="e">
        <f t="shared" si="288"/>
        <v>#N/A</v>
      </c>
      <c r="AJ296" t="e">
        <f t="shared" si="289"/>
        <v>#N/A</v>
      </c>
      <c r="AK296" t="e">
        <f t="shared" si="290"/>
        <v>#N/A</v>
      </c>
      <c r="AL296" t="e">
        <f t="shared" si="291"/>
        <v>#N/A</v>
      </c>
      <c r="AM296" t="e">
        <f t="shared" si="292"/>
        <v>#N/A</v>
      </c>
      <c r="AN296" t="e">
        <f t="shared" si="293"/>
        <v>#N/A</v>
      </c>
      <c r="AO296" t="e">
        <f t="shared" si="294"/>
        <v>#N/A</v>
      </c>
      <c r="AP296" t="e">
        <f t="shared" si="295"/>
        <v>#N/A</v>
      </c>
      <c r="AQ296" t="e">
        <f t="shared" si="296"/>
        <v>#N/A</v>
      </c>
      <c r="AR296" t="e">
        <f t="shared" si="297"/>
        <v>#N/A</v>
      </c>
      <c r="AS296" t="e">
        <f t="shared" si="298"/>
        <v>#N/A</v>
      </c>
      <c r="AT296" t="e">
        <f t="shared" si="299"/>
        <v>#N/A</v>
      </c>
      <c r="AU296" t="e">
        <f t="shared" si="300"/>
        <v>#N/A</v>
      </c>
      <c r="AV296" t="e">
        <f t="shared" si="301"/>
        <v>#N/A</v>
      </c>
      <c r="AW296" t="e">
        <f t="shared" si="302"/>
        <v>#N/A</v>
      </c>
      <c r="AX296" t="e">
        <f t="shared" si="303"/>
        <v>#N/A</v>
      </c>
      <c r="AY296" t="e">
        <f t="shared" si="304"/>
        <v>#N/A</v>
      </c>
      <c r="BE296" t="e">
        <f>IF(Z296=1,IF(INDEX($C$7:$C$126,V296)&gt;=Gantt!$BF$6,NA(),MATCH(INDEX($C$7:$C$126,V296),Gantt!$J$6:$BE$6,1)),NA())</f>
        <v>#N/A</v>
      </c>
      <c r="BF296" t="e">
        <f>IF(Z296=1,IF((INDEX($D$7:$D$126,AA296)-1)&gt;=Gantt!$BF$6,NA(),IF((INDEX($D$7:$D$126,AA296)-1)&lt;Gantt!$J$6,0,MATCH((INDEX($D$7:$D$126,AA296)-1),Gantt!$J$6:$BE$6,1))),NA())</f>
        <v>#N/A</v>
      </c>
      <c r="BG296" t="e">
        <f t="shared" si="305"/>
        <v>#N/A</v>
      </c>
      <c r="BH296" t="e">
        <f t="shared" si="306"/>
        <v>#N/A</v>
      </c>
      <c r="BI296" t="e">
        <f t="shared" si="307"/>
        <v>#N/A</v>
      </c>
      <c r="BJ296" t="e">
        <f t="shared" si="308"/>
        <v>#N/A</v>
      </c>
      <c r="BK296" t="e">
        <f t="shared" si="309"/>
        <v>#N/A</v>
      </c>
      <c r="BL296" t="e">
        <f t="shared" si="310"/>
        <v>#N/A</v>
      </c>
      <c r="BM296" t="e">
        <f t="shared" si="311"/>
        <v>#N/A</v>
      </c>
      <c r="BN296" t="e">
        <f t="shared" si="312"/>
        <v>#N/A</v>
      </c>
      <c r="BO296" t="e">
        <f t="shared" si="313"/>
        <v>#N/A</v>
      </c>
      <c r="BP296" t="e">
        <f t="shared" si="314"/>
        <v>#N/A</v>
      </c>
      <c r="BQ296" t="e">
        <f t="shared" si="315"/>
        <v>#N/A</v>
      </c>
      <c r="BR296" t="e">
        <f t="shared" si="316"/>
        <v>#N/A</v>
      </c>
      <c r="BS296" t="e">
        <f t="shared" si="317"/>
        <v>#N/A</v>
      </c>
      <c r="BT296" t="e">
        <f t="shared" si="318"/>
        <v>#N/A</v>
      </c>
      <c r="BU296" t="e">
        <f t="shared" si="319"/>
        <v>#N/A</v>
      </c>
      <c r="BV296" t="e">
        <f t="shared" si="320"/>
        <v>#N/A</v>
      </c>
      <c r="BW296" t="e">
        <f t="shared" si="321"/>
        <v>#N/A</v>
      </c>
      <c r="BX296" t="e">
        <f t="shared" si="322"/>
        <v>#N/A</v>
      </c>
      <c r="BY296" t="e">
        <f t="shared" si="323"/>
        <v>#N/A</v>
      </c>
      <c r="BZ296" t="e">
        <f t="shared" si="324"/>
        <v>#N/A</v>
      </c>
      <c r="CA296" t="e">
        <f t="shared" si="325"/>
        <v>#N/A</v>
      </c>
      <c r="CB296" t="e">
        <f t="shared" si="326"/>
        <v>#N/A</v>
      </c>
      <c r="CC296" t="e">
        <f t="shared" si="327"/>
        <v>#N/A</v>
      </c>
      <c r="CD296" t="e">
        <f t="shared" si="328"/>
        <v>#N/A</v>
      </c>
      <c r="CE296" t="e">
        <f t="shared" si="329"/>
        <v>#N/A</v>
      </c>
      <c r="CF296" t="e">
        <f t="shared" si="330"/>
        <v>#N/A</v>
      </c>
      <c r="CG296" t="e">
        <f t="shared" si="331"/>
        <v>#N/A</v>
      </c>
      <c r="CI296" t="e">
        <f>AP103</f>
        <v>#N/A</v>
      </c>
      <c r="CJ296" t="e">
        <f>AQ103</f>
        <v>#N/A</v>
      </c>
      <c r="CK296">
        <f>IF(ISNUMBER(CI296),IFERROR(MAX(0,AR103-CI296),0),0)</f>
        <v>0</v>
      </c>
      <c r="CL296">
        <f>IF(ISNUMBER(CI296),IFERROR(MAX(0,CI296-AR103),0),0)</f>
        <v>0</v>
      </c>
      <c r="CM296">
        <f>IF(ISNUMBER(CJ296),IFERROR(MAX(0,AS103-CJ296),0),0)</f>
        <v>0</v>
      </c>
      <c r="CN296">
        <f>IF(ISNUMBER(CJ296),IFERROR(MAX(0,CJ296-AS103),0),0)</f>
        <v>0</v>
      </c>
      <c r="CP296" t="e">
        <f>BX103</f>
        <v>#N/A</v>
      </c>
      <c r="CQ296" t="e">
        <f>BY103</f>
        <v>#N/A</v>
      </c>
      <c r="CR296">
        <f>IF(ISNUMBER(CP296),IFERROR(MAX(0,BZ103-CP296),0),0)</f>
        <v>0</v>
      </c>
      <c r="CS296">
        <f>IF(ISNUMBER(CP296),IFERROR(MAX(0,CP296-BZ103),0),0)</f>
        <v>0</v>
      </c>
      <c r="CT296">
        <f>IF(ISNUMBER(CQ296),IFERROR(MAX(0,CA103-CQ296),0),0)</f>
        <v>0</v>
      </c>
      <c r="CU296">
        <f>IF(ISNUMBER(CQ296),IFERROR(MAX(0,CQ296-CA103),0),0)</f>
        <v>0</v>
      </c>
    </row>
    <row r="297" spans="21:99" x14ac:dyDescent="0.3">
      <c r="U297">
        <v>291</v>
      </c>
      <c r="V297">
        <f t="shared" si="276"/>
        <v>73</v>
      </c>
      <c r="W297">
        <f t="shared" si="277"/>
        <v>3</v>
      </c>
      <c r="X297">
        <f t="shared" si="278"/>
        <v>0</v>
      </c>
      <c r="Y297">
        <f>IF(X297&lt;&gt;1,9999,CHOOSE(W297,INDEX(Gantt!$BQ$7:$BQ$119,V297),INDEX(Gantt!$BR$7:$BR$119,V297),INDEX(Gantt!$BT$7:$BT$119,V297),INDEX(Gantt!$BU$7:$BU$119,V297)))</f>
        <v>9999</v>
      </c>
      <c r="Z297">
        <f t="shared" si="279"/>
        <v>0</v>
      </c>
      <c r="AA297" t="e">
        <f t="shared" si="280"/>
        <v>#N/A</v>
      </c>
      <c r="AB297" t="e">
        <f t="shared" si="281"/>
        <v>#N/A</v>
      </c>
      <c r="AC297" t="e">
        <f t="shared" si="282"/>
        <v>#N/A</v>
      </c>
      <c r="AD297" t="e">
        <f t="shared" si="283"/>
        <v>#N/A</v>
      </c>
      <c r="AE297" t="e">
        <f t="shared" si="284"/>
        <v>#N/A</v>
      </c>
      <c r="AF297" t="e">
        <f t="shared" si="285"/>
        <v>#N/A</v>
      </c>
      <c r="AG297" t="e">
        <f t="shared" si="286"/>
        <v>#N/A</v>
      </c>
      <c r="AH297" t="e">
        <f t="shared" si="287"/>
        <v>#N/A</v>
      </c>
      <c r="AI297" t="e">
        <f t="shared" si="288"/>
        <v>#N/A</v>
      </c>
      <c r="AJ297" t="e">
        <f t="shared" si="289"/>
        <v>#N/A</v>
      </c>
      <c r="AK297" t="e">
        <f t="shared" si="290"/>
        <v>#N/A</v>
      </c>
      <c r="AL297" t="e">
        <f t="shared" si="291"/>
        <v>#N/A</v>
      </c>
      <c r="AM297" t="e">
        <f t="shared" si="292"/>
        <v>#N/A</v>
      </c>
      <c r="AN297" t="e">
        <f t="shared" si="293"/>
        <v>#N/A</v>
      </c>
      <c r="AO297" t="e">
        <f t="shared" si="294"/>
        <v>#N/A</v>
      </c>
      <c r="AP297" t="e">
        <f t="shared" si="295"/>
        <v>#N/A</v>
      </c>
      <c r="AQ297" t="e">
        <f t="shared" si="296"/>
        <v>#N/A</v>
      </c>
      <c r="AR297" t="e">
        <f t="shared" si="297"/>
        <v>#N/A</v>
      </c>
      <c r="AS297" t="e">
        <f t="shared" si="298"/>
        <v>#N/A</v>
      </c>
      <c r="AT297" t="e">
        <f t="shared" si="299"/>
        <v>#N/A</v>
      </c>
      <c r="AU297" t="e">
        <f t="shared" si="300"/>
        <v>#N/A</v>
      </c>
      <c r="AV297" t="e">
        <f t="shared" si="301"/>
        <v>#N/A</v>
      </c>
      <c r="AW297" t="e">
        <f t="shared" si="302"/>
        <v>#N/A</v>
      </c>
      <c r="AX297" t="e">
        <f t="shared" si="303"/>
        <v>#N/A</v>
      </c>
      <c r="AY297" t="e">
        <f t="shared" si="304"/>
        <v>#N/A</v>
      </c>
      <c r="BE297" t="e">
        <f>IF(Z297=1,IF(INDEX($C$7:$C$126,V297)&gt;=Gantt!$BF$6,NA(),MATCH(INDEX($C$7:$C$126,V297),Gantt!$J$6:$BE$6,1)),NA())</f>
        <v>#N/A</v>
      </c>
      <c r="BF297" t="e">
        <f>IF(Z297=1,IF((INDEX($D$7:$D$126,AA297)-1)&gt;=Gantt!$BF$6,NA(),IF((INDEX($D$7:$D$126,AA297)-1)&lt;Gantt!$J$6,0,MATCH((INDEX($D$7:$D$126,AA297)-1),Gantt!$J$6:$BE$6,1))),NA())</f>
        <v>#N/A</v>
      </c>
      <c r="BG297" t="e">
        <f t="shared" si="305"/>
        <v>#N/A</v>
      </c>
      <c r="BH297" t="e">
        <f t="shared" si="306"/>
        <v>#N/A</v>
      </c>
      <c r="BI297" t="e">
        <f t="shared" si="307"/>
        <v>#N/A</v>
      </c>
      <c r="BJ297" t="e">
        <f t="shared" si="308"/>
        <v>#N/A</v>
      </c>
      <c r="BK297" t="e">
        <f t="shared" si="309"/>
        <v>#N/A</v>
      </c>
      <c r="BL297" t="e">
        <f t="shared" si="310"/>
        <v>#N/A</v>
      </c>
      <c r="BM297" t="e">
        <f t="shared" si="311"/>
        <v>#N/A</v>
      </c>
      <c r="BN297" t="e">
        <f t="shared" si="312"/>
        <v>#N/A</v>
      </c>
      <c r="BO297" t="e">
        <f t="shared" si="313"/>
        <v>#N/A</v>
      </c>
      <c r="BP297" t="e">
        <f t="shared" si="314"/>
        <v>#N/A</v>
      </c>
      <c r="BQ297" t="e">
        <f t="shared" si="315"/>
        <v>#N/A</v>
      </c>
      <c r="BR297" t="e">
        <f t="shared" si="316"/>
        <v>#N/A</v>
      </c>
      <c r="BS297" t="e">
        <f t="shared" si="317"/>
        <v>#N/A</v>
      </c>
      <c r="BT297" t="e">
        <f t="shared" si="318"/>
        <v>#N/A</v>
      </c>
      <c r="BU297" t="e">
        <f t="shared" si="319"/>
        <v>#N/A</v>
      </c>
      <c r="BV297" t="e">
        <f t="shared" si="320"/>
        <v>#N/A</v>
      </c>
      <c r="BW297" t="e">
        <f t="shared" si="321"/>
        <v>#N/A</v>
      </c>
      <c r="BX297" t="e">
        <f t="shared" si="322"/>
        <v>#N/A</v>
      </c>
      <c r="BY297" t="e">
        <f t="shared" si="323"/>
        <v>#N/A</v>
      </c>
      <c r="BZ297" t="e">
        <f t="shared" si="324"/>
        <v>#N/A</v>
      </c>
      <c r="CA297" t="e">
        <f t="shared" si="325"/>
        <v>#N/A</v>
      </c>
      <c r="CB297" t="e">
        <f t="shared" si="326"/>
        <v>#N/A</v>
      </c>
      <c r="CC297" t="e">
        <f t="shared" si="327"/>
        <v>#N/A</v>
      </c>
      <c r="CD297" t="e">
        <f t="shared" si="328"/>
        <v>#N/A</v>
      </c>
      <c r="CE297" t="e">
        <f t="shared" si="329"/>
        <v>#N/A</v>
      </c>
      <c r="CF297" t="e">
        <f t="shared" si="330"/>
        <v>#N/A</v>
      </c>
      <c r="CG297" t="e">
        <f t="shared" si="331"/>
        <v>#N/A</v>
      </c>
      <c r="CI297" t="e">
        <f>AT103</f>
        <v>#N/A</v>
      </c>
      <c r="CJ297" t="e">
        <f>AU103</f>
        <v>#N/A</v>
      </c>
      <c r="CK297">
        <f>IF(ISNUMBER(CI297),IFERROR(MAX(0,AV103-CI297),0),0)</f>
        <v>0</v>
      </c>
      <c r="CL297">
        <f>IF(ISNUMBER(CI297),IFERROR(MAX(0,CI297-AV103),0),0)</f>
        <v>0</v>
      </c>
      <c r="CM297">
        <f>IF(ISNUMBER(CJ297),IFERROR(MAX(0,AW103-CJ297),0),0)</f>
        <v>0</v>
      </c>
      <c r="CN297">
        <f>IF(ISNUMBER(CJ297),IFERROR(MAX(0,CJ297-AW103),0),0)</f>
        <v>0</v>
      </c>
      <c r="CP297" t="e">
        <f>CB103</f>
        <v>#N/A</v>
      </c>
      <c r="CQ297" t="e">
        <f>CC103</f>
        <v>#N/A</v>
      </c>
      <c r="CR297">
        <f>IF(ISNUMBER(CP297),IFERROR(MAX(0,CD103-CP297),0),0)</f>
        <v>0</v>
      </c>
      <c r="CS297">
        <f>IF(ISNUMBER(CP297),IFERROR(MAX(0,CP297-CD103),0),0)</f>
        <v>0</v>
      </c>
      <c r="CT297">
        <f>IF(ISNUMBER(CQ297),IFERROR(MAX(0,CE103-CQ297),0),0)</f>
        <v>0</v>
      </c>
      <c r="CU297">
        <f>IF(ISNUMBER(CQ297),IFERROR(MAX(0,CQ297-CE103),0),0)</f>
        <v>0</v>
      </c>
    </row>
    <row r="298" spans="21:99" x14ac:dyDescent="0.3">
      <c r="U298">
        <v>292</v>
      </c>
      <c r="V298">
        <f t="shared" si="276"/>
        <v>73</v>
      </c>
      <c r="W298">
        <f t="shared" si="277"/>
        <v>4</v>
      </c>
      <c r="X298">
        <f t="shared" si="278"/>
        <v>0</v>
      </c>
      <c r="Y298">
        <f>IF(X298&lt;&gt;1,9999,CHOOSE(W298,INDEX(Gantt!$BQ$7:$BQ$119,V298),INDEX(Gantt!$BR$7:$BR$119,V298),INDEX(Gantt!$BT$7:$BT$119,V298),INDEX(Gantt!$BU$7:$BU$119,V298)))</f>
        <v>9999</v>
      </c>
      <c r="Z298">
        <f t="shared" si="279"/>
        <v>0</v>
      </c>
      <c r="AA298" t="e">
        <f t="shared" si="280"/>
        <v>#N/A</v>
      </c>
      <c r="AB298" t="e">
        <f t="shared" si="281"/>
        <v>#N/A</v>
      </c>
      <c r="AC298" t="e">
        <f t="shared" si="282"/>
        <v>#N/A</v>
      </c>
      <c r="AD298" t="e">
        <f t="shared" si="283"/>
        <v>#N/A</v>
      </c>
      <c r="AE298" t="e">
        <f t="shared" si="284"/>
        <v>#N/A</v>
      </c>
      <c r="AF298" t="e">
        <f t="shared" si="285"/>
        <v>#N/A</v>
      </c>
      <c r="AG298" t="e">
        <f t="shared" si="286"/>
        <v>#N/A</v>
      </c>
      <c r="AH298" t="e">
        <f t="shared" si="287"/>
        <v>#N/A</v>
      </c>
      <c r="AI298" t="e">
        <f t="shared" si="288"/>
        <v>#N/A</v>
      </c>
      <c r="AJ298" t="e">
        <f t="shared" si="289"/>
        <v>#N/A</v>
      </c>
      <c r="AK298" t="e">
        <f t="shared" si="290"/>
        <v>#N/A</v>
      </c>
      <c r="AL298" t="e">
        <f t="shared" si="291"/>
        <v>#N/A</v>
      </c>
      <c r="AM298" t="e">
        <f t="shared" si="292"/>
        <v>#N/A</v>
      </c>
      <c r="AN298" t="e">
        <f t="shared" si="293"/>
        <v>#N/A</v>
      </c>
      <c r="AO298" t="e">
        <f t="shared" si="294"/>
        <v>#N/A</v>
      </c>
      <c r="AP298" t="e">
        <f t="shared" si="295"/>
        <v>#N/A</v>
      </c>
      <c r="AQ298" t="e">
        <f t="shared" si="296"/>
        <v>#N/A</v>
      </c>
      <c r="AR298" t="e">
        <f t="shared" si="297"/>
        <v>#N/A</v>
      </c>
      <c r="AS298" t="e">
        <f t="shared" si="298"/>
        <v>#N/A</v>
      </c>
      <c r="AT298" t="e">
        <f t="shared" si="299"/>
        <v>#N/A</v>
      </c>
      <c r="AU298" t="e">
        <f t="shared" si="300"/>
        <v>#N/A</v>
      </c>
      <c r="AV298" t="e">
        <f t="shared" si="301"/>
        <v>#N/A</v>
      </c>
      <c r="AW298" t="e">
        <f t="shared" si="302"/>
        <v>#N/A</v>
      </c>
      <c r="AX298" t="e">
        <f t="shared" si="303"/>
        <v>#N/A</v>
      </c>
      <c r="AY298" t="e">
        <f t="shared" si="304"/>
        <v>#N/A</v>
      </c>
      <c r="BE298" t="e">
        <f>IF(Z298=1,IF(INDEX($C$7:$C$126,V298)&gt;=Gantt!$BF$6,NA(),MATCH(INDEX($C$7:$C$126,V298),Gantt!$J$6:$BE$6,1)),NA())</f>
        <v>#N/A</v>
      </c>
      <c r="BF298" t="e">
        <f>IF(Z298=1,IF((INDEX($D$7:$D$126,AA298)-1)&gt;=Gantt!$BF$6,NA(),IF((INDEX($D$7:$D$126,AA298)-1)&lt;Gantt!$J$6,0,MATCH((INDEX($D$7:$D$126,AA298)-1),Gantt!$J$6:$BE$6,1))),NA())</f>
        <v>#N/A</v>
      </c>
      <c r="BG298" t="e">
        <f t="shared" si="305"/>
        <v>#N/A</v>
      </c>
      <c r="BH298" t="e">
        <f t="shared" si="306"/>
        <v>#N/A</v>
      </c>
      <c r="BI298" t="e">
        <f t="shared" si="307"/>
        <v>#N/A</v>
      </c>
      <c r="BJ298" t="e">
        <f t="shared" si="308"/>
        <v>#N/A</v>
      </c>
      <c r="BK298" t="e">
        <f t="shared" si="309"/>
        <v>#N/A</v>
      </c>
      <c r="BL298" t="e">
        <f t="shared" si="310"/>
        <v>#N/A</v>
      </c>
      <c r="BM298" t="e">
        <f t="shared" si="311"/>
        <v>#N/A</v>
      </c>
      <c r="BN298" t="e">
        <f t="shared" si="312"/>
        <v>#N/A</v>
      </c>
      <c r="BO298" t="e">
        <f t="shared" si="313"/>
        <v>#N/A</v>
      </c>
      <c r="BP298" t="e">
        <f t="shared" si="314"/>
        <v>#N/A</v>
      </c>
      <c r="BQ298" t="e">
        <f t="shared" si="315"/>
        <v>#N/A</v>
      </c>
      <c r="BR298" t="e">
        <f t="shared" si="316"/>
        <v>#N/A</v>
      </c>
      <c r="BS298" t="e">
        <f t="shared" si="317"/>
        <v>#N/A</v>
      </c>
      <c r="BT298" t="e">
        <f t="shared" si="318"/>
        <v>#N/A</v>
      </c>
      <c r="BU298" t="e">
        <f t="shared" si="319"/>
        <v>#N/A</v>
      </c>
      <c r="BV298" t="e">
        <f t="shared" si="320"/>
        <v>#N/A</v>
      </c>
      <c r="BW298" t="e">
        <f t="shared" si="321"/>
        <v>#N/A</v>
      </c>
      <c r="BX298" t="e">
        <f t="shared" si="322"/>
        <v>#N/A</v>
      </c>
      <c r="BY298" t="e">
        <f t="shared" si="323"/>
        <v>#N/A</v>
      </c>
      <c r="BZ298" t="e">
        <f t="shared" si="324"/>
        <v>#N/A</v>
      </c>
      <c r="CA298" t="e">
        <f t="shared" si="325"/>
        <v>#N/A</v>
      </c>
      <c r="CB298" t="e">
        <f t="shared" si="326"/>
        <v>#N/A</v>
      </c>
      <c r="CC298" t="e">
        <f t="shared" si="327"/>
        <v>#N/A</v>
      </c>
      <c r="CD298" t="e">
        <f t="shared" si="328"/>
        <v>#N/A</v>
      </c>
      <c r="CE298" t="e">
        <f t="shared" si="329"/>
        <v>#N/A</v>
      </c>
      <c r="CF298" t="e">
        <f t="shared" si="330"/>
        <v>#N/A</v>
      </c>
      <c r="CG298" t="e">
        <f t="shared" si="331"/>
        <v>#N/A</v>
      </c>
      <c r="CI298" t="e">
        <f>AL104</f>
        <v>#N/A</v>
      </c>
      <c r="CJ298" t="e">
        <f>AM104</f>
        <v>#N/A</v>
      </c>
      <c r="CK298">
        <f>IF(ISNUMBER(CI298),IFERROR(MAX(0,AN104-CI298),0),0)</f>
        <v>0</v>
      </c>
      <c r="CL298">
        <f>IF(ISNUMBER(CI298),IFERROR(MAX(0,CI298-AN104),0),0)</f>
        <v>0</v>
      </c>
      <c r="CM298">
        <f>IF(ISNUMBER(CJ298),IFERROR(MAX(0,AO104-CJ298),0),0)</f>
        <v>0</v>
      </c>
      <c r="CN298">
        <f>IF(ISNUMBER(CJ298),IFERROR(MAX(0,CJ298-AO104),0),0)</f>
        <v>0</v>
      </c>
      <c r="CP298" t="e">
        <f>BT104</f>
        <v>#N/A</v>
      </c>
      <c r="CQ298" t="e">
        <f>BU104</f>
        <v>#N/A</v>
      </c>
      <c r="CR298">
        <f>IF(ISNUMBER(CP298),IFERROR(MAX(0,BV104-CP298),0),0)</f>
        <v>0</v>
      </c>
      <c r="CS298">
        <f>IF(ISNUMBER(CP298),IFERROR(MAX(0,CP298-BV104),0),0)</f>
        <v>0</v>
      </c>
      <c r="CT298">
        <f>IF(ISNUMBER(CQ298),IFERROR(MAX(0,BW104-CQ298),0),0)</f>
        <v>0</v>
      </c>
      <c r="CU298">
        <f>IF(ISNUMBER(CQ298),IFERROR(MAX(0,CQ298-BW104),0),0)</f>
        <v>0</v>
      </c>
    </row>
    <row r="299" spans="21:99" x14ac:dyDescent="0.3">
      <c r="U299">
        <v>293</v>
      </c>
      <c r="V299">
        <f t="shared" si="276"/>
        <v>74</v>
      </c>
      <c r="W299">
        <f t="shared" si="277"/>
        <v>1</v>
      </c>
      <c r="X299">
        <f t="shared" si="278"/>
        <v>0</v>
      </c>
      <c r="Y299">
        <f>IF(X299&lt;&gt;1,9999,CHOOSE(W299,INDEX(Gantt!$BQ$7:$BQ$119,V299),INDEX(Gantt!$BR$7:$BR$119,V299),INDEX(Gantt!$BT$7:$BT$119,V299),INDEX(Gantt!$BU$7:$BU$119,V299)))</f>
        <v>9999</v>
      </c>
      <c r="Z299">
        <f t="shared" si="279"/>
        <v>0</v>
      </c>
      <c r="AA299" t="e">
        <f t="shared" si="280"/>
        <v>#N/A</v>
      </c>
      <c r="AB299" t="e">
        <f t="shared" si="281"/>
        <v>#N/A</v>
      </c>
      <c r="AC299" t="e">
        <f t="shared" si="282"/>
        <v>#N/A</v>
      </c>
      <c r="AD299" t="e">
        <f t="shared" si="283"/>
        <v>#N/A</v>
      </c>
      <c r="AE299" t="e">
        <f t="shared" si="284"/>
        <v>#N/A</v>
      </c>
      <c r="AF299" t="e">
        <f t="shared" si="285"/>
        <v>#N/A</v>
      </c>
      <c r="AG299" t="e">
        <f t="shared" si="286"/>
        <v>#N/A</v>
      </c>
      <c r="AH299" t="e">
        <f t="shared" si="287"/>
        <v>#N/A</v>
      </c>
      <c r="AI299" t="e">
        <f t="shared" si="288"/>
        <v>#N/A</v>
      </c>
      <c r="AJ299" t="e">
        <f t="shared" si="289"/>
        <v>#N/A</v>
      </c>
      <c r="AK299" t="e">
        <f t="shared" si="290"/>
        <v>#N/A</v>
      </c>
      <c r="AL299" t="e">
        <f t="shared" si="291"/>
        <v>#N/A</v>
      </c>
      <c r="AM299" t="e">
        <f t="shared" si="292"/>
        <v>#N/A</v>
      </c>
      <c r="AN299" t="e">
        <f t="shared" si="293"/>
        <v>#N/A</v>
      </c>
      <c r="AO299" t="e">
        <f t="shared" si="294"/>
        <v>#N/A</v>
      </c>
      <c r="AP299" t="e">
        <f t="shared" si="295"/>
        <v>#N/A</v>
      </c>
      <c r="AQ299" t="e">
        <f t="shared" si="296"/>
        <v>#N/A</v>
      </c>
      <c r="AR299" t="e">
        <f t="shared" si="297"/>
        <v>#N/A</v>
      </c>
      <c r="AS299" t="e">
        <f t="shared" si="298"/>
        <v>#N/A</v>
      </c>
      <c r="AT299" t="e">
        <f t="shared" si="299"/>
        <v>#N/A</v>
      </c>
      <c r="AU299" t="e">
        <f t="shared" si="300"/>
        <v>#N/A</v>
      </c>
      <c r="AV299" t="e">
        <f t="shared" si="301"/>
        <v>#N/A</v>
      </c>
      <c r="AW299" t="e">
        <f t="shared" si="302"/>
        <v>#N/A</v>
      </c>
      <c r="AX299" t="e">
        <f t="shared" si="303"/>
        <v>#N/A</v>
      </c>
      <c r="AY299" t="e">
        <f t="shared" si="304"/>
        <v>#N/A</v>
      </c>
      <c r="BE299" t="e">
        <f>IF(Z299=1,IF(INDEX($C$7:$C$126,V299)&gt;=Gantt!$BF$6,NA(),MATCH(INDEX($C$7:$C$126,V299),Gantt!$J$6:$BE$6,1)),NA())</f>
        <v>#N/A</v>
      </c>
      <c r="BF299" t="e">
        <f>IF(Z299=1,IF((INDEX($D$7:$D$126,AA299)-1)&gt;=Gantt!$BF$6,NA(),IF((INDEX($D$7:$D$126,AA299)-1)&lt;Gantt!$J$6,0,MATCH((INDEX($D$7:$D$126,AA299)-1),Gantt!$J$6:$BE$6,1))),NA())</f>
        <v>#N/A</v>
      </c>
      <c r="BG299" t="e">
        <f t="shared" si="305"/>
        <v>#N/A</v>
      </c>
      <c r="BH299" t="e">
        <f t="shared" si="306"/>
        <v>#N/A</v>
      </c>
      <c r="BI299" t="e">
        <f t="shared" si="307"/>
        <v>#N/A</v>
      </c>
      <c r="BJ299" t="e">
        <f t="shared" si="308"/>
        <v>#N/A</v>
      </c>
      <c r="BK299" t="e">
        <f t="shared" si="309"/>
        <v>#N/A</v>
      </c>
      <c r="BL299" t="e">
        <f t="shared" si="310"/>
        <v>#N/A</v>
      </c>
      <c r="BM299" t="e">
        <f t="shared" si="311"/>
        <v>#N/A</v>
      </c>
      <c r="BN299" t="e">
        <f t="shared" si="312"/>
        <v>#N/A</v>
      </c>
      <c r="BO299" t="e">
        <f t="shared" si="313"/>
        <v>#N/A</v>
      </c>
      <c r="BP299" t="e">
        <f t="shared" si="314"/>
        <v>#N/A</v>
      </c>
      <c r="BQ299" t="e">
        <f t="shared" si="315"/>
        <v>#N/A</v>
      </c>
      <c r="BR299" t="e">
        <f t="shared" si="316"/>
        <v>#N/A</v>
      </c>
      <c r="BS299" t="e">
        <f t="shared" si="317"/>
        <v>#N/A</v>
      </c>
      <c r="BT299" t="e">
        <f t="shared" si="318"/>
        <v>#N/A</v>
      </c>
      <c r="BU299" t="e">
        <f t="shared" si="319"/>
        <v>#N/A</v>
      </c>
      <c r="BV299" t="e">
        <f t="shared" si="320"/>
        <v>#N/A</v>
      </c>
      <c r="BW299" t="e">
        <f t="shared" si="321"/>
        <v>#N/A</v>
      </c>
      <c r="BX299" t="e">
        <f t="shared" si="322"/>
        <v>#N/A</v>
      </c>
      <c r="BY299" t="e">
        <f t="shared" si="323"/>
        <v>#N/A</v>
      </c>
      <c r="BZ299" t="e">
        <f t="shared" si="324"/>
        <v>#N/A</v>
      </c>
      <c r="CA299" t="e">
        <f t="shared" si="325"/>
        <v>#N/A</v>
      </c>
      <c r="CB299" t="e">
        <f t="shared" si="326"/>
        <v>#N/A</v>
      </c>
      <c r="CC299" t="e">
        <f t="shared" si="327"/>
        <v>#N/A</v>
      </c>
      <c r="CD299" t="e">
        <f t="shared" si="328"/>
        <v>#N/A</v>
      </c>
      <c r="CE299" t="e">
        <f t="shared" si="329"/>
        <v>#N/A</v>
      </c>
      <c r="CF299" t="e">
        <f t="shared" si="330"/>
        <v>#N/A</v>
      </c>
      <c r="CG299" t="e">
        <f t="shared" si="331"/>
        <v>#N/A</v>
      </c>
      <c r="CI299" t="e">
        <f>AP104</f>
        <v>#N/A</v>
      </c>
      <c r="CJ299" t="e">
        <f>AQ104</f>
        <v>#N/A</v>
      </c>
      <c r="CK299">
        <f>IF(ISNUMBER(CI299),IFERROR(MAX(0,AR104-CI299),0),0)</f>
        <v>0</v>
      </c>
      <c r="CL299">
        <f>IF(ISNUMBER(CI299),IFERROR(MAX(0,CI299-AR104),0),0)</f>
        <v>0</v>
      </c>
      <c r="CM299">
        <f>IF(ISNUMBER(CJ299),IFERROR(MAX(0,AS104-CJ299),0),0)</f>
        <v>0</v>
      </c>
      <c r="CN299">
        <f>IF(ISNUMBER(CJ299),IFERROR(MAX(0,CJ299-AS104),0),0)</f>
        <v>0</v>
      </c>
      <c r="CP299" t="e">
        <f>BX104</f>
        <v>#N/A</v>
      </c>
      <c r="CQ299" t="e">
        <f>BY104</f>
        <v>#N/A</v>
      </c>
      <c r="CR299">
        <f>IF(ISNUMBER(CP299),IFERROR(MAX(0,BZ104-CP299),0),0)</f>
        <v>0</v>
      </c>
      <c r="CS299">
        <f>IF(ISNUMBER(CP299),IFERROR(MAX(0,CP299-BZ104),0),0)</f>
        <v>0</v>
      </c>
      <c r="CT299">
        <f>IF(ISNUMBER(CQ299),IFERROR(MAX(0,CA104-CQ299),0),0)</f>
        <v>0</v>
      </c>
      <c r="CU299">
        <f>IF(ISNUMBER(CQ299),IFERROR(MAX(0,CQ299-CA104),0),0)</f>
        <v>0</v>
      </c>
    </row>
    <row r="300" spans="21:99" x14ac:dyDescent="0.3">
      <c r="U300">
        <v>294</v>
      </c>
      <c r="V300">
        <f t="shared" si="276"/>
        <v>74</v>
      </c>
      <c r="W300">
        <f t="shared" si="277"/>
        <v>2</v>
      </c>
      <c r="X300">
        <f t="shared" si="278"/>
        <v>0</v>
      </c>
      <c r="Y300">
        <f>IF(X300&lt;&gt;1,9999,CHOOSE(W300,INDEX(Gantt!$BQ$7:$BQ$119,V300),INDEX(Gantt!$BR$7:$BR$119,V300),INDEX(Gantt!$BT$7:$BT$119,V300),INDEX(Gantt!$BU$7:$BU$119,V300)))</f>
        <v>9999</v>
      </c>
      <c r="Z300">
        <f t="shared" si="279"/>
        <v>0</v>
      </c>
      <c r="AA300" t="e">
        <f t="shared" si="280"/>
        <v>#N/A</v>
      </c>
      <c r="AB300" t="e">
        <f t="shared" si="281"/>
        <v>#N/A</v>
      </c>
      <c r="AC300" t="e">
        <f t="shared" si="282"/>
        <v>#N/A</v>
      </c>
      <c r="AD300" t="e">
        <f t="shared" si="283"/>
        <v>#N/A</v>
      </c>
      <c r="AE300" t="e">
        <f t="shared" si="284"/>
        <v>#N/A</v>
      </c>
      <c r="AF300" t="e">
        <f t="shared" si="285"/>
        <v>#N/A</v>
      </c>
      <c r="AG300" t="e">
        <f t="shared" si="286"/>
        <v>#N/A</v>
      </c>
      <c r="AH300" t="e">
        <f t="shared" si="287"/>
        <v>#N/A</v>
      </c>
      <c r="AI300" t="e">
        <f t="shared" si="288"/>
        <v>#N/A</v>
      </c>
      <c r="AJ300" t="e">
        <f t="shared" si="289"/>
        <v>#N/A</v>
      </c>
      <c r="AK300" t="e">
        <f t="shared" si="290"/>
        <v>#N/A</v>
      </c>
      <c r="AL300" t="e">
        <f t="shared" si="291"/>
        <v>#N/A</v>
      </c>
      <c r="AM300" t="e">
        <f t="shared" si="292"/>
        <v>#N/A</v>
      </c>
      <c r="AN300" t="e">
        <f t="shared" si="293"/>
        <v>#N/A</v>
      </c>
      <c r="AO300" t="e">
        <f t="shared" si="294"/>
        <v>#N/A</v>
      </c>
      <c r="AP300" t="e">
        <f t="shared" si="295"/>
        <v>#N/A</v>
      </c>
      <c r="AQ300" t="e">
        <f t="shared" si="296"/>
        <v>#N/A</v>
      </c>
      <c r="AR300" t="e">
        <f t="shared" si="297"/>
        <v>#N/A</v>
      </c>
      <c r="AS300" t="e">
        <f t="shared" si="298"/>
        <v>#N/A</v>
      </c>
      <c r="AT300" t="e">
        <f t="shared" si="299"/>
        <v>#N/A</v>
      </c>
      <c r="AU300" t="e">
        <f t="shared" si="300"/>
        <v>#N/A</v>
      </c>
      <c r="AV300" t="e">
        <f t="shared" si="301"/>
        <v>#N/A</v>
      </c>
      <c r="AW300" t="e">
        <f t="shared" si="302"/>
        <v>#N/A</v>
      </c>
      <c r="AX300" t="e">
        <f t="shared" si="303"/>
        <v>#N/A</v>
      </c>
      <c r="AY300" t="e">
        <f t="shared" si="304"/>
        <v>#N/A</v>
      </c>
      <c r="BE300" t="e">
        <f>IF(Z300=1,IF(INDEX($C$7:$C$126,V300)&gt;=Gantt!$BF$6,NA(),MATCH(INDEX($C$7:$C$126,V300),Gantt!$J$6:$BE$6,1)),NA())</f>
        <v>#N/A</v>
      </c>
      <c r="BF300" t="e">
        <f>IF(Z300=1,IF((INDEX($D$7:$D$126,AA300)-1)&gt;=Gantt!$BF$6,NA(),IF((INDEX($D$7:$D$126,AA300)-1)&lt;Gantt!$J$6,0,MATCH((INDEX($D$7:$D$126,AA300)-1),Gantt!$J$6:$BE$6,1))),NA())</f>
        <v>#N/A</v>
      </c>
      <c r="BG300" t="e">
        <f t="shared" si="305"/>
        <v>#N/A</v>
      </c>
      <c r="BH300" t="e">
        <f t="shared" si="306"/>
        <v>#N/A</v>
      </c>
      <c r="BI300" t="e">
        <f t="shared" si="307"/>
        <v>#N/A</v>
      </c>
      <c r="BJ300" t="e">
        <f t="shared" si="308"/>
        <v>#N/A</v>
      </c>
      <c r="BK300" t="e">
        <f t="shared" si="309"/>
        <v>#N/A</v>
      </c>
      <c r="BL300" t="e">
        <f t="shared" si="310"/>
        <v>#N/A</v>
      </c>
      <c r="BM300" t="e">
        <f t="shared" si="311"/>
        <v>#N/A</v>
      </c>
      <c r="BN300" t="e">
        <f t="shared" si="312"/>
        <v>#N/A</v>
      </c>
      <c r="BO300" t="e">
        <f t="shared" si="313"/>
        <v>#N/A</v>
      </c>
      <c r="BP300" t="e">
        <f t="shared" si="314"/>
        <v>#N/A</v>
      </c>
      <c r="BQ300" t="e">
        <f t="shared" si="315"/>
        <v>#N/A</v>
      </c>
      <c r="BR300" t="e">
        <f t="shared" si="316"/>
        <v>#N/A</v>
      </c>
      <c r="BS300" t="e">
        <f t="shared" si="317"/>
        <v>#N/A</v>
      </c>
      <c r="BT300" t="e">
        <f t="shared" si="318"/>
        <v>#N/A</v>
      </c>
      <c r="BU300" t="e">
        <f t="shared" si="319"/>
        <v>#N/A</v>
      </c>
      <c r="BV300" t="e">
        <f t="shared" si="320"/>
        <v>#N/A</v>
      </c>
      <c r="BW300" t="e">
        <f t="shared" si="321"/>
        <v>#N/A</v>
      </c>
      <c r="BX300" t="e">
        <f t="shared" si="322"/>
        <v>#N/A</v>
      </c>
      <c r="BY300" t="e">
        <f t="shared" si="323"/>
        <v>#N/A</v>
      </c>
      <c r="BZ300" t="e">
        <f t="shared" si="324"/>
        <v>#N/A</v>
      </c>
      <c r="CA300" t="e">
        <f t="shared" si="325"/>
        <v>#N/A</v>
      </c>
      <c r="CB300" t="e">
        <f t="shared" si="326"/>
        <v>#N/A</v>
      </c>
      <c r="CC300" t="e">
        <f t="shared" si="327"/>
        <v>#N/A</v>
      </c>
      <c r="CD300" t="e">
        <f t="shared" si="328"/>
        <v>#N/A</v>
      </c>
      <c r="CE300" t="e">
        <f t="shared" si="329"/>
        <v>#N/A</v>
      </c>
      <c r="CF300" t="e">
        <f t="shared" si="330"/>
        <v>#N/A</v>
      </c>
      <c r="CG300" t="e">
        <f t="shared" si="331"/>
        <v>#N/A</v>
      </c>
      <c r="CI300" t="e">
        <f>AT104</f>
        <v>#N/A</v>
      </c>
      <c r="CJ300" t="e">
        <f>AU104</f>
        <v>#N/A</v>
      </c>
      <c r="CK300">
        <f>IF(ISNUMBER(CI300),IFERROR(MAX(0,AV104-CI300),0),0)</f>
        <v>0</v>
      </c>
      <c r="CL300">
        <f>IF(ISNUMBER(CI300),IFERROR(MAX(0,CI300-AV104),0),0)</f>
        <v>0</v>
      </c>
      <c r="CM300">
        <f>IF(ISNUMBER(CJ300),IFERROR(MAX(0,AW104-CJ300),0),0)</f>
        <v>0</v>
      </c>
      <c r="CN300">
        <f>IF(ISNUMBER(CJ300),IFERROR(MAX(0,CJ300-AW104),0),0)</f>
        <v>0</v>
      </c>
      <c r="CP300" t="e">
        <f>CB104</f>
        <v>#N/A</v>
      </c>
      <c r="CQ300" t="e">
        <f>CC104</f>
        <v>#N/A</v>
      </c>
      <c r="CR300">
        <f>IF(ISNUMBER(CP300),IFERROR(MAX(0,CD104-CP300),0),0)</f>
        <v>0</v>
      </c>
      <c r="CS300">
        <f>IF(ISNUMBER(CP300),IFERROR(MAX(0,CP300-CD104),0),0)</f>
        <v>0</v>
      </c>
      <c r="CT300">
        <f>IF(ISNUMBER(CQ300),IFERROR(MAX(0,CE104-CQ300),0),0)</f>
        <v>0</v>
      </c>
      <c r="CU300">
        <f>IF(ISNUMBER(CQ300),IFERROR(MAX(0,CQ300-CE104),0),0)</f>
        <v>0</v>
      </c>
    </row>
    <row r="301" spans="21:99" x14ac:dyDescent="0.3">
      <c r="U301">
        <v>295</v>
      </c>
      <c r="V301">
        <f t="shared" si="276"/>
        <v>74</v>
      </c>
      <c r="W301">
        <f t="shared" si="277"/>
        <v>3</v>
      </c>
      <c r="X301">
        <f t="shared" si="278"/>
        <v>0</v>
      </c>
      <c r="Y301">
        <f>IF(X301&lt;&gt;1,9999,CHOOSE(W301,INDEX(Gantt!$BQ$7:$BQ$119,V301),INDEX(Gantt!$BR$7:$BR$119,V301),INDEX(Gantt!$BT$7:$BT$119,V301),INDEX(Gantt!$BU$7:$BU$119,V301)))</f>
        <v>9999</v>
      </c>
      <c r="Z301">
        <f t="shared" si="279"/>
        <v>0</v>
      </c>
      <c r="AA301" t="e">
        <f t="shared" si="280"/>
        <v>#N/A</v>
      </c>
      <c r="AB301" t="e">
        <f t="shared" si="281"/>
        <v>#N/A</v>
      </c>
      <c r="AC301" t="e">
        <f t="shared" si="282"/>
        <v>#N/A</v>
      </c>
      <c r="AD301" t="e">
        <f t="shared" si="283"/>
        <v>#N/A</v>
      </c>
      <c r="AE301" t="e">
        <f t="shared" si="284"/>
        <v>#N/A</v>
      </c>
      <c r="AF301" t="e">
        <f t="shared" si="285"/>
        <v>#N/A</v>
      </c>
      <c r="AG301" t="e">
        <f t="shared" si="286"/>
        <v>#N/A</v>
      </c>
      <c r="AH301" t="e">
        <f t="shared" si="287"/>
        <v>#N/A</v>
      </c>
      <c r="AI301" t="e">
        <f t="shared" si="288"/>
        <v>#N/A</v>
      </c>
      <c r="AJ301" t="e">
        <f t="shared" si="289"/>
        <v>#N/A</v>
      </c>
      <c r="AK301" t="e">
        <f t="shared" si="290"/>
        <v>#N/A</v>
      </c>
      <c r="AL301" t="e">
        <f t="shared" si="291"/>
        <v>#N/A</v>
      </c>
      <c r="AM301" t="e">
        <f t="shared" si="292"/>
        <v>#N/A</v>
      </c>
      <c r="AN301" t="e">
        <f t="shared" si="293"/>
        <v>#N/A</v>
      </c>
      <c r="AO301" t="e">
        <f t="shared" si="294"/>
        <v>#N/A</v>
      </c>
      <c r="AP301" t="e">
        <f t="shared" si="295"/>
        <v>#N/A</v>
      </c>
      <c r="AQ301" t="e">
        <f t="shared" si="296"/>
        <v>#N/A</v>
      </c>
      <c r="AR301" t="e">
        <f t="shared" si="297"/>
        <v>#N/A</v>
      </c>
      <c r="AS301" t="e">
        <f t="shared" si="298"/>
        <v>#N/A</v>
      </c>
      <c r="AT301" t="e">
        <f t="shared" si="299"/>
        <v>#N/A</v>
      </c>
      <c r="AU301" t="e">
        <f t="shared" si="300"/>
        <v>#N/A</v>
      </c>
      <c r="AV301" t="e">
        <f t="shared" si="301"/>
        <v>#N/A</v>
      </c>
      <c r="AW301" t="e">
        <f t="shared" si="302"/>
        <v>#N/A</v>
      </c>
      <c r="AX301" t="e">
        <f t="shared" si="303"/>
        <v>#N/A</v>
      </c>
      <c r="AY301" t="e">
        <f t="shared" si="304"/>
        <v>#N/A</v>
      </c>
      <c r="BE301" t="e">
        <f>IF(Z301=1,IF(INDEX($C$7:$C$126,V301)&gt;=Gantt!$BF$6,NA(),MATCH(INDEX($C$7:$C$126,V301),Gantt!$J$6:$BE$6,1)),NA())</f>
        <v>#N/A</v>
      </c>
      <c r="BF301" t="e">
        <f>IF(Z301=1,IF((INDEX($D$7:$D$126,AA301)-1)&gt;=Gantt!$BF$6,NA(),IF((INDEX($D$7:$D$126,AA301)-1)&lt;Gantt!$J$6,0,MATCH((INDEX($D$7:$D$126,AA301)-1),Gantt!$J$6:$BE$6,1))),NA())</f>
        <v>#N/A</v>
      </c>
      <c r="BG301" t="e">
        <f t="shared" si="305"/>
        <v>#N/A</v>
      </c>
      <c r="BH301" t="e">
        <f t="shared" si="306"/>
        <v>#N/A</v>
      </c>
      <c r="BI301" t="e">
        <f t="shared" si="307"/>
        <v>#N/A</v>
      </c>
      <c r="BJ301" t="e">
        <f t="shared" si="308"/>
        <v>#N/A</v>
      </c>
      <c r="BK301" t="e">
        <f t="shared" si="309"/>
        <v>#N/A</v>
      </c>
      <c r="BL301" t="e">
        <f t="shared" si="310"/>
        <v>#N/A</v>
      </c>
      <c r="BM301" t="e">
        <f t="shared" si="311"/>
        <v>#N/A</v>
      </c>
      <c r="BN301" t="e">
        <f t="shared" si="312"/>
        <v>#N/A</v>
      </c>
      <c r="BO301" t="e">
        <f t="shared" si="313"/>
        <v>#N/A</v>
      </c>
      <c r="BP301" t="e">
        <f t="shared" si="314"/>
        <v>#N/A</v>
      </c>
      <c r="BQ301" t="e">
        <f t="shared" si="315"/>
        <v>#N/A</v>
      </c>
      <c r="BR301" t="e">
        <f t="shared" si="316"/>
        <v>#N/A</v>
      </c>
      <c r="BS301" t="e">
        <f t="shared" si="317"/>
        <v>#N/A</v>
      </c>
      <c r="BT301" t="e">
        <f t="shared" si="318"/>
        <v>#N/A</v>
      </c>
      <c r="BU301" t="e">
        <f t="shared" si="319"/>
        <v>#N/A</v>
      </c>
      <c r="BV301" t="e">
        <f t="shared" si="320"/>
        <v>#N/A</v>
      </c>
      <c r="BW301" t="e">
        <f t="shared" si="321"/>
        <v>#N/A</v>
      </c>
      <c r="BX301" t="e">
        <f t="shared" si="322"/>
        <v>#N/A</v>
      </c>
      <c r="BY301" t="e">
        <f t="shared" si="323"/>
        <v>#N/A</v>
      </c>
      <c r="BZ301" t="e">
        <f t="shared" si="324"/>
        <v>#N/A</v>
      </c>
      <c r="CA301" t="e">
        <f t="shared" si="325"/>
        <v>#N/A</v>
      </c>
      <c r="CB301" t="e">
        <f t="shared" si="326"/>
        <v>#N/A</v>
      </c>
      <c r="CC301" t="e">
        <f t="shared" si="327"/>
        <v>#N/A</v>
      </c>
      <c r="CD301" t="e">
        <f t="shared" si="328"/>
        <v>#N/A</v>
      </c>
      <c r="CE301" t="e">
        <f t="shared" si="329"/>
        <v>#N/A</v>
      </c>
      <c r="CF301" t="e">
        <f t="shared" si="330"/>
        <v>#N/A</v>
      </c>
      <c r="CG301" t="e">
        <f t="shared" si="331"/>
        <v>#N/A</v>
      </c>
      <c r="CI301" t="e">
        <f>AL105</f>
        <v>#N/A</v>
      </c>
      <c r="CJ301" t="e">
        <f>AM105</f>
        <v>#N/A</v>
      </c>
      <c r="CK301">
        <f>IF(ISNUMBER(CI301),IFERROR(MAX(0,AN105-CI301),0),0)</f>
        <v>0</v>
      </c>
      <c r="CL301">
        <f>IF(ISNUMBER(CI301),IFERROR(MAX(0,CI301-AN105),0),0)</f>
        <v>0</v>
      </c>
      <c r="CM301">
        <f>IF(ISNUMBER(CJ301),IFERROR(MAX(0,AO105-CJ301),0),0)</f>
        <v>0</v>
      </c>
      <c r="CN301">
        <f>IF(ISNUMBER(CJ301),IFERROR(MAX(0,CJ301-AO105),0),0)</f>
        <v>0</v>
      </c>
      <c r="CP301" t="e">
        <f>BT105</f>
        <v>#N/A</v>
      </c>
      <c r="CQ301" t="e">
        <f>BU105</f>
        <v>#N/A</v>
      </c>
      <c r="CR301">
        <f>IF(ISNUMBER(CP301),IFERROR(MAX(0,BV105-CP301),0),0)</f>
        <v>0</v>
      </c>
      <c r="CS301">
        <f>IF(ISNUMBER(CP301),IFERROR(MAX(0,CP301-BV105),0),0)</f>
        <v>0</v>
      </c>
      <c r="CT301">
        <f>IF(ISNUMBER(CQ301),IFERROR(MAX(0,BW105-CQ301),0),0)</f>
        <v>0</v>
      </c>
      <c r="CU301">
        <f>IF(ISNUMBER(CQ301),IFERROR(MAX(0,CQ301-BW105),0),0)</f>
        <v>0</v>
      </c>
    </row>
    <row r="302" spans="21:99" x14ac:dyDescent="0.3">
      <c r="U302">
        <v>296</v>
      </c>
      <c r="V302">
        <f t="shared" si="276"/>
        <v>74</v>
      </c>
      <c r="W302">
        <f t="shared" si="277"/>
        <v>4</v>
      </c>
      <c r="X302">
        <f t="shared" si="278"/>
        <v>0</v>
      </c>
      <c r="Y302">
        <f>IF(X302&lt;&gt;1,9999,CHOOSE(W302,INDEX(Gantt!$BQ$7:$BQ$119,V302),INDEX(Gantt!$BR$7:$BR$119,V302),INDEX(Gantt!$BT$7:$BT$119,V302),INDEX(Gantt!$BU$7:$BU$119,V302)))</f>
        <v>9999</v>
      </c>
      <c r="Z302">
        <f t="shared" si="279"/>
        <v>0</v>
      </c>
      <c r="AA302" t="e">
        <f t="shared" si="280"/>
        <v>#N/A</v>
      </c>
      <c r="AB302" t="e">
        <f t="shared" si="281"/>
        <v>#N/A</v>
      </c>
      <c r="AC302" t="e">
        <f t="shared" si="282"/>
        <v>#N/A</v>
      </c>
      <c r="AD302" t="e">
        <f t="shared" si="283"/>
        <v>#N/A</v>
      </c>
      <c r="AE302" t="e">
        <f t="shared" si="284"/>
        <v>#N/A</v>
      </c>
      <c r="AF302" t="e">
        <f t="shared" si="285"/>
        <v>#N/A</v>
      </c>
      <c r="AG302" t="e">
        <f t="shared" si="286"/>
        <v>#N/A</v>
      </c>
      <c r="AH302" t="e">
        <f t="shared" si="287"/>
        <v>#N/A</v>
      </c>
      <c r="AI302" t="e">
        <f t="shared" si="288"/>
        <v>#N/A</v>
      </c>
      <c r="AJ302" t="e">
        <f t="shared" si="289"/>
        <v>#N/A</v>
      </c>
      <c r="AK302" t="e">
        <f t="shared" si="290"/>
        <v>#N/A</v>
      </c>
      <c r="AL302" t="e">
        <f t="shared" si="291"/>
        <v>#N/A</v>
      </c>
      <c r="AM302" t="e">
        <f t="shared" si="292"/>
        <v>#N/A</v>
      </c>
      <c r="AN302" t="e">
        <f t="shared" si="293"/>
        <v>#N/A</v>
      </c>
      <c r="AO302" t="e">
        <f t="shared" si="294"/>
        <v>#N/A</v>
      </c>
      <c r="AP302" t="e">
        <f t="shared" si="295"/>
        <v>#N/A</v>
      </c>
      <c r="AQ302" t="e">
        <f t="shared" si="296"/>
        <v>#N/A</v>
      </c>
      <c r="AR302" t="e">
        <f t="shared" si="297"/>
        <v>#N/A</v>
      </c>
      <c r="AS302" t="e">
        <f t="shared" si="298"/>
        <v>#N/A</v>
      </c>
      <c r="AT302" t="e">
        <f t="shared" si="299"/>
        <v>#N/A</v>
      </c>
      <c r="AU302" t="e">
        <f t="shared" si="300"/>
        <v>#N/A</v>
      </c>
      <c r="AV302" t="e">
        <f t="shared" si="301"/>
        <v>#N/A</v>
      </c>
      <c r="AW302" t="e">
        <f t="shared" si="302"/>
        <v>#N/A</v>
      </c>
      <c r="AX302" t="e">
        <f t="shared" si="303"/>
        <v>#N/A</v>
      </c>
      <c r="AY302" t="e">
        <f t="shared" si="304"/>
        <v>#N/A</v>
      </c>
      <c r="BE302" t="e">
        <f>IF(Z302=1,IF(INDEX($C$7:$C$126,V302)&gt;=Gantt!$BF$6,NA(),MATCH(INDEX($C$7:$C$126,V302),Gantt!$J$6:$BE$6,1)),NA())</f>
        <v>#N/A</v>
      </c>
      <c r="BF302" t="e">
        <f>IF(Z302=1,IF((INDEX($D$7:$D$126,AA302)-1)&gt;=Gantt!$BF$6,NA(),IF((INDEX($D$7:$D$126,AA302)-1)&lt;Gantt!$J$6,0,MATCH((INDEX($D$7:$D$126,AA302)-1),Gantt!$J$6:$BE$6,1))),NA())</f>
        <v>#N/A</v>
      </c>
      <c r="BG302" t="e">
        <f t="shared" si="305"/>
        <v>#N/A</v>
      </c>
      <c r="BH302" t="e">
        <f t="shared" si="306"/>
        <v>#N/A</v>
      </c>
      <c r="BI302" t="e">
        <f t="shared" si="307"/>
        <v>#N/A</v>
      </c>
      <c r="BJ302" t="e">
        <f t="shared" si="308"/>
        <v>#N/A</v>
      </c>
      <c r="BK302" t="e">
        <f t="shared" si="309"/>
        <v>#N/A</v>
      </c>
      <c r="BL302" t="e">
        <f t="shared" si="310"/>
        <v>#N/A</v>
      </c>
      <c r="BM302" t="e">
        <f t="shared" si="311"/>
        <v>#N/A</v>
      </c>
      <c r="BN302" t="e">
        <f t="shared" si="312"/>
        <v>#N/A</v>
      </c>
      <c r="BO302" t="e">
        <f t="shared" si="313"/>
        <v>#N/A</v>
      </c>
      <c r="BP302" t="e">
        <f t="shared" si="314"/>
        <v>#N/A</v>
      </c>
      <c r="BQ302" t="e">
        <f t="shared" si="315"/>
        <v>#N/A</v>
      </c>
      <c r="BR302" t="e">
        <f t="shared" si="316"/>
        <v>#N/A</v>
      </c>
      <c r="BS302" t="e">
        <f t="shared" si="317"/>
        <v>#N/A</v>
      </c>
      <c r="BT302" t="e">
        <f t="shared" si="318"/>
        <v>#N/A</v>
      </c>
      <c r="BU302" t="e">
        <f t="shared" si="319"/>
        <v>#N/A</v>
      </c>
      <c r="BV302" t="e">
        <f t="shared" si="320"/>
        <v>#N/A</v>
      </c>
      <c r="BW302" t="e">
        <f t="shared" si="321"/>
        <v>#N/A</v>
      </c>
      <c r="BX302" t="e">
        <f t="shared" si="322"/>
        <v>#N/A</v>
      </c>
      <c r="BY302" t="e">
        <f t="shared" si="323"/>
        <v>#N/A</v>
      </c>
      <c r="BZ302" t="e">
        <f t="shared" si="324"/>
        <v>#N/A</v>
      </c>
      <c r="CA302" t="e">
        <f t="shared" si="325"/>
        <v>#N/A</v>
      </c>
      <c r="CB302" t="e">
        <f t="shared" si="326"/>
        <v>#N/A</v>
      </c>
      <c r="CC302" t="e">
        <f t="shared" si="327"/>
        <v>#N/A</v>
      </c>
      <c r="CD302" t="e">
        <f t="shared" si="328"/>
        <v>#N/A</v>
      </c>
      <c r="CE302" t="e">
        <f t="shared" si="329"/>
        <v>#N/A</v>
      </c>
      <c r="CF302" t="e">
        <f t="shared" si="330"/>
        <v>#N/A</v>
      </c>
      <c r="CG302" t="e">
        <f t="shared" si="331"/>
        <v>#N/A</v>
      </c>
      <c r="CI302" t="e">
        <f>AP105</f>
        <v>#N/A</v>
      </c>
      <c r="CJ302" t="e">
        <f>AQ105</f>
        <v>#N/A</v>
      </c>
      <c r="CK302">
        <f>IF(ISNUMBER(CI302),IFERROR(MAX(0,AR105-CI302),0),0)</f>
        <v>0</v>
      </c>
      <c r="CL302">
        <f>IF(ISNUMBER(CI302),IFERROR(MAX(0,CI302-AR105),0),0)</f>
        <v>0</v>
      </c>
      <c r="CM302">
        <f>IF(ISNUMBER(CJ302),IFERROR(MAX(0,AS105-CJ302),0),0)</f>
        <v>0</v>
      </c>
      <c r="CN302">
        <f>IF(ISNUMBER(CJ302),IFERROR(MAX(0,CJ302-AS105),0),0)</f>
        <v>0</v>
      </c>
      <c r="CP302" t="e">
        <f>BX105</f>
        <v>#N/A</v>
      </c>
      <c r="CQ302" t="e">
        <f>BY105</f>
        <v>#N/A</v>
      </c>
      <c r="CR302">
        <f>IF(ISNUMBER(CP302),IFERROR(MAX(0,BZ105-CP302),0),0)</f>
        <v>0</v>
      </c>
      <c r="CS302">
        <f>IF(ISNUMBER(CP302),IFERROR(MAX(0,CP302-BZ105),0),0)</f>
        <v>0</v>
      </c>
      <c r="CT302">
        <f>IF(ISNUMBER(CQ302),IFERROR(MAX(0,CA105-CQ302),0),0)</f>
        <v>0</v>
      </c>
      <c r="CU302">
        <f>IF(ISNUMBER(CQ302),IFERROR(MAX(0,CQ302-CA105),0),0)</f>
        <v>0</v>
      </c>
    </row>
    <row r="303" spans="21:99" x14ac:dyDescent="0.3">
      <c r="U303">
        <v>297</v>
      </c>
      <c r="V303">
        <f t="shared" si="276"/>
        <v>75</v>
      </c>
      <c r="W303">
        <f t="shared" si="277"/>
        <v>1</v>
      </c>
      <c r="X303">
        <f t="shared" si="278"/>
        <v>0</v>
      </c>
      <c r="Y303">
        <f>IF(X303&lt;&gt;1,9999,CHOOSE(W303,INDEX(Gantt!$BQ$7:$BQ$119,V303),INDEX(Gantt!$BR$7:$BR$119,V303),INDEX(Gantt!$BT$7:$BT$119,V303),INDEX(Gantt!$BU$7:$BU$119,V303)))</f>
        <v>9999</v>
      </c>
      <c r="Z303">
        <f t="shared" si="279"/>
        <v>0</v>
      </c>
      <c r="AA303" t="e">
        <f t="shared" si="280"/>
        <v>#N/A</v>
      </c>
      <c r="AB303" t="e">
        <f t="shared" si="281"/>
        <v>#N/A</v>
      </c>
      <c r="AC303" t="e">
        <f t="shared" si="282"/>
        <v>#N/A</v>
      </c>
      <c r="AD303" t="e">
        <f t="shared" si="283"/>
        <v>#N/A</v>
      </c>
      <c r="AE303" t="e">
        <f t="shared" si="284"/>
        <v>#N/A</v>
      </c>
      <c r="AF303" t="e">
        <f t="shared" si="285"/>
        <v>#N/A</v>
      </c>
      <c r="AG303" t="e">
        <f t="shared" si="286"/>
        <v>#N/A</v>
      </c>
      <c r="AH303" t="e">
        <f t="shared" si="287"/>
        <v>#N/A</v>
      </c>
      <c r="AI303" t="e">
        <f t="shared" si="288"/>
        <v>#N/A</v>
      </c>
      <c r="AJ303" t="e">
        <f t="shared" si="289"/>
        <v>#N/A</v>
      </c>
      <c r="AK303" t="e">
        <f t="shared" si="290"/>
        <v>#N/A</v>
      </c>
      <c r="AL303" t="e">
        <f t="shared" si="291"/>
        <v>#N/A</v>
      </c>
      <c r="AM303" t="e">
        <f t="shared" si="292"/>
        <v>#N/A</v>
      </c>
      <c r="AN303" t="e">
        <f t="shared" si="293"/>
        <v>#N/A</v>
      </c>
      <c r="AO303" t="e">
        <f t="shared" si="294"/>
        <v>#N/A</v>
      </c>
      <c r="AP303" t="e">
        <f t="shared" si="295"/>
        <v>#N/A</v>
      </c>
      <c r="AQ303" t="e">
        <f t="shared" si="296"/>
        <v>#N/A</v>
      </c>
      <c r="AR303" t="e">
        <f t="shared" si="297"/>
        <v>#N/A</v>
      </c>
      <c r="AS303" t="e">
        <f t="shared" si="298"/>
        <v>#N/A</v>
      </c>
      <c r="AT303" t="e">
        <f t="shared" si="299"/>
        <v>#N/A</v>
      </c>
      <c r="AU303" t="e">
        <f t="shared" si="300"/>
        <v>#N/A</v>
      </c>
      <c r="AV303" t="e">
        <f t="shared" si="301"/>
        <v>#N/A</v>
      </c>
      <c r="AW303" t="e">
        <f t="shared" si="302"/>
        <v>#N/A</v>
      </c>
      <c r="AX303" t="e">
        <f t="shared" si="303"/>
        <v>#N/A</v>
      </c>
      <c r="AY303" t="e">
        <f t="shared" si="304"/>
        <v>#N/A</v>
      </c>
      <c r="BE303" t="e">
        <f>IF(Z303=1,IF(INDEX($C$7:$C$126,V303)&gt;=Gantt!$BF$6,NA(),MATCH(INDEX($C$7:$C$126,V303),Gantt!$J$6:$BE$6,1)),NA())</f>
        <v>#N/A</v>
      </c>
      <c r="BF303" t="e">
        <f>IF(Z303=1,IF((INDEX($D$7:$D$126,AA303)-1)&gt;=Gantt!$BF$6,NA(),IF((INDEX($D$7:$D$126,AA303)-1)&lt;Gantt!$J$6,0,MATCH((INDEX($D$7:$D$126,AA303)-1),Gantt!$J$6:$BE$6,1))),NA())</f>
        <v>#N/A</v>
      </c>
      <c r="BG303" t="e">
        <f t="shared" si="305"/>
        <v>#N/A</v>
      </c>
      <c r="BH303" t="e">
        <f t="shared" si="306"/>
        <v>#N/A</v>
      </c>
      <c r="BI303" t="e">
        <f t="shared" si="307"/>
        <v>#N/A</v>
      </c>
      <c r="BJ303" t="e">
        <f t="shared" si="308"/>
        <v>#N/A</v>
      </c>
      <c r="BK303" t="e">
        <f t="shared" si="309"/>
        <v>#N/A</v>
      </c>
      <c r="BL303" t="e">
        <f t="shared" si="310"/>
        <v>#N/A</v>
      </c>
      <c r="BM303" t="e">
        <f t="shared" si="311"/>
        <v>#N/A</v>
      </c>
      <c r="BN303" t="e">
        <f t="shared" si="312"/>
        <v>#N/A</v>
      </c>
      <c r="BO303" t="e">
        <f t="shared" si="313"/>
        <v>#N/A</v>
      </c>
      <c r="BP303" t="e">
        <f t="shared" si="314"/>
        <v>#N/A</v>
      </c>
      <c r="BQ303" t="e">
        <f t="shared" si="315"/>
        <v>#N/A</v>
      </c>
      <c r="BR303" t="e">
        <f t="shared" si="316"/>
        <v>#N/A</v>
      </c>
      <c r="BS303" t="e">
        <f t="shared" si="317"/>
        <v>#N/A</v>
      </c>
      <c r="BT303" t="e">
        <f t="shared" si="318"/>
        <v>#N/A</v>
      </c>
      <c r="BU303" t="e">
        <f t="shared" si="319"/>
        <v>#N/A</v>
      </c>
      <c r="BV303" t="e">
        <f t="shared" si="320"/>
        <v>#N/A</v>
      </c>
      <c r="BW303" t="e">
        <f t="shared" si="321"/>
        <v>#N/A</v>
      </c>
      <c r="BX303" t="e">
        <f t="shared" si="322"/>
        <v>#N/A</v>
      </c>
      <c r="BY303" t="e">
        <f t="shared" si="323"/>
        <v>#N/A</v>
      </c>
      <c r="BZ303" t="e">
        <f t="shared" si="324"/>
        <v>#N/A</v>
      </c>
      <c r="CA303" t="e">
        <f t="shared" si="325"/>
        <v>#N/A</v>
      </c>
      <c r="CB303" t="e">
        <f t="shared" si="326"/>
        <v>#N/A</v>
      </c>
      <c r="CC303" t="e">
        <f t="shared" si="327"/>
        <v>#N/A</v>
      </c>
      <c r="CD303" t="e">
        <f t="shared" si="328"/>
        <v>#N/A</v>
      </c>
      <c r="CE303" t="e">
        <f t="shared" si="329"/>
        <v>#N/A</v>
      </c>
      <c r="CF303" t="e">
        <f t="shared" si="330"/>
        <v>#N/A</v>
      </c>
      <c r="CG303" t="e">
        <f t="shared" si="331"/>
        <v>#N/A</v>
      </c>
      <c r="CI303" t="e">
        <f>AT105</f>
        <v>#N/A</v>
      </c>
      <c r="CJ303" t="e">
        <f>AU105</f>
        <v>#N/A</v>
      </c>
      <c r="CK303">
        <f>IF(ISNUMBER(CI303),IFERROR(MAX(0,AV105-CI303),0),0)</f>
        <v>0</v>
      </c>
      <c r="CL303">
        <f>IF(ISNUMBER(CI303),IFERROR(MAX(0,CI303-AV105),0),0)</f>
        <v>0</v>
      </c>
      <c r="CM303">
        <f>IF(ISNUMBER(CJ303),IFERROR(MAX(0,AW105-CJ303),0),0)</f>
        <v>0</v>
      </c>
      <c r="CN303">
        <f>IF(ISNUMBER(CJ303),IFERROR(MAX(0,CJ303-AW105),0),0)</f>
        <v>0</v>
      </c>
      <c r="CP303" t="e">
        <f>CB105</f>
        <v>#N/A</v>
      </c>
      <c r="CQ303" t="e">
        <f>CC105</f>
        <v>#N/A</v>
      </c>
      <c r="CR303">
        <f>IF(ISNUMBER(CP303),IFERROR(MAX(0,CD105-CP303),0),0)</f>
        <v>0</v>
      </c>
      <c r="CS303">
        <f>IF(ISNUMBER(CP303),IFERROR(MAX(0,CP303-CD105),0),0)</f>
        <v>0</v>
      </c>
      <c r="CT303">
        <f>IF(ISNUMBER(CQ303),IFERROR(MAX(0,CE105-CQ303),0),0)</f>
        <v>0</v>
      </c>
      <c r="CU303">
        <f>IF(ISNUMBER(CQ303),IFERROR(MAX(0,CQ303-CE105),0),0)</f>
        <v>0</v>
      </c>
    </row>
    <row r="304" spans="21:99" x14ac:dyDescent="0.3">
      <c r="U304">
        <v>298</v>
      </c>
      <c r="V304">
        <f t="shared" si="276"/>
        <v>75</v>
      </c>
      <c r="W304">
        <f t="shared" si="277"/>
        <v>2</v>
      </c>
      <c r="X304">
        <f t="shared" si="278"/>
        <v>0</v>
      </c>
      <c r="Y304">
        <f>IF(X304&lt;&gt;1,9999,CHOOSE(W304,INDEX(Gantt!$BQ$7:$BQ$119,V304),INDEX(Gantt!$BR$7:$BR$119,V304),INDEX(Gantt!$BT$7:$BT$119,V304),INDEX(Gantt!$BU$7:$BU$119,V304)))</f>
        <v>9999</v>
      </c>
      <c r="Z304">
        <f t="shared" si="279"/>
        <v>0</v>
      </c>
      <c r="AA304" t="e">
        <f t="shared" si="280"/>
        <v>#N/A</v>
      </c>
      <c r="AB304" t="e">
        <f t="shared" si="281"/>
        <v>#N/A</v>
      </c>
      <c r="AC304" t="e">
        <f t="shared" si="282"/>
        <v>#N/A</v>
      </c>
      <c r="AD304" t="e">
        <f t="shared" si="283"/>
        <v>#N/A</v>
      </c>
      <c r="AE304" t="e">
        <f t="shared" si="284"/>
        <v>#N/A</v>
      </c>
      <c r="AF304" t="e">
        <f t="shared" si="285"/>
        <v>#N/A</v>
      </c>
      <c r="AG304" t="e">
        <f t="shared" si="286"/>
        <v>#N/A</v>
      </c>
      <c r="AH304" t="e">
        <f t="shared" si="287"/>
        <v>#N/A</v>
      </c>
      <c r="AI304" t="e">
        <f t="shared" si="288"/>
        <v>#N/A</v>
      </c>
      <c r="AJ304" t="e">
        <f t="shared" si="289"/>
        <v>#N/A</v>
      </c>
      <c r="AK304" t="e">
        <f t="shared" si="290"/>
        <v>#N/A</v>
      </c>
      <c r="AL304" t="e">
        <f t="shared" si="291"/>
        <v>#N/A</v>
      </c>
      <c r="AM304" t="e">
        <f t="shared" si="292"/>
        <v>#N/A</v>
      </c>
      <c r="AN304" t="e">
        <f t="shared" si="293"/>
        <v>#N/A</v>
      </c>
      <c r="AO304" t="e">
        <f t="shared" si="294"/>
        <v>#N/A</v>
      </c>
      <c r="AP304" t="e">
        <f t="shared" si="295"/>
        <v>#N/A</v>
      </c>
      <c r="AQ304" t="e">
        <f t="shared" si="296"/>
        <v>#N/A</v>
      </c>
      <c r="AR304" t="e">
        <f t="shared" si="297"/>
        <v>#N/A</v>
      </c>
      <c r="AS304" t="e">
        <f t="shared" si="298"/>
        <v>#N/A</v>
      </c>
      <c r="AT304" t="e">
        <f t="shared" si="299"/>
        <v>#N/A</v>
      </c>
      <c r="AU304" t="e">
        <f t="shared" si="300"/>
        <v>#N/A</v>
      </c>
      <c r="AV304" t="e">
        <f t="shared" si="301"/>
        <v>#N/A</v>
      </c>
      <c r="AW304" t="e">
        <f t="shared" si="302"/>
        <v>#N/A</v>
      </c>
      <c r="AX304" t="e">
        <f t="shared" si="303"/>
        <v>#N/A</v>
      </c>
      <c r="AY304" t="e">
        <f t="shared" si="304"/>
        <v>#N/A</v>
      </c>
      <c r="BE304" t="e">
        <f>IF(Z304=1,IF(INDEX($C$7:$C$126,V304)&gt;=Gantt!$BF$6,NA(),MATCH(INDEX($C$7:$C$126,V304),Gantt!$J$6:$BE$6,1)),NA())</f>
        <v>#N/A</v>
      </c>
      <c r="BF304" t="e">
        <f>IF(Z304=1,IF((INDEX($D$7:$D$126,AA304)-1)&gt;=Gantt!$BF$6,NA(),IF((INDEX($D$7:$D$126,AA304)-1)&lt;Gantt!$J$6,0,MATCH((INDEX($D$7:$D$126,AA304)-1),Gantt!$J$6:$BE$6,1))),NA())</f>
        <v>#N/A</v>
      </c>
      <c r="BG304" t="e">
        <f t="shared" si="305"/>
        <v>#N/A</v>
      </c>
      <c r="BH304" t="e">
        <f t="shared" si="306"/>
        <v>#N/A</v>
      </c>
      <c r="BI304" t="e">
        <f t="shared" si="307"/>
        <v>#N/A</v>
      </c>
      <c r="BJ304" t="e">
        <f t="shared" si="308"/>
        <v>#N/A</v>
      </c>
      <c r="BK304" t="e">
        <f t="shared" si="309"/>
        <v>#N/A</v>
      </c>
      <c r="BL304" t="e">
        <f t="shared" si="310"/>
        <v>#N/A</v>
      </c>
      <c r="BM304" t="e">
        <f t="shared" si="311"/>
        <v>#N/A</v>
      </c>
      <c r="BN304" t="e">
        <f t="shared" si="312"/>
        <v>#N/A</v>
      </c>
      <c r="BO304" t="e">
        <f t="shared" si="313"/>
        <v>#N/A</v>
      </c>
      <c r="BP304" t="e">
        <f t="shared" si="314"/>
        <v>#N/A</v>
      </c>
      <c r="BQ304" t="e">
        <f t="shared" si="315"/>
        <v>#N/A</v>
      </c>
      <c r="BR304" t="e">
        <f t="shared" si="316"/>
        <v>#N/A</v>
      </c>
      <c r="BS304" t="e">
        <f t="shared" si="317"/>
        <v>#N/A</v>
      </c>
      <c r="BT304" t="e">
        <f t="shared" si="318"/>
        <v>#N/A</v>
      </c>
      <c r="BU304" t="e">
        <f t="shared" si="319"/>
        <v>#N/A</v>
      </c>
      <c r="BV304" t="e">
        <f t="shared" si="320"/>
        <v>#N/A</v>
      </c>
      <c r="BW304" t="e">
        <f t="shared" si="321"/>
        <v>#N/A</v>
      </c>
      <c r="BX304" t="e">
        <f t="shared" si="322"/>
        <v>#N/A</v>
      </c>
      <c r="BY304" t="e">
        <f t="shared" si="323"/>
        <v>#N/A</v>
      </c>
      <c r="BZ304" t="e">
        <f t="shared" si="324"/>
        <v>#N/A</v>
      </c>
      <c r="CA304" t="e">
        <f t="shared" si="325"/>
        <v>#N/A</v>
      </c>
      <c r="CB304" t="e">
        <f t="shared" si="326"/>
        <v>#N/A</v>
      </c>
      <c r="CC304" t="e">
        <f t="shared" si="327"/>
        <v>#N/A</v>
      </c>
      <c r="CD304" t="e">
        <f t="shared" si="328"/>
        <v>#N/A</v>
      </c>
      <c r="CE304" t="e">
        <f t="shared" si="329"/>
        <v>#N/A</v>
      </c>
      <c r="CF304" t="e">
        <f t="shared" si="330"/>
        <v>#N/A</v>
      </c>
      <c r="CG304" t="e">
        <f t="shared" si="331"/>
        <v>#N/A</v>
      </c>
      <c r="CI304" t="e">
        <f>AL106</f>
        <v>#N/A</v>
      </c>
      <c r="CJ304" t="e">
        <f>AM106</f>
        <v>#N/A</v>
      </c>
      <c r="CK304">
        <f>IF(ISNUMBER(CI304),IFERROR(MAX(0,AN106-CI304),0),0)</f>
        <v>0</v>
      </c>
      <c r="CL304">
        <f>IF(ISNUMBER(CI304),IFERROR(MAX(0,CI304-AN106),0),0)</f>
        <v>0</v>
      </c>
      <c r="CM304">
        <f>IF(ISNUMBER(CJ304),IFERROR(MAX(0,AO106-CJ304),0),0)</f>
        <v>0</v>
      </c>
      <c r="CN304">
        <f>IF(ISNUMBER(CJ304),IFERROR(MAX(0,CJ304-AO106),0),0)</f>
        <v>0</v>
      </c>
      <c r="CP304" t="e">
        <f>BT106</f>
        <v>#N/A</v>
      </c>
      <c r="CQ304" t="e">
        <f>BU106</f>
        <v>#N/A</v>
      </c>
      <c r="CR304">
        <f>IF(ISNUMBER(CP304),IFERROR(MAX(0,BV106-CP304),0),0)</f>
        <v>0</v>
      </c>
      <c r="CS304">
        <f>IF(ISNUMBER(CP304),IFERROR(MAX(0,CP304-BV106),0),0)</f>
        <v>0</v>
      </c>
      <c r="CT304">
        <f>IF(ISNUMBER(CQ304),IFERROR(MAX(0,BW106-CQ304),0),0)</f>
        <v>0</v>
      </c>
      <c r="CU304">
        <f>IF(ISNUMBER(CQ304),IFERROR(MAX(0,CQ304-BW106),0),0)</f>
        <v>0</v>
      </c>
    </row>
    <row r="305" spans="21:99" x14ac:dyDescent="0.3">
      <c r="U305">
        <v>299</v>
      </c>
      <c r="V305">
        <f t="shared" si="276"/>
        <v>75</v>
      </c>
      <c r="W305">
        <f t="shared" si="277"/>
        <v>3</v>
      </c>
      <c r="X305">
        <f t="shared" si="278"/>
        <v>0</v>
      </c>
      <c r="Y305">
        <f>IF(X305&lt;&gt;1,9999,CHOOSE(W305,INDEX(Gantt!$BQ$7:$BQ$119,V305),INDEX(Gantt!$BR$7:$BR$119,V305),INDEX(Gantt!$BT$7:$BT$119,V305),INDEX(Gantt!$BU$7:$BU$119,V305)))</f>
        <v>9999</v>
      </c>
      <c r="Z305">
        <f t="shared" si="279"/>
        <v>0</v>
      </c>
      <c r="AA305" t="e">
        <f t="shared" si="280"/>
        <v>#N/A</v>
      </c>
      <c r="AB305" t="e">
        <f t="shared" si="281"/>
        <v>#N/A</v>
      </c>
      <c r="AC305" t="e">
        <f t="shared" si="282"/>
        <v>#N/A</v>
      </c>
      <c r="AD305" t="e">
        <f t="shared" si="283"/>
        <v>#N/A</v>
      </c>
      <c r="AE305" t="e">
        <f t="shared" si="284"/>
        <v>#N/A</v>
      </c>
      <c r="AF305" t="e">
        <f t="shared" si="285"/>
        <v>#N/A</v>
      </c>
      <c r="AG305" t="e">
        <f t="shared" si="286"/>
        <v>#N/A</v>
      </c>
      <c r="AH305" t="e">
        <f t="shared" si="287"/>
        <v>#N/A</v>
      </c>
      <c r="AI305" t="e">
        <f t="shared" si="288"/>
        <v>#N/A</v>
      </c>
      <c r="AJ305" t="e">
        <f t="shared" si="289"/>
        <v>#N/A</v>
      </c>
      <c r="AK305" t="e">
        <f t="shared" si="290"/>
        <v>#N/A</v>
      </c>
      <c r="AL305" t="e">
        <f t="shared" si="291"/>
        <v>#N/A</v>
      </c>
      <c r="AM305" t="e">
        <f t="shared" si="292"/>
        <v>#N/A</v>
      </c>
      <c r="AN305" t="e">
        <f t="shared" si="293"/>
        <v>#N/A</v>
      </c>
      <c r="AO305" t="e">
        <f t="shared" si="294"/>
        <v>#N/A</v>
      </c>
      <c r="AP305" t="e">
        <f t="shared" si="295"/>
        <v>#N/A</v>
      </c>
      <c r="AQ305" t="e">
        <f t="shared" si="296"/>
        <v>#N/A</v>
      </c>
      <c r="AR305" t="e">
        <f t="shared" si="297"/>
        <v>#N/A</v>
      </c>
      <c r="AS305" t="e">
        <f t="shared" si="298"/>
        <v>#N/A</v>
      </c>
      <c r="AT305" t="e">
        <f t="shared" si="299"/>
        <v>#N/A</v>
      </c>
      <c r="AU305" t="e">
        <f t="shared" si="300"/>
        <v>#N/A</v>
      </c>
      <c r="AV305" t="e">
        <f t="shared" si="301"/>
        <v>#N/A</v>
      </c>
      <c r="AW305" t="e">
        <f t="shared" si="302"/>
        <v>#N/A</v>
      </c>
      <c r="AX305" t="e">
        <f t="shared" si="303"/>
        <v>#N/A</v>
      </c>
      <c r="AY305" t="e">
        <f t="shared" si="304"/>
        <v>#N/A</v>
      </c>
      <c r="BE305" t="e">
        <f>IF(Z305=1,IF(INDEX($C$7:$C$126,V305)&gt;=Gantt!$BF$6,NA(),MATCH(INDEX($C$7:$C$126,V305),Gantt!$J$6:$BE$6,1)),NA())</f>
        <v>#N/A</v>
      </c>
      <c r="BF305" t="e">
        <f>IF(Z305=1,IF((INDEX($D$7:$D$126,AA305)-1)&gt;=Gantt!$BF$6,NA(),IF((INDEX($D$7:$D$126,AA305)-1)&lt;Gantt!$J$6,0,MATCH((INDEX($D$7:$D$126,AA305)-1),Gantt!$J$6:$BE$6,1))),NA())</f>
        <v>#N/A</v>
      </c>
      <c r="BG305" t="e">
        <f t="shared" si="305"/>
        <v>#N/A</v>
      </c>
      <c r="BH305" t="e">
        <f t="shared" si="306"/>
        <v>#N/A</v>
      </c>
      <c r="BI305" t="e">
        <f t="shared" si="307"/>
        <v>#N/A</v>
      </c>
      <c r="BJ305" t="e">
        <f t="shared" si="308"/>
        <v>#N/A</v>
      </c>
      <c r="BK305" t="e">
        <f t="shared" si="309"/>
        <v>#N/A</v>
      </c>
      <c r="BL305" t="e">
        <f t="shared" si="310"/>
        <v>#N/A</v>
      </c>
      <c r="BM305" t="e">
        <f t="shared" si="311"/>
        <v>#N/A</v>
      </c>
      <c r="BN305" t="e">
        <f t="shared" si="312"/>
        <v>#N/A</v>
      </c>
      <c r="BO305" t="e">
        <f t="shared" si="313"/>
        <v>#N/A</v>
      </c>
      <c r="BP305" t="e">
        <f t="shared" si="314"/>
        <v>#N/A</v>
      </c>
      <c r="BQ305" t="e">
        <f t="shared" si="315"/>
        <v>#N/A</v>
      </c>
      <c r="BR305" t="e">
        <f t="shared" si="316"/>
        <v>#N/A</v>
      </c>
      <c r="BS305" t="e">
        <f t="shared" si="317"/>
        <v>#N/A</v>
      </c>
      <c r="BT305" t="e">
        <f t="shared" si="318"/>
        <v>#N/A</v>
      </c>
      <c r="BU305" t="e">
        <f t="shared" si="319"/>
        <v>#N/A</v>
      </c>
      <c r="BV305" t="e">
        <f t="shared" si="320"/>
        <v>#N/A</v>
      </c>
      <c r="BW305" t="e">
        <f t="shared" si="321"/>
        <v>#N/A</v>
      </c>
      <c r="BX305" t="e">
        <f t="shared" si="322"/>
        <v>#N/A</v>
      </c>
      <c r="BY305" t="e">
        <f t="shared" si="323"/>
        <v>#N/A</v>
      </c>
      <c r="BZ305" t="e">
        <f t="shared" si="324"/>
        <v>#N/A</v>
      </c>
      <c r="CA305" t="e">
        <f t="shared" si="325"/>
        <v>#N/A</v>
      </c>
      <c r="CB305" t="e">
        <f t="shared" si="326"/>
        <v>#N/A</v>
      </c>
      <c r="CC305" t="e">
        <f t="shared" si="327"/>
        <v>#N/A</v>
      </c>
      <c r="CD305" t="e">
        <f t="shared" si="328"/>
        <v>#N/A</v>
      </c>
      <c r="CE305" t="e">
        <f t="shared" si="329"/>
        <v>#N/A</v>
      </c>
      <c r="CF305" t="e">
        <f t="shared" si="330"/>
        <v>#N/A</v>
      </c>
      <c r="CG305" t="e">
        <f t="shared" si="331"/>
        <v>#N/A</v>
      </c>
      <c r="CI305" t="e">
        <f>AP106</f>
        <v>#N/A</v>
      </c>
      <c r="CJ305" t="e">
        <f>AQ106</f>
        <v>#N/A</v>
      </c>
      <c r="CK305">
        <f>IF(ISNUMBER(CI305),IFERROR(MAX(0,AR106-CI305),0),0)</f>
        <v>0</v>
      </c>
      <c r="CL305">
        <f>IF(ISNUMBER(CI305),IFERROR(MAX(0,CI305-AR106),0),0)</f>
        <v>0</v>
      </c>
      <c r="CM305">
        <f>IF(ISNUMBER(CJ305),IFERROR(MAX(0,AS106-CJ305),0),0)</f>
        <v>0</v>
      </c>
      <c r="CN305">
        <f>IF(ISNUMBER(CJ305),IFERROR(MAX(0,CJ305-AS106),0),0)</f>
        <v>0</v>
      </c>
      <c r="CP305" t="e">
        <f>BX106</f>
        <v>#N/A</v>
      </c>
      <c r="CQ305" t="e">
        <f>BY106</f>
        <v>#N/A</v>
      </c>
      <c r="CR305">
        <f>IF(ISNUMBER(CP305),IFERROR(MAX(0,BZ106-CP305),0),0)</f>
        <v>0</v>
      </c>
      <c r="CS305">
        <f>IF(ISNUMBER(CP305),IFERROR(MAX(0,CP305-BZ106),0),0)</f>
        <v>0</v>
      </c>
      <c r="CT305">
        <f>IF(ISNUMBER(CQ305),IFERROR(MAX(0,CA106-CQ305),0),0)</f>
        <v>0</v>
      </c>
      <c r="CU305">
        <f>IF(ISNUMBER(CQ305),IFERROR(MAX(0,CQ305-CA106),0),0)</f>
        <v>0</v>
      </c>
    </row>
    <row r="306" spans="21:99" x14ac:dyDescent="0.3">
      <c r="U306">
        <v>300</v>
      </c>
      <c r="V306">
        <f t="shared" si="276"/>
        <v>75</v>
      </c>
      <c r="W306">
        <f t="shared" si="277"/>
        <v>4</v>
      </c>
      <c r="X306">
        <f t="shared" si="278"/>
        <v>0</v>
      </c>
      <c r="Y306">
        <f>IF(X306&lt;&gt;1,9999,CHOOSE(W306,INDEX(Gantt!$BQ$7:$BQ$119,V306),INDEX(Gantt!$BR$7:$BR$119,V306),INDEX(Gantt!$BT$7:$BT$119,V306),INDEX(Gantt!$BU$7:$BU$119,V306)))</f>
        <v>9999</v>
      </c>
      <c r="Z306">
        <f t="shared" si="279"/>
        <v>0</v>
      </c>
      <c r="AA306" t="e">
        <f t="shared" si="280"/>
        <v>#N/A</v>
      </c>
      <c r="AB306" t="e">
        <f t="shared" si="281"/>
        <v>#N/A</v>
      </c>
      <c r="AC306" t="e">
        <f t="shared" si="282"/>
        <v>#N/A</v>
      </c>
      <c r="AD306" t="e">
        <f t="shared" si="283"/>
        <v>#N/A</v>
      </c>
      <c r="AE306" t="e">
        <f t="shared" si="284"/>
        <v>#N/A</v>
      </c>
      <c r="AF306" t="e">
        <f t="shared" si="285"/>
        <v>#N/A</v>
      </c>
      <c r="AG306" t="e">
        <f t="shared" si="286"/>
        <v>#N/A</v>
      </c>
      <c r="AH306" t="e">
        <f t="shared" si="287"/>
        <v>#N/A</v>
      </c>
      <c r="AI306" t="e">
        <f t="shared" si="288"/>
        <v>#N/A</v>
      </c>
      <c r="AJ306" t="e">
        <f t="shared" si="289"/>
        <v>#N/A</v>
      </c>
      <c r="AK306" t="e">
        <f t="shared" si="290"/>
        <v>#N/A</v>
      </c>
      <c r="AL306" t="e">
        <f t="shared" si="291"/>
        <v>#N/A</v>
      </c>
      <c r="AM306" t="e">
        <f t="shared" si="292"/>
        <v>#N/A</v>
      </c>
      <c r="AN306" t="e">
        <f t="shared" si="293"/>
        <v>#N/A</v>
      </c>
      <c r="AO306" t="e">
        <f t="shared" si="294"/>
        <v>#N/A</v>
      </c>
      <c r="AP306" t="e">
        <f t="shared" si="295"/>
        <v>#N/A</v>
      </c>
      <c r="AQ306" t="e">
        <f t="shared" si="296"/>
        <v>#N/A</v>
      </c>
      <c r="AR306" t="e">
        <f t="shared" si="297"/>
        <v>#N/A</v>
      </c>
      <c r="AS306" t="e">
        <f t="shared" si="298"/>
        <v>#N/A</v>
      </c>
      <c r="AT306" t="e">
        <f t="shared" si="299"/>
        <v>#N/A</v>
      </c>
      <c r="AU306" t="e">
        <f t="shared" si="300"/>
        <v>#N/A</v>
      </c>
      <c r="AV306" t="e">
        <f t="shared" si="301"/>
        <v>#N/A</v>
      </c>
      <c r="AW306" t="e">
        <f t="shared" si="302"/>
        <v>#N/A</v>
      </c>
      <c r="AX306" t="e">
        <f t="shared" si="303"/>
        <v>#N/A</v>
      </c>
      <c r="AY306" t="e">
        <f t="shared" si="304"/>
        <v>#N/A</v>
      </c>
      <c r="BE306" t="e">
        <f>IF(Z306=1,IF(INDEX($C$7:$C$126,V306)&gt;=Gantt!$BF$6,NA(),MATCH(INDEX($C$7:$C$126,V306),Gantt!$J$6:$BE$6,1)),NA())</f>
        <v>#N/A</v>
      </c>
      <c r="BF306" t="e">
        <f>IF(Z306=1,IF((INDEX($D$7:$D$126,AA306)-1)&gt;=Gantt!$BF$6,NA(),IF((INDEX($D$7:$D$126,AA306)-1)&lt;Gantt!$J$6,0,MATCH((INDEX($D$7:$D$126,AA306)-1),Gantt!$J$6:$BE$6,1))),NA())</f>
        <v>#N/A</v>
      </c>
      <c r="BG306" t="e">
        <f t="shared" si="305"/>
        <v>#N/A</v>
      </c>
      <c r="BH306" t="e">
        <f t="shared" si="306"/>
        <v>#N/A</v>
      </c>
      <c r="BI306" t="e">
        <f t="shared" si="307"/>
        <v>#N/A</v>
      </c>
      <c r="BJ306" t="e">
        <f t="shared" si="308"/>
        <v>#N/A</v>
      </c>
      <c r="BK306" t="e">
        <f t="shared" si="309"/>
        <v>#N/A</v>
      </c>
      <c r="BL306" t="e">
        <f t="shared" si="310"/>
        <v>#N/A</v>
      </c>
      <c r="BM306" t="e">
        <f t="shared" si="311"/>
        <v>#N/A</v>
      </c>
      <c r="BN306" t="e">
        <f t="shared" si="312"/>
        <v>#N/A</v>
      </c>
      <c r="BO306" t="e">
        <f t="shared" si="313"/>
        <v>#N/A</v>
      </c>
      <c r="BP306" t="e">
        <f t="shared" si="314"/>
        <v>#N/A</v>
      </c>
      <c r="BQ306" t="e">
        <f t="shared" si="315"/>
        <v>#N/A</v>
      </c>
      <c r="BR306" t="e">
        <f t="shared" si="316"/>
        <v>#N/A</v>
      </c>
      <c r="BS306" t="e">
        <f t="shared" si="317"/>
        <v>#N/A</v>
      </c>
      <c r="BT306" t="e">
        <f t="shared" si="318"/>
        <v>#N/A</v>
      </c>
      <c r="BU306" t="e">
        <f t="shared" si="319"/>
        <v>#N/A</v>
      </c>
      <c r="BV306" t="e">
        <f t="shared" si="320"/>
        <v>#N/A</v>
      </c>
      <c r="BW306" t="e">
        <f t="shared" si="321"/>
        <v>#N/A</v>
      </c>
      <c r="BX306" t="e">
        <f t="shared" si="322"/>
        <v>#N/A</v>
      </c>
      <c r="BY306" t="e">
        <f t="shared" si="323"/>
        <v>#N/A</v>
      </c>
      <c r="BZ306" t="e">
        <f t="shared" si="324"/>
        <v>#N/A</v>
      </c>
      <c r="CA306" t="e">
        <f t="shared" si="325"/>
        <v>#N/A</v>
      </c>
      <c r="CB306" t="e">
        <f t="shared" si="326"/>
        <v>#N/A</v>
      </c>
      <c r="CC306" t="e">
        <f t="shared" si="327"/>
        <v>#N/A</v>
      </c>
      <c r="CD306" t="e">
        <f t="shared" si="328"/>
        <v>#N/A</v>
      </c>
      <c r="CE306" t="e">
        <f t="shared" si="329"/>
        <v>#N/A</v>
      </c>
      <c r="CF306" t="e">
        <f t="shared" si="330"/>
        <v>#N/A</v>
      </c>
      <c r="CG306" t="e">
        <f t="shared" si="331"/>
        <v>#N/A</v>
      </c>
      <c r="CI306" t="e">
        <f>AT106</f>
        <v>#N/A</v>
      </c>
      <c r="CJ306" t="e">
        <f>AU106</f>
        <v>#N/A</v>
      </c>
      <c r="CK306">
        <f>IF(ISNUMBER(CI306),IFERROR(MAX(0,AV106-CI306),0),0)</f>
        <v>0</v>
      </c>
      <c r="CL306">
        <f>IF(ISNUMBER(CI306),IFERROR(MAX(0,CI306-AV106),0),0)</f>
        <v>0</v>
      </c>
      <c r="CM306">
        <f>IF(ISNUMBER(CJ306),IFERROR(MAX(0,AW106-CJ306),0),0)</f>
        <v>0</v>
      </c>
      <c r="CN306">
        <f>IF(ISNUMBER(CJ306),IFERROR(MAX(0,CJ306-AW106),0),0)</f>
        <v>0</v>
      </c>
      <c r="CP306" t="e">
        <f>CB106</f>
        <v>#N/A</v>
      </c>
      <c r="CQ306" t="e">
        <f>CC106</f>
        <v>#N/A</v>
      </c>
      <c r="CR306">
        <f>IF(ISNUMBER(CP306),IFERROR(MAX(0,CD106-CP306),0),0)</f>
        <v>0</v>
      </c>
      <c r="CS306">
        <f>IF(ISNUMBER(CP306),IFERROR(MAX(0,CP306-CD106),0),0)</f>
        <v>0</v>
      </c>
      <c r="CT306">
        <f>IF(ISNUMBER(CQ306),IFERROR(MAX(0,CE106-CQ306),0),0)</f>
        <v>0</v>
      </c>
      <c r="CU306">
        <f>IF(ISNUMBER(CQ306),IFERROR(MAX(0,CQ306-CE106),0),0)</f>
        <v>0</v>
      </c>
    </row>
    <row r="307" spans="21:99" x14ac:dyDescent="0.3">
      <c r="U307">
        <v>301</v>
      </c>
      <c r="V307">
        <f t="shared" si="276"/>
        <v>76</v>
      </c>
      <c r="W307">
        <f t="shared" si="277"/>
        <v>1</v>
      </c>
      <c r="X307">
        <f t="shared" si="278"/>
        <v>0</v>
      </c>
      <c r="Y307">
        <f>IF(X307&lt;&gt;1,9999,CHOOSE(W307,INDEX(Gantt!$BQ$7:$BQ$119,V307),INDEX(Gantt!$BR$7:$BR$119,V307),INDEX(Gantt!$BT$7:$BT$119,V307),INDEX(Gantt!$BU$7:$BU$119,V307)))</f>
        <v>9999</v>
      </c>
      <c r="Z307">
        <f t="shared" si="279"/>
        <v>0</v>
      </c>
      <c r="AA307" t="e">
        <f t="shared" si="280"/>
        <v>#N/A</v>
      </c>
      <c r="AB307" t="e">
        <f t="shared" si="281"/>
        <v>#N/A</v>
      </c>
      <c r="AC307" t="e">
        <f t="shared" si="282"/>
        <v>#N/A</v>
      </c>
      <c r="AD307" t="e">
        <f t="shared" si="283"/>
        <v>#N/A</v>
      </c>
      <c r="AE307" t="e">
        <f t="shared" si="284"/>
        <v>#N/A</v>
      </c>
      <c r="AF307" t="e">
        <f t="shared" si="285"/>
        <v>#N/A</v>
      </c>
      <c r="AG307" t="e">
        <f t="shared" si="286"/>
        <v>#N/A</v>
      </c>
      <c r="AH307" t="e">
        <f t="shared" si="287"/>
        <v>#N/A</v>
      </c>
      <c r="AI307" t="e">
        <f t="shared" si="288"/>
        <v>#N/A</v>
      </c>
      <c r="AJ307" t="e">
        <f t="shared" si="289"/>
        <v>#N/A</v>
      </c>
      <c r="AK307" t="e">
        <f t="shared" si="290"/>
        <v>#N/A</v>
      </c>
      <c r="AL307" t="e">
        <f t="shared" si="291"/>
        <v>#N/A</v>
      </c>
      <c r="AM307" t="e">
        <f t="shared" si="292"/>
        <v>#N/A</v>
      </c>
      <c r="AN307" t="e">
        <f t="shared" si="293"/>
        <v>#N/A</v>
      </c>
      <c r="AO307" t="e">
        <f t="shared" si="294"/>
        <v>#N/A</v>
      </c>
      <c r="AP307" t="e">
        <f t="shared" si="295"/>
        <v>#N/A</v>
      </c>
      <c r="AQ307" t="e">
        <f t="shared" si="296"/>
        <v>#N/A</v>
      </c>
      <c r="AR307" t="e">
        <f t="shared" si="297"/>
        <v>#N/A</v>
      </c>
      <c r="AS307" t="e">
        <f t="shared" si="298"/>
        <v>#N/A</v>
      </c>
      <c r="AT307" t="e">
        <f t="shared" si="299"/>
        <v>#N/A</v>
      </c>
      <c r="AU307" t="e">
        <f t="shared" si="300"/>
        <v>#N/A</v>
      </c>
      <c r="AV307" t="e">
        <f t="shared" si="301"/>
        <v>#N/A</v>
      </c>
      <c r="AW307" t="e">
        <f t="shared" si="302"/>
        <v>#N/A</v>
      </c>
      <c r="AX307" t="e">
        <f t="shared" si="303"/>
        <v>#N/A</v>
      </c>
      <c r="AY307" t="e">
        <f t="shared" si="304"/>
        <v>#N/A</v>
      </c>
      <c r="BE307" t="e">
        <f>IF(Z307=1,IF(INDEX($C$7:$C$126,V307)&gt;=Gantt!$BF$6,NA(),MATCH(INDEX($C$7:$C$126,V307),Gantt!$J$6:$BE$6,1)),NA())</f>
        <v>#N/A</v>
      </c>
      <c r="BF307" t="e">
        <f>IF(Z307=1,IF((INDEX($D$7:$D$126,AA307)-1)&gt;=Gantt!$BF$6,NA(),IF((INDEX($D$7:$D$126,AA307)-1)&lt;Gantt!$J$6,0,MATCH((INDEX($D$7:$D$126,AA307)-1),Gantt!$J$6:$BE$6,1))),NA())</f>
        <v>#N/A</v>
      </c>
      <c r="BG307" t="e">
        <f t="shared" si="305"/>
        <v>#N/A</v>
      </c>
      <c r="BH307" t="e">
        <f t="shared" si="306"/>
        <v>#N/A</v>
      </c>
      <c r="BI307" t="e">
        <f t="shared" si="307"/>
        <v>#N/A</v>
      </c>
      <c r="BJ307" t="e">
        <f t="shared" si="308"/>
        <v>#N/A</v>
      </c>
      <c r="BK307" t="e">
        <f t="shared" si="309"/>
        <v>#N/A</v>
      </c>
      <c r="BL307" t="e">
        <f t="shared" si="310"/>
        <v>#N/A</v>
      </c>
      <c r="BM307" t="e">
        <f t="shared" si="311"/>
        <v>#N/A</v>
      </c>
      <c r="BN307" t="e">
        <f t="shared" si="312"/>
        <v>#N/A</v>
      </c>
      <c r="BO307" t="e">
        <f t="shared" si="313"/>
        <v>#N/A</v>
      </c>
      <c r="BP307" t="e">
        <f t="shared" si="314"/>
        <v>#N/A</v>
      </c>
      <c r="BQ307" t="e">
        <f t="shared" si="315"/>
        <v>#N/A</v>
      </c>
      <c r="BR307" t="e">
        <f t="shared" si="316"/>
        <v>#N/A</v>
      </c>
      <c r="BS307" t="e">
        <f t="shared" si="317"/>
        <v>#N/A</v>
      </c>
      <c r="BT307" t="e">
        <f t="shared" si="318"/>
        <v>#N/A</v>
      </c>
      <c r="BU307" t="e">
        <f t="shared" si="319"/>
        <v>#N/A</v>
      </c>
      <c r="BV307" t="e">
        <f t="shared" si="320"/>
        <v>#N/A</v>
      </c>
      <c r="BW307" t="e">
        <f t="shared" si="321"/>
        <v>#N/A</v>
      </c>
      <c r="BX307" t="e">
        <f t="shared" si="322"/>
        <v>#N/A</v>
      </c>
      <c r="BY307" t="e">
        <f t="shared" si="323"/>
        <v>#N/A</v>
      </c>
      <c r="BZ307" t="e">
        <f t="shared" si="324"/>
        <v>#N/A</v>
      </c>
      <c r="CA307" t="e">
        <f t="shared" si="325"/>
        <v>#N/A</v>
      </c>
      <c r="CB307" t="e">
        <f t="shared" si="326"/>
        <v>#N/A</v>
      </c>
      <c r="CC307" t="e">
        <f t="shared" si="327"/>
        <v>#N/A</v>
      </c>
      <c r="CD307" t="e">
        <f t="shared" si="328"/>
        <v>#N/A</v>
      </c>
      <c r="CE307" t="e">
        <f t="shared" si="329"/>
        <v>#N/A</v>
      </c>
      <c r="CF307" t="e">
        <f t="shared" si="330"/>
        <v>#N/A</v>
      </c>
      <c r="CG307" t="e">
        <f t="shared" si="331"/>
        <v>#N/A</v>
      </c>
      <c r="CI307" t="e">
        <f>AL107</f>
        <v>#N/A</v>
      </c>
      <c r="CJ307" t="e">
        <f>AM107</f>
        <v>#N/A</v>
      </c>
      <c r="CK307">
        <f>IF(ISNUMBER(CI307),IFERROR(MAX(0,AN107-CI307),0),0)</f>
        <v>0</v>
      </c>
      <c r="CL307">
        <f>IF(ISNUMBER(CI307),IFERROR(MAX(0,CI307-AN107),0),0)</f>
        <v>0</v>
      </c>
      <c r="CM307">
        <f>IF(ISNUMBER(CJ307),IFERROR(MAX(0,AO107-CJ307),0),0)</f>
        <v>0</v>
      </c>
      <c r="CN307">
        <f>IF(ISNUMBER(CJ307),IFERROR(MAX(0,CJ307-AO107),0),0)</f>
        <v>0</v>
      </c>
      <c r="CP307" t="e">
        <f>BT107</f>
        <v>#N/A</v>
      </c>
      <c r="CQ307" t="e">
        <f>BU107</f>
        <v>#N/A</v>
      </c>
      <c r="CR307">
        <f>IF(ISNUMBER(CP307),IFERROR(MAX(0,BV107-CP307),0),0)</f>
        <v>0</v>
      </c>
      <c r="CS307">
        <f>IF(ISNUMBER(CP307),IFERROR(MAX(0,CP307-BV107),0),0)</f>
        <v>0</v>
      </c>
      <c r="CT307">
        <f>IF(ISNUMBER(CQ307),IFERROR(MAX(0,BW107-CQ307),0),0)</f>
        <v>0</v>
      </c>
      <c r="CU307">
        <f>IF(ISNUMBER(CQ307),IFERROR(MAX(0,CQ307-BW107),0),0)</f>
        <v>0</v>
      </c>
    </row>
    <row r="308" spans="21:99" x14ac:dyDescent="0.3">
      <c r="U308">
        <v>302</v>
      </c>
      <c r="V308">
        <f t="shared" si="276"/>
        <v>76</v>
      </c>
      <c r="W308">
        <f t="shared" si="277"/>
        <v>2</v>
      </c>
      <c r="X308">
        <f t="shared" si="278"/>
        <v>0</v>
      </c>
      <c r="Y308">
        <f>IF(X308&lt;&gt;1,9999,CHOOSE(W308,INDEX(Gantt!$BQ$7:$BQ$119,V308),INDEX(Gantt!$BR$7:$BR$119,V308),INDEX(Gantt!$BT$7:$BT$119,V308),INDEX(Gantt!$BU$7:$BU$119,V308)))</f>
        <v>9999</v>
      </c>
      <c r="Z308">
        <f t="shared" si="279"/>
        <v>0</v>
      </c>
      <c r="AA308" t="e">
        <f t="shared" si="280"/>
        <v>#N/A</v>
      </c>
      <c r="AB308" t="e">
        <f t="shared" si="281"/>
        <v>#N/A</v>
      </c>
      <c r="AC308" t="e">
        <f t="shared" si="282"/>
        <v>#N/A</v>
      </c>
      <c r="AD308" t="e">
        <f t="shared" si="283"/>
        <v>#N/A</v>
      </c>
      <c r="AE308" t="e">
        <f t="shared" si="284"/>
        <v>#N/A</v>
      </c>
      <c r="AF308" t="e">
        <f t="shared" si="285"/>
        <v>#N/A</v>
      </c>
      <c r="AG308" t="e">
        <f t="shared" si="286"/>
        <v>#N/A</v>
      </c>
      <c r="AH308" t="e">
        <f t="shared" si="287"/>
        <v>#N/A</v>
      </c>
      <c r="AI308" t="e">
        <f t="shared" si="288"/>
        <v>#N/A</v>
      </c>
      <c r="AJ308" t="e">
        <f t="shared" si="289"/>
        <v>#N/A</v>
      </c>
      <c r="AK308" t="e">
        <f t="shared" si="290"/>
        <v>#N/A</v>
      </c>
      <c r="AL308" t="e">
        <f t="shared" si="291"/>
        <v>#N/A</v>
      </c>
      <c r="AM308" t="e">
        <f t="shared" si="292"/>
        <v>#N/A</v>
      </c>
      <c r="AN308" t="e">
        <f t="shared" si="293"/>
        <v>#N/A</v>
      </c>
      <c r="AO308" t="e">
        <f t="shared" si="294"/>
        <v>#N/A</v>
      </c>
      <c r="AP308" t="e">
        <f t="shared" si="295"/>
        <v>#N/A</v>
      </c>
      <c r="AQ308" t="e">
        <f t="shared" si="296"/>
        <v>#N/A</v>
      </c>
      <c r="AR308" t="e">
        <f t="shared" si="297"/>
        <v>#N/A</v>
      </c>
      <c r="AS308" t="e">
        <f t="shared" si="298"/>
        <v>#N/A</v>
      </c>
      <c r="AT308" t="e">
        <f t="shared" si="299"/>
        <v>#N/A</v>
      </c>
      <c r="AU308" t="e">
        <f t="shared" si="300"/>
        <v>#N/A</v>
      </c>
      <c r="AV308" t="e">
        <f t="shared" si="301"/>
        <v>#N/A</v>
      </c>
      <c r="AW308" t="e">
        <f t="shared" si="302"/>
        <v>#N/A</v>
      </c>
      <c r="AX308" t="e">
        <f t="shared" si="303"/>
        <v>#N/A</v>
      </c>
      <c r="AY308" t="e">
        <f t="shared" si="304"/>
        <v>#N/A</v>
      </c>
      <c r="BE308" t="e">
        <f>IF(Z308=1,IF(INDEX($C$7:$C$126,V308)&gt;=Gantt!$BF$6,NA(),MATCH(INDEX($C$7:$C$126,V308),Gantt!$J$6:$BE$6,1)),NA())</f>
        <v>#N/A</v>
      </c>
      <c r="BF308" t="e">
        <f>IF(Z308=1,IF((INDEX($D$7:$D$126,AA308)-1)&gt;=Gantt!$BF$6,NA(),IF((INDEX($D$7:$D$126,AA308)-1)&lt;Gantt!$J$6,0,MATCH((INDEX($D$7:$D$126,AA308)-1),Gantt!$J$6:$BE$6,1))),NA())</f>
        <v>#N/A</v>
      </c>
      <c r="BG308" t="e">
        <f t="shared" si="305"/>
        <v>#N/A</v>
      </c>
      <c r="BH308" t="e">
        <f t="shared" si="306"/>
        <v>#N/A</v>
      </c>
      <c r="BI308" t="e">
        <f t="shared" si="307"/>
        <v>#N/A</v>
      </c>
      <c r="BJ308" t="e">
        <f t="shared" si="308"/>
        <v>#N/A</v>
      </c>
      <c r="BK308" t="e">
        <f t="shared" si="309"/>
        <v>#N/A</v>
      </c>
      <c r="BL308" t="e">
        <f t="shared" si="310"/>
        <v>#N/A</v>
      </c>
      <c r="BM308" t="e">
        <f t="shared" si="311"/>
        <v>#N/A</v>
      </c>
      <c r="BN308" t="e">
        <f t="shared" si="312"/>
        <v>#N/A</v>
      </c>
      <c r="BO308" t="e">
        <f t="shared" si="313"/>
        <v>#N/A</v>
      </c>
      <c r="BP308" t="e">
        <f t="shared" si="314"/>
        <v>#N/A</v>
      </c>
      <c r="BQ308" t="e">
        <f t="shared" si="315"/>
        <v>#N/A</v>
      </c>
      <c r="BR308" t="e">
        <f t="shared" si="316"/>
        <v>#N/A</v>
      </c>
      <c r="BS308" t="e">
        <f t="shared" si="317"/>
        <v>#N/A</v>
      </c>
      <c r="BT308" t="e">
        <f t="shared" si="318"/>
        <v>#N/A</v>
      </c>
      <c r="BU308" t="e">
        <f t="shared" si="319"/>
        <v>#N/A</v>
      </c>
      <c r="BV308" t="e">
        <f t="shared" si="320"/>
        <v>#N/A</v>
      </c>
      <c r="BW308" t="e">
        <f t="shared" si="321"/>
        <v>#N/A</v>
      </c>
      <c r="BX308" t="e">
        <f t="shared" si="322"/>
        <v>#N/A</v>
      </c>
      <c r="BY308" t="e">
        <f t="shared" si="323"/>
        <v>#N/A</v>
      </c>
      <c r="BZ308" t="e">
        <f t="shared" si="324"/>
        <v>#N/A</v>
      </c>
      <c r="CA308" t="e">
        <f t="shared" si="325"/>
        <v>#N/A</v>
      </c>
      <c r="CB308" t="e">
        <f t="shared" si="326"/>
        <v>#N/A</v>
      </c>
      <c r="CC308" t="e">
        <f t="shared" si="327"/>
        <v>#N/A</v>
      </c>
      <c r="CD308" t="e">
        <f t="shared" si="328"/>
        <v>#N/A</v>
      </c>
      <c r="CE308" t="e">
        <f t="shared" si="329"/>
        <v>#N/A</v>
      </c>
      <c r="CF308" t="e">
        <f t="shared" si="330"/>
        <v>#N/A</v>
      </c>
      <c r="CG308" t="e">
        <f t="shared" si="331"/>
        <v>#N/A</v>
      </c>
      <c r="CI308" t="e">
        <f>AP107</f>
        <v>#N/A</v>
      </c>
      <c r="CJ308" t="e">
        <f>AQ107</f>
        <v>#N/A</v>
      </c>
      <c r="CK308">
        <f>IF(ISNUMBER(CI308),IFERROR(MAX(0,AR107-CI308),0),0)</f>
        <v>0</v>
      </c>
      <c r="CL308">
        <f>IF(ISNUMBER(CI308),IFERROR(MAX(0,CI308-AR107),0),0)</f>
        <v>0</v>
      </c>
      <c r="CM308">
        <f>IF(ISNUMBER(CJ308),IFERROR(MAX(0,AS107-CJ308),0),0)</f>
        <v>0</v>
      </c>
      <c r="CN308">
        <f>IF(ISNUMBER(CJ308),IFERROR(MAX(0,CJ308-AS107),0),0)</f>
        <v>0</v>
      </c>
      <c r="CP308" t="e">
        <f>BX107</f>
        <v>#N/A</v>
      </c>
      <c r="CQ308" t="e">
        <f>BY107</f>
        <v>#N/A</v>
      </c>
      <c r="CR308">
        <f>IF(ISNUMBER(CP308),IFERROR(MAX(0,BZ107-CP308),0),0)</f>
        <v>0</v>
      </c>
      <c r="CS308">
        <f>IF(ISNUMBER(CP308),IFERROR(MAX(0,CP308-BZ107),0),0)</f>
        <v>0</v>
      </c>
      <c r="CT308">
        <f>IF(ISNUMBER(CQ308),IFERROR(MAX(0,CA107-CQ308),0),0)</f>
        <v>0</v>
      </c>
      <c r="CU308">
        <f>IF(ISNUMBER(CQ308),IFERROR(MAX(0,CQ308-CA107),0),0)</f>
        <v>0</v>
      </c>
    </row>
    <row r="309" spans="21:99" x14ac:dyDescent="0.3">
      <c r="U309">
        <v>303</v>
      </c>
      <c r="V309">
        <f t="shared" si="276"/>
        <v>76</v>
      </c>
      <c r="W309">
        <f t="shared" si="277"/>
        <v>3</v>
      </c>
      <c r="X309">
        <f t="shared" si="278"/>
        <v>0</v>
      </c>
      <c r="Y309">
        <f>IF(X309&lt;&gt;1,9999,CHOOSE(W309,INDEX(Gantt!$BQ$7:$BQ$119,V309),INDEX(Gantt!$BR$7:$BR$119,V309),INDEX(Gantt!$BT$7:$BT$119,V309),INDEX(Gantt!$BU$7:$BU$119,V309)))</f>
        <v>9999</v>
      </c>
      <c r="Z309">
        <f t="shared" si="279"/>
        <v>0</v>
      </c>
      <c r="AA309" t="e">
        <f t="shared" si="280"/>
        <v>#N/A</v>
      </c>
      <c r="AB309" t="e">
        <f t="shared" si="281"/>
        <v>#N/A</v>
      </c>
      <c r="AC309" t="e">
        <f t="shared" si="282"/>
        <v>#N/A</v>
      </c>
      <c r="AD309" t="e">
        <f t="shared" si="283"/>
        <v>#N/A</v>
      </c>
      <c r="AE309" t="e">
        <f t="shared" si="284"/>
        <v>#N/A</v>
      </c>
      <c r="AF309" t="e">
        <f t="shared" si="285"/>
        <v>#N/A</v>
      </c>
      <c r="AG309" t="e">
        <f t="shared" si="286"/>
        <v>#N/A</v>
      </c>
      <c r="AH309" t="e">
        <f t="shared" si="287"/>
        <v>#N/A</v>
      </c>
      <c r="AI309" t="e">
        <f t="shared" si="288"/>
        <v>#N/A</v>
      </c>
      <c r="AJ309" t="e">
        <f t="shared" si="289"/>
        <v>#N/A</v>
      </c>
      <c r="AK309" t="e">
        <f t="shared" si="290"/>
        <v>#N/A</v>
      </c>
      <c r="AL309" t="e">
        <f t="shared" si="291"/>
        <v>#N/A</v>
      </c>
      <c r="AM309" t="e">
        <f t="shared" si="292"/>
        <v>#N/A</v>
      </c>
      <c r="AN309" t="e">
        <f t="shared" si="293"/>
        <v>#N/A</v>
      </c>
      <c r="AO309" t="e">
        <f t="shared" si="294"/>
        <v>#N/A</v>
      </c>
      <c r="AP309" t="e">
        <f t="shared" si="295"/>
        <v>#N/A</v>
      </c>
      <c r="AQ309" t="e">
        <f t="shared" si="296"/>
        <v>#N/A</v>
      </c>
      <c r="AR309" t="e">
        <f t="shared" si="297"/>
        <v>#N/A</v>
      </c>
      <c r="AS309" t="e">
        <f t="shared" si="298"/>
        <v>#N/A</v>
      </c>
      <c r="AT309" t="e">
        <f t="shared" si="299"/>
        <v>#N/A</v>
      </c>
      <c r="AU309" t="e">
        <f t="shared" si="300"/>
        <v>#N/A</v>
      </c>
      <c r="AV309" t="e">
        <f t="shared" si="301"/>
        <v>#N/A</v>
      </c>
      <c r="AW309" t="e">
        <f t="shared" si="302"/>
        <v>#N/A</v>
      </c>
      <c r="AX309" t="e">
        <f t="shared" si="303"/>
        <v>#N/A</v>
      </c>
      <c r="AY309" t="e">
        <f t="shared" si="304"/>
        <v>#N/A</v>
      </c>
      <c r="BE309" t="e">
        <f>IF(Z309=1,IF(INDEX($C$7:$C$126,V309)&gt;=Gantt!$BF$6,NA(),MATCH(INDEX($C$7:$C$126,V309),Gantt!$J$6:$BE$6,1)),NA())</f>
        <v>#N/A</v>
      </c>
      <c r="BF309" t="e">
        <f>IF(Z309=1,IF((INDEX($D$7:$D$126,AA309)-1)&gt;=Gantt!$BF$6,NA(),IF((INDEX($D$7:$D$126,AA309)-1)&lt;Gantt!$J$6,0,MATCH((INDEX($D$7:$D$126,AA309)-1),Gantt!$J$6:$BE$6,1))),NA())</f>
        <v>#N/A</v>
      </c>
      <c r="BG309" t="e">
        <f t="shared" si="305"/>
        <v>#N/A</v>
      </c>
      <c r="BH309" t="e">
        <f t="shared" si="306"/>
        <v>#N/A</v>
      </c>
      <c r="BI309" t="e">
        <f t="shared" si="307"/>
        <v>#N/A</v>
      </c>
      <c r="BJ309" t="e">
        <f t="shared" si="308"/>
        <v>#N/A</v>
      </c>
      <c r="BK309" t="e">
        <f t="shared" si="309"/>
        <v>#N/A</v>
      </c>
      <c r="BL309" t="e">
        <f t="shared" si="310"/>
        <v>#N/A</v>
      </c>
      <c r="BM309" t="e">
        <f t="shared" si="311"/>
        <v>#N/A</v>
      </c>
      <c r="BN309" t="e">
        <f t="shared" si="312"/>
        <v>#N/A</v>
      </c>
      <c r="BO309" t="e">
        <f t="shared" si="313"/>
        <v>#N/A</v>
      </c>
      <c r="BP309" t="e">
        <f t="shared" si="314"/>
        <v>#N/A</v>
      </c>
      <c r="BQ309" t="e">
        <f t="shared" si="315"/>
        <v>#N/A</v>
      </c>
      <c r="BR309" t="e">
        <f t="shared" si="316"/>
        <v>#N/A</v>
      </c>
      <c r="BS309" t="e">
        <f t="shared" si="317"/>
        <v>#N/A</v>
      </c>
      <c r="BT309" t="e">
        <f t="shared" si="318"/>
        <v>#N/A</v>
      </c>
      <c r="BU309" t="e">
        <f t="shared" si="319"/>
        <v>#N/A</v>
      </c>
      <c r="BV309" t="e">
        <f t="shared" si="320"/>
        <v>#N/A</v>
      </c>
      <c r="BW309" t="e">
        <f t="shared" si="321"/>
        <v>#N/A</v>
      </c>
      <c r="BX309" t="e">
        <f t="shared" si="322"/>
        <v>#N/A</v>
      </c>
      <c r="BY309" t="e">
        <f t="shared" si="323"/>
        <v>#N/A</v>
      </c>
      <c r="BZ309" t="e">
        <f t="shared" si="324"/>
        <v>#N/A</v>
      </c>
      <c r="CA309" t="e">
        <f t="shared" si="325"/>
        <v>#N/A</v>
      </c>
      <c r="CB309" t="e">
        <f t="shared" si="326"/>
        <v>#N/A</v>
      </c>
      <c r="CC309" t="e">
        <f t="shared" si="327"/>
        <v>#N/A</v>
      </c>
      <c r="CD309" t="e">
        <f t="shared" si="328"/>
        <v>#N/A</v>
      </c>
      <c r="CE309" t="e">
        <f t="shared" si="329"/>
        <v>#N/A</v>
      </c>
      <c r="CF309" t="e">
        <f t="shared" si="330"/>
        <v>#N/A</v>
      </c>
      <c r="CG309" t="e">
        <f t="shared" si="331"/>
        <v>#N/A</v>
      </c>
      <c r="CI309" t="e">
        <f>AT107</f>
        <v>#N/A</v>
      </c>
      <c r="CJ309" t="e">
        <f>AU107</f>
        <v>#N/A</v>
      </c>
      <c r="CK309">
        <f>IF(ISNUMBER(CI309),IFERROR(MAX(0,AV107-CI309),0),0)</f>
        <v>0</v>
      </c>
      <c r="CL309">
        <f>IF(ISNUMBER(CI309),IFERROR(MAX(0,CI309-AV107),0),0)</f>
        <v>0</v>
      </c>
      <c r="CM309">
        <f>IF(ISNUMBER(CJ309),IFERROR(MAX(0,AW107-CJ309),0),0)</f>
        <v>0</v>
      </c>
      <c r="CN309">
        <f>IF(ISNUMBER(CJ309),IFERROR(MAX(0,CJ309-AW107),0),0)</f>
        <v>0</v>
      </c>
      <c r="CP309" t="e">
        <f>CB107</f>
        <v>#N/A</v>
      </c>
      <c r="CQ309" t="e">
        <f>CC107</f>
        <v>#N/A</v>
      </c>
      <c r="CR309">
        <f>IF(ISNUMBER(CP309),IFERROR(MAX(0,CD107-CP309),0),0)</f>
        <v>0</v>
      </c>
      <c r="CS309">
        <f>IF(ISNUMBER(CP309),IFERROR(MAX(0,CP309-CD107),0),0)</f>
        <v>0</v>
      </c>
      <c r="CT309">
        <f>IF(ISNUMBER(CQ309),IFERROR(MAX(0,CE107-CQ309),0),0)</f>
        <v>0</v>
      </c>
      <c r="CU309">
        <f>IF(ISNUMBER(CQ309),IFERROR(MAX(0,CQ309-CE107),0),0)</f>
        <v>0</v>
      </c>
    </row>
    <row r="310" spans="21:99" x14ac:dyDescent="0.3">
      <c r="U310">
        <v>304</v>
      </c>
      <c r="V310">
        <f t="shared" si="276"/>
        <v>76</v>
      </c>
      <c r="W310">
        <f t="shared" si="277"/>
        <v>4</v>
      </c>
      <c r="X310">
        <f t="shared" si="278"/>
        <v>0</v>
      </c>
      <c r="Y310">
        <f>IF(X310&lt;&gt;1,9999,CHOOSE(W310,INDEX(Gantt!$BQ$7:$BQ$119,V310),INDEX(Gantt!$BR$7:$BR$119,V310),INDEX(Gantt!$BT$7:$BT$119,V310),INDEX(Gantt!$BU$7:$BU$119,V310)))</f>
        <v>9999</v>
      </c>
      <c r="Z310">
        <f t="shared" si="279"/>
        <v>0</v>
      </c>
      <c r="AA310" t="e">
        <f t="shared" si="280"/>
        <v>#N/A</v>
      </c>
      <c r="AB310" t="e">
        <f t="shared" si="281"/>
        <v>#N/A</v>
      </c>
      <c r="AC310" t="e">
        <f t="shared" si="282"/>
        <v>#N/A</v>
      </c>
      <c r="AD310" t="e">
        <f t="shared" si="283"/>
        <v>#N/A</v>
      </c>
      <c r="AE310" t="e">
        <f t="shared" si="284"/>
        <v>#N/A</v>
      </c>
      <c r="AF310" t="e">
        <f t="shared" si="285"/>
        <v>#N/A</v>
      </c>
      <c r="AG310" t="e">
        <f t="shared" si="286"/>
        <v>#N/A</v>
      </c>
      <c r="AH310" t="e">
        <f t="shared" si="287"/>
        <v>#N/A</v>
      </c>
      <c r="AI310" t="e">
        <f t="shared" si="288"/>
        <v>#N/A</v>
      </c>
      <c r="AJ310" t="e">
        <f t="shared" si="289"/>
        <v>#N/A</v>
      </c>
      <c r="AK310" t="e">
        <f t="shared" si="290"/>
        <v>#N/A</v>
      </c>
      <c r="AL310" t="e">
        <f t="shared" si="291"/>
        <v>#N/A</v>
      </c>
      <c r="AM310" t="e">
        <f t="shared" si="292"/>
        <v>#N/A</v>
      </c>
      <c r="AN310" t="e">
        <f t="shared" si="293"/>
        <v>#N/A</v>
      </c>
      <c r="AO310" t="e">
        <f t="shared" si="294"/>
        <v>#N/A</v>
      </c>
      <c r="AP310" t="e">
        <f t="shared" si="295"/>
        <v>#N/A</v>
      </c>
      <c r="AQ310" t="e">
        <f t="shared" si="296"/>
        <v>#N/A</v>
      </c>
      <c r="AR310" t="e">
        <f t="shared" si="297"/>
        <v>#N/A</v>
      </c>
      <c r="AS310" t="e">
        <f t="shared" si="298"/>
        <v>#N/A</v>
      </c>
      <c r="AT310" t="e">
        <f t="shared" si="299"/>
        <v>#N/A</v>
      </c>
      <c r="AU310" t="e">
        <f t="shared" si="300"/>
        <v>#N/A</v>
      </c>
      <c r="AV310" t="e">
        <f t="shared" si="301"/>
        <v>#N/A</v>
      </c>
      <c r="AW310" t="e">
        <f t="shared" si="302"/>
        <v>#N/A</v>
      </c>
      <c r="AX310" t="e">
        <f t="shared" si="303"/>
        <v>#N/A</v>
      </c>
      <c r="AY310" t="e">
        <f t="shared" si="304"/>
        <v>#N/A</v>
      </c>
      <c r="BE310" t="e">
        <f>IF(Z310=1,IF(INDEX($C$7:$C$126,V310)&gt;=Gantt!$BF$6,NA(),MATCH(INDEX($C$7:$C$126,V310),Gantt!$J$6:$BE$6,1)),NA())</f>
        <v>#N/A</v>
      </c>
      <c r="BF310" t="e">
        <f>IF(Z310=1,IF((INDEX($D$7:$D$126,AA310)-1)&gt;=Gantt!$BF$6,NA(),IF((INDEX($D$7:$D$126,AA310)-1)&lt;Gantt!$J$6,0,MATCH((INDEX($D$7:$D$126,AA310)-1),Gantt!$J$6:$BE$6,1))),NA())</f>
        <v>#N/A</v>
      </c>
      <c r="BG310" t="e">
        <f t="shared" si="305"/>
        <v>#N/A</v>
      </c>
      <c r="BH310" t="e">
        <f t="shared" si="306"/>
        <v>#N/A</v>
      </c>
      <c r="BI310" t="e">
        <f t="shared" si="307"/>
        <v>#N/A</v>
      </c>
      <c r="BJ310" t="e">
        <f t="shared" si="308"/>
        <v>#N/A</v>
      </c>
      <c r="BK310" t="e">
        <f t="shared" si="309"/>
        <v>#N/A</v>
      </c>
      <c r="BL310" t="e">
        <f t="shared" si="310"/>
        <v>#N/A</v>
      </c>
      <c r="BM310" t="e">
        <f t="shared" si="311"/>
        <v>#N/A</v>
      </c>
      <c r="BN310" t="e">
        <f t="shared" si="312"/>
        <v>#N/A</v>
      </c>
      <c r="BO310" t="e">
        <f t="shared" si="313"/>
        <v>#N/A</v>
      </c>
      <c r="BP310" t="e">
        <f t="shared" si="314"/>
        <v>#N/A</v>
      </c>
      <c r="BQ310" t="e">
        <f t="shared" si="315"/>
        <v>#N/A</v>
      </c>
      <c r="BR310" t="e">
        <f t="shared" si="316"/>
        <v>#N/A</v>
      </c>
      <c r="BS310" t="e">
        <f t="shared" si="317"/>
        <v>#N/A</v>
      </c>
      <c r="BT310" t="e">
        <f t="shared" si="318"/>
        <v>#N/A</v>
      </c>
      <c r="BU310" t="e">
        <f t="shared" si="319"/>
        <v>#N/A</v>
      </c>
      <c r="BV310" t="e">
        <f t="shared" si="320"/>
        <v>#N/A</v>
      </c>
      <c r="BW310" t="e">
        <f t="shared" si="321"/>
        <v>#N/A</v>
      </c>
      <c r="BX310" t="e">
        <f t="shared" si="322"/>
        <v>#N/A</v>
      </c>
      <c r="BY310" t="e">
        <f t="shared" si="323"/>
        <v>#N/A</v>
      </c>
      <c r="BZ310" t="e">
        <f t="shared" si="324"/>
        <v>#N/A</v>
      </c>
      <c r="CA310" t="e">
        <f t="shared" si="325"/>
        <v>#N/A</v>
      </c>
      <c r="CB310" t="e">
        <f t="shared" si="326"/>
        <v>#N/A</v>
      </c>
      <c r="CC310" t="e">
        <f t="shared" si="327"/>
        <v>#N/A</v>
      </c>
      <c r="CD310" t="e">
        <f t="shared" si="328"/>
        <v>#N/A</v>
      </c>
      <c r="CE310" t="e">
        <f t="shared" si="329"/>
        <v>#N/A</v>
      </c>
      <c r="CF310" t="e">
        <f t="shared" si="330"/>
        <v>#N/A</v>
      </c>
      <c r="CG310" t="e">
        <f t="shared" si="331"/>
        <v>#N/A</v>
      </c>
      <c r="CI310" t="e">
        <f>AL108</f>
        <v>#N/A</v>
      </c>
      <c r="CJ310" t="e">
        <f>AM108</f>
        <v>#N/A</v>
      </c>
      <c r="CK310">
        <f>IF(ISNUMBER(CI310),IFERROR(MAX(0,AN108-CI310),0),0)</f>
        <v>0</v>
      </c>
      <c r="CL310">
        <f>IF(ISNUMBER(CI310),IFERROR(MAX(0,CI310-AN108),0),0)</f>
        <v>0</v>
      </c>
      <c r="CM310">
        <f>IF(ISNUMBER(CJ310),IFERROR(MAX(0,AO108-CJ310),0),0)</f>
        <v>0</v>
      </c>
      <c r="CN310">
        <f>IF(ISNUMBER(CJ310),IFERROR(MAX(0,CJ310-AO108),0),0)</f>
        <v>0</v>
      </c>
      <c r="CP310" t="e">
        <f>BT108</f>
        <v>#N/A</v>
      </c>
      <c r="CQ310" t="e">
        <f>BU108</f>
        <v>#N/A</v>
      </c>
      <c r="CR310">
        <f>IF(ISNUMBER(CP310),IFERROR(MAX(0,BV108-CP310),0),0)</f>
        <v>0</v>
      </c>
      <c r="CS310">
        <f>IF(ISNUMBER(CP310),IFERROR(MAX(0,CP310-BV108),0),0)</f>
        <v>0</v>
      </c>
      <c r="CT310">
        <f>IF(ISNUMBER(CQ310),IFERROR(MAX(0,BW108-CQ310),0),0)</f>
        <v>0</v>
      </c>
      <c r="CU310">
        <f>IF(ISNUMBER(CQ310),IFERROR(MAX(0,CQ310-BW108),0),0)</f>
        <v>0</v>
      </c>
    </row>
    <row r="311" spans="21:99" x14ac:dyDescent="0.3">
      <c r="U311">
        <v>305</v>
      </c>
      <c r="V311">
        <f t="shared" si="276"/>
        <v>77</v>
      </c>
      <c r="W311">
        <f t="shared" si="277"/>
        <v>1</v>
      </c>
      <c r="X311">
        <f t="shared" si="278"/>
        <v>0</v>
      </c>
      <c r="Y311">
        <f>IF(X311&lt;&gt;1,9999,CHOOSE(W311,INDEX(Gantt!$BQ$7:$BQ$119,V311),INDEX(Gantt!$BR$7:$BR$119,V311),INDEX(Gantt!$BT$7:$BT$119,V311),INDEX(Gantt!$BU$7:$BU$119,V311)))</f>
        <v>9999</v>
      </c>
      <c r="Z311">
        <f t="shared" si="279"/>
        <v>0</v>
      </c>
      <c r="AA311" t="e">
        <f t="shared" si="280"/>
        <v>#N/A</v>
      </c>
      <c r="AB311" t="e">
        <f t="shared" si="281"/>
        <v>#N/A</v>
      </c>
      <c r="AC311" t="e">
        <f t="shared" si="282"/>
        <v>#N/A</v>
      </c>
      <c r="AD311" t="e">
        <f t="shared" si="283"/>
        <v>#N/A</v>
      </c>
      <c r="AE311" t="e">
        <f t="shared" si="284"/>
        <v>#N/A</v>
      </c>
      <c r="AF311" t="e">
        <f t="shared" si="285"/>
        <v>#N/A</v>
      </c>
      <c r="AG311" t="e">
        <f t="shared" si="286"/>
        <v>#N/A</v>
      </c>
      <c r="AH311" t="e">
        <f t="shared" si="287"/>
        <v>#N/A</v>
      </c>
      <c r="AI311" t="e">
        <f t="shared" si="288"/>
        <v>#N/A</v>
      </c>
      <c r="AJ311" t="e">
        <f t="shared" si="289"/>
        <v>#N/A</v>
      </c>
      <c r="AK311" t="e">
        <f t="shared" si="290"/>
        <v>#N/A</v>
      </c>
      <c r="AL311" t="e">
        <f t="shared" si="291"/>
        <v>#N/A</v>
      </c>
      <c r="AM311" t="e">
        <f t="shared" si="292"/>
        <v>#N/A</v>
      </c>
      <c r="AN311" t="e">
        <f t="shared" si="293"/>
        <v>#N/A</v>
      </c>
      <c r="AO311" t="e">
        <f t="shared" si="294"/>
        <v>#N/A</v>
      </c>
      <c r="AP311" t="e">
        <f t="shared" si="295"/>
        <v>#N/A</v>
      </c>
      <c r="AQ311" t="e">
        <f t="shared" si="296"/>
        <v>#N/A</v>
      </c>
      <c r="AR311" t="e">
        <f t="shared" si="297"/>
        <v>#N/A</v>
      </c>
      <c r="AS311" t="e">
        <f t="shared" si="298"/>
        <v>#N/A</v>
      </c>
      <c r="AT311" t="e">
        <f t="shared" si="299"/>
        <v>#N/A</v>
      </c>
      <c r="AU311" t="e">
        <f t="shared" si="300"/>
        <v>#N/A</v>
      </c>
      <c r="AV311" t="e">
        <f t="shared" si="301"/>
        <v>#N/A</v>
      </c>
      <c r="AW311" t="e">
        <f t="shared" si="302"/>
        <v>#N/A</v>
      </c>
      <c r="AX311" t="e">
        <f t="shared" si="303"/>
        <v>#N/A</v>
      </c>
      <c r="AY311" t="e">
        <f t="shared" si="304"/>
        <v>#N/A</v>
      </c>
      <c r="BE311" t="e">
        <f>IF(Z311=1,IF(INDEX($C$7:$C$126,V311)&gt;=Gantt!$BF$6,NA(),MATCH(INDEX($C$7:$C$126,V311),Gantt!$J$6:$BE$6,1)),NA())</f>
        <v>#N/A</v>
      </c>
      <c r="BF311" t="e">
        <f>IF(Z311=1,IF((INDEX($D$7:$D$126,AA311)-1)&gt;=Gantt!$BF$6,NA(),IF((INDEX($D$7:$D$126,AA311)-1)&lt;Gantt!$J$6,0,MATCH((INDEX($D$7:$D$126,AA311)-1),Gantt!$J$6:$BE$6,1))),NA())</f>
        <v>#N/A</v>
      </c>
      <c r="BG311" t="e">
        <f t="shared" si="305"/>
        <v>#N/A</v>
      </c>
      <c r="BH311" t="e">
        <f t="shared" si="306"/>
        <v>#N/A</v>
      </c>
      <c r="BI311" t="e">
        <f t="shared" si="307"/>
        <v>#N/A</v>
      </c>
      <c r="BJ311" t="e">
        <f t="shared" si="308"/>
        <v>#N/A</v>
      </c>
      <c r="BK311" t="e">
        <f t="shared" si="309"/>
        <v>#N/A</v>
      </c>
      <c r="BL311" t="e">
        <f t="shared" si="310"/>
        <v>#N/A</v>
      </c>
      <c r="BM311" t="e">
        <f t="shared" si="311"/>
        <v>#N/A</v>
      </c>
      <c r="BN311" t="e">
        <f t="shared" si="312"/>
        <v>#N/A</v>
      </c>
      <c r="BO311" t="e">
        <f t="shared" si="313"/>
        <v>#N/A</v>
      </c>
      <c r="BP311" t="e">
        <f t="shared" si="314"/>
        <v>#N/A</v>
      </c>
      <c r="BQ311" t="e">
        <f t="shared" si="315"/>
        <v>#N/A</v>
      </c>
      <c r="BR311" t="e">
        <f t="shared" si="316"/>
        <v>#N/A</v>
      </c>
      <c r="BS311" t="e">
        <f t="shared" si="317"/>
        <v>#N/A</v>
      </c>
      <c r="BT311" t="e">
        <f t="shared" si="318"/>
        <v>#N/A</v>
      </c>
      <c r="BU311" t="e">
        <f t="shared" si="319"/>
        <v>#N/A</v>
      </c>
      <c r="BV311" t="e">
        <f t="shared" si="320"/>
        <v>#N/A</v>
      </c>
      <c r="BW311" t="e">
        <f t="shared" si="321"/>
        <v>#N/A</v>
      </c>
      <c r="BX311" t="e">
        <f t="shared" si="322"/>
        <v>#N/A</v>
      </c>
      <c r="BY311" t="e">
        <f t="shared" si="323"/>
        <v>#N/A</v>
      </c>
      <c r="BZ311" t="e">
        <f t="shared" si="324"/>
        <v>#N/A</v>
      </c>
      <c r="CA311" t="e">
        <f t="shared" si="325"/>
        <v>#N/A</v>
      </c>
      <c r="CB311" t="e">
        <f t="shared" si="326"/>
        <v>#N/A</v>
      </c>
      <c r="CC311" t="e">
        <f t="shared" si="327"/>
        <v>#N/A</v>
      </c>
      <c r="CD311" t="e">
        <f t="shared" si="328"/>
        <v>#N/A</v>
      </c>
      <c r="CE311" t="e">
        <f t="shared" si="329"/>
        <v>#N/A</v>
      </c>
      <c r="CF311" t="e">
        <f t="shared" si="330"/>
        <v>#N/A</v>
      </c>
      <c r="CG311" t="e">
        <f t="shared" si="331"/>
        <v>#N/A</v>
      </c>
      <c r="CI311" t="e">
        <f>AP108</f>
        <v>#N/A</v>
      </c>
      <c r="CJ311" t="e">
        <f>AQ108</f>
        <v>#N/A</v>
      </c>
      <c r="CK311">
        <f>IF(ISNUMBER(CI311),IFERROR(MAX(0,AR108-CI311),0),0)</f>
        <v>0</v>
      </c>
      <c r="CL311">
        <f>IF(ISNUMBER(CI311),IFERROR(MAX(0,CI311-AR108),0),0)</f>
        <v>0</v>
      </c>
      <c r="CM311">
        <f>IF(ISNUMBER(CJ311),IFERROR(MAX(0,AS108-CJ311),0),0)</f>
        <v>0</v>
      </c>
      <c r="CN311">
        <f>IF(ISNUMBER(CJ311),IFERROR(MAX(0,CJ311-AS108),0),0)</f>
        <v>0</v>
      </c>
      <c r="CP311" t="e">
        <f>BX108</f>
        <v>#N/A</v>
      </c>
      <c r="CQ311" t="e">
        <f>BY108</f>
        <v>#N/A</v>
      </c>
      <c r="CR311">
        <f>IF(ISNUMBER(CP311),IFERROR(MAX(0,BZ108-CP311),0),0)</f>
        <v>0</v>
      </c>
      <c r="CS311">
        <f>IF(ISNUMBER(CP311),IFERROR(MAX(0,CP311-BZ108),0),0)</f>
        <v>0</v>
      </c>
      <c r="CT311">
        <f>IF(ISNUMBER(CQ311),IFERROR(MAX(0,CA108-CQ311),0),0)</f>
        <v>0</v>
      </c>
      <c r="CU311">
        <f>IF(ISNUMBER(CQ311),IFERROR(MAX(0,CQ311-CA108),0),0)</f>
        <v>0</v>
      </c>
    </row>
    <row r="312" spans="21:99" x14ac:dyDescent="0.3">
      <c r="U312">
        <v>306</v>
      </c>
      <c r="V312">
        <f t="shared" si="276"/>
        <v>77</v>
      </c>
      <c r="W312">
        <f t="shared" si="277"/>
        <v>2</v>
      </c>
      <c r="X312">
        <f t="shared" si="278"/>
        <v>0</v>
      </c>
      <c r="Y312">
        <f>IF(X312&lt;&gt;1,9999,CHOOSE(W312,INDEX(Gantt!$BQ$7:$BQ$119,V312),INDEX(Gantt!$BR$7:$BR$119,V312),INDEX(Gantt!$BT$7:$BT$119,V312),INDEX(Gantt!$BU$7:$BU$119,V312)))</f>
        <v>9999</v>
      </c>
      <c r="Z312">
        <f t="shared" si="279"/>
        <v>0</v>
      </c>
      <c r="AA312" t="e">
        <f t="shared" si="280"/>
        <v>#N/A</v>
      </c>
      <c r="AB312" t="e">
        <f t="shared" si="281"/>
        <v>#N/A</v>
      </c>
      <c r="AC312" t="e">
        <f t="shared" si="282"/>
        <v>#N/A</v>
      </c>
      <c r="AD312" t="e">
        <f t="shared" si="283"/>
        <v>#N/A</v>
      </c>
      <c r="AE312" t="e">
        <f t="shared" si="284"/>
        <v>#N/A</v>
      </c>
      <c r="AF312" t="e">
        <f t="shared" si="285"/>
        <v>#N/A</v>
      </c>
      <c r="AG312" t="e">
        <f t="shared" si="286"/>
        <v>#N/A</v>
      </c>
      <c r="AH312" t="e">
        <f t="shared" si="287"/>
        <v>#N/A</v>
      </c>
      <c r="AI312" t="e">
        <f t="shared" si="288"/>
        <v>#N/A</v>
      </c>
      <c r="AJ312" t="e">
        <f t="shared" si="289"/>
        <v>#N/A</v>
      </c>
      <c r="AK312" t="e">
        <f t="shared" si="290"/>
        <v>#N/A</v>
      </c>
      <c r="AL312" t="e">
        <f t="shared" si="291"/>
        <v>#N/A</v>
      </c>
      <c r="AM312" t="e">
        <f t="shared" si="292"/>
        <v>#N/A</v>
      </c>
      <c r="AN312" t="e">
        <f t="shared" si="293"/>
        <v>#N/A</v>
      </c>
      <c r="AO312" t="e">
        <f t="shared" si="294"/>
        <v>#N/A</v>
      </c>
      <c r="AP312" t="e">
        <f t="shared" si="295"/>
        <v>#N/A</v>
      </c>
      <c r="AQ312" t="e">
        <f t="shared" si="296"/>
        <v>#N/A</v>
      </c>
      <c r="AR312" t="e">
        <f t="shared" si="297"/>
        <v>#N/A</v>
      </c>
      <c r="AS312" t="e">
        <f t="shared" si="298"/>
        <v>#N/A</v>
      </c>
      <c r="AT312" t="e">
        <f t="shared" si="299"/>
        <v>#N/A</v>
      </c>
      <c r="AU312" t="e">
        <f t="shared" si="300"/>
        <v>#N/A</v>
      </c>
      <c r="AV312" t="e">
        <f t="shared" si="301"/>
        <v>#N/A</v>
      </c>
      <c r="AW312" t="e">
        <f t="shared" si="302"/>
        <v>#N/A</v>
      </c>
      <c r="AX312" t="e">
        <f t="shared" si="303"/>
        <v>#N/A</v>
      </c>
      <c r="AY312" t="e">
        <f t="shared" si="304"/>
        <v>#N/A</v>
      </c>
      <c r="BE312" t="e">
        <f>IF(Z312=1,IF(INDEX($C$7:$C$126,V312)&gt;=Gantt!$BF$6,NA(),MATCH(INDEX($C$7:$C$126,V312),Gantt!$J$6:$BE$6,1)),NA())</f>
        <v>#N/A</v>
      </c>
      <c r="BF312" t="e">
        <f>IF(Z312=1,IF((INDEX($D$7:$D$126,AA312)-1)&gt;=Gantt!$BF$6,NA(),IF((INDEX($D$7:$D$126,AA312)-1)&lt;Gantt!$J$6,0,MATCH((INDEX($D$7:$D$126,AA312)-1),Gantt!$J$6:$BE$6,1))),NA())</f>
        <v>#N/A</v>
      </c>
      <c r="BG312" t="e">
        <f t="shared" si="305"/>
        <v>#N/A</v>
      </c>
      <c r="BH312" t="e">
        <f t="shared" si="306"/>
        <v>#N/A</v>
      </c>
      <c r="BI312" t="e">
        <f t="shared" si="307"/>
        <v>#N/A</v>
      </c>
      <c r="BJ312" t="e">
        <f t="shared" si="308"/>
        <v>#N/A</v>
      </c>
      <c r="BK312" t="e">
        <f t="shared" si="309"/>
        <v>#N/A</v>
      </c>
      <c r="BL312" t="e">
        <f t="shared" si="310"/>
        <v>#N/A</v>
      </c>
      <c r="BM312" t="e">
        <f t="shared" si="311"/>
        <v>#N/A</v>
      </c>
      <c r="BN312" t="e">
        <f t="shared" si="312"/>
        <v>#N/A</v>
      </c>
      <c r="BO312" t="e">
        <f t="shared" si="313"/>
        <v>#N/A</v>
      </c>
      <c r="BP312" t="e">
        <f t="shared" si="314"/>
        <v>#N/A</v>
      </c>
      <c r="BQ312" t="e">
        <f t="shared" si="315"/>
        <v>#N/A</v>
      </c>
      <c r="BR312" t="e">
        <f t="shared" si="316"/>
        <v>#N/A</v>
      </c>
      <c r="BS312" t="e">
        <f t="shared" si="317"/>
        <v>#N/A</v>
      </c>
      <c r="BT312" t="e">
        <f t="shared" si="318"/>
        <v>#N/A</v>
      </c>
      <c r="BU312" t="e">
        <f t="shared" si="319"/>
        <v>#N/A</v>
      </c>
      <c r="BV312" t="e">
        <f t="shared" si="320"/>
        <v>#N/A</v>
      </c>
      <c r="BW312" t="e">
        <f t="shared" si="321"/>
        <v>#N/A</v>
      </c>
      <c r="BX312" t="e">
        <f t="shared" si="322"/>
        <v>#N/A</v>
      </c>
      <c r="BY312" t="e">
        <f t="shared" si="323"/>
        <v>#N/A</v>
      </c>
      <c r="BZ312" t="e">
        <f t="shared" si="324"/>
        <v>#N/A</v>
      </c>
      <c r="CA312" t="e">
        <f t="shared" si="325"/>
        <v>#N/A</v>
      </c>
      <c r="CB312" t="e">
        <f t="shared" si="326"/>
        <v>#N/A</v>
      </c>
      <c r="CC312" t="e">
        <f t="shared" si="327"/>
        <v>#N/A</v>
      </c>
      <c r="CD312" t="e">
        <f t="shared" si="328"/>
        <v>#N/A</v>
      </c>
      <c r="CE312" t="e">
        <f t="shared" si="329"/>
        <v>#N/A</v>
      </c>
      <c r="CF312" t="e">
        <f t="shared" si="330"/>
        <v>#N/A</v>
      </c>
      <c r="CG312" t="e">
        <f t="shared" si="331"/>
        <v>#N/A</v>
      </c>
      <c r="CI312" t="e">
        <f>AT108</f>
        <v>#N/A</v>
      </c>
      <c r="CJ312" t="e">
        <f>AU108</f>
        <v>#N/A</v>
      </c>
      <c r="CK312">
        <f>IF(ISNUMBER(CI312),IFERROR(MAX(0,AV108-CI312),0),0)</f>
        <v>0</v>
      </c>
      <c r="CL312">
        <f>IF(ISNUMBER(CI312),IFERROR(MAX(0,CI312-AV108),0),0)</f>
        <v>0</v>
      </c>
      <c r="CM312">
        <f>IF(ISNUMBER(CJ312),IFERROR(MAX(0,AW108-CJ312),0),0)</f>
        <v>0</v>
      </c>
      <c r="CN312">
        <f>IF(ISNUMBER(CJ312),IFERROR(MAX(0,CJ312-AW108),0),0)</f>
        <v>0</v>
      </c>
      <c r="CP312" t="e">
        <f>CB108</f>
        <v>#N/A</v>
      </c>
      <c r="CQ312" t="e">
        <f>CC108</f>
        <v>#N/A</v>
      </c>
      <c r="CR312">
        <f>IF(ISNUMBER(CP312),IFERROR(MAX(0,CD108-CP312),0),0)</f>
        <v>0</v>
      </c>
      <c r="CS312">
        <f>IF(ISNUMBER(CP312),IFERROR(MAX(0,CP312-CD108),0),0)</f>
        <v>0</v>
      </c>
      <c r="CT312">
        <f>IF(ISNUMBER(CQ312),IFERROR(MAX(0,CE108-CQ312),0),0)</f>
        <v>0</v>
      </c>
      <c r="CU312">
        <f>IF(ISNUMBER(CQ312),IFERROR(MAX(0,CQ312-CE108),0),0)</f>
        <v>0</v>
      </c>
    </row>
    <row r="313" spans="21:99" x14ac:dyDescent="0.3">
      <c r="U313">
        <v>307</v>
      </c>
      <c r="V313">
        <f t="shared" si="276"/>
        <v>77</v>
      </c>
      <c r="W313">
        <f t="shared" si="277"/>
        <v>3</v>
      </c>
      <c r="X313">
        <f t="shared" si="278"/>
        <v>0</v>
      </c>
      <c r="Y313">
        <f>IF(X313&lt;&gt;1,9999,CHOOSE(W313,INDEX(Gantt!$BQ$7:$BQ$119,V313),INDEX(Gantt!$BR$7:$BR$119,V313),INDEX(Gantt!$BT$7:$BT$119,V313),INDEX(Gantt!$BU$7:$BU$119,V313)))</f>
        <v>9999</v>
      </c>
      <c r="Z313">
        <f t="shared" si="279"/>
        <v>0</v>
      </c>
      <c r="AA313" t="e">
        <f t="shared" si="280"/>
        <v>#N/A</v>
      </c>
      <c r="AB313" t="e">
        <f t="shared" si="281"/>
        <v>#N/A</v>
      </c>
      <c r="AC313" t="e">
        <f t="shared" si="282"/>
        <v>#N/A</v>
      </c>
      <c r="AD313" t="e">
        <f t="shared" si="283"/>
        <v>#N/A</v>
      </c>
      <c r="AE313" t="e">
        <f t="shared" si="284"/>
        <v>#N/A</v>
      </c>
      <c r="AF313" t="e">
        <f t="shared" si="285"/>
        <v>#N/A</v>
      </c>
      <c r="AG313" t="e">
        <f t="shared" si="286"/>
        <v>#N/A</v>
      </c>
      <c r="AH313" t="e">
        <f t="shared" si="287"/>
        <v>#N/A</v>
      </c>
      <c r="AI313" t="e">
        <f t="shared" si="288"/>
        <v>#N/A</v>
      </c>
      <c r="AJ313" t="e">
        <f t="shared" si="289"/>
        <v>#N/A</v>
      </c>
      <c r="AK313" t="e">
        <f t="shared" si="290"/>
        <v>#N/A</v>
      </c>
      <c r="AL313" t="e">
        <f t="shared" si="291"/>
        <v>#N/A</v>
      </c>
      <c r="AM313" t="e">
        <f t="shared" si="292"/>
        <v>#N/A</v>
      </c>
      <c r="AN313" t="e">
        <f t="shared" si="293"/>
        <v>#N/A</v>
      </c>
      <c r="AO313" t="e">
        <f t="shared" si="294"/>
        <v>#N/A</v>
      </c>
      <c r="AP313" t="e">
        <f t="shared" si="295"/>
        <v>#N/A</v>
      </c>
      <c r="AQ313" t="e">
        <f t="shared" si="296"/>
        <v>#N/A</v>
      </c>
      <c r="AR313" t="e">
        <f t="shared" si="297"/>
        <v>#N/A</v>
      </c>
      <c r="AS313" t="e">
        <f t="shared" si="298"/>
        <v>#N/A</v>
      </c>
      <c r="AT313" t="e">
        <f t="shared" si="299"/>
        <v>#N/A</v>
      </c>
      <c r="AU313" t="e">
        <f t="shared" si="300"/>
        <v>#N/A</v>
      </c>
      <c r="AV313" t="e">
        <f t="shared" si="301"/>
        <v>#N/A</v>
      </c>
      <c r="AW313" t="e">
        <f t="shared" si="302"/>
        <v>#N/A</v>
      </c>
      <c r="AX313" t="e">
        <f t="shared" si="303"/>
        <v>#N/A</v>
      </c>
      <c r="AY313" t="e">
        <f t="shared" si="304"/>
        <v>#N/A</v>
      </c>
      <c r="BE313" t="e">
        <f>IF(Z313=1,IF(INDEX($C$7:$C$126,V313)&gt;=Gantt!$BF$6,NA(),MATCH(INDEX($C$7:$C$126,V313),Gantt!$J$6:$BE$6,1)),NA())</f>
        <v>#N/A</v>
      </c>
      <c r="BF313" t="e">
        <f>IF(Z313=1,IF((INDEX($D$7:$D$126,AA313)-1)&gt;=Gantt!$BF$6,NA(),IF((INDEX($D$7:$D$126,AA313)-1)&lt;Gantt!$J$6,0,MATCH((INDEX($D$7:$D$126,AA313)-1),Gantt!$J$6:$BE$6,1))),NA())</f>
        <v>#N/A</v>
      </c>
      <c r="BG313" t="e">
        <f t="shared" si="305"/>
        <v>#N/A</v>
      </c>
      <c r="BH313" t="e">
        <f t="shared" si="306"/>
        <v>#N/A</v>
      </c>
      <c r="BI313" t="e">
        <f t="shared" si="307"/>
        <v>#N/A</v>
      </c>
      <c r="BJ313" t="e">
        <f t="shared" si="308"/>
        <v>#N/A</v>
      </c>
      <c r="BK313" t="e">
        <f t="shared" si="309"/>
        <v>#N/A</v>
      </c>
      <c r="BL313" t="e">
        <f t="shared" si="310"/>
        <v>#N/A</v>
      </c>
      <c r="BM313" t="e">
        <f t="shared" si="311"/>
        <v>#N/A</v>
      </c>
      <c r="BN313" t="e">
        <f t="shared" si="312"/>
        <v>#N/A</v>
      </c>
      <c r="BO313" t="e">
        <f t="shared" si="313"/>
        <v>#N/A</v>
      </c>
      <c r="BP313" t="e">
        <f t="shared" si="314"/>
        <v>#N/A</v>
      </c>
      <c r="BQ313" t="e">
        <f t="shared" si="315"/>
        <v>#N/A</v>
      </c>
      <c r="BR313" t="e">
        <f t="shared" si="316"/>
        <v>#N/A</v>
      </c>
      <c r="BS313" t="e">
        <f t="shared" si="317"/>
        <v>#N/A</v>
      </c>
      <c r="BT313" t="e">
        <f t="shared" si="318"/>
        <v>#N/A</v>
      </c>
      <c r="BU313" t="e">
        <f t="shared" si="319"/>
        <v>#N/A</v>
      </c>
      <c r="BV313" t="e">
        <f t="shared" si="320"/>
        <v>#N/A</v>
      </c>
      <c r="BW313" t="e">
        <f t="shared" si="321"/>
        <v>#N/A</v>
      </c>
      <c r="BX313" t="e">
        <f t="shared" si="322"/>
        <v>#N/A</v>
      </c>
      <c r="BY313" t="e">
        <f t="shared" si="323"/>
        <v>#N/A</v>
      </c>
      <c r="BZ313" t="e">
        <f t="shared" si="324"/>
        <v>#N/A</v>
      </c>
      <c r="CA313" t="e">
        <f t="shared" si="325"/>
        <v>#N/A</v>
      </c>
      <c r="CB313" t="e">
        <f t="shared" si="326"/>
        <v>#N/A</v>
      </c>
      <c r="CC313" t="e">
        <f t="shared" si="327"/>
        <v>#N/A</v>
      </c>
      <c r="CD313" t="e">
        <f t="shared" si="328"/>
        <v>#N/A</v>
      </c>
      <c r="CE313" t="e">
        <f t="shared" si="329"/>
        <v>#N/A</v>
      </c>
      <c r="CF313" t="e">
        <f t="shared" si="330"/>
        <v>#N/A</v>
      </c>
      <c r="CG313" t="e">
        <f t="shared" si="331"/>
        <v>#N/A</v>
      </c>
      <c r="CI313" t="e">
        <f>AL109</f>
        <v>#N/A</v>
      </c>
      <c r="CJ313" t="e">
        <f>AM109</f>
        <v>#N/A</v>
      </c>
      <c r="CK313">
        <f>IF(ISNUMBER(CI313),IFERROR(MAX(0,AN109-CI313),0),0)</f>
        <v>0</v>
      </c>
      <c r="CL313">
        <f>IF(ISNUMBER(CI313),IFERROR(MAX(0,CI313-AN109),0),0)</f>
        <v>0</v>
      </c>
      <c r="CM313">
        <f>IF(ISNUMBER(CJ313),IFERROR(MAX(0,AO109-CJ313),0),0)</f>
        <v>0</v>
      </c>
      <c r="CN313">
        <f>IF(ISNUMBER(CJ313),IFERROR(MAX(0,CJ313-AO109),0),0)</f>
        <v>0</v>
      </c>
      <c r="CP313" t="e">
        <f>BT109</f>
        <v>#N/A</v>
      </c>
      <c r="CQ313" t="e">
        <f>BU109</f>
        <v>#N/A</v>
      </c>
      <c r="CR313">
        <f>IF(ISNUMBER(CP313),IFERROR(MAX(0,BV109-CP313),0),0)</f>
        <v>0</v>
      </c>
      <c r="CS313">
        <f>IF(ISNUMBER(CP313),IFERROR(MAX(0,CP313-BV109),0),0)</f>
        <v>0</v>
      </c>
      <c r="CT313">
        <f>IF(ISNUMBER(CQ313),IFERROR(MAX(0,BW109-CQ313),0),0)</f>
        <v>0</v>
      </c>
      <c r="CU313">
        <f>IF(ISNUMBER(CQ313),IFERROR(MAX(0,CQ313-BW109),0),0)</f>
        <v>0</v>
      </c>
    </row>
    <row r="314" spans="21:99" x14ac:dyDescent="0.3">
      <c r="U314">
        <v>308</v>
      </c>
      <c r="V314">
        <f t="shared" si="276"/>
        <v>77</v>
      </c>
      <c r="W314">
        <f t="shared" si="277"/>
        <v>4</v>
      </c>
      <c r="X314">
        <f t="shared" si="278"/>
        <v>0</v>
      </c>
      <c r="Y314">
        <f>IF(X314&lt;&gt;1,9999,CHOOSE(W314,INDEX(Gantt!$BQ$7:$BQ$119,V314),INDEX(Gantt!$BR$7:$BR$119,V314),INDEX(Gantt!$BT$7:$BT$119,V314),INDEX(Gantt!$BU$7:$BU$119,V314)))</f>
        <v>9999</v>
      </c>
      <c r="Z314">
        <f t="shared" si="279"/>
        <v>0</v>
      </c>
      <c r="AA314" t="e">
        <f t="shared" si="280"/>
        <v>#N/A</v>
      </c>
      <c r="AB314" t="e">
        <f t="shared" si="281"/>
        <v>#N/A</v>
      </c>
      <c r="AC314" t="e">
        <f t="shared" si="282"/>
        <v>#N/A</v>
      </c>
      <c r="AD314" t="e">
        <f t="shared" si="283"/>
        <v>#N/A</v>
      </c>
      <c r="AE314" t="e">
        <f t="shared" si="284"/>
        <v>#N/A</v>
      </c>
      <c r="AF314" t="e">
        <f t="shared" si="285"/>
        <v>#N/A</v>
      </c>
      <c r="AG314" t="e">
        <f t="shared" si="286"/>
        <v>#N/A</v>
      </c>
      <c r="AH314" t="e">
        <f t="shared" si="287"/>
        <v>#N/A</v>
      </c>
      <c r="AI314" t="e">
        <f t="shared" si="288"/>
        <v>#N/A</v>
      </c>
      <c r="AJ314" t="e">
        <f t="shared" si="289"/>
        <v>#N/A</v>
      </c>
      <c r="AK314" t="e">
        <f t="shared" si="290"/>
        <v>#N/A</v>
      </c>
      <c r="AL314" t="e">
        <f t="shared" si="291"/>
        <v>#N/A</v>
      </c>
      <c r="AM314" t="e">
        <f t="shared" si="292"/>
        <v>#N/A</v>
      </c>
      <c r="AN314" t="e">
        <f t="shared" si="293"/>
        <v>#N/A</v>
      </c>
      <c r="AO314" t="e">
        <f t="shared" si="294"/>
        <v>#N/A</v>
      </c>
      <c r="AP314" t="e">
        <f t="shared" si="295"/>
        <v>#N/A</v>
      </c>
      <c r="AQ314" t="e">
        <f t="shared" si="296"/>
        <v>#N/A</v>
      </c>
      <c r="AR314" t="e">
        <f t="shared" si="297"/>
        <v>#N/A</v>
      </c>
      <c r="AS314" t="e">
        <f t="shared" si="298"/>
        <v>#N/A</v>
      </c>
      <c r="AT314" t="e">
        <f t="shared" si="299"/>
        <v>#N/A</v>
      </c>
      <c r="AU314" t="e">
        <f t="shared" si="300"/>
        <v>#N/A</v>
      </c>
      <c r="AV314" t="e">
        <f t="shared" si="301"/>
        <v>#N/A</v>
      </c>
      <c r="AW314" t="e">
        <f t="shared" si="302"/>
        <v>#N/A</v>
      </c>
      <c r="AX314" t="e">
        <f t="shared" si="303"/>
        <v>#N/A</v>
      </c>
      <c r="AY314" t="e">
        <f t="shared" si="304"/>
        <v>#N/A</v>
      </c>
      <c r="BE314" t="e">
        <f>IF(Z314=1,IF(INDEX($C$7:$C$126,V314)&gt;=Gantt!$BF$6,NA(),MATCH(INDEX($C$7:$C$126,V314),Gantt!$J$6:$BE$6,1)),NA())</f>
        <v>#N/A</v>
      </c>
      <c r="BF314" t="e">
        <f>IF(Z314=1,IF((INDEX($D$7:$D$126,AA314)-1)&gt;=Gantt!$BF$6,NA(),IF((INDEX($D$7:$D$126,AA314)-1)&lt;Gantt!$J$6,0,MATCH((INDEX($D$7:$D$126,AA314)-1),Gantt!$J$6:$BE$6,1))),NA())</f>
        <v>#N/A</v>
      </c>
      <c r="BG314" t="e">
        <f t="shared" si="305"/>
        <v>#N/A</v>
      </c>
      <c r="BH314" t="e">
        <f t="shared" si="306"/>
        <v>#N/A</v>
      </c>
      <c r="BI314" t="e">
        <f t="shared" si="307"/>
        <v>#N/A</v>
      </c>
      <c r="BJ314" t="e">
        <f t="shared" si="308"/>
        <v>#N/A</v>
      </c>
      <c r="BK314" t="e">
        <f t="shared" si="309"/>
        <v>#N/A</v>
      </c>
      <c r="BL314" t="e">
        <f t="shared" si="310"/>
        <v>#N/A</v>
      </c>
      <c r="BM314" t="e">
        <f t="shared" si="311"/>
        <v>#N/A</v>
      </c>
      <c r="BN314" t="e">
        <f t="shared" si="312"/>
        <v>#N/A</v>
      </c>
      <c r="BO314" t="e">
        <f t="shared" si="313"/>
        <v>#N/A</v>
      </c>
      <c r="BP314" t="e">
        <f t="shared" si="314"/>
        <v>#N/A</v>
      </c>
      <c r="BQ314" t="e">
        <f t="shared" si="315"/>
        <v>#N/A</v>
      </c>
      <c r="BR314" t="e">
        <f t="shared" si="316"/>
        <v>#N/A</v>
      </c>
      <c r="BS314" t="e">
        <f t="shared" si="317"/>
        <v>#N/A</v>
      </c>
      <c r="BT314" t="e">
        <f t="shared" si="318"/>
        <v>#N/A</v>
      </c>
      <c r="BU314" t="e">
        <f t="shared" si="319"/>
        <v>#N/A</v>
      </c>
      <c r="BV314" t="e">
        <f t="shared" si="320"/>
        <v>#N/A</v>
      </c>
      <c r="BW314" t="e">
        <f t="shared" si="321"/>
        <v>#N/A</v>
      </c>
      <c r="BX314" t="e">
        <f t="shared" si="322"/>
        <v>#N/A</v>
      </c>
      <c r="BY314" t="e">
        <f t="shared" si="323"/>
        <v>#N/A</v>
      </c>
      <c r="BZ314" t="e">
        <f t="shared" si="324"/>
        <v>#N/A</v>
      </c>
      <c r="CA314" t="e">
        <f t="shared" si="325"/>
        <v>#N/A</v>
      </c>
      <c r="CB314" t="e">
        <f t="shared" si="326"/>
        <v>#N/A</v>
      </c>
      <c r="CC314" t="e">
        <f t="shared" si="327"/>
        <v>#N/A</v>
      </c>
      <c r="CD314" t="e">
        <f t="shared" si="328"/>
        <v>#N/A</v>
      </c>
      <c r="CE314" t="e">
        <f t="shared" si="329"/>
        <v>#N/A</v>
      </c>
      <c r="CF314" t="e">
        <f t="shared" si="330"/>
        <v>#N/A</v>
      </c>
      <c r="CG314" t="e">
        <f t="shared" si="331"/>
        <v>#N/A</v>
      </c>
      <c r="CI314" t="e">
        <f>AP109</f>
        <v>#N/A</v>
      </c>
      <c r="CJ314" t="e">
        <f>AQ109</f>
        <v>#N/A</v>
      </c>
      <c r="CK314">
        <f>IF(ISNUMBER(CI314),IFERROR(MAX(0,AR109-CI314),0),0)</f>
        <v>0</v>
      </c>
      <c r="CL314">
        <f>IF(ISNUMBER(CI314),IFERROR(MAX(0,CI314-AR109),0),0)</f>
        <v>0</v>
      </c>
      <c r="CM314">
        <f>IF(ISNUMBER(CJ314),IFERROR(MAX(0,AS109-CJ314),0),0)</f>
        <v>0</v>
      </c>
      <c r="CN314">
        <f>IF(ISNUMBER(CJ314),IFERROR(MAX(0,CJ314-AS109),0),0)</f>
        <v>0</v>
      </c>
      <c r="CP314" t="e">
        <f>BX109</f>
        <v>#N/A</v>
      </c>
      <c r="CQ314" t="e">
        <f>BY109</f>
        <v>#N/A</v>
      </c>
      <c r="CR314">
        <f>IF(ISNUMBER(CP314),IFERROR(MAX(0,BZ109-CP314),0),0)</f>
        <v>0</v>
      </c>
      <c r="CS314">
        <f>IF(ISNUMBER(CP314),IFERROR(MAX(0,CP314-BZ109),0),0)</f>
        <v>0</v>
      </c>
      <c r="CT314">
        <f>IF(ISNUMBER(CQ314),IFERROR(MAX(0,CA109-CQ314),0),0)</f>
        <v>0</v>
      </c>
      <c r="CU314">
        <f>IF(ISNUMBER(CQ314),IFERROR(MAX(0,CQ314-CA109),0),0)</f>
        <v>0</v>
      </c>
    </row>
    <row r="315" spans="21:99" x14ac:dyDescent="0.3">
      <c r="U315">
        <v>309</v>
      </c>
      <c r="V315">
        <f t="shared" si="276"/>
        <v>78</v>
      </c>
      <c r="W315">
        <f t="shared" si="277"/>
        <v>1</v>
      </c>
      <c r="X315">
        <f t="shared" si="278"/>
        <v>0</v>
      </c>
      <c r="Y315">
        <f>IF(X315&lt;&gt;1,9999,CHOOSE(W315,INDEX(Gantt!$BQ$7:$BQ$119,V315),INDEX(Gantt!$BR$7:$BR$119,V315),INDEX(Gantt!$BT$7:$BT$119,V315),INDEX(Gantt!$BU$7:$BU$119,V315)))</f>
        <v>9999</v>
      </c>
      <c r="Z315">
        <f t="shared" si="279"/>
        <v>0</v>
      </c>
      <c r="AA315" t="e">
        <f t="shared" si="280"/>
        <v>#N/A</v>
      </c>
      <c r="AB315" t="e">
        <f t="shared" si="281"/>
        <v>#N/A</v>
      </c>
      <c r="AC315" t="e">
        <f t="shared" si="282"/>
        <v>#N/A</v>
      </c>
      <c r="AD315" t="e">
        <f t="shared" si="283"/>
        <v>#N/A</v>
      </c>
      <c r="AE315" t="e">
        <f t="shared" si="284"/>
        <v>#N/A</v>
      </c>
      <c r="AF315" t="e">
        <f t="shared" si="285"/>
        <v>#N/A</v>
      </c>
      <c r="AG315" t="e">
        <f t="shared" si="286"/>
        <v>#N/A</v>
      </c>
      <c r="AH315" t="e">
        <f t="shared" si="287"/>
        <v>#N/A</v>
      </c>
      <c r="AI315" t="e">
        <f t="shared" si="288"/>
        <v>#N/A</v>
      </c>
      <c r="AJ315" t="e">
        <f t="shared" si="289"/>
        <v>#N/A</v>
      </c>
      <c r="AK315" t="e">
        <f t="shared" si="290"/>
        <v>#N/A</v>
      </c>
      <c r="AL315" t="e">
        <f t="shared" si="291"/>
        <v>#N/A</v>
      </c>
      <c r="AM315" t="e">
        <f t="shared" si="292"/>
        <v>#N/A</v>
      </c>
      <c r="AN315" t="e">
        <f t="shared" si="293"/>
        <v>#N/A</v>
      </c>
      <c r="AO315" t="e">
        <f t="shared" si="294"/>
        <v>#N/A</v>
      </c>
      <c r="AP315" t="e">
        <f t="shared" si="295"/>
        <v>#N/A</v>
      </c>
      <c r="AQ315" t="e">
        <f t="shared" si="296"/>
        <v>#N/A</v>
      </c>
      <c r="AR315" t="e">
        <f t="shared" si="297"/>
        <v>#N/A</v>
      </c>
      <c r="AS315" t="e">
        <f t="shared" si="298"/>
        <v>#N/A</v>
      </c>
      <c r="AT315" t="e">
        <f t="shared" si="299"/>
        <v>#N/A</v>
      </c>
      <c r="AU315" t="e">
        <f t="shared" si="300"/>
        <v>#N/A</v>
      </c>
      <c r="AV315" t="e">
        <f t="shared" si="301"/>
        <v>#N/A</v>
      </c>
      <c r="AW315" t="e">
        <f t="shared" si="302"/>
        <v>#N/A</v>
      </c>
      <c r="AX315" t="e">
        <f t="shared" si="303"/>
        <v>#N/A</v>
      </c>
      <c r="AY315" t="e">
        <f t="shared" si="304"/>
        <v>#N/A</v>
      </c>
      <c r="BE315" t="e">
        <f>IF(Z315=1,IF(INDEX($C$7:$C$126,V315)&gt;=Gantt!$BF$6,NA(),MATCH(INDEX($C$7:$C$126,V315),Gantt!$J$6:$BE$6,1)),NA())</f>
        <v>#N/A</v>
      </c>
      <c r="BF315" t="e">
        <f>IF(Z315=1,IF((INDEX($D$7:$D$126,AA315)-1)&gt;=Gantt!$BF$6,NA(),IF((INDEX($D$7:$D$126,AA315)-1)&lt;Gantt!$J$6,0,MATCH((INDEX($D$7:$D$126,AA315)-1),Gantt!$J$6:$BE$6,1))),NA())</f>
        <v>#N/A</v>
      </c>
      <c r="BG315" t="e">
        <f t="shared" si="305"/>
        <v>#N/A</v>
      </c>
      <c r="BH315" t="e">
        <f t="shared" si="306"/>
        <v>#N/A</v>
      </c>
      <c r="BI315" t="e">
        <f t="shared" si="307"/>
        <v>#N/A</v>
      </c>
      <c r="BJ315" t="e">
        <f t="shared" si="308"/>
        <v>#N/A</v>
      </c>
      <c r="BK315" t="e">
        <f t="shared" si="309"/>
        <v>#N/A</v>
      </c>
      <c r="BL315" t="e">
        <f t="shared" si="310"/>
        <v>#N/A</v>
      </c>
      <c r="BM315" t="e">
        <f t="shared" si="311"/>
        <v>#N/A</v>
      </c>
      <c r="BN315" t="e">
        <f t="shared" si="312"/>
        <v>#N/A</v>
      </c>
      <c r="BO315" t="e">
        <f t="shared" si="313"/>
        <v>#N/A</v>
      </c>
      <c r="BP315" t="e">
        <f t="shared" si="314"/>
        <v>#N/A</v>
      </c>
      <c r="BQ315" t="e">
        <f t="shared" si="315"/>
        <v>#N/A</v>
      </c>
      <c r="BR315" t="e">
        <f t="shared" si="316"/>
        <v>#N/A</v>
      </c>
      <c r="BS315" t="e">
        <f t="shared" si="317"/>
        <v>#N/A</v>
      </c>
      <c r="BT315" t="e">
        <f t="shared" si="318"/>
        <v>#N/A</v>
      </c>
      <c r="BU315" t="e">
        <f t="shared" si="319"/>
        <v>#N/A</v>
      </c>
      <c r="BV315" t="e">
        <f t="shared" si="320"/>
        <v>#N/A</v>
      </c>
      <c r="BW315" t="e">
        <f t="shared" si="321"/>
        <v>#N/A</v>
      </c>
      <c r="BX315" t="e">
        <f t="shared" si="322"/>
        <v>#N/A</v>
      </c>
      <c r="BY315" t="e">
        <f t="shared" si="323"/>
        <v>#N/A</v>
      </c>
      <c r="BZ315" t="e">
        <f t="shared" si="324"/>
        <v>#N/A</v>
      </c>
      <c r="CA315" t="e">
        <f t="shared" si="325"/>
        <v>#N/A</v>
      </c>
      <c r="CB315" t="e">
        <f t="shared" si="326"/>
        <v>#N/A</v>
      </c>
      <c r="CC315" t="e">
        <f t="shared" si="327"/>
        <v>#N/A</v>
      </c>
      <c r="CD315" t="e">
        <f t="shared" si="328"/>
        <v>#N/A</v>
      </c>
      <c r="CE315" t="e">
        <f t="shared" si="329"/>
        <v>#N/A</v>
      </c>
      <c r="CF315" t="e">
        <f t="shared" si="330"/>
        <v>#N/A</v>
      </c>
      <c r="CG315" t="e">
        <f t="shared" si="331"/>
        <v>#N/A</v>
      </c>
      <c r="CI315" t="e">
        <f>AT109</f>
        <v>#N/A</v>
      </c>
      <c r="CJ315" t="e">
        <f>AU109</f>
        <v>#N/A</v>
      </c>
      <c r="CK315">
        <f>IF(ISNUMBER(CI315),IFERROR(MAX(0,AV109-CI315),0),0)</f>
        <v>0</v>
      </c>
      <c r="CL315">
        <f>IF(ISNUMBER(CI315),IFERROR(MAX(0,CI315-AV109),0),0)</f>
        <v>0</v>
      </c>
      <c r="CM315">
        <f>IF(ISNUMBER(CJ315),IFERROR(MAX(0,AW109-CJ315),0),0)</f>
        <v>0</v>
      </c>
      <c r="CN315">
        <f>IF(ISNUMBER(CJ315),IFERROR(MAX(0,CJ315-AW109),0),0)</f>
        <v>0</v>
      </c>
      <c r="CP315" t="e">
        <f>CB109</f>
        <v>#N/A</v>
      </c>
      <c r="CQ315" t="e">
        <f>CC109</f>
        <v>#N/A</v>
      </c>
      <c r="CR315">
        <f>IF(ISNUMBER(CP315),IFERROR(MAX(0,CD109-CP315),0),0)</f>
        <v>0</v>
      </c>
      <c r="CS315">
        <f>IF(ISNUMBER(CP315),IFERROR(MAX(0,CP315-CD109),0),0)</f>
        <v>0</v>
      </c>
      <c r="CT315">
        <f>IF(ISNUMBER(CQ315),IFERROR(MAX(0,CE109-CQ315),0),0)</f>
        <v>0</v>
      </c>
      <c r="CU315">
        <f>IF(ISNUMBER(CQ315),IFERROR(MAX(0,CQ315-CE109),0),0)</f>
        <v>0</v>
      </c>
    </row>
    <row r="316" spans="21:99" x14ac:dyDescent="0.3">
      <c r="U316">
        <v>310</v>
      </c>
      <c r="V316">
        <f t="shared" si="276"/>
        <v>78</v>
      </c>
      <c r="W316">
        <f t="shared" si="277"/>
        <v>2</v>
      </c>
      <c r="X316">
        <f t="shared" si="278"/>
        <v>0</v>
      </c>
      <c r="Y316">
        <f>IF(X316&lt;&gt;1,9999,CHOOSE(W316,INDEX(Gantt!$BQ$7:$BQ$119,V316),INDEX(Gantt!$BR$7:$BR$119,V316),INDEX(Gantt!$BT$7:$BT$119,V316),INDEX(Gantt!$BU$7:$BU$119,V316)))</f>
        <v>9999</v>
      </c>
      <c r="Z316">
        <f t="shared" si="279"/>
        <v>0</v>
      </c>
      <c r="AA316" t="e">
        <f t="shared" si="280"/>
        <v>#N/A</v>
      </c>
      <c r="AB316" t="e">
        <f t="shared" si="281"/>
        <v>#N/A</v>
      </c>
      <c r="AC316" t="e">
        <f t="shared" si="282"/>
        <v>#N/A</v>
      </c>
      <c r="AD316" t="e">
        <f t="shared" si="283"/>
        <v>#N/A</v>
      </c>
      <c r="AE316" t="e">
        <f t="shared" si="284"/>
        <v>#N/A</v>
      </c>
      <c r="AF316" t="e">
        <f t="shared" si="285"/>
        <v>#N/A</v>
      </c>
      <c r="AG316" t="e">
        <f t="shared" si="286"/>
        <v>#N/A</v>
      </c>
      <c r="AH316" t="e">
        <f t="shared" si="287"/>
        <v>#N/A</v>
      </c>
      <c r="AI316" t="e">
        <f t="shared" si="288"/>
        <v>#N/A</v>
      </c>
      <c r="AJ316" t="e">
        <f t="shared" si="289"/>
        <v>#N/A</v>
      </c>
      <c r="AK316" t="e">
        <f t="shared" si="290"/>
        <v>#N/A</v>
      </c>
      <c r="AL316" t="e">
        <f t="shared" si="291"/>
        <v>#N/A</v>
      </c>
      <c r="AM316" t="e">
        <f t="shared" si="292"/>
        <v>#N/A</v>
      </c>
      <c r="AN316" t="e">
        <f t="shared" si="293"/>
        <v>#N/A</v>
      </c>
      <c r="AO316" t="e">
        <f t="shared" si="294"/>
        <v>#N/A</v>
      </c>
      <c r="AP316" t="e">
        <f t="shared" si="295"/>
        <v>#N/A</v>
      </c>
      <c r="AQ316" t="e">
        <f t="shared" si="296"/>
        <v>#N/A</v>
      </c>
      <c r="AR316" t="e">
        <f t="shared" si="297"/>
        <v>#N/A</v>
      </c>
      <c r="AS316" t="e">
        <f t="shared" si="298"/>
        <v>#N/A</v>
      </c>
      <c r="AT316" t="e">
        <f t="shared" si="299"/>
        <v>#N/A</v>
      </c>
      <c r="AU316" t="e">
        <f t="shared" si="300"/>
        <v>#N/A</v>
      </c>
      <c r="AV316" t="e">
        <f t="shared" si="301"/>
        <v>#N/A</v>
      </c>
      <c r="AW316" t="e">
        <f t="shared" si="302"/>
        <v>#N/A</v>
      </c>
      <c r="AX316" t="e">
        <f t="shared" si="303"/>
        <v>#N/A</v>
      </c>
      <c r="AY316" t="e">
        <f t="shared" si="304"/>
        <v>#N/A</v>
      </c>
      <c r="BE316" t="e">
        <f>IF(Z316=1,IF(INDEX($C$7:$C$126,V316)&gt;=Gantt!$BF$6,NA(),MATCH(INDEX($C$7:$C$126,V316),Gantt!$J$6:$BE$6,1)),NA())</f>
        <v>#N/A</v>
      </c>
      <c r="BF316" t="e">
        <f>IF(Z316=1,IF((INDEX($D$7:$D$126,AA316)-1)&gt;=Gantt!$BF$6,NA(),IF((INDEX($D$7:$D$126,AA316)-1)&lt;Gantt!$J$6,0,MATCH((INDEX($D$7:$D$126,AA316)-1),Gantt!$J$6:$BE$6,1))),NA())</f>
        <v>#N/A</v>
      </c>
      <c r="BG316" t="e">
        <f t="shared" si="305"/>
        <v>#N/A</v>
      </c>
      <c r="BH316" t="e">
        <f t="shared" si="306"/>
        <v>#N/A</v>
      </c>
      <c r="BI316" t="e">
        <f t="shared" si="307"/>
        <v>#N/A</v>
      </c>
      <c r="BJ316" t="e">
        <f t="shared" si="308"/>
        <v>#N/A</v>
      </c>
      <c r="BK316" t="e">
        <f t="shared" si="309"/>
        <v>#N/A</v>
      </c>
      <c r="BL316" t="e">
        <f t="shared" si="310"/>
        <v>#N/A</v>
      </c>
      <c r="BM316" t="e">
        <f t="shared" si="311"/>
        <v>#N/A</v>
      </c>
      <c r="BN316" t="e">
        <f t="shared" si="312"/>
        <v>#N/A</v>
      </c>
      <c r="BO316" t="e">
        <f t="shared" si="313"/>
        <v>#N/A</v>
      </c>
      <c r="BP316" t="e">
        <f t="shared" si="314"/>
        <v>#N/A</v>
      </c>
      <c r="BQ316" t="e">
        <f t="shared" si="315"/>
        <v>#N/A</v>
      </c>
      <c r="BR316" t="e">
        <f t="shared" si="316"/>
        <v>#N/A</v>
      </c>
      <c r="BS316" t="e">
        <f t="shared" si="317"/>
        <v>#N/A</v>
      </c>
      <c r="BT316" t="e">
        <f t="shared" si="318"/>
        <v>#N/A</v>
      </c>
      <c r="BU316" t="e">
        <f t="shared" si="319"/>
        <v>#N/A</v>
      </c>
      <c r="BV316" t="e">
        <f t="shared" si="320"/>
        <v>#N/A</v>
      </c>
      <c r="BW316" t="e">
        <f t="shared" si="321"/>
        <v>#N/A</v>
      </c>
      <c r="BX316" t="e">
        <f t="shared" si="322"/>
        <v>#N/A</v>
      </c>
      <c r="BY316" t="e">
        <f t="shared" si="323"/>
        <v>#N/A</v>
      </c>
      <c r="BZ316" t="e">
        <f t="shared" si="324"/>
        <v>#N/A</v>
      </c>
      <c r="CA316" t="e">
        <f t="shared" si="325"/>
        <v>#N/A</v>
      </c>
      <c r="CB316" t="e">
        <f t="shared" si="326"/>
        <v>#N/A</v>
      </c>
      <c r="CC316" t="e">
        <f t="shared" si="327"/>
        <v>#N/A</v>
      </c>
      <c r="CD316" t="e">
        <f t="shared" si="328"/>
        <v>#N/A</v>
      </c>
      <c r="CE316" t="e">
        <f t="shared" si="329"/>
        <v>#N/A</v>
      </c>
      <c r="CF316" t="e">
        <f t="shared" si="330"/>
        <v>#N/A</v>
      </c>
      <c r="CG316" t="e">
        <f t="shared" si="331"/>
        <v>#N/A</v>
      </c>
      <c r="CI316" t="e">
        <f>AL110</f>
        <v>#N/A</v>
      </c>
      <c r="CJ316" t="e">
        <f>AM110</f>
        <v>#N/A</v>
      </c>
      <c r="CK316">
        <f>IF(ISNUMBER(CI316),IFERROR(MAX(0,AN110-CI316),0),0)</f>
        <v>0</v>
      </c>
      <c r="CL316">
        <f>IF(ISNUMBER(CI316),IFERROR(MAX(0,CI316-AN110),0),0)</f>
        <v>0</v>
      </c>
      <c r="CM316">
        <f>IF(ISNUMBER(CJ316),IFERROR(MAX(0,AO110-CJ316),0),0)</f>
        <v>0</v>
      </c>
      <c r="CN316">
        <f>IF(ISNUMBER(CJ316),IFERROR(MAX(0,CJ316-AO110),0),0)</f>
        <v>0</v>
      </c>
      <c r="CP316" t="e">
        <f>BT110</f>
        <v>#N/A</v>
      </c>
      <c r="CQ316" t="e">
        <f>BU110</f>
        <v>#N/A</v>
      </c>
      <c r="CR316">
        <f>IF(ISNUMBER(CP316),IFERROR(MAX(0,BV110-CP316),0),0)</f>
        <v>0</v>
      </c>
      <c r="CS316">
        <f>IF(ISNUMBER(CP316),IFERROR(MAX(0,CP316-BV110),0),0)</f>
        <v>0</v>
      </c>
      <c r="CT316">
        <f>IF(ISNUMBER(CQ316),IFERROR(MAX(0,BW110-CQ316),0),0)</f>
        <v>0</v>
      </c>
      <c r="CU316">
        <f>IF(ISNUMBER(CQ316),IFERROR(MAX(0,CQ316-BW110),0),0)</f>
        <v>0</v>
      </c>
    </row>
    <row r="317" spans="21:99" x14ac:dyDescent="0.3">
      <c r="U317">
        <v>311</v>
      </c>
      <c r="V317">
        <f t="shared" si="276"/>
        <v>78</v>
      </c>
      <c r="W317">
        <f t="shared" si="277"/>
        <v>3</v>
      </c>
      <c r="X317">
        <f t="shared" si="278"/>
        <v>0</v>
      </c>
      <c r="Y317">
        <f>IF(X317&lt;&gt;1,9999,CHOOSE(W317,INDEX(Gantt!$BQ$7:$BQ$119,V317),INDEX(Gantt!$BR$7:$BR$119,V317),INDEX(Gantt!$BT$7:$BT$119,V317),INDEX(Gantt!$BU$7:$BU$119,V317)))</f>
        <v>9999</v>
      </c>
      <c r="Z317">
        <f t="shared" si="279"/>
        <v>0</v>
      </c>
      <c r="AA317" t="e">
        <f t="shared" si="280"/>
        <v>#N/A</v>
      </c>
      <c r="AB317" t="e">
        <f t="shared" si="281"/>
        <v>#N/A</v>
      </c>
      <c r="AC317" t="e">
        <f t="shared" si="282"/>
        <v>#N/A</v>
      </c>
      <c r="AD317" t="e">
        <f t="shared" si="283"/>
        <v>#N/A</v>
      </c>
      <c r="AE317" t="e">
        <f t="shared" si="284"/>
        <v>#N/A</v>
      </c>
      <c r="AF317" t="e">
        <f t="shared" si="285"/>
        <v>#N/A</v>
      </c>
      <c r="AG317" t="e">
        <f t="shared" si="286"/>
        <v>#N/A</v>
      </c>
      <c r="AH317" t="e">
        <f t="shared" si="287"/>
        <v>#N/A</v>
      </c>
      <c r="AI317" t="e">
        <f t="shared" si="288"/>
        <v>#N/A</v>
      </c>
      <c r="AJ317" t="e">
        <f t="shared" si="289"/>
        <v>#N/A</v>
      </c>
      <c r="AK317" t="e">
        <f t="shared" si="290"/>
        <v>#N/A</v>
      </c>
      <c r="AL317" t="e">
        <f t="shared" si="291"/>
        <v>#N/A</v>
      </c>
      <c r="AM317" t="e">
        <f t="shared" si="292"/>
        <v>#N/A</v>
      </c>
      <c r="AN317" t="e">
        <f t="shared" si="293"/>
        <v>#N/A</v>
      </c>
      <c r="AO317" t="e">
        <f t="shared" si="294"/>
        <v>#N/A</v>
      </c>
      <c r="AP317" t="e">
        <f t="shared" si="295"/>
        <v>#N/A</v>
      </c>
      <c r="AQ317" t="e">
        <f t="shared" si="296"/>
        <v>#N/A</v>
      </c>
      <c r="AR317" t="e">
        <f t="shared" si="297"/>
        <v>#N/A</v>
      </c>
      <c r="AS317" t="e">
        <f t="shared" si="298"/>
        <v>#N/A</v>
      </c>
      <c r="AT317" t="e">
        <f t="shared" si="299"/>
        <v>#N/A</v>
      </c>
      <c r="AU317" t="e">
        <f t="shared" si="300"/>
        <v>#N/A</v>
      </c>
      <c r="AV317" t="e">
        <f t="shared" si="301"/>
        <v>#N/A</v>
      </c>
      <c r="AW317" t="e">
        <f t="shared" si="302"/>
        <v>#N/A</v>
      </c>
      <c r="AX317" t="e">
        <f t="shared" si="303"/>
        <v>#N/A</v>
      </c>
      <c r="AY317" t="e">
        <f t="shared" si="304"/>
        <v>#N/A</v>
      </c>
      <c r="BE317" t="e">
        <f>IF(Z317=1,IF(INDEX($C$7:$C$126,V317)&gt;=Gantt!$BF$6,NA(),MATCH(INDEX($C$7:$C$126,V317),Gantt!$J$6:$BE$6,1)),NA())</f>
        <v>#N/A</v>
      </c>
      <c r="BF317" t="e">
        <f>IF(Z317=1,IF((INDEX($D$7:$D$126,AA317)-1)&gt;=Gantt!$BF$6,NA(),IF((INDEX($D$7:$D$126,AA317)-1)&lt;Gantt!$J$6,0,MATCH((INDEX($D$7:$D$126,AA317)-1),Gantt!$J$6:$BE$6,1))),NA())</f>
        <v>#N/A</v>
      </c>
      <c r="BG317" t="e">
        <f t="shared" si="305"/>
        <v>#N/A</v>
      </c>
      <c r="BH317" t="e">
        <f t="shared" si="306"/>
        <v>#N/A</v>
      </c>
      <c r="BI317" t="e">
        <f t="shared" si="307"/>
        <v>#N/A</v>
      </c>
      <c r="BJ317" t="e">
        <f t="shared" si="308"/>
        <v>#N/A</v>
      </c>
      <c r="BK317" t="e">
        <f t="shared" si="309"/>
        <v>#N/A</v>
      </c>
      <c r="BL317" t="e">
        <f t="shared" si="310"/>
        <v>#N/A</v>
      </c>
      <c r="BM317" t="e">
        <f t="shared" si="311"/>
        <v>#N/A</v>
      </c>
      <c r="BN317" t="e">
        <f t="shared" si="312"/>
        <v>#N/A</v>
      </c>
      <c r="BO317" t="e">
        <f t="shared" si="313"/>
        <v>#N/A</v>
      </c>
      <c r="BP317" t="e">
        <f t="shared" si="314"/>
        <v>#N/A</v>
      </c>
      <c r="BQ317" t="e">
        <f t="shared" si="315"/>
        <v>#N/A</v>
      </c>
      <c r="BR317" t="e">
        <f t="shared" si="316"/>
        <v>#N/A</v>
      </c>
      <c r="BS317" t="e">
        <f t="shared" si="317"/>
        <v>#N/A</v>
      </c>
      <c r="BT317" t="e">
        <f t="shared" si="318"/>
        <v>#N/A</v>
      </c>
      <c r="BU317" t="e">
        <f t="shared" si="319"/>
        <v>#N/A</v>
      </c>
      <c r="BV317" t="e">
        <f t="shared" si="320"/>
        <v>#N/A</v>
      </c>
      <c r="BW317" t="e">
        <f t="shared" si="321"/>
        <v>#N/A</v>
      </c>
      <c r="BX317" t="e">
        <f t="shared" si="322"/>
        <v>#N/A</v>
      </c>
      <c r="BY317" t="e">
        <f t="shared" si="323"/>
        <v>#N/A</v>
      </c>
      <c r="BZ317" t="e">
        <f t="shared" si="324"/>
        <v>#N/A</v>
      </c>
      <c r="CA317" t="e">
        <f t="shared" si="325"/>
        <v>#N/A</v>
      </c>
      <c r="CB317" t="e">
        <f t="shared" si="326"/>
        <v>#N/A</v>
      </c>
      <c r="CC317" t="e">
        <f t="shared" si="327"/>
        <v>#N/A</v>
      </c>
      <c r="CD317" t="e">
        <f t="shared" si="328"/>
        <v>#N/A</v>
      </c>
      <c r="CE317" t="e">
        <f t="shared" si="329"/>
        <v>#N/A</v>
      </c>
      <c r="CF317" t="e">
        <f t="shared" si="330"/>
        <v>#N/A</v>
      </c>
      <c r="CG317" t="e">
        <f t="shared" si="331"/>
        <v>#N/A</v>
      </c>
      <c r="CI317" t="e">
        <f>AP110</f>
        <v>#N/A</v>
      </c>
      <c r="CJ317" t="e">
        <f>AQ110</f>
        <v>#N/A</v>
      </c>
      <c r="CK317">
        <f>IF(ISNUMBER(CI317),IFERROR(MAX(0,AR110-CI317),0),0)</f>
        <v>0</v>
      </c>
      <c r="CL317">
        <f>IF(ISNUMBER(CI317),IFERROR(MAX(0,CI317-AR110),0),0)</f>
        <v>0</v>
      </c>
      <c r="CM317">
        <f>IF(ISNUMBER(CJ317),IFERROR(MAX(0,AS110-CJ317),0),0)</f>
        <v>0</v>
      </c>
      <c r="CN317">
        <f>IF(ISNUMBER(CJ317),IFERROR(MAX(0,CJ317-AS110),0),0)</f>
        <v>0</v>
      </c>
      <c r="CP317" t="e">
        <f>BX110</f>
        <v>#N/A</v>
      </c>
      <c r="CQ317" t="e">
        <f>BY110</f>
        <v>#N/A</v>
      </c>
      <c r="CR317">
        <f>IF(ISNUMBER(CP317),IFERROR(MAX(0,BZ110-CP317),0),0)</f>
        <v>0</v>
      </c>
      <c r="CS317">
        <f>IF(ISNUMBER(CP317),IFERROR(MAX(0,CP317-BZ110),0),0)</f>
        <v>0</v>
      </c>
      <c r="CT317">
        <f>IF(ISNUMBER(CQ317),IFERROR(MAX(0,CA110-CQ317),0),0)</f>
        <v>0</v>
      </c>
      <c r="CU317">
        <f>IF(ISNUMBER(CQ317),IFERROR(MAX(0,CQ317-CA110),0),0)</f>
        <v>0</v>
      </c>
    </row>
    <row r="318" spans="21:99" x14ac:dyDescent="0.3">
      <c r="U318">
        <v>312</v>
      </c>
      <c r="V318">
        <f t="shared" si="276"/>
        <v>78</v>
      </c>
      <c r="W318">
        <f t="shared" si="277"/>
        <v>4</v>
      </c>
      <c r="X318">
        <f t="shared" si="278"/>
        <v>0</v>
      </c>
      <c r="Y318">
        <f>IF(X318&lt;&gt;1,9999,CHOOSE(W318,INDEX(Gantt!$BQ$7:$BQ$119,V318),INDEX(Gantt!$BR$7:$BR$119,V318),INDEX(Gantt!$BT$7:$BT$119,V318),INDEX(Gantt!$BU$7:$BU$119,V318)))</f>
        <v>9999</v>
      </c>
      <c r="Z318">
        <f t="shared" si="279"/>
        <v>0</v>
      </c>
      <c r="AA318" t="e">
        <f t="shared" si="280"/>
        <v>#N/A</v>
      </c>
      <c r="AB318" t="e">
        <f t="shared" si="281"/>
        <v>#N/A</v>
      </c>
      <c r="AC318" t="e">
        <f t="shared" si="282"/>
        <v>#N/A</v>
      </c>
      <c r="AD318" t="e">
        <f t="shared" si="283"/>
        <v>#N/A</v>
      </c>
      <c r="AE318" t="e">
        <f t="shared" si="284"/>
        <v>#N/A</v>
      </c>
      <c r="AF318" t="e">
        <f t="shared" si="285"/>
        <v>#N/A</v>
      </c>
      <c r="AG318" t="e">
        <f t="shared" si="286"/>
        <v>#N/A</v>
      </c>
      <c r="AH318" t="e">
        <f t="shared" si="287"/>
        <v>#N/A</v>
      </c>
      <c r="AI318" t="e">
        <f t="shared" si="288"/>
        <v>#N/A</v>
      </c>
      <c r="AJ318" t="e">
        <f t="shared" si="289"/>
        <v>#N/A</v>
      </c>
      <c r="AK318" t="e">
        <f t="shared" si="290"/>
        <v>#N/A</v>
      </c>
      <c r="AL318" t="e">
        <f t="shared" si="291"/>
        <v>#N/A</v>
      </c>
      <c r="AM318" t="e">
        <f t="shared" si="292"/>
        <v>#N/A</v>
      </c>
      <c r="AN318" t="e">
        <f t="shared" si="293"/>
        <v>#N/A</v>
      </c>
      <c r="AO318" t="e">
        <f t="shared" si="294"/>
        <v>#N/A</v>
      </c>
      <c r="AP318" t="e">
        <f t="shared" si="295"/>
        <v>#N/A</v>
      </c>
      <c r="AQ318" t="e">
        <f t="shared" si="296"/>
        <v>#N/A</v>
      </c>
      <c r="AR318" t="e">
        <f t="shared" si="297"/>
        <v>#N/A</v>
      </c>
      <c r="AS318" t="e">
        <f t="shared" si="298"/>
        <v>#N/A</v>
      </c>
      <c r="AT318" t="e">
        <f t="shared" si="299"/>
        <v>#N/A</v>
      </c>
      <c r="AU318" t="e">
        <f t="shared" si="300"/>
        <v>#N/A</v>
      </c>
      <c r="AV318" t="e">
        <f t="shared" si="301"/>
        <v>#N/A</v>
      </c>
      <c r="AW318" t="e">
        <f t="shared" si="302"/>
        <v>#N/A</v>
      </c>
      <c r="AX318" t="e">
        <f t="shared" si="303"/>
        <v>#N/A</v>
      </c>
      <c r="AY318" t="e">
        <f t="shared" si="304"/>
        <v>#N/A</v>
      </c>
      <c r="BE318" t="e">
        <f>IF(Z318=1,IF(INDEX($C$7:$C$126,V318)&gt;=Gantt!$BF$6,NA(),MATCH(INDEX($C$7:$C$126,V318),Gantt!$J$6:$BE$6,1)),NA())</f>
        <v>#N/A</v>
      </c>
      <c r="BF318" t="e">
        <f>IF(Z318=1,IF((INDEX($D$7:$D$126,AA318)-1)&gt;=Gantt!$BF$6,NA(),IF((INDEX($D$7:$D$126,AA318)-1)&lt;Gantt!$J$6,0,MATCH((INDEX($D$7:$D$126,AA318)-1),Gantt!$J$6:$BE$6,1))),NA())</f>
        <v>#N/A</v>
      </c>
      <c r="BG318" t="e">
        <f t="shared" si="305"/>
        <v>#N/A</v>
      </c>
      <c r="BH318" t="e">
        <f t="shared" si="306"/>
        <v>#N/A</v>
      </c>
      <c r="BI318" t="e">
        <f t="shared" si="307"/>
        <v>#N/A</v>
      </c>
      <c r="BJ318" t="e">
        <f t="shared" si="308"/>
        <v>#N/A</v>
      </c>
      <c r="BK318" t="e">
        <f t="shared" si="309"/>
        <v>#N/A</v>
      </c>
      <c r="BL318" t="e">
        <f t="shared" si="310"/>
        <v>#N/A</v>
      </c>
      <c r="BM318" t="e">
        <f t="shared" si="311"/>
        <v>#N/A</v>
      </c>
      <c r="BN318" t="e">
        <f t="shared" si="312"/>
        <v>#N/A</v>
      </c>
      <c r="BO318" t="e">
        <f t="shared" si="313"/>
        <v>#N/A</v>
      </c>
      <c r="BP318" t="e">
        <f t="shared" si="314"/>
        <v>#N/A</v>
      </c>
      <c r="BQ318" t="e">
        <f t="shared" si="315"/>
        <v>#N/A</v>
      </c>
      <c r="BR318" t="e">
        <f t="shared" si="316"/>
        <v>#N/A</v>
      </c>
      <c r="BS318" t="e">
        <f t="shared" si="317"/>
        <v>#N/A</v>
      </c>
      <c r="BT318" t="e">
        <f t="shared" si="318"/>
        <v>#N/A</v>
      </c>
      <c r="BU318" t="e">
        <f t="shared" si="319"/>
        <v>#N/A</v>
      </c>
      <c r="BV318" t="e">
        <f t="shared" si="320"/>
        <v>#N/A</v>
      </c>
      <c r="BW318" t="e">
        <f t="shared" si="321"/>
        <v>#N/A</v>
      </c>
      <c r="BX318" t="e">
        <f t="shared" si="322"/>
        <v>#N/A</v>
      </c>
      <c r="BY318" t="e">
        <f t="shared" si="323"/>
        <v>#N/A</v>
      </c>
      <c r="BZ318" t="e">
        <f t="shared" si="324"/>
        <v>#N/A</v>
      </c>
      <c r="CA318" t="e">
        <f t="shared" si="325"/>
        <v>#N/A</v>
      </c>
      <c r="CB318" t="e">
        <f t="shared" si="326"/>
        <v>#N/A</v>
      </c>
      <c r="CC318" t="e">
        <f t="shared" si="327"/>
        <v>#N/A</v>
      </c>
      <c r="CD318" t="e">
        <f t="shared" si="328"/>
        <v>#N/A</v>
      </c>
      <c r="CE318" t="e">
        <f t="shared" si="329"/>
        <v>#N/A</v>
      </c>
      <c r="CF318" t="e">
        <f t="shared" si="330"/>
        <v>#N/A</v>
      </c>
      <c r="CG318" t="e">
        <f t="shared" si="331"/>
        <v>#N/A</v>
      </c>
      <c r="CI318" t="e">
        <f>AT110</f>
        <v>#N/A</v>
      </c>
      <c r="CJ318" t="e">
        <f>AU110</f>
        <v>#N/A</v>
      </c>
      <c r="CK318">
        <f>IF(ISNUMBER(CI318),IFERROR(MAX(0,AV110-CI318),0),0)</f>
        <v>0</v>
      </c>
      <c r="CL318">
        <f>IF(ISNUMBER(CI318),IFERROR(MAX(0,CI318-AV110),0),0)</f>
        <v>0</v>
      </c>
      <c r="CM318">
        <f>IF(ISNUMBER(CJ318),IFERROR(MAX(0,AW110-CJ318),0),0)</f>
        <v>0</v>
      </c>
      <c r="CN318">
        <f>IF(ISNUMBER(CJ318),IFERROR(MAX(0,CJ318-AW110),0),0)</f>
        <v>0</v>
      </c>
      <c r="CP318" t="e">
        <f>CB110</f>
        <v>#N/A</v>
      </c>
      <c r="CQ318" t="e">
        <f>CC110</f>
        <v>#N/A</v>
      </c>
      <c r="CR318">
        <f>IF(ISNUMBER(CP318),IFERROR(MAX(0,CD110-CP318),0),0)</f>
        <v>0</v>
      </c>
      <c r="CS318">
        <f>IF(ISNUMBER(CP318),IFERROR(MAX(0,CP318-CD110),0),0)</f>
        <v>0</v>
      </c>
      <c r="CT318">
        <f>IF(ISNUMBER(CQ318),IFERROR(MAX(0,CE110-CQ318),0),0)</f>
        <v>0</v>
      </c>
      <c r="CU318">
        <f>IF(ISNUMBER(CQ318),IFERROR(MAX(0,CQ318-CE110),0),0)</f>
        <v>0</v>
      </c>
    </row>
    <row r="319" spans="21:99" x14ac:dyDescent="0.3">
      <c r="U319">
        <v>313</v>
      </c>
      <c r="V319">
        <f t="shared" si="276"/>
        <v>79</v>
      </c>
      <c r="W319">
        <f t="shared" si="277"/>
        <v>1</v>
      </c>
      <c r="X319">
        <f t="shared" si="278"/>
        <v>0</v>
      </c>
      <c r="Y319">
        <f>IF(X319&lt;&gt;1,9999,CHOOSE(W319,INDEX(Gantt!$BQ$7:$BQ$119,V319),INDEX(Gantt!$BR$7:$BR$119,V319),INDEX(Gantt!$BT$7:$BT$119,V319),INDEX(Gantt!$BU$7:$BU$119,V319)))</f>
        <v>9999</v>
      </c>
      <c r="Z319">
        <f t="shared" si="279"/>
        <v>0</v>
      </c>
      <c r="AA319" t="e">
        <f t="shared" si="280"/>
        <v>#N/A</v>
      </c>
      <c r="AB319" t="e">
        <f t="shared" si="281"/>
        <v>#N/A</v>
      </c>
      <c r="AC319" t="e">
        <f t="shared" si="282"/>
        <v>#N/A</v>
      </c>
      <c r="AD319" t="e">
        <f t="shared" si="283"/>
        <v>#N/A</v>
      </c>
      <c r="AE319" t="e">
        <f t="shared" si="284"/>
        <v>#N/A</v>
      </c>
      <c r="AF319" t="e">
        <f t="shared" si="285"/>
        <v>#N/A</v>
      </c>
      <c r="AG319" t="e">
        <f t="shared" si="286"/>
        <v>#N/A</v>
      </c>
      <c r="AH319" t="e">
        <f t="shared" si="287"/>
        <v>#N/A</v>
      </c>
      <c r="AI319" t="e">
        <f t="shared" si="288"/>
        <v>#N/A</v>
      </c>
      <c r="AJ319" t="e">
        <f t="shared" si="289"/>
        <v>#N/A</v>
      </c>
      <c r="AK319" t="e">
        <f t="shared" si="290"/>
        <v>#N/A</v>
      </c>
      <c r="AL319" t="e">
        <f t="shared" si="291"/>
        <v>#N/A</v>
      </c>
      <c r="AM319" t="e">
        <f t="shared" si="292"/>
        <v>#N/A</v>
      </c>
      <c r="AN319" t="e">
        <f t="shared" si="293"/>
        <v>#N/A</v>
      </c>
      <c r="AO319" t="e">
        <f t="shared" si="294"/>
        <v>#N/A</v>
      </c>
      <c r="AP319" t="e">
        <f t="shared" si="295"/>
        <v>#N/A</v>
      </c>
      <c r="AQ319" t="e">
        <f t="shared" si="296"/>
        <v>#N/A</v>
      </c>
      <c r="AR319" t="e">
        <f t="shared" si="297"/>
        <v>#N/A</v>
      </c>
      <c r="AS319" t="e">
        <f t="shared" si="298"/>
        <v>#N/A</v>
      </c>
      <c r="AT319" t="e">
        <f t="shared" si="299"/>
        <v>#N/A</v>
      </c>
      <c r="AU319" t="e">
        <f t="shared" si="300"/>
        <v>#N/A</v>
      </c>
      <c r="AV319" t="e">
        <f t="shared" si="301"/>
        <v>#N/A</v>
      </c>
      <c r="AW319" t="e">
        <f t="shared" si="302"/>
        <v>#N/A</v>
      </c>
      <c r="AX319" t="e">
        <f t="shared" si="303"/>
        <v>#N/A</v>
      </c>
      <c r="AY319" t="e">
        <f t="shared" si="304"/>
        <v>#N/A</v>
      </c>
      <c r="BE319" t="e">
        <f>IF(Z319=1,IF(INDEX($C$7:$C$126,V319)&gt;=Gantt!$BF$6,NA(),MATCH(INDEX($C$7:$C$126,V319),Gantt!$J$6:$BE$6,1)),NA())</f>
        <v>#N/A</v>
      </c>
      <c r="BF319" t="e">
        <f>IF(Z319=1,IF((INDEX($D$7:$D$126,AA319)-1)&gt;=Gantt!$BF$6,NA(),IF((INDEX($D$7:$D$126,AA319)-1)&lt;Gantt!$J$6,0,MATCH((INDEX($D$7:$D$126,AA319)-1),Gantt!$J$6:$BE$6,1))),NA())</f>
        <v>#N/A</v>
      </c>
      <c r="BG319" t="e">
        <f t="shared" si="305"/>
        <v>#N/A</v>
      </c>
      <c r="BH319" t="e">
        <f t="shared" si="306"/>
        <v>#N/A</v>
      </c>
      <c r="BI319" t="e">
        <f t="shared" si="307"/>
        <v>#N/A</v>
      </c>
      <c r="BJ319" t="e">
        <f t="shared" si="308"/>
        <v>#N/A</v>
      </c>
      <c r="BK319" t="e">
        <f t="shared" si="309"/>
        <v>#N/A</v>
      </c>
      <c r="BL319" t="e">
        <f t="shared" si="310"/>
        <v>#N/A</v>
      </c>
      <c r="BM319" t="e">
        <f t="shared" si="311"/>
        <v>#N/A</v>
      </c>
      <c r="BN319" t="e">
        <f t="shared" si="312"/>
        <v>#N/A</v>
      </c>
      <c r="BO319" t="e">
        <f t="shared" si="313"/>
        <v>#N/A</v>
      </c>
      <c r="BP319" t="e">
        <f t="shared" si="314"/>
        <v>#N/A</v>
      </c>
      <c r="BQ319" t="e">
        <f t="shared" si="315"/>
        <v>#N/A</v>
      </c>
      <c r="BR319" t="e">
        <f t="shared" si="316"/>
        <v>#N/A</v>
      </c>
      <c r="BS319" t="e">
        <f t="shared" si="317"/>
        <v>#N/A</v>
      </c>
      <c r="BT319" t="e">
        <f t="shared" si="318"/>
        <v>#N/A</v>
      </c>
      <c r="BU319" t="e">
        <f t="shared" si="319"/>
        <v>#N/A</v>
      </c>
      <c r="BV319" t="e">
        <f t="shared" si="320"/>
        <v>#N/A</v>
      </c>
      <c r="BW319" t="e">
        <f t="shared" si="321"/>
        <v>#N/A</v>
      </c>
      <c r="BX319" t="e">
        <f t="shared" si="322"/>
        <v>#N/A</v>
      </c>
      <c r="BY319" t="e">
        <f t="shared" si="323"/>
        <v>#N/A</v>
      </c>
      <c r="BZ319" t="e">
        <f t="shared" si="324"/>
        <v>#N/A</v>
      </c>
      <c r="CA319" t="e">
        <f t="shared" si="325"/>
        <v>#N/A</v>
      </c>
      <c r="CB319" t="e">
        <f t="shared" si="326"/>
        <v>#N/A</v>
      </c>
      <c r="CC319" t="e">
        <f t="shared" si="327"/>
        <v>#N/A</v>
      </c>
      <c r="CD319" t="e">
        <f t="shared" si="328"/>
        <v>#N/A</v>
      </c>
      <c r="CE319" t="e">
        <f t="shared" si="329"/>
        <v>#N/A</v>
      </c>
      <c r="CF319" t="e">
        <f t="shared" si="330"/>
        <v>#N/A</v>
      </c>
      <c r="CG319" t="e">
        <f t="shared" si="331"/>
        <v>#N/A</v>
      </c>
      <c r="CI319" t="e">
        <f>AL111</f>
        <v>#N/A</v>
      </c>
      <c r="CJ319" t="e">
        <f>AM111</f>
        <v>#N/A</v>
      </c>
      <c r="CK319">
        <f>IF(ISNUMBER(CI319),IFERROR(MAX(0,AN111-CI319),0),0)</f>
        <v>0</v>
      </c>
      <c r="CL319">
        <f>IF(ISNUMBER(CI319),IFERROR(MAX(0,CI319-AN111),0),0)</f>
        <v>0</v>
      </c>
      <c r="CM319">
        <f>IF(ISNUMBER(CJ319),IFERROR(MAX(0,AO111-CJ319),0),0)</f>
        <v>0</v>
      </c>
      <c r="CN319">
        <f>IF(ISNUMBER(CJ319),IFERROR(MAX(0,CJ319-AO111),0),0)</f>
        <v>0</v>
      </c>
      <c r="CP319" t="e">
        <f>BT111</f>
        <v>#N/A</v>
      </c>
      <c r="CQ319" t="e">
        <f>BU111</f>
        <v>#N/A</v>
      </c>
      <c r="CR319">
        <f>IF(ISNUMBER(CP319),IFERROR(MAX(0,BV111-CP319),0),0)</f>
        <v>0</v>
      </c>
      <c r="CS319">
        <f>IF(ISNUMBER(CP319),IFERROR(MAX(0,CP319-BV111),0),0)</f>
        <v>0</v>
      </c>
      <c r="CT319">
        <f>IF(ISNUMBER(CQ319),IFERROR(MAX(0,BW111-CQ319),0),0)</f>
        <v>0</v>
      </c>
      <c r="CU319">
        <f>IF(ISNUMBER(CQ319),IFERROR(MAX(0,CQ319-BW111),0),0)</f>
        <v>0</v>
      </c>
    </row>
    <row r="320" spans="21:99" x14ac:dyDescent="0.3">
      <c r="U320">
        <v>314</v>
      </c>
      <c r="V320">
        <f t="shared" si="276"/>
        <v>79</v>
      </c>
      <c r="W320">
        <f t="shared" si="277"/>
        <v>2</v>
      </c>
      <c r="X320">
        <f t="shared" si="278"/>
        <v>0</v>
      </c>
      <c r="Y320">
        <f>IF(X320&lt;&gt;1,9999,CHOOSE(W320,INDEX(Gantt!$BQ$7:$BQ$119,V320),INDEX(Gantt!$BR$7:$BR$119,V320),INDEX(Gantt!$BT$7:$BT$119,V320),INDEX(Gantt!$BU$7:$BU$119,V320)))</f>
        <v>9999</v>
      </c>
      <c r="Z320">
        <f t="shared" si="279"/>
        <v>0</v>
      </c>
      <c r="AA320" t="e">
        <f t="shared" si="280"/>
        <v>#N/A</v>
      </c>
      <c r="AB320" t="e">
        <f t="shared" si="281"/>
        <v>#N/A</v>
      </c>
      <c r="AC320" t="e">
        <f t="shared" si="282"/>
        <v>#N/A</v>
      </c>
      <c r="AD320" t="e">
        <f t="shared" si="283"/>
        <v>#N/A</v>
      </c>
      <c r="AE320" t="e">
        <f t="shared" si="284"/>
        <v>#N/A</v>
      </c>
      <c r="AF320" t="e">
        <f t="shared" si="285"/>
        <v>#N/A</v>
      </c>
      <c r="AG320" t="e">
        <f t="shared" si="286"/>
        <v>#N/A</v>
      </c>
      <c r="AH320" t="e">
        <f t="shared" si="287"/>
        <v>#N/A</v>
      </c>
      <c r="AI320" t="e">
        <f t="shared" si="288"/>
        <v>#N/A</v>
      </c>
      <c r="AJ320" t="e">
        <f t="shared" si="289"/>
        <v>#N/A</v>
      </c>
      <c r="AK320" t="e">
        <f t="shared" si="290"/>
        <v>#N/A</v>
      </c>
      <c r="AL320" t="e">
        <f t="shared" si="291"/>
        <v>#N/A</v>
      </c>
      <c r="AM320" t="e">
        <f t="shared" si="292"/>
        <v>#N/A</v>
      </c>
      <c r="AN320" t="e">
        <f t="shared" si="293"/>
        <v>#N/A</v>
      </c>
      <c r="AO320" t="e">
        <f t="shared" si="294"/>
        <v>#N/A</v>
      </c>
      <c r="AP320" t="e">
        <f t="shared" si="295"/>
        <v>#N/A</v>
      </c>
      <c r="AQ320" t="e">
        <f t="shared" si="296"/>
        <v>#N/A</v>
      </c>
      <c r="AR320" t="e">
        <f t="shared" si="297"/>
        <v>#N/A</v>
      </c>
      <c r="AS320" t="e">
        <f t="shared" si="298"/>
        <v>#N/A</v>
      </c>
      <c r="AT320" t="e">
        <f t="shared" si="299"/>
        <v>#N/A</v>
      </c>
      <c r="AU320" t="e">
        <f t="shared" si="300"/>
        <v>#N/A</v>
      </c>
      <c r="AV320" t="e">
        <f t="shared" si="301"/>
        <v>#N/A</v>
      </c>
      <c r="AW320" t="e">
        <f t="shared" si="302"/>
        <v>#N/A</v>
      </c>
      <c r="AX320" t="e">
        <f t="shared" si="303"/>
        <v>#N/A</v>
      </c>
      <c r="AY320" t="e">
        <f t="shared" si="304"/>
        <v>#N/A</v>
      </c>
      <c r="BE320" t="e">
        <f>IF(Z320=1,IF(INDEX($C$7:$C$126,V320)&gt;=Gantt!$BF$6,NA(),MATCH(INDEX($C$7:$C$126,V320),Gantt!$J$6:$BE$6,1)),NA())</f>
        <v>#N/A</v>
      </c>
      <c r="BF320" t="e">
        <f>IF(Z320=1,IF((INDEX($D$7:$D$126,AA320)-1)&gt;=Gantt!$BF$6,NA(),IF((INDEX($D$7:$D$126,AA320)-1)&lt;Gantt!$J$6,0,MATCH((INDEX($D$7:$D$126,AA320)-1),Gantt!$J$6:$BE$6,1))),NA())</f>
        <v>#N/A</v>
      </c>
      <c r="BG320" t="e">
        <f t="shared" si="305"/>
        <v>#N/A</v>
      </c>
      <c r="BH320" t="e">
        <f t="shared" si="306"/>
        <v>#N/A</v>
      </c>
      <c r="BI320" t="e">
        <f t="shared" si="307"/>
        <v>#N/A</v>
      </c>
      <c r="BJ320" t="e">
        <f t="shared" si="308"/>
        <v>#N/A</v>
      </c>
      <c r="BK320" t="e">
        <f t="shared" si="309"/>
        <v>#N/A</v>
      </c>
      <c r="BL320" t="e">
        <f t="shared" si="310"/>
        <v>#N/A</v>
      </c>
      <c r="BM320" t="e">
        <f t="shared" si="311"/>
        <v>#N/A</v>
      </c>
      <c r="BN320" t="e">
        <f t="shared" si="312"/>
        <v>#N/A</v>
      </c>
      <c r="BO320" t="e">
        <f t="shared" si="313"/>
        <v>#N/A</v>
      </c>
      <c r="BP320" t="e">
        <f t="shared" si="314"/>
        <v>#N/A</v>
      </c>
      <c r="BQ320" t="e">
        <f t="shared" si="315"/>
        <v>#N/A</v>
      </c>
      <c r="BR320" t="e">
        <f t="shared" si="316"/>
        <v>#N/A</v>
      </c>
      <c r="BS320" t="e">
        <f t="shared" si="317"/>
        <v>#N/A</v>
      </c>
      <c r="BT320" t="e">
        <f t="shared" si="318"/>
        <v>#N/A</v>
      </c>
      <c r="BU320" t="e">
        <f t="shared" si="319"/>
        <v>#N/A</v>
      </c>
      <c r="BV320" t="e">
        <f t="shared" si="320"/>
        <v>#N/A</v>
      </c>
      <c r="BW320" t="e">
        <f t="shared" si="321"/>
        <v>#N/A</v>
      </c>
      <c r="BX320" t="e">
        <f t="shared" si="322"/>
        <v>#N/A</v>
      </c>
      <c r="BY320" t="e">
        <f t="shared" si="323"/>
        <v>#N/A</v>
      </c>
      <c r="BZ320" t="e">
        <f t="shared" si="324"/>
        <v>#N/A</v>
      </c>
      <c r="CA320" t="e">
        <f t="shared" si="325"/>
        <v>#N/A</v>
      </c>
      <c r="CB320" t="e">
        <f t="shared" si="326"/>
        <v>#N/A</v>
      </c>
      <c r="CC320" t="e">
        <f t="shared" si="327"/>
        <v>#N/A</v>
      </c>
      <c r="CD320" t="e">
        <f t="shared" si="328"/>
        <v>#N/A</v>
      </c>
      <c r="CE320" t="e">
        <f t="shared" si="329"/>
        <v>#N/A</v>
      </c>
      <c r="CF320" t="e">
        <f t="shared" si="330"/>
        <v>#N/A</v>
      </c>
      <c r="CG320" t="e">
        <f t="shared" si="331"/>
        <v>#N/A</v>
      </c>
      <c r="CI320" t="e">
        <f>AP111</f>
        <v>#N/A</v>
      </c>
      <c r="CJ320" t="e">
        <f>AQ111</f>
        <v>#N/A</v>
      </c>
      <c r="CK320">
        <f>IF(ISNUMBER(CI320),IFERROR(MAX(0,AR111-CI320),0),0)</f>
        <v>0</v>
      </c>
      <c r="CL320">
        <f>IF(ISNUMBER(CI320),IFERROR(MAX(0,CI320-AR111),0),0)</f>
        <v>0</v>
      </c>
      <c r="CM320">
        <f>IF(ISNUMBER(CJ320),IFERROR(MAX(0,AS111-CJ320),0),0)</f>
        <v>0</v>
      </c>
      <c r="CN320">
        <f>IF(ISNUMBER(CJ320),IFERROR(MAX(0,CJ320-AS111),0),0)</f>
        <v>0</v>
      </c>
      <c r="CP320" t="e">
        <f>BX111</f>
        <v>#N/A</v>
      </c>
      <c r="CQ320" t="e">
        <f>BY111</f>
        <v>#N/A</v>
      </c>
      <c r="CR320">
        <f>IF(ISNUMBER(CP320),IFERROR(MAX(0,BZ111-CP320),0),0)</f>
        <v>0</v>
      </c>
      <c r="CS320">
        <f>IF(ISNUMBER(CP320),IFERROR(MAX(0,CP320-BZ111),0),0)</f>
        <v>0</v>
      </c>
      <c r="CT320">
        <f>IF(ISNUMBER(CQ320),IFERROR(MAX(0,CA111-CQ320),0),0)</f>
        <v>0</v>
      </c>
      <c r="CU320">
        <f>IF(ISNUMBER(CQ320),IFERROR(MAX(0,CQ320-CA111),0),0)</f>
        <v>0</v>
      </c>
    </row>
    <row r="321" spans="21:99" x14ac:dyDescent="0.3">
      <c r="U321">
        <v>315</v>
      </c>
      <c r="V321">
        <f t="shared" si="276"/>
        <v>79</v>
      </c>
      <c r="W321">
        <f t="shared" si="277"/>
        <v>3</v>
      </c>
      <c r="X321">
        <f t="shared" si="278"/>
        <v>0</v>
      </c>
      <c r="Y321">
        <f>IF(X321&lt;&gt;1,9999,CHOOSE(W321,INDEX(Gantt!$BQ$7:$BQ$119,V321),INDEX(Gantt!$BR$7:$BR$119,V321),INDEX(Gantt!$BT$7:$BT$119,V321),INDEX(Gantt!$BU$7:$BU$119,V321)))</f>
        <v>9999</v>
      </c>
      <c r="Z321">
        <f t="shared" si="279"/>
        <v>0</v>
      </c>
      <c r="AA321" t="e">
        <f t="shared" si="280"/>
        <v>#N/A</v>
      </c>
      <c r="AB321" t="e">
        <f t="shared" si="281"/>
        <v>#N/A</v>
      </c>
      <c r="AC321" t="e">
        <f t="shared" si="282"/>
        <v>#N/A</v>
      </c>
      <c r="AD321" t="e">
        <f t="shared" si="283"/>
        <v>#N/A</v>
      </c>
      <c r="AE321" t="e">
        <f t="shared" si="284"/>
        <v>#N/A</v>
      </c>
      <c r="AF321" t="e">
        <f t="shared" si="285"/>
        <v>#N/A</v>
      </c>
      <c r="AG321" t="e">
        <f t="shared" si="286"/>
        <v>#N/A</v>
      </c>
      <c r="AH321" t="e">
        <f t="shared" si="287"/>
        <v>#N/A</v>
      </c>
      <c r="AI321" t="e">
        <f t="shared" si="288"/>
        <v>#N/A</v>
      </c>
      <c r="AJ321" t="e">
        <f t="shared" si="289"/>
        <v>#N/A</v>
      </c>
      <c r="AK321" t="e">
        <f t="shared" si="290"/>
        <v>#N/A</v>
      </c>
      <c r="AL321" t="e">
        <f t="shared" si="291"/>
        <v>#N/A</v>
      </c>
      <c r="AM321" t="e">
        <f t="shared" si="292"/>
        <v>#N/A</v>
      </c>
      <c r="AN321" t="e">
        <f t="shared" si="293"/>
        <v>#N/A</v>
      </c>
      <c r="AO321" t="e">
        <f t="shared" si="294"/>
        <v>#N/A</v>
      </c>
      <c r="AP321" t="e">
        <f t="shared" si="295"/>
        <v>#N/A</v>
      </c>
      <c r="AQ321" t="e">
        <f t="shared" si="296"/>
        <v>#N/A</v>
      </c>
      <c r="AR321" t="e">
        <f t="shared" si="297"/>
        <v>#N/A</v>
      </c>
      <c r="AS321" t="e">
        <f t="shared" si="298"/>
        <v>#N/A</v>
      </c>
      <c r="AT321" t="e">
        <f t="shared" si="299"/>
        <v>#N/A</v>
      </c>
      <c r="AU321" t="e">
        <f t="shared" si="300"/>
        <v>#N/A</v>
      </c>
      <c r="AV321" t="e">
        <f t="shared" si="301"/>
        <v>#N/A</v>
      </c>
      <c r="AW321" t="e">
        <f t="shared" si="302"/>
        <v>#N/A</v>
      </c>
      <c r="AX321" t="e">
        <f t="shared" si="303"/>
        <v>#N/A</v>
      </c>
      <c r="AY321" t="e">
        <f t="shared" si="304"/>
        <v>#N/A</v>
      </c>
      <c r="BE321" t="e">
        <f>IF(Z321=1,IF(INDEX($C$7:$C$126,V321)&gt;=Gantt!$BF$6,NA(),MATCH(INDEX($C$7:$C$126,V321),Gantt!$J$6:$BE$6,1)),NA())</f>
        <v>#N/A</v>
      </c>
      <c r="BF321" t="e">
        <f>IF(Z321=1,IF((INDEX($D$7:$D$126,AA321)-1)&gt;=Gantt!$BF$6,NA(),IF((INDEX($D$7:$D$126,AA321)-1)&lt;Gantt!$J$6,0,MATCH((INDEX($D$7:$D$126,AA321)-1),Gantt!$J$6:$BE$6,1))),NA())</f>
        <v>#N/A</v>
      </c>
      <c r="BG321" t="e">
        <f t="shared" si="305"/>
        <v>#N/A</v>
      </c>
      <c r="BH321" t="e">
        <f t="shared" si="306"/>
        <v>#N/A</v>
      </c>
      <c r="BI321" t="e">
        <f t="shared" si="307"/>
        <v>#N/A</v>
      </c>
      <c r="BJ321" t="e">
        <f t="shared" si="308"/>
        <v>#N/A</v>
      </c>
      <c r="BK321" t="e">
        <f t="shared" si="309"/>
        <v>#N/A</v>
      </c>
      <c r="BL321" t="e">
        <f t="shared" si="310"/>
        <v>#N/A</v>
      </c>
      <c r="BM321" t="e">
        <f t="shared" si="311"/>
        <v>#N/A</v>
      </c>
      <c r="BN321" t="e">
        <f t="shared" si="312"/>
        <v>#N/A</v>
      </c>
      <c r="BO321" t="e">
        <f t="shared" si="313"/>
        <v>#N/A</v>
      </c>
      <c r="BP321" t="e">
        <f t="shared" si="314"/>
        <v>#N/A</v>
      </c>
      <c r="BQ321" t="e">
        <f t="shared" si="315"/>
        <v>#N/A</v>
      </c>
      <c r="BR321" t="e">
        <f t="shared" si="316"/>
        <v>#N/A</v>
      </c>
      <c r="BS321" t="e">
        <f t="shared" si="317"/>
        <v>#N/A</v>
      </c>
      <c r="BT321" t="e">
        <f t="shared" si="318"/>
        <v>#N/A</v>
      </c>
      <c r="BU321" t="e">
        <f t="shared" si="319"/>
        <v>#N/A</v>
      </c>
      <c r="BV321" t="e">
        <f t="shared" si="320"/>
        <v>#N/A</v>
      </c>
      <c r="BW321" t="e">
        <f t="shared" si="321"/>
        <v>#N/A</v>
      </c>
      <c r="BX321" t="e">
        <f t="shared" si="322"/>
        <v>#N/A</v>
      </c>
      <c r="BY321" t="e">
        <f t="shared" si="323"/>
        <v>#N/A</v>
      </c>
      <c r="BZ321" t="e">
        <f t="shared" si="324"/>
        <v>#N/A</v>
      </c>
      <c r="CA321" t="e">
        <f t="shared" si="325"/>
        <v>#N/A</v>
      </c>
      <c r="CB321" t="e">
        <f t="shared" si="326"/>
        <v>#N/A</v>
      </c>
      <c r="CC321" t="e">
        <f t="shared" si="327"/>
        <v>#N/A</v>
      </c>
      <c r="CD321" t="e">
        <f t="shared" si="328"/>
        <v>#N/A</v>
      </c>
      <c r="CE321" t="e">
        <f t="shared" si="329"/>
        <v>#N/A</v>
      </c>
      <c r="CF321" t="e">
        <f t="shared" si="330"/>
        <v>#N/A</v>
      </c>
      <c r="CG321" t="e">
        <f t="shared" si="331"/>
        <v>#N/A</v>
      </c>
      <c r="CI321" t="e">
        <f>AT111</f>
        <v>#N/A</v>
      </c>
      <c r="CJ321" t="e">
        <f>AU111</f>
        <v>#N/A</v>
      </c>
      <c r="CK321">
        <f>IF(ISNUMBER(CI321),IFERROR(MAX(0,AV111-CI321),0),0)</f>
        <v>0</v>
      </c>
      <c r="CL321">
        <f>IF(ISNUMBER(CI321),IFERROR(MAX(0,CI321-AV111),0),0)</f>
        <v>0</v>
      </c>
      <c r="CM321">
        <f>IF(ISNUMBER(CJ321),IFERROR(MAX(0,AW111-CJ321),0),0)</f>
        <v>0</v>
      </c>
      <c r="CN321">
        <f>IF(ISNUMBER(CJ321),IFERROR(MAX(0,CJ321-AW111),0),0)</f>
        <v>0</v>
      </c>
      <c r="CP321" t="e">
        <f>CB111</f>
        <v>#N/A</v>
      </c>
      <c r="CQ321" t="e">
        <f>CC111</f>
        <v>#N/A</v>
      </c>
      <c r="CR321">
        <f>IF(ISNUMBER(CP321),IFERROR(MAX(0,CD111-CP321),0),0)</f>
        <v>0</v>
      </c>
      <c r="CS321">
        <f>IF(ISNUMBER(CP321),IFERROR(MAX(0,CP321-CD111),0),0)</f>
        <v>0</v>
      </c>
      <c r="CT321">
        <f>IF(ISNUMBER(CQ321),IFERROR(MAX(0,CE111-CQ321),0),0)</f>
        <v>0</v>
      </c>
      <c r="CU321">
        <f>IF(ISNUMBER(CQ321),IFERROR(MAX(0,CQ321-CE111),0),0)</f>
        <v>0</v>
      </c>
    </row>
    <row r="322" spans="21:99" x14ac:dyDescent="0.3">
      <c r="U322">
        <v>316</v>
      </c>
      <c r="V322">
        <f t="shared" si="276"/>
        <v>79</v>
      </c>
      <c r="W322">
        <f t="shared" si="277"/>
        <v>4</v>
      </c>
      <c r="X322">
        <f t="shared" si="278"/>
        <v>0</v>
      </c>
      <c r="Y322">
        <f>IF(X322&lt;&gt;1,9999,CHOOSE(W322,INDEX(Gantt!$BQ$7:$BQ$119,V322),INDEX(Gantt!$BR$7:$BR$119,V322),INDEX(Gantt!$BT$7:$BT$119,V322),INDEX(Gantt!$BU$7:$BU$119,V322)))</f>
        <v>9999</v>
      </c>
      <c r="Z322">
        <f t="shared" si="279"/>
        <v>0</v>
      </c>
      <c r="AA322" t="e">
        <f t="shared" si="280"/>
        <v>#N/A</v>
      </c>
      <c r="AB322" t="e">
        <f t="shared" si="281"/>
        <v>#N/A</v>
      </c>
      <c r="AC322" t="e">
        <f t="shared" si="282"/>
        <v>#N/A</v>
      </c>
      <c r="AD322" t="e">
        <f t="shared" si="283"/>
        <v>#N/A</v>
      </c>
      <c r="AE322" t="e">
        <f t="shared" si="284"/>
        <v>#N/A</v>
      </c>
      <c r="AF322" t="e">
        <f t="shared" si="285"/>
        <v>#N/A</v>
      </c>
      <c r="AG322" t="e">
        <f t="shared" si="286"/>
        <v>#N/A</v>
      </c>
      <c r="AH322" t="e">
        <f t="shared" si="287"/>
        <v>#N/A</v>
      </c>
      <c r="AI322" t="e">
        <f t="shared" si="288"/>
        <v>#N/A</v>
      </c>
      <c r="AJ322" t="e">
        <f t="shared" si="289"/>
        <v>#N/A</v>
      </c>
      <c r="AK322" t="e">
        <f t="shared" si="290"/>
        <v>#N/A</v>
      </c>
      <c r="AL322" t="e">
        <f t="shared" si="291"/>
        <v>#N/A</v>
      </c>
      <c r="AM322" t="e">
        <f t="shared" si="292"/>
        <v>#N/A</v>
      </c>
      <c r="AN322" t="e">
        <f t="shared" si="293"/>
        <v>#N/A</v>
      </c>
      <c r="AO322" t="e">
        <f t="shared" si="294"/>
        <v>#N/A</v>
      </c>
      <c r="AP322" t="e">
        <f t="shared" si="295"/>
        <v>#N/A</v>
      </c>
      <c r="AQ322" t="e">
        <f t="shared" si="296"/>
        <v>#N/A</v>
      </c>
      <c r="AR322" t="e">
        <f t="shared" si="297"/>
        <v>#N/A</v>
      </c>
      <c r="AS322" t="e">
        <f t="shared" si="298"/>
        <v>#N/A</v>
      </c>
      <c r="AT322" t="e">
        <f t="shared" si="299"/>
        <v>#N/A</v>
      </c>
      <c r="AU322" t="e">
        <f t="shared" si="300"/>
        <v>#N/A</v>
      </c>
      <c r="AV322" t="e">
        <f t="shared" si="301"/>
        <v>#N/A</v>
      </c>
      <c r="AW322" t="e">
        <f t="shared" si="302"/>
        <v>#N/A</v>
      </c>
      <c r="AX322" t="e">
        <f t="shared" si="303"/>
        <v>#N/A</v>
      </c>
      <c r="AY322" t="e">
        <f t="shared" si="304"/>
        <v>#N/A</v>
      </c>
      <c r="BE322" t="e">
        <f>IF(Z322=1,IF(INDEX($C$7:$C$126,V322)&gt;=Gantt!$BF$6,NA(),MATCH(INDEX($C$7:$C$126,V322),Gantt!$J$6:$BE$6,1)),NA())</f>
        <v>#N/A</v>
      </c>
      <c r="BF322" t="e">
        <f>IF(Z322=1,IF((INDEX($D$7:$D$126,AA322)-1)&gt;=Gantt!$BF$6,NA(),IF((INDEX($D$7:$D$126,AA322)-1)&lt;Gantt!$J$6,0,MATCH((INDEX($D$7:$D$126,AA322)-1),Gantt!$J$6:$BE$6,1))),NA())</f>
        <v>#N/A</v>
      </c>
      <c r="BG322" t="e">
        <f t="shared" si="305"/>
        <v>#N/A</v>
      </c>
      <c r="BH322" t="e">
        <f t="shared" si="306"/>
        <v>#N/A</v>
      </c>
      <c r="BI322" t="e">
        <f t="shared" si="307"/>
        <v>#N/A</v>
      </c>
      <c r="BJ322" t="e">
        <f t="shared" si="308"/>
        <v>#N/A</v>
      </c>
      <c r="BK322" t="e">
        <f t="shared" si="309"/>
        <v>#N/A</v>
      </c>
      <c r="BL322" t="e">
        <f t="shared" si="310"/>
        <v>#N/A</v>
      </c>
      <c r="BM322" t="e">
        <f t="shared" si="311"/>
        <v>#N/A</v>
      </c>
      <c r="BN322" t="e">
        <f t="shared" si="312"/>
        <v>#N/A</v>
      </c>
      <c r="BO322" t="e">
        <f t="shared" si="313"/>
        <v>#N/A</v>
      </c>
      <c r="BP322" t="e">
        <f t="shared" si="314"/>
        <v>#N/A</v>
      </c>
      <c r="BQ322" t="e">
        <f t="shared" si="315"/>
        <v>#N/A</v>
      </c>
      <c r="BR322" t="e">
        <f t="shared" si="316"/>
        <v>#N/A</v>
      </c>
      <c r="BS322" t="e">
        <f t="shared" si="317"/>
        <v>#N/A</v>
      </c>
      <c r="BT322" t="e">
        <f t="shared" si="318"/>
        <v>#N/A</v>
      </c>
      <c r="BU322" t="e">
        <f t="shared" si="319"/>
        <v>#N/A</v>
      </c>
      <c r="BV322" t="e">
        <f t="shared" si="320"/>
        <v>#N/A</v>
      </c>
      <c r="BW322" t="e">
        <f t="shared" si="321"/>
        <v>#N/A</v>
      </c>
      <c r="BX322" t="e">
        <f t="shared" si="322"/>
        <v>#N/A</v>
      </c>
      <c r="BY322" t="e">
        <f t="shared" si="323"/>
        <v>#N/A</v>
      </c>
      <c r="BZ322" t="e">
        <f t="shared" si="324"/>
        <v>#N/A</v>
      </c>
      <c r="CA322" t="e">
        <f t="shared" si="325"/>
        <v>#N/A</v>
      </c>
      <c r="CB322" t="e">
        <f t="shared" si="326"/>
        <v>#N/A</v>
      </c>
      <c r="CC322" t="e">
        <f t="shared" si="327"/>
        <v>#N/A</v>
      </c>
      <c r="CD322" t="e">
        <f t="shared" si="328"/>
        <v>#N/A</v>
      </c>
      <c r="CE322" t="e">
        <f t="shared" si="329"/>
        <v>#N/A</v>
      </c>
      <c r="CF322" t="e">
        <f t="shared" si="330"/>
        <v>#N/A</v>
      </c>
      <c r="CG322" t="e">
        <f t="shared" si="331"/>
        <v>#N/A</v>
      </c>
      <c r="CI322" t="e">
        <f>AL112</f>
        <v>#N/A</v>
      </c>
      <c r="CJ322" t="e">
        <f>AM112</f>
        <v>#N/A</v>
      </c>
      <c r="CK322">
        <f>IF(ISNUMBER(CI322),IFERROR(MAX(0,AN112-CI322),0),0)</f>
        <v>0</v>
      </c>
      <c r="CL322">
        <f>IF(ISNUMBER(CI322),IFERROR(MAX(0,CI322-AN112),0),0)</f>
        <v>0</v>
      </c>
      <c r="CM322">
        <f>IF(ISNUMBER(CJ322),IFERROR(MAX(0,AO112-CJ322),0),0)</f>
        <v>0</v>
      </c>
      <c r="CN322">
        <f>IF(ISNUMBER(CJ322),IFERROR(MAX(0,CJ322-AO112),0),0)</f>
        <v>0</v>
      </c>
      <c r="CP322" t="e">
        <f>BT112</f>
        <v>#N/A</v>
      </c>
      <c r="CQ322" t="e">
        <f>BU112</f>
        <v>#N/A</v>
      </c>
      <c r="CR322">
        <f>IF(ISNUMBER(CP322),IFERROR(MAX(0,BV112-CP322),0),0)</f>
        <v>0</v>
      </c>
      <c r="CS322">
        <f>IF(ISNUMBER(CP322),IFERROR(MAX(0,CP322-BV112),0),0)</f>
        <v>0</v>
      </c>
      <c r="CT322">
        <f>IF(ISNUMBER(CQ322),IFERROR(MAX(0,BW112-CQ322),0),0)</f>
        <v>0</v>
      </c>
      <c r="CU322">
        <f>IF(ISNUMBER(CQ322),IFERROR(MAX(0,CQ322-BW112),0),0)</f>
        <v>0</v>
      </c>
    </row>
    <row r="323" spans="21:99" x14ac:dyDescent="0.3">
      <c r="U323">
        <v>317</v>
      </c>
      <c r="V323">
        <f t="shared" si="276"/>
        <v>80</v>
      </c>
      <c r="W323">
        <f t="shared" si="277"/>
        <v>1</v>
      </c>
      <c r="X323">
        <f t="shared" si="278"/>
        <v>0</v>
      </c>
      <c r="Y323">
        <f>IF(X323&lt;&gt;1,9999,CHOOSE(W323,INDEX(Gantt!$BQ$7:$BQ$119,V323),INDEX(Gantt!$BR$7:$BR$119,V323),INDEX(Gantt!$BT$7:$BT$119,V323),INDEX(Gantt!$BU$7:$BU$119,V323)))</f>
        <v>9999</v>
      </c>
      <c r="Z323">
        <f t="shared" si="279"/>
        <v>0</v>
      </c>
      <c r="AA323" t="e">
        <f t="shared" si="280"/>
        <v>#N/A</v>
      </c>
      <c r="AB323" t="e">
        <f t="shared" si="281"/>
        <v>#N/A</v>
      </c>
      <c r="AC323" t="e">
        <f t="shared" si="282"/>
        <v>#N/A</v>
      </c>
      <c r="AD323" t="e">
        <f t="shared" si="283"/>
        <v>#N/A</v>
      </c>
      <c r="AE323" t="e">
        <f t="shared" si="284"/>
        <v>#N/A</v>
      </c>
      <c r="AF323" t="e">
        <f t="shared" si="285"/>
        <v>#N/A</v>
      </c>
      <c r="AG323" t="e">
        <f t="shared" si="286"/>
        <v>#N/A</v>
      </c>
      <c r="AH323" t="e">
        <f t="shared" si="287"/>
        <v>#N/A</v>
      </c>
      <c r="AI323" t="e">
        <f t="shared" si="288"/>
        <v>#N/A</v>
      </c>
      <c r="AJ323" t="e">
        <f t="shared" si="289"/>
        <v>#N/A</v>
      </c>
      <c r="AK323" t="e">
        <f t="shared" si="290"/>
        <v>#N/A</v>
      </c>
      <c r="AL323" t="e">
        <f t="shared" si="291"/>
        <v>#N/A</v>
      </c>
      <c r="AM323" t="e">
        <f t="shared" si="292"/>
        <v>#N/A</v>
      </c>
      <c r="AN323" t="e">
        <f t="shared" si="293"/>
        <v>#N/A</v>
      </c>
      <c r="AO323" t="e">
        <f t="shared" si="294"/>
        <v>#N/A</v>
      </c>
      <c r="AP323" t="e">
        <f t="shared" si="295"/>
        <v>#N/A</v>
      </c>
      <c r="AQ323" t="e">
        <f t="shared" si="296"/>
        <v>#N/A</v>
      </c>
      <c r="AR323" t="e">
        <f t="shared" si="297"/>
        <v>#N/A</v>
      </c>
      <c r="AS323" t="e">
        <f t="shared" si="298"/>
        <v>#N/A</v>
      </c>
      <c r="AT323" t="e">
        <f t="shared" si="299"/>
        <v>#N/A</v>
      </c>
      <c r="AU323" t="e">
        <f t="shared" si="300"/>
        <v>#N/A</v>
      </c>
      <c r="AV323" t="e">
        <f t="shared" si="301"/>
        <v>#N/A</v>
      </c>
      <c r="AW323" t="e">
        <f t="shared" si="302"/>
        <v>#N/A</v>
      </c>
      <c r="AX323" t="e">
        <f t="shared" si="303"/>
        <v>#N/A</v>
      </c>
      <c r="AY323" t="e">
        <f t="shared" si="304"/>
        <v>#N/A</v>
      </c>
      <c r="BE323" t="e">
        <f>IF(Z323=1,IF(INDEX($C$7:$C$126,V323)&gt;=Gantt!$BF$6,NA(),MATCH(INDEX($C$7:$C$126,V323),Gantt!$J$6:$BE$6,1)),NA())</f>
        <v>#N/A</v>
      </c>
      <c r="BF323" t="e">
        <f>IF(Z323=1,IF((INDEX($D$7:$D$126,AA323)-1)&gt;=Gantt!$BF$6,NA(),IF((INDEX($D$7:$D$126,AA323)-1)&lt;Gantt!$J$6,0,MATCH((INDEX($D$7:$D$126,AA323)-1),Gantt!$J$6:$BE$6,1))),NA())</f>
        <v>#N/A</v>
      </c>
      <c r="BG323" t="e">
        <f t="shared" si="305"/>
        <v>#N/A</v>
      </c>
      <c r="BH323" t="e">
        <f t="shared" si="306"/>
        <v>#N/A</v>
      </c>
      <c r="BI323" t="e">
        <f t="shared" si="307"/>
        <v>#N/A</v>
      </c>
      <c r="BJ323" t="e">
        <f t="shared" si="308"/>
        <v>#N/A</v>
      </c>
      <c r="BK323" t="e">
        <f t="shared" si="309"/>
        <v>#N/A</v>
      </c>
      <c r="BL323" t="e">
        <f t="shared" si="310"/>
        <v>#N/A</v>
      </c>
      <c r="BM323" t="e">
        <f t="shared" si="311"/>
        <v>#N/A</v>
      </c>
      <c r="BN323" t="e">
        <f t="shared" si="312"/>
        <v>#N/A</v>
      </c>
      <c r="BO323" t="e">
        <f t="shared" si="313"/>
        <v>#N/A</v>
      </c>
      <c r="BP323" t="e">
        <f t="shared" si="314"/>
        <v>#N/A</v>
      </c>
      <c r="BQ323" t="e">
        <f t="shared" si="315"/>
        <v>#N/A</v>
      </c>
      <c r="BR323" t="e">
        <f t="shared" si="316"/>
        <v>#N/A</v>
      </c>
      <c r="BS323" t="e">
        <f t="shared" si="317"/>
        <v>#N/A</v>
      </c>
      <c r="BT323" t="e">
        <f t="shared" si="318"/>
        <v>#N/A</v>
      </c>
      <c r="BU323" t="e">
        <f t="shared" si="319"/>
        <v>#N/A</v>
      </c>
      <c r="BV323" t="e">
        <f t="shared" si="320"/>
        <v>#N/A</v>
      </c>
      <c r="BW323" t="e">
        <f t="shared" si="321"/>
        <v>#N/A</v>
      </c>
      <c r="BX323" t="e">
        <f t="shared" si="322"/>
        <v>#N/A</v>
      </c>
      <c r="BY323" t="e">
        <f t="shared" si="323"/>
        <v>#N/A</v>
      </c>
      <c r="BZ323" t="e">
        <f t="shared" si="324"/>
        <v>#N/A</v>
      </c>
      <c r="CA323" t="e">
        <f t="shared" si="325"/>
        <v>#N/A</v>
      </c>
      <c r="CB323" t="e">
        <f t="shared" si="326"/>
        <v>#N/A</v>
      </c>
      <c r="CC323" t="e">
        <f t="shared" si="327"/>
        <v>#N/A</v>
      </c>
      <c r="CD323" t="e">
        <f t="shared" si="328"/>
        <v>#N/A</v>
      </c>
      <c r="CE323" t="e">
        <f t="shared" si="329"/>
        <v>#N/A</v>
      </c>
      <c r="CF323" t="e">
        <f t="shared" si="330"/>
        <v>#N/A</v>
      </c>
      <c r="CG323" t="e">
        <f t="shared" si="331"/>
        <v>#N/A</v>
      </c>
      <c r="CI323" t="e">
        <f>AP112</f>
        <v>#N/A</v>
      </c>
      <c r="CJ323" t="e">
        <f>AQ112</f>
        <v>#N/A</v>
      </c>
      <c r="CK323">
        <f>IF(ISNUMBER(CI323),IFERROR(MAX(0,AR112-CI323),0),0)</f>
        <v>0</v>
      </c>
      <c r="CL323">
        <f>IF(ISNUMBER(CI323),IFERROR(MAX(0,CI323-AR112),0),0)</f>
        <v>0</v>
      </c>
      <c r="CM323">
        <f>IF(ISNUMBER(CJ323),IFERROR(MAX(0,AS112-CJ323),0),0)</f>
        <v>0</v>
      </c>
      <c r="CN323">
        <f>IF(ISNUMBER(CJ323),IFERROR(MAX(0,CJ323-AS112),0),0)</f>
        <v>0</v>
      </c>
      <c r="CP323" t="e">
        <f>BX112</f>
        <v>#N/A</v>
      </c>
      <c r="CQ323" t="e">
        <f>BY112</f>
        <v>#N/A</v>
      </c>
      <c r="CR323">
        <f>IF(ISNUMBER(CP323),IFERROR(MAX(0,BZ112-CP323),0),0)</f>
        <v>0</v>
      </c>
      <c r="CS323">
        <f>IF(ISNUMBER(CP323),IFERROR(MAX(0,CP323-BZ112),0),0)</f>
        <v>0</v>
      </c>
      <c r="CT323">
        <f>IF(ISNUMBER(CQ323),IFERROR(MAX(0,CA112-CQ323),0),0)</f>
        <v>0</v>
      </c>
      <c r="CU323">
        <f>IF(ISNUMBER(CQ323),IFERROR(MAX(0,CQ323-CA112),0),0)</f>
        <v>0</v>
      </c>
    </row>
    <row r="324" spans="21:99" x14ac:dyDescent="0.3">
      <c r="U324">
        <v>318</v>
      </c>
      <c r="V324">
        <f t="shared" si="276"/>
        <v>80</v>
      </c>
      <c r="W324">
        <f t="shared" si="277"/>
        <v>2</v>
      </c>
      <c r="X324">
        <f t="shared" si="278"/>
        <v>0</v>
      </c>
      <c r="Y324">
        <f>IF(X324&lt;&gt;1,9999,CHOOSE(W324,INDEX(Gantt!$BQ$7:$BQ$119,V324),INDEX(Gantt!$BR$7:$BR$119,V324),INDEX(Gantt!$BT$7:$BT$119,V324),INDEX(Gantt!$BU$7:$BU$119,V324)))</f>
        <v>9999</v>
      </c>
      <c r="Z324">
        <f t="shared" si="279"/>
        <v>0</v>
      </c>
      <c r="AA324" t="e">
        <f t="shared" si="280"/>
        <v>#N/A</v>
      </c>
      <c r="AB324" t="e">
        <f t="shared" si="281"/>
        <v>#N/A</v>
      </c>
      <c r="AC324" t="e">
        <f t="shared" si="282"/>
        <v>#N/A</v>
      </c>
      <c r="AD324" t="e">
        <f t="shared" si="283"/>
        <v>#N/A</v>
      </c>
      <c r="AE324" t="e">
        <f t="shared" si="284"/>
        <v>#N/A</v>
      </c>
      <c r="AF324" t="e">
        <f t="shared" si="285"/>
        <v>#N/A</v>
      </c>
      <c r="AG324" t="e">
        <f t="shared" si="286"/>
        <v>#N/A</v>
      </c>
      <c r="AH324" t="e">
        <f t="shared" si="287"/>
        <v>#N/A</v>
      </c>
      <c r="AI324" t="e">
        <f t="shared" si="288"/>
        <v>#N/A</v>
      </c>
      <c r="AJ324" t="e">
        <f t="shared" si="289"/>
        <v>#N/A</v>
      </c>
      <c r="AK324" t="e">
        <f t="shared" si="290"/>
        <v>#N/A</v>
      </c>
      <c r="AL324" t="e">
        <f t="shared" si="291"/>
        <v>#N/A</v>
      </c>
      <c r="AM324" t="e">
        <f t="shared" si="292"/>
        <v>#N/A</v>
      </c>
      <c r="AN324" t="e">
        <f t="shared" si="293"/>
        <v>#N/A</v>
      </c>
      <c r="AO324" t="e">
        <f t="shared" si="294"/>
        <v>#N/A</v>
      </c>
      <c r="AP324" t="e">
        <f t="shared" si="295"/>
        <v>#N/A</v>
      </c>
      <c r="AQ324" t="e">
        <f t="shared" si="296"/>
        <v>#N/A</v>
      </c>
      <c r="AR324" t="e">
        <f t="shared" si="297"/>
        <v>#N/A</v>
      </c>
      <c r="AS324" t="e">
        <f t="shared" si="298"/>
        <v>#N/A</v>
      </c>
      <c r="AT324" t="e">
        <f t="shared" si="299"/>
        <v>#N/A</v>
      </c>
      <c r="AU324" t="e">
        <f t="shared" si="300"/>
        <v>#N/A</v>
      </c>
      <c r="AV324" t="e">
        <f t="shared" si="301"/>
        <v>#N/A</v>
      </c>
      <c r="AW324" t="e">
        <f t="shared" si="302"/>
        <v>#N/A</v>
      </c>
      <c r="AX324" t="e">
        <f t="shared" si="303"/>
        <v>#N/A</v>
      </c>
      <c r="AY324" t="e">
        <f t="shared" si="304"/>
        <v>#N/A</v>
      </c>
      <c r="BE324" t="e">
        <f>IF(Z324=1,IF(INDEX($C$7:$C$126,V324)&gt;=Gantt!$BF$6,NA(),MATCH(INDEX($C$7:$C$126,V324),Gantt!$J$6:$BE$6,1)),NA())</f>
        <v>#N/A</v>
      </c>
      <c r="BF324" t="e">
        <f>IF(Z324=1,IF((INDEX($D$7:$D$126,AA324)-1)&gt;=Gantt!$BF$6,NA(),IF((INDEX($D$7:$D$126,AA324)-1)&lt;Gantt!$J$6,0,MATCH((INDEX($D$7:$D$126,AA324)-1),Gantt!$J$6:$BE$6,1))),NA())</f>
        <v>#N/A</v>
      </c>
      <c r="BG324" t="e">
        <f t="shared" si="305"/>
        <v>#N/A</v>
      </c>
      <c r="BH324" t="e">
        <f t="shared" si="306"/>
        <v>#N/A</v>
      </c>
      <c r="BI324" t="e">
        <f t="shared" si="307"/>
        <v>#N/A</v>
      </c>
      <c r="BJ324" t="e">
        <f t="shared" si="308"/>
        <v>#N/A</v>
      </c>
      <c r="BK324" t="e">
        <f t="shared" si="309"/>
        <v>#N/A</v>
      </c>
      <c r="BL324" t="e">
        <f t="shared" si="310"/>
        <v>#N/A</v>
      </c>
      <c r="BM324" t="e">
        <f t="shared" si="311"/>
        <v>#N/A</v>
      </c>
      <c r="BN324" t="e">
        <f t="shared" si="312"/>
        <v>#N/A</v>
      </c>
      <c r="BO324" t="e">
        <f t="shared" si="313"/>
        <v>#N/A</v>
      </c>
      <c r="BP324" t="e">
        <f t="shared" si="314"/>
        <v>#N/A</v>
      </c>
      <c r="BQ324" t="e">
        <f t="shared" si="315"/>
        <v>#N/A</v>
      </c>
      <c r="BR324" t="e">
        <f t="shared" si="316"/>
        <v>#N/A</v>
      </c>
      <c r="BS324" t="e">
        <f t="shared" si="317"/>
        <v>#N/A</v>
      </c>
      <c r="BT324" t="e">
        <f t="shared" si="318"/>
        <v>#N/A</v>
      </c>
      <c r="BU324" t="e">
        <f t="shared" si="319"/>
        <v>#N/A</v>
      </c>
      <c r="BV324" t="e">
        <f t="shared" si="320"/>
        <v>#N/A</v>
      </c>
      <c r="BW324" t="e">
        <f t="shared" si="321"/>
        <v>#N/A</v>
      </c>
      <c r="BX324" t="e">
        <f t="shared" si="322"/>
        <v>#N/A</v>
      </c>
      <c r="BY324" t="e">
        <f t="shared" si="323"/>
        <v>#N/A</v>
      </c>
      <c r="BZ324" t="e">
        <f t="shared" si="324"/>
        <v>#N/A</v>
      </c>
      <c r="CA324" t="e">
        <f t="shared" si="325"/>
        <v>#N/A</v>
      </c>
      <c r="CB324" t="e">
        <f t="shared" si="326"/>
        <v>#N/A</v>
      </c>
      <c r="CC324" t="e">
        <f t="shared" si="327"/>
        <v>#N/A</v>
      </c>
      <c r="CD324" t="e">
        <f t="shared" si="328"/>
        <v>#N/A</v>
      </c>
      <c r="CE324" t="e">
        <f t="shared" si="329"/>
        <v>#N/A</v>
      </c>
      <c r="CF324" t="e">
        <f t="shared" si="330"/>
        <v>#N/A</v>
      </c>
      <c r="CG324" t="e">
        <f t="shared" si="331"/>
        <v>#N/A</v>
      </c>
      <c r="CI324" t="e">
        <f>AT112</f>
        <v>#N/A</v>
      </c>
      <c r="CJ324" t="e">
        <f>AU112</f>
        <v>#N/A</v>
      </c>
      <c r="CK324">
        <f>IF(ISNUMBER(CI324),IFERROR(MAX(0,AV112-CI324),0),0)</f>
        <v>0</v>
      </c>
      <c r="CL324">
        <f>IF(ISNUMBER(CI324),IFERROR(MAX(0,CI324-AV112),0),0)</f>
        <v>0</v>
      </c>
      <c r="CM324">
        <f>IF(ISNUMBER(CJ324),IFERROR(MAX(0,AW112-CJ324),0),0)</f>
        <v>0</v>
      </c>
      <c r="CN324">
        <f>IF(ISNUMBER(CJ324),IFERROR(MAX(0,CJ324-AW112),0),0)</f>
        <v>0</v>
      </c>
      <c r="CP324" t="e">
        <f>CB112</f>
        <v>#N/A</v>
      </c>
      <c r="CQ324" t="e">
        <f>CC112</f>
        <v>#N/A</v>
      </c>
      <c r="CR324">
        <f>IF(ISNUMBER(CP324),IFERROR(MAX(0,CD112-CP324),0),0)</f>
        <v>0</v>
      </c>
      <c r="CS324">
        <f>IF(ISNUMBER(CP324),IFERROR(MAX(0,CP324-CD112),0),0)</f>
        <v>0</v>
      </c>
      <c r="CT324">
        <f>IF(ISNUMBER(CQ324),IFERROR(MAX(0,CE112-CQ324),0),0)</f>
        <v>0</v>
      </c>
      <c r="CU324">
        <f>IF(ISNUMBER(CQ324),IFERROR(MAX(0,CQ324-CE112),0),0)</f>
        <v>0</v>
      </c>
    </row>
    <row r="325" spans="21:99" x14ac:dyDescent="0.3">
      <c r="U325">
        <v>319</v>
      </c>
      <c r="V325">
        <f t="shared" si="276"/>
        <v>80</v>
      </c>
      <c r="W325">
        <f t="shared" si="277"/>
        <v>3</v>
      </c>
      <c r="X325">
        <f t="shared" si="278"/>
        <v>0</v>
      </c>
      <c r="Y325">
        <f>IF(X325&lt;&gt;1,9999,CHOOSE(W325,INDEX(Gantt!$BQ$7:$BQ$119,V325),INDEX(Gantt!$BR$7:$BR$119,V325),INDEX(Gantt!$BT$7:$BT$119,V325),INDEX(Gantt!$BU$7:$BU$119,V325)))</f>
        <v>9999</v>
      </c>
      <c r="Z325">
        <f t="shared" si="279"/>
        <v>0</v>
      </c>
      <c r="AA325" t="e">
        <f t="shared" si="280"/>
        <v>#N/A</v>
      </c>
      <c r="AB325" t="e">
        <f t="shared" si="281"/>
        <v>#N/A</v>
      </c>
      <c r="AC325" t="e">
        <f t="shared" si="282"/>
        <v>#N/A</v>
      </c>
      <c r="AD325" t="e">
        <f t="shared" si="283"/>
        <v>#N/A</v>
      </c>
      <c r="AE325" t="e">
        <f t="shared" si="284"/>
        <v>#N/A</v>
      </c>
      <c r="AF325" t="e">
        <f t="shared" si="285"/>
        <v>#N/A</v>
      </c>
      <c r="AG325" t="e">
        <f t="shared" si="286"/>
        <v>#N/A</v>
      </c>
      <c r="AH325" t="e">
        <f t="shared" si="287"/>
        <v>#N/A</v>
      </c>
      <c r="AI325" t="e">
        <f t="shared" si="288"/>
        <v>#N/A</v>
      </c>
      <c r="AJ325" t="e">
        <f t="shared" si="289"/>
        <v>#N/A</v>
      </c>
      <c r="AK325" t="e">
        <f t="shared" si="290"/>
        <v>#N/A</v>
      </c>
      <c r="AL325" t="e">
        <f t="shared" si="291"/>
        <v>#N/A</v>
      </c>
      <c r="AM325" t="e">
        <f t="shared" si="292"/>
        <v>#N/A</v>
      </c>
      <c r="AN325" t="e">
        <f t="shared" si="293"/>
        <v>#N/A</v>
      </c>
      <c r="AO325" t="e">
        <f t="shared" si="294"/>
        <v>#N/A</v>
      </c>
      <c r="AP325" t="e">
        <f t="shared" si="295"/>
        <v>#N/A</v>
      </c>
      <c r="AQ325" t="e">
        <f t="shared" si="296"/>
        <v>#N/A</v>
      </c>
      <c r="AR325" t="e">
        <f t="shared" si="297"/>
        <v>#N/A</v>
      </c>
      <c r="AS325" t="e">
        <f t="shared" si="298"/>
        <v>#N/A</v>
      </c>
      <c r="AT325" t="e">
        <f t="shared" si="299"/>
        <v>#N/A</v>
      </c>
      <c r="AU325" t="e">
        <f t="shared" si="300"/>
        <v>#N/A</v>
      </c>
      <c r="AV325" t="e">
        <f t="shared" si="301"/>
        <v>#N/A</v>
      </c>
      <c r="AW325" t="e">
        <f t="shared" si="302"/>
        <v>#N/A</v>
      </c>
      <c r="AX325" t="e">
        <f t="shared" si="303"/>
        <v>#N/A</v>
      </c>
      <c r="AY325" t="e">
        <f t="shared" si="304"/>
        <v>#N/A</v>
      </c>
      <c r="BE325" t="e">
        <f>IF(Z325=1,IF(INDEX($C$7:$C$126,V325)&gt;=Gantt!$BF$6,NA(),MATCH(INDEX($C$7:$C$126,V325),Gantt!$J$6:$BE$6,1)),NA())</f>
        <v>#N/A</v>
      </c>
      <c r="BF325" t="e">
        <f>IF(Z325=1,IF((INDEX($D$7:$D$126,AA325)-1)&gt;=Gantt!$BF$6,NA(),IF((INDEX($D$7:$D$126,AA325)-1)&lt;Gantt!$J$6,0,MATCH((INDEX($D$7:$D$126,AA325)-1),Gantt!$J$6:$BE$6,1))),NA())</f>
        <v>#N/A</v>
      </c>
      <c r="BG325" t="e">
        <f t="shared" si="305"/>
        <v>#N/A</v>
      </c>
      <c r="BH325" t="e">
        <f t="shared" si="306"/>
        <v>#N/A</v>
      </c>
      <c r="BI325" t="e">
        <f t="shared" si="307"/>
        <v>#N/A</v>
      </c>
      <c r="BJ325" t="e">
        <f t="shared" si="308"/>
        <v>#N/A</v>
      </c>
      <c r="BK325" t="e">
        <f t="shared" si="309"/>
        <v>#N/A</v>
      </c>
      <c r="BL325" t="e">
        <f t="shared" si="310"/>
        <v>#N/A</v>
      </c>
      <c r="BM325" t="e">
        <f t="shared" si="311"/>
        <v>#N/A</v>
      </c>
      <c r="BN325" t="e">
        <f t="shared" si="312"/>
        <v>#N/A</v>
      </c>
      <c r="BO325" t="e">
        <f t="shared" si="313"/>
        <v>#N/A</v>
      </c>
      <c r="BP325" t="e">
        <f t="shared" si="314"/>
        <v>#N/A</v>
      </c>
      <c r="BQ325" t="e">
        <f t="shared" si="315"/>
        <v>#N/A</v>
      </c>
      <c r="BR325" t="e">
        <f t="shared" si="316"/>
        <v>#N/A</v>
      </c>
      <c r="BS325" t="e">
        <f t="shared" si="317"/>
        <v>#N/A</v>
      </c>
      <c r="BT325" t="e">
        <f t="shared" si="318"/>
        <v>#N/A</v>
      </c>
      <c r="BU325" t="e">
        <f t="shared" si="319"/>
        <v>#N/A</v>
      </c>
      <c r="BV325" t="e">
        <f t="shared" si="320"/>
        <v>#N/A</v>
      </c>
      <c r="BW325" t="e">
        <f t="shared" si="321"/>
        <v>#N/A</v>
      </c>
      <c r="BX325" t="e">
        <f t="shared" si="322"/>
        <v>#N/A</v>
      </c>
      <c r="BY325" t="e">
        <f t="shared" si="323"/>
        <v>#N/A</v>
      </c>
      <c r="BZ325" t="e">
        <f t="shared" si="324"/>
        <v>#N/A</v>
      </c>
      <c r="CA325" t="e">
        <f t="shared" si="325"/>
        <v>#N/A</v>
      </c>
      <c r="CB325" t="e">
        <f t="shared" si="326"/>
        <v>#N/A</v>
      </c>
      <c r="CC325" t="e">
        <f t="shared" si="327"/>
        <v>#N/A</v>
      </c>
      <c r="CD325" t="e">
        <f t="shared" si="328"/>
        <v>#N/A</v>
      </c>
      <c r="CE325" t="e">
        <f t="shared" si="329"/>
        <v>#N/A</v>
      </c>
      <c r="CF325" t="e">
        <f t="shared" si="330"/>
        <v>#N/A</v>
      </c>
      <c r="CG325" t="e">
        <f t="shared" si="331"/>
        <v>#N/A</v>
      </c>
      <c r="CI325" t="e">
        <f>AL113</f>
        <v>#N/A</v>
      </c>
      <c r="CJ325" t="e">
        <f>AM113</f>
        <v>#N/A</v>
      </c>
      <c r="CK325">
        <f>IF(ISNUMBER(CI325),IFERROR(MAX(0,AN113-CI325),0),0)</f>
        <v>0</v>
      </c>
      <c r="CL325">
        <f>IF(ISNUMBER(CI325),IFERROR(MAX(0,CI325-AN113),0),0)</f>
        <v>0</v>
      </c>
      <c r="CM325">
        <f>IF(ISNUMBER(CJ325),IFERROR(MAX(0,AO113-CJ325),0),0)</f>
        <v>0</v>
      </c>
      <c r="CN325">
        <f>IF(ISNUMBER(CJ325),IFERROR(MAX(0,CJ325-AO113),0),0)</f>
        <v>0</v>
      </c>
      <c r="CP325" t="e">
        <f>BT113</f>
        <v>#N/A</v>
      </c>
      <c r="CQ325" t="e">
        <f>BU113</f>
        <v>#N/A</v>
      </c>
      <c r="CR325">
        <f>IF(ISNUMBER(CP325),IFERROR(MAX(0,BV113-CP325),0),0)</f>
        <v>0</v>
      </c>
      <c r="CS325">
        <f>IF(ISNUMBER(CP325),IFERROR(MAX(0,CP325-BV113),0),0)</f>
        <v>0</v>
      </c>
      <c r="CT325">
        <f>IF(ISNUMBER(CQ325),IFERROR(MAX(0,BW113-CQ325),0),0)</f>
        <v>0</v>
      </c>
      <c r="CU325">
        <f>IF(ISNUMBER(CQ325),IFERROR(MAX(0,CQ325-BW113),0),0)</f>
        <v>0</v>
      </c>
    </row>
    <row r="326" spans="21:99" x14ac:dyDescent="0.3">
      <c r="U326">
        <v>320</v>
      </c>
      <c r="V326">
        <f t="shared" si="276"/>
        <v>80</v>
      </c>
      <c r="W326">
        <f t="shared" si="277"/>
        <v>4</v>
      </c>
      <c r="X326">
        <f t="shared" si="278"/>
        <v>0</v>
      </c>
      <c r="Y326">
        <f>IF(X326&lt;&gt;1,9999,CHOOSE(W326,INDEX(Gantt!$BQ$7:$BQ$119,V326),INDEX(Gantt!$BR$7:$BR$119,V326),INDEX(Gantt!$BT$7:$BT$119,V326),INDEX(Gantt!$BU$7:$BU$119,V326)))</f>
        <v>9999</v>
      </c>
      <c r="Z326">
        <f t="shared" si="279"/>
        <v>0</v>
      </c>
      <c r="AA326" t="e">
        <f t="shared" si="280"/>
        <v>#N/A</v>
      </c>
      <c r="AB326" t="e">
        <f t="shared" si="281"/>
        <v>#N/A</v>
      </c>
      <c r="AC326" t="e">
        <f t="shared" si="282"/>
        <v>#N/A</v>
      </c>
      <c r="AD326" t="e">
        <f t="shared" si="283"/>
        <v>#N/A</v>
      </c>
      <c r="AE326" t="e">
        <f t="shared" si="284"/>
        <v>#N/A</v>
      </c>
      <c r="AF326" t="e">
        <f t="shared" si="285"/>
        <v>#N/A</v>
      </c>
      <c r="AG326" t="e">
        <f t="shared" si="286"/>
        <v>#N/A</v>
      </c>
      <c r="AH326" t="e">
        <f t="shared" si="287"/>
        <v>#N/A</v>
      </c>
      <c r="AI326" t="e">
        <f t="shared" si="288"/>
        <v>#N/A</v>
      </c>
      <c r="AJ326" t="e">
        <f t="shared" si="289"/>
        <v>#N/A</v>
      </c>
      <c r="AK326" t="e">
        <f t="shared" si="290"/>
        <v>#N/A</v>
      </c>
      <c r="AL326" t="e">
        <f t="shared" si="291"/>
        <v>#N/A</v>
      </c>
      <c r="AM326" t="e">
        <f t="shared" si="292"/>
        <v>#N/A</v>
      </c>
      <c r="AN326" t="e">
        <f t="shared" si="293"/>
        <v>#N/A</v>
      </c>
      <c r="AO326" t="e">
        <f t="shared" si="294"/>
        <v>#N/A</v>
      </c>
      <c r="AP326" t="e">
        <f t="shared" si="295"/>
        <v>#N/A</v>
      </c>
      <c r="AQ326" t="e">
        <f t="shared" si="296"/>
        <v>#N/A</v>
      </c>
      <c r="AR326" t="e">
        <f t="shared" si="297"/>
        <v>#N/A</v>
      </c>
      <c r="AS326" t="e">
        <f t="shared" si="298"/>
        <v>#N/A</v>
      </c>
      <c r="AT326" t="e">
        <f t="shared" si="299"/>
        <v>#N/A</v>
      </c>
      <c r="AU326" t="e">
        <f t="shared" si="300"/>
        <v>#N/A</v>
      </c>
      <c r="AV326" t="e">
        <f t="shared" si="301"/>
        <v>#N/A</v>
      </c>
      <c r="AW326" t="e">
        <f t="shared" si="302"/>
        <v>#N/A</v>
      </c>
      <c r="AX326" t="e">
        <f t="shared" si="303"/>
        <v>#N/A</v>
      </c>
      <c r="AY326" t="e">
        <f t="shared" si="304"/>
        <v>#N/A</v>
      </c>
      <c r="BE326" t="e">
        <f>IF(Z326=1,IF(INDEX($C$7:$C$126,V326)&gt;=Gantt!$BF$6,NA(),MATCH(INDEX($C$7:$C$126,V326),Gantt!$J$6:$BE$6,1)),NA())</f>
        <v>#N/A</v>
      </c>
      <c r="BF326" t="e">
        <f>IF(Z326=1,IF((INDEX($D$7:$D$126,AA326)-1)&gt;=Gantt!$BF$6,NA(),IF((INDEX($D$7:$D$126,AA326)-1)&lt;Gantt!$J$6,0,MATCH((INDEX($D$7:$D$126,AA326)-1),Gantt!$J$6:$BE$6,1))),NA())</f>
        <v>#N/A</v>
      </c>
      <c r="BG326" t="e">
        <f t="shared" si="305"/>
        <v>#N/A</v>
      </c>
      <c r="BH326" t="e">
        <f t="shared" si="306"/>
        <v>#N/A</v>
      </c>
      <c r="BI326" t="e">
        <f t="shared" si="307"/>
        <v>#N/A</v>
      </c>
      <c r="BJ326" t="e">
        <f t="shared" si="308"/>
        <v>#N/A</v>
      </c>
      <c r="BK326" t="e">
        <f t="shared" si="309"/>
        <v>#N/A</v>
      </c>
      <c r="BL326" t="e">
        <f t="shared" si="310"/>
        <v>#N/A</v>
      </c>
      <c r="BM326" t="e">
        <f t="shared" si="311"/>
        <v>#N/A</v>
      </c>
      <c r="BN326" t="e">
        <f t="shared" si="312"/>
        <v>#N/A</v>
      </c>
      <c r="BO326" t="e">
        <f t="shared" si="313"/>
        <v>#N/A</v>
      </c>
      <c r="BP326" t="e">
        <f t="shared" si="314"/>
        <v>#N/A</v>
      </c>
      <c r="BQ326" t="e">
        <f t="shared" si="315"/>
        <v>#N/A</v>
      </c>
      <c r="BR326" t="e">
        <f t="shared" si="316"/>
        <v>#N/A</v>
      </c>
      <c r="BS326" t="e">
        <f t="shared" si="317"/>
        <v>#N/A</v>
      </c>
      <c r="BT326" t="e">
        <f t="shared" si="318"/>
        <v>#N/A</v>
      </c>
      <c r="BU326" t="e">
        <f t="shared" si="319"/>
        <v>#N/A</v>
      </c>
      <c r="BV326" t="e">
        <f t="shared" si="320"/>
        <v>#N/A</v>
      </c>
      <c r="BW326" t="e">
        <f t="shared" si="321"/>
        <v>#N/A</v>
      </c>
      <c r="BX326" t="e">
        <f t="shared" si="322"/>
        <v>#N/A</v>
      </c>
      <c r="BY326" t="e">
        <f t="shared" si="323"/>
        <v>#N/A</v>
      </c>
      <c r="BZ326" t="e">
        <f t="shared" si="324"/>
        <v>#N/A</v>
      </c>
      <c r="CA326" t="e">
        <f t="shared" si="325"/>
        <v>#N/A</v>
      </c>
      <c r="CB326" t="e">
        <f t="shared" si="326"/>
        <v>#N/A</v>
      </c>
      <c r="CC326" t="e">
        <f t="shared" si="327"/>
        <v>#N/A</v>
      </c>
      <c r="CD326" t="e">
        <f t="shared" si="328"/>
        <v>#N/A</v>
      </c>
      <c r="CE326" t="e">
        <f t="shared" si="329"/>
        <v>#N/A</v>
      </c>
      <c r="CF326" t="e">
        <f t="shared" si="330"/>
        <v>#N/A</v>
      </c>
      <c r="CG326" t="e">
        <f t="shared" si="331"/>
        <v>#N/A</v>
      </c>
      <c r="CI326" t="e">
        <f>AP113</f>
        <v>#N/A</v>
      </c>
      <c r="CJ326" t="e">
        <f>AQ113</f>
        <v>#N/A</v>
      </c>
      <c r="CK326">
        <f>IF(ISNUMBER(CI326),IFERROR(MAX(0,AR113-CI326),0),0)</f>
        <v>0</v>
      </c>
      <c r="CL326">
        <f>IF(ISNUMBER(CI326),IFERROR(MAX(0,CI326-AR113),0),0)</f>
        <v>0</v>
      </c>
      <c r="CM326">
        <f>IF(ISNUMBER(CJ326),IFERROR(MAX(0,AS113-CJ326),0),0)</f>
        <v>0</v>
      </c>
      <c r="CN326">
        <f>IF(ISNUMBER(CJ326),IFERROR(MAX(0,CJ326-AS113),0),0)</f>
        <v>0</v>
      </c>
      <c r="CP326" t="e">
        <f>BX113</f>
        <v>#N/A</v>
      </c>
      <c r="CQ326" t="e">
        <f>BY113</f>
        <v>#N/A</v>
      </c>
      <c r="CR326">
        <f>IF(ISNUMBER(CP326),IFERROR(MAX(0,BZ113-CP326),0),0)</f>
        <v>0</v>
      </c>
      <c r="CS326">
        <f>IF(ISNUMBER(CP326),IFERROR(MAX(0,CP326-BZ113),0),0)</f>
        <v>0</v>
      </c>
      <c r="CT326">
        <f>IF(ISNUMBER(CQ326),IFERROR(MAX(0,CA113-CQ326),0),0)</f>
        <v>0</v>
      </c>
      <c r="CU326">
        <f>IF(ISNUMBER(CQ326),IFERROR(MAX(0,CQ326-CA113),0),0)</f>
        <v>0</v>
      </c>
    </row>
    <row r="327" spans="21:99" x14ac:dyDescent="0.3">
      <c r="U327">
        <v>321</v>
      </c>
      <c r="V327">
        <f t="shared" ref="V327:V390" si="332">INT((U327-1)/4)+1</f>
        <v>81</v>
      </c>
      <c r="W327">
        <f t="shared" ref="W327:W390" si="333">MOD(U327-1,4)+1</f>
        <v>1</v>
      </c>
      <c r="X327">
        <f t="shared" ref="X327:X390" si="334">INDEX($B$7:$B$126,V327)</f>
        <v>0</v>
      </c>
      <c r="Y327">
        <f>IF(X327&lt;&gt;1,9999,CHOOSE(W327,INDEX(Gantt!$BQ$7:$BQ$119,V327),INDEX(Gantt!$BR$7:$BR$119,V327),INDEX(Gantt!$BT$7:$BT$119,V327),INDEX(Gantt!$BU$7:$BU$119,V327)))</f>
        <v>9999</v>
      </c>
      <c r="Z327">
        <f t="shared" ref="Z327:Z390" si="335">IF(AND(Y327&gt;$B$3,Y327&lt;=$B$3+MIN($B$2,120),Y327&lt;&gt;$B$3+V327),1,0)</f>
        <v>0</v>
      </c>
      <c r="AA327" t="e">
        <f t="shared" ref="AA327:AA390" si="336">IF(Z327=1,Y327-$B$3,NA())</f>
        <v>#N/A</v>
      </c>
      <c r="AB327" t="e">
        <f t="shared" ref="AB327:AB390" si="337">IF(Z327=1,INDEX($H$7:$H$126,V327)-IF(INDEX($G$7:$G$126,V327)=1,1,0),NA())</f>
        <v>#N/A</v>
      </c>
      <c r="AC327" t="e">
        <f t="shared" ref="AC327:AC390" si="338">IF(Z327=1,IF(AD327=1,INDEX($H$7:$H$126,AA327)+2,INDEX($D$7:$D$126,AA327)-$B$1),NA())</f>
        <v>#N/A</v>
      </c>
      <c r="AD327" t="e">
        <f t="shared" ref="AD327:AD390" si="339">IF(Z327=1,INDEX($G$7:$G$126,AA327),NA())</f>
        <v>#N/A</v>
      </c>
      <c r="AE327" t="e">
        <f t="shared" ref="AE327:AE390" si="340">IF(Z327=1,IF(AA327&lt;V327,1,-1),NA())</f>
        <v>#N/A</v>
      </c>
      <c r="AF327" t="e">
        <f t="shared" ref="AF327:AF390" si="341">IF(Z327=1,IF(AB327&gt;=AC327,1,2),NA())</f>
        <v>#N/A</v>
      </c>
      <c r="AG327" t="e">
        <f t="shared" ref="AG327:AG390" si="342">IF(Z327=1,IF(AD327=1,INDEX($H$7:$H$126,AA327)+0.5,AC327-MIN(1.5,INDEX($I$7:$I$126,AA327)/2)),NA())</f>
        <v>#N/A</v>
      </c>
      <c r="AH327" t="e">
        <f t="shared" ref="AH327:AH390" si="343">IF(Z327=1,AA327+AE327*IF(AD327=1,0.3,0.22),NA())</f>
        <v>#N/A</v>
      </c>
      <c r="AI327" t="e">
        <f t="shared" ref="AI327:AI390" si="344">IF(Z327=1,AC327+2,NA())</f>
        <v>#N/A</v>
      </c>
      <c r="AJ327" t="e">
        <f t="shared" ref="AJ327:AJ390" si="345">IF(Z327=1,V327-0.5*AE327,NA())</f>
        <v>#N/A</v>
      </c>
      <c r="AK327" t="e">
        <f t="shared" ref="AK327:AK390" si="346">IF(Z327=1,AB327-3,NA())</f>
        <v>#N/A</v>
      </c>
      <c r="AL327" t="e">
        <f t="shared" ref="AL327:AL390" si="347">IF(Z327=1,CHOOSE(AF327+1,0,AG327,AC327),NA())</f>
        <v>#N/A</v>
      </c>
      <c r="AM327" t="e">
        <f t="shared" ref="AM327:AM390" si="348">IF(Z327=1,CHOOSE(AF327+1,V327,V327,AA327),NA())</f>
        <v>#N/A</v>
      </c>
      <c r="AN327" t="e">
        <f t="shared" ref="AN327:AN390" si="349">IF(Z327=1,CHOOSE(AF327+1,AB327-2.5,AB327-2.5,AI327),NA())</f>
        <v>#N/A</v>
      </c>
      <c r="AO327" t="e">
        <f t="shared" ref="AO327:AO390" si="350">IF(Z327=1,CHOOSE(AF327+1,V327,AH327,AA327),NA())</f>
        <v>#N/A</v>
      </c>
      <c r="AP327" t="e">
        <f t="shared" ref="AP327:AP390" si="351">IF(Z327=1,IF(AF327=2,AI327,NA()),NA())</f>
        <v>#N/A</v>
      </c>
      <c r="AQ327" t="e">
        <f t="shared" ref="AQ327:AQ390" si="352">IF(Z327=1,IF(AF327=2,AJ327,NA()),NA())</f>
        <v>#N/A</v>
      </c>
      <c r="AR327" t="e">
        <f t="shared" ref="AR327:AR390" si="353">IF(Z327=1,AK327,NA())</f>
        <v>#N/A</v>
      </c>
      <c r="AS327" t="e">
        <f t="shared" ref="AS327:AS390" si="354">IF(Z327=1,AA327,NA())</f>
        <v>#N/A</v>
      </c>
      <c r="AT327" t="e">
        <f t="shared" ref="AT327:AT390" si="355">IF(Z327=1,IF(AF327=2,AK327,NA()),NA())</f>
        <v>#N/A</v>
      </c>
      <c r="AU327" t="e">
        <f t="shared" ref="AU327:AU390" si="356">IF(Z327=1,IF(AF327=2,V327,NA()),NA())</f>
        <v>#N/A</v>
      </c>
      <c r="AV327" t="e">
        <f t="shared" ref="AV327:AV390" si="357">IF(Z327=1,AB327-2.5,NA())</f>
        <v>#N/A</v>
      </c>
      <c r="AW327" t="e">
        <f t="shared" ref="AW327:AW390" si="358">IF(Z327=1,AJ327,NA())</f>
        <v>#N/A</v>
      </c>
      <c r="AX327" t="e">
        <f t="shared" ref="AX327:AX390" si="359">IF(Z327=1,IF(ISNUMBER(AF327),AB327-3,NA()),NA())</f>
        <v>#N/A</v>
      </c>
      <c r="AY327" t="e">
        <f t="shared" ref="AY327:AY390" si="360">IF(Z327=1,IF(ISNUMBER(AF327),V327,NA()),NA())</f>
        <v>#N/A</v>
      </c>
      <c r="BE327" t="e">
        <f>IF(Z327=1,IF(INDEX($C$7:$C$126,V327)&gt;=Gantt!$BF$6,NA(),MATCH(INDEX($C$7:$C$126,V327),Gantt!$J$6:$BE$6,1)),NA())</f>
        <v>#N/A</v>
      </c>
      <c r="BF327" t="e">
        <f>IF(Z327=1,IF((INDEX($D$7:$D$126,AA327)-1)&gt;=Gantt!$BF$6,NA(),IF((INDEX($D$7:$D$126,AA327)-1)&lt;Gantt!$J$6,0,MATCH((INDEX($D$7:$D$126,AA327)-1),Gantt!$J$6:$BE$6,1))),NA())</f>
        <v>#N/A</v>
      </c>
      <c r="BG327" t="e">
        <f t="shared" ref="BG327:BG390" si="361">IF(Z327=1,INDEX($G$7:$G$126,AA327),NA())</f>
        <v>#N/A</v>
      </c>
      <c r="BH327" t="e">
        <f t="shared" ref="BH327:BH390" si="362">IF(Z327=1,INDEX($G$7:$G$126,V327),NA())</f>
        <v>#N/A</v>
      </c>
      <c r="BI327" t="e">
        <f t="shared" ref="BI327:BI390" si="363">IF(Z327=1,(V327-0.5)/$B$2,NA())</f>
        <v>#N/A</v>
      </c>
      <c r="BJ327" t="e">
        <f t="shared" ref="BJ327:BJ390" si="364">IF(Z327=1,(AA327-0.5)/$B$2,NA())</f>
        <v>#N/A</v>
      </c>
      <c r="BK327" t="e">
        <f t="shared" ref="BK327:BK390" si="365">IF(Z327=1,IF(AA327&lt;V327,1,-1),NA())</f>
        <v>#N/A</v>
      </c>
      <c r="BL327" t="e">
        <f t="shared" ref="BL327:BL390" si="366">IF(Z327=1,IF(BH327=1,(BE327-1)*7+1.5,(BE327-1)*7),NA())</f>
        <v>#N/A</v>
      </c>
      <c r="BM327" t="e">
        <f t="shared" ref="BM327:BM390" si="367">IF(Z327=1,IF(BF327=0,0,IF(BG327=1,(BF327-1)*7+5.5,BF327*7)),NA())</f>
        <v>#N/A</v>
      </c>
      <c r="BN327" t="e">
        <f t="shared" ref="BN327:BN390" si="368">IF(Z327=1,BL327*0+IF(BF327=0,0,IF(BL327&gt;=BM327,1,2)),NA())</f>
        <v>#N/A</v>
      </c>
      <c r="BO327" t="e">
        <f t="shared" ref="BO327:BO390" si="369">IF(Z327=1,IF(BG327=1,(BF327-1)*7+3.5,BM327-3.5),NA())</f>
        <v>#N/A</v>
      </c>
      <c r="BP327" t="e">
        <f t="shared" ref="BP327:BP390" si="370">IF(Z327=1,IF(BG327=1,BJ327+BK327*0.25/$B$2,IF(BK327=1,AA327/$B$2,(AA327-1)/$B$2)),NA())</f>
        <v>#N/A</v>
      </c>
      <c r="BQ327" t="e">
        <f t="shared" ref="BQ327:BQ390" si="371">IF(Z327=1,BM327+2,NA())</f>
        <v>#N/A</v>
      </c>
      <c r="BR327" t="e">
        <f t="shared" ref="BR327:BR390" si="372">IF(Z327=1,IF(BK327=1,(V327-1)/$B$2,V327/$B$2),NA())</f>
        <v>#N/A</v>
      </c>
      <c r="BS327" t="e">
        <f t="shared" ref="BS327:BS390" si="373">IF(Z327=1,BL327-3,NA())</f>
        <v>#N/A</v>
      </c>
      <c r="BT327" t="e">
        <f t="shared" ref="BT327:BT390" si="374">IF(Z327=1,CHOOSE(BN327+1,0,BO327,BM327),NA())</f>
        <v>#N/A</v>
      </c>
      <c r="BU327" t="e">
        <f t="shared" ref="BU327:BU390" si="375">IF(Z327=1,CHOOSE(BN327+1,BI327,BI327,BJ327),NA())</f>
        <v>#N/A</v>
      </c>
      <c r="BV327" t="e">
        <f t="shared" ref="BV327:BV390" si="376">IF(Z327=1,CHOOSE(BN327+1,BL327-2,BL327-2,BQ327),NA())</f>
        <v>#N/A</v>
      </c>
      <c r="BW327" t="e">
        <f t="shared" ref="BW327:BW390" si="377">IF(Z327=1,CHOOSE(BN327+1,BI327,BP327,BJ327),NA())</f>
        <v>#N/A</v>
      </c>
      <c r="BX327" t="e">
        <f t="shared" ref="BX327:BX390" si="378">IF(Z327=1,IF(BN327=2,BQ327,NA()),NA())</f>
        <v>#N/A</v>
      </c>
      <c r="BY327" t="e">
        <f t="shared" ref="BY327:BY390" si="379">IF(Z327=1,IF(BN327=2,BR327,NA()),NA())</f>
        <v>#N/A</v>
      </c>
      <c r="BZ327" t="e">
        <f t="shared" ref="BZ327:BZ390" si="380">IF(Z327=1,BS327,NA())</f>
        <v>#N/A</v>
      </c>
      <c r="CA327" t="e">
        <f t="shared" ref="CA327:CA390" si="381">IF(Z327=1,BJ327,NA())</f>
        <v>#N/A</v>
      </c>
      <c r="CB327" t="e">
        <f t="shared" ref="CB327:CB390" si="382">IF(Z327=1,IF(BN327=2,BS327,NA()),NA())</f>
        <v>#N/A</v>
      </c>
      <c r="CC327" t="e">
        <f t="shared" ref="CC327:CC390" si="383">IF(Z327=1,IF(BN327=2,BI327,NA()),NA())</f>
        <v>#N/A</v>
      </c>
      <c r="CD327" t="e">
        <f t="shared" ref="CD327:CD390" si="384">IF(Z327=1,BL327-2,NA())</f>
        <v>#N/A</v>
      </c>
      <c r="CE327" t="e">
        <f t="shared" ref="CE327:CE390" si="385">IF(Z327=1,BR327,NA())</f>
        <v>#N/A</v>
      </c>
      <c r="CF327" t="e">
        <f t="shared" ref="CF327:CF390" si="386">IF(Z327=1,IF(ISNUMBER(BN327),BL327-2.5,NA()),NA())</f>
        <v>#N/A</v>
      </c>
      <c r="CG327" t="e">
        <f t="shared" ref="CG327:CG390" si="387">IF(Z327=1,IF(ISNUMBER(BN327),BI327,NA()),NA())</f>
        <v>#N/A</v>
      </c>
      <c r="CI327" t="e">
        <f>AT113</f>
        <v>#N/A</v>
      </c>
      <c r="CJ327" t="e">
        <f>AU113</f>
        <v>#N/A</v>
      </c>
      <c r="CK327">
        <f>IF(ISNUMBER(CI327),IFERROR(MAX(0,AV113-CI327),0),0)</f>
        <v>0</v>
      </c>
      <c r="CL327">
        <f>IF(ISNUMBER(CI327),IFERROR(MAX(0,CI327-AV113),0),0)</f>
        <v>0</v>
      </c>
      <c r="CM327">
        <f>IF(ISNUMBER(CJ327),IFERROR(MAX(0,AW113-CJ327),0),0)</f>
        <v>0</v>
      </c>
      <c r="CN327">
        <f>IF(ISNUMBER(CJ327),IFERROR(MAX(0,CJ327-AW113),0),0)</f>
        <v>0</v>
      </c>
      <c r="CP327" t="e">
        <f>CB113</f>
        <v>#N/A</v>
      </c>
      <c r="CQ327" t="e">
        <f>CC113</f>
        <v>#N/A</v>
      </c>
      <c r="CR327">
        <f>IF(ISNUMBER(CP327),IFERROR(MAX(0,CD113-CP327),0),0)</f>
        <v>0</v>
      </c>
      <c r="CS327">
        <f>IF(ISNUMBER(CP327),IFERROR(MAX(0,CP327-CD113),0),0)</f>
        <v>0</v>
      </c>
      <c r="CT327">
        <f>IF(ISNUMBER(CQ327),IFERROR(MAX(0,CE113-CQ327),0),0)</f>
        <v>0</v>
      </c>
      <c r="CU327">
        <f>IF(ISNUMBER(CQ327),IFERROR(MAX(0,CQ327-CE113),0),0)</f>
        <v>0</v>
      </c>
    </row>
    <row r="328" spans="21:99" x14ac:dyDescent="0.3">
      <c r="U328">
        <v>322</v>
      </c>
      <c r="V328">
        <f t="shared" si="332"/>
        <v>81</v>
      </c>
      <c r="W328">
        <f t="shared" si="333"/>
        <v>2</v>
      </c>
      <c r="X328">
        <f t="shared" si="334"/>
        <v>0</v>
      </c>
      <c r="Y328">
        <f>IF(X328&lt;&gt;1,9999,CHOOSE(W328,INDEX(Gantt!$BQ$7:$BQ$119,V328),INDEX(Gantt!$BR$7:$BR$119,V328),INDEX(Gantt!$BT$7:$BT$119,V328),INDEX(Gantt!$BU$7:$BU$119,V328)))</f>
        <v>9999</v>
      </c>
      <c r="Z328">
        <f t="shared" si="335"/>
        <v>0</v>
      </c>
      <c r="AA328" t="e">
        <f t="shared" si="336"/>
        <v>#N/A</v>
      </c>
      <c r="AB328" t="e">
        <f t="shared" si="337"/>
        <v>#N/A</v>
      </c>
      <c r="AC328" t="e">
        <f t="shared" si="338"/>
        <v>#N/A</v>
      </c>
      <c r="AD328" t="e">
        <f t="shared" si="339"/>
        <v>#N/A</v>
      </c>
      <c r="AE328" t="e">
        <f t="shared" si="340"/>
        <v>#N/A</v>
      </c>
      <c r="AF328" t="e">
        <f t="shared" si="341"/>
        <v>#N/A</v>
      </c>
      <c r="AG328" t="e">
        <f t="shared" si="342"/>
        <v>#N/A</v>
      </c>
      <c r="AH328" t="e">
        <f t="shared" si="343"/>
        <v>#N/A</v>
      </c>
      <c r="AI328" t="e">
        <f t="shared" si="344"/>
        <v>#N/A</v>
      </c>
      <c r="AJ328" t="e">
        <f t="shared" si="345"/>
        <v>#N/A</v>
      </c>
      <c r="AK328" t="e">
        <f t="shared" si="346"/>
        <v>#N/A</v>
      </c>
      <c r="AL328" t="e">
        <f t="shared" si="347"/>
        <v>#N/A</v>
      </c>
      <c r="AM328" t="e">
        <f t="shared" si="348"/>
        <v>#N/A</v>
      </c>
      <c r="AN328" t="e">
        <f t="shared" si="349"/>
        <v>#N/A</v>
      </c>
      <c r="AO328" t="e">
        <f t="shared" si="350"/>
        <v>#N/A</v>
      </c>
      <c r="AP328" t="e">
        <f t="shared" si="351"/>
        <v>#N/A</v>
      </c>
      <c r="AQ328" t="e">
        <f t="shared" si="352"/>
        <v>#N/A</v>
      </c>
      <c r="AR328" t="e">
        <f t="shared" si="353"/>
        <v>#N/A</v>
      </c>
      <c r="AS328" t="e">
        <f t="shared" si="354"/>
        <v>#N/A</v>
      </c>
      <c r="AT328" t="e">
        <f t="shared" si="355"/>
        <v>#N/A</v>
      </c>
      <c r="AU328" t="e">
        <f t="shared" si="356"/>
        <v>#N/A</v>
      </c>
      <c r="AV328" t="e">
        <f t="shared" si="357"/>
        <v>#N/A</v>
      </c>
      <c r="AW328" t="e">
        <f t="shared" si="358"/>
        <v>#N/A</v>
      </c>
      <c r="AX328" t="e">
        <f t="shared" si="359"/>
        <v>#N/A</v>
      </c>
      <c r="AY328" t="e">
        <f t="shared" si="360"/>
        <v>#N/A</v>
      </c>
      <c r="BE328" t="e">
        <f>IF(Z328=1,IF(INDEX($C$7:$C$126,V328)&gt;=Gantt!$BF$6,NA(),MATCH(INDEX($C$7:$C$126,V328),Gantt!$J$6:$BE$6,1)),NA())</f>
        <v>#N/A</v>
      </c>
      <c r="BF328" t="e">
        <f>IF(Z328=1,IF((INDEX($D$7:$D$126,AA328)-1)&gt;=Gantt!$BF$6,NA(),IF((INDEX($D$7:$D$126,AA328)-1)&lt;Gantt!$J$6,0,MATCH((INDEX($D$7:$D$126,AA328)-1),Gantt!$J$6:$BE$6,1))),NA())</f>
        <v>#N/A</v>
      </c>
      <c r="BG328" t="e">
        <f t="shared" si="361"/>
        <v>#N/A</v>
      </c>
      <c r="BH328" t="e">
        <f t="shared" si="362"/>
        <v>#N/A</v>
      </c>
      <c r="BI328" t="e">
        <f t="shared" si="363"/>
        <v>#N/A</v>
      </c>
      <c r="BJ328" t="e">
        <f t="shared" si="364"/>
        <v>#N/A</v>
      </c>
      <c r="BK328" t="e">
        <f t="shared" si="365"/>
        <v>#N/A</v>
      </c>
      <c r="BL328" t="e">
        <f t="shared" si="366"/>
        <v>#N/A</v>
      </c>
      <c r="BM328" t="e">
        <f t="shared" si="367"/>
        <v>#N/A</v>
      </c>
      <c r="BN328" t="e">
        <f t="shared" si="368"/>
        <v>#N/A</v>
      </c>
      <c r="BO328" t="e">
        <f t="shared" si="369"/>
        <v>#N/A</v>
      </c>
      <c r="BP328" t="e">
        <f t="shared" si="370"/>
        <v>#N/A</v>
      </c>
      <c r="BQ328" t="e">
        <f t="shared" si="371"/>
        <v>#N/A</v>
      </c>
      <c r="BR328" t="e">
        <f t="shared" si="372"/>
        <v>#N/A</v>
      </c>
      <c r="BS328" t="e">
        <f t="shared" si="373"/>
        <v>#N/A</v>
      </c>
      <c r="BT328" t="e">
        <f t="shared" si="374"/>
        <v>#N/A</v>
      </c>
      <c r="BU328" t="e">
        <f t="shared" si="375"/>
        <v>#N/A</v>
      </c>
      <c r="BV328" t="e">
        <f t="shared" si="376"/>
        <v>#N/A</v>
      </c>
      <c r="BW328" t="e">
        <f t="shared" si="377"/>
        <v>#N/A</v>
      </c>
      <c r="BX328" t="e">
        <f t="shared" si="378"/>
        <v>#N/A</v>
      </c>
      <c r="BY328" t="e">
        <f t="shared" si="379"/>
        <v>#N/A</v>
      </c>
      <c r="BZ328" t="e">
        <f t="shared" si="380"/>
        <v>#N/A</v>
      </c>
      <c r="CA328" t="e">
        <f t="shared" si="381"/>
        <v>#N/A</v>
      </c>
      <c r="CB328" t="e">
        <f t="shared" si="382"/>
        <v>#N/A</v>
      </c>
      <c r="CC328" t="e">
        <f t="shared" si="383"/>
        <v>#N/A</v>
      </c>
      <c r="CD328" t="e">
        <f t="shared" si="384"/>
        <v>#N/A</v>
      </c>
      <c r="CE328" t="e">
        <f t="shared" si="385"/>
        <v>#N/A</v>
      </c>
      <c r="CF328" t="e">
        <f t="shared" si="386"/>
        <v>#N/A</v>
      </c>
      <c r="CG328" t="e">
        <f t="shared" si="387"/>
        <v>#N/A</v>
      </c>
      <c r="CI328" t="e">
        <f>AL114</f>
        <v>#N/A</v>
      </c>
      <c r="CJ328" t="e">
        <f>AM114</f>
        <v>#N/A</v>
      </c>
      <c r="CK328">
        <f>IF(ISNUMBER(CI328),IFERROR(MAX(0,AN114-CI328),0),0)</f>
        <v>0</v>
      </c>
      <c r="CL328">
        <f>IF(ISNUMBER(CI328),IFERROR(MAX(0,CI328-AN114),0),0)</f>
        <v>0</v>
      </c>
      <c r="CM328">
        <f>IF(ISNUMBER(CJ328),IFERROR(MAX(0,AO114-CJ328),0),0)</f>
        <v>0</v>
      </c>
      <c r="CN328">
        <f>IF(ISNUMBER(CJ328),IFERROR(MAX(0,CJ328-AO114),0),0)</f>
        <v>0</v>
      </c>
      <c r="CP328" t="e">
        <f>BT114</f>
        <v>#N/A</v>
      </c>
      <c r="CQ328" t="e">
        <f>BU114</f>
        <v>#N/A</v>
      </c>
      <c r="CR328">
        <f>IF(ISNUMBER(CP328),IFERROR(MAX(0,BV114-CP328),0),0)</f>
        <v>0</v>
      </c>
      <c r="CS328">
        <f>IF(ISNUMBER(CP328),IFERROR(MAX(0,CP328-BV114),0),0)</f>
        <v>0</v>
      </c>
      <c r="CT328">
        <f>IF(ISNUMBER(CQ328),IFERROR(MAX(0,BW114-CQ328),0),0)</f>
        <v>0</v>
      </c>
      <c r="CU328">
        <f>IF(ISNUMBER(CQ328),IFERROR(MAX(0,CQ328-BW114),0),0)</f>
        <v>0</v>
      </c>
    </row>
    <row r="329" spans="21:99" x14ac:dyDescent="0.3">
      <c r="U329">
        <v>323</v>
      </c>
      <c r="V329">
        <f t="shared" si="332"/>
        <v>81</v>
      </c>
      <c r="W329">
        <f t="shared" si="333"/>
        <v>3</v>
      </c>
      <c r="X329">
        <f t="shared" si="334"/>
        <v>0</v>
      </c>
      <c r="Y329">
        <f>IF(X329&lt;&gt;1,9999,CHOOSE(W329,INDEX(Gantt!$BQ$7:$BQ$119,V329),INDEX(Gantt!$BR$7:$BR$119,V329),INDEX(Gantt!$BT$7:$BT$119,V329),INDEX(Gantt!$BU$7:$BU$119,V329)))</f>
        <v>9999</v>
      </c>
      <c r="Z329">
        <f t="shared" si="335"/>
        <v>0</v>
      </c>
      <c r="AA329" t="e">
        <f t="shared" si="336"/>
        <v>#N/A</v>
      </c>
      <c r="AB329" t="e">
        <f t="shared" si="337"/>
        <v>#N/A</v>
      </c>
      <c r="AC329" t="e">
        <f t="shared" si="338"/>
        <v>#N/A</v>
      </c>
      <c r="AD329" t="e">
        <f t="shared" si="339"/>
        <v>#N/A</v>
      </c>
      <c r="AE329" t="e">
        <f t="shared" si="340"/>
        <v>#N/A</v>
      </c>
      <c r="AF329" t="e">
        <f t="shared" si="341"/>
        <v>#N/A</v>
      </c>
      <c r="AG329" t="e">
        <f t="shared" si="342"/>
        <v>#N/A</v>
      </c>
      <c r="AH329" t="e">
        <f t="shared" si="343"/>
        <v>#N/A</v>
      </c>
      <c r="AI329" t="e">
        <f t="shared" si="344"/>
        <v>#N/A</v>
      </c>
      <c r="AJ329" t="e">
        <f t="shared" si="345"/>
        <v>#N/A</v>
      </c>
      <c r="AK329" t="e">
        <f t="shared" si="346"/>
        <v>#N/A</v>
      </c>
      <c r="AL329" t="e">
        <f t="shared" si="347"/>
        <v>#N/A</v>
      </c>
      <c r="AM329" t="e">
        <f t="shared" si="348"/>
        <v>#N/A</v>
      </c>
      <c r="AN329" t="e">
        <f t="shared" si="349"/>
        <v>#N/A</v>
      </c>
      <c r="AO329" t="e">
        <f t="shared" si="350"/>
        <v>#N/A</v>
      </c>
      <c r="AP329" t="e">
        <f t="shared" si="351"/>
        <v>#N/A</v>
      </c>
      <c r="AQ329" t="e">
        <f t="shared" si="352"/>
        <v>#N/A</v>
      </c>
      <c r="AR329" t="e">
        <f t="shared" si="353"/>
        <v>#N/A</v>
      </c>
      <c r="AS329" t="e">
        <f t="shared" si="354"/>
        <v>#N/A</v>
      </c>
      <c r="AT329" t="e">
        <f t="shared" si="355"/>
        <v>#N/A</v>
      </c>
      <c r="AU329" t="e">
        <f t="shared" si="356"/>
        <v>#N/A</v>
      </c>
      <c r="AV329" t="e">
        <f t="shared" si="357"/>
        <v>#N/A</v>
      </c>
      <c r="AW329" t="e">
        <f t="shared" si="358"/>
        <v>#N/A</v>
      </c>
      <c r="AX329" t="e">
        <f t="shared" si="359"/>
        <v>#N/A</v>
      </c>
      <c r="AY329" t="e">
        <f t="shared" si="360"/>
        <v>#N/A</v>
      </c>
      <c r="BE329" t="e">
        <f>IF(Z329=1,IF(INDEX($C$7:$C$126,V329)&gt;=Gantt!$BF$6,NA(),MATCH(INDEX($C$7:$C$126,V329),Gantt!$J$6:$BE$6,1)),NA())</f>
        <v>#N/A</v>
      </c>
      <c r="BF329" t="e">
        <f>IF(Z329=1,IF((INDEX($D$7:$D$126,AA329)-1)&gt;=Gantt!$BF$6,NA(),IF((INDEX($D$7:$D$126,AA329)-1)&lt;Gantt!$J$6,0,MATCH((INDEX($D$7:$D$126,AA329)-1),Gantt!$J$6:$BE$6,1))),NA())</f>
        <v>#N/A</v>
      </c>
      <c r="BG329" t="e">
        <f t="shared" si="361"/>
        <v>#N/A</v>
      </c>
      <c r="BH329" t="e">
        <f t="shared" si="362"/>
        <v>#N/A</v>
      </c>
      <c r="BI329" t="e">
        <f t="shared" si="363"/>
        <v>#N/A</v>
      </c>
      <c r="BJ329" t="e">
        <f t="shared" si="364"/>
        <v>#N/A</v>
      </c>
      <c r="BK329" t="e">
        <f t="shared" si="365"/>
        <v>#N/A</v>
      </c>
      <c r="BL329" t="e">
        <f t="shared" si="366"/>
        <v>#N/A</v>
      </c>
      <c r="BM329" t="e">
        <f t="shared" si="367"/>
        <v>#N/A</v>
      </c>
      <c r="BN329" t="e">
        <f t="shared" si="368"/>
        <v>#N/A</v>
      </c>
      <c r="BO329" t="e">
        <f t="shared" si="369"/>
        <v>#N/A</v>
      </c>
      <c r="BP329" t="e">
        <f t="shared" si="370"/>
        <v>#N/A</v>
      </c>
      <c r="BQ329" t="e">
        <f t="shared" si="371"/>
        <v>#N/A</v>
      </c>
      <c r="BR329" t="e">
        <f t="shared" si="372"/>
        <v>#N/A</v>
      </c>
      <c r="BS329" t="e">
        <f t="shared" si="373"/>
        <v>#N/A</v>
      </c>
      <c r="BT329" t="e">
        <f t="shared" si="374"/>
        <v>#N/A</v>
      </c>
      <c r="BU329" t="e">
        <f t="shared" si="375"/>
        <v>#N/A</v>
      </c>
      <c r="BV329" t="e">
        <f t="shared" si="376"/>
        <v>#N/A</v>
      </c>
      <c r="BW329" t="e">
        <f t="shared" si="377"/>
        <v>#N/A</v>
      </c>
      <c r="BX329" t="e">
        <f t="shared" si="378"/>
        <v>#N/A</v>
      </c>
      <c r="BY329" t="e">
        <f t="shared" si="379"/>
        <v>#N/A</v>
      </c>
      <c r="BZ329" t="e">
        <f t="shared" si="380"/>
        <v>#N/A</v>
      </c>
      <c r="CA329" t="e">
        <f t="shared" si="381"/>
        <v>#N/A</v>
      </c>
      <c r="CB329" t="e">
        <f t="shared" si="382"/>
        <v>#N/A</v>
      </c>
      <c r="CC329" t="e">
        <f t="shared" si="383"/>
        <v>#N/A</v>
      </c>
      <c r="CD329" t="e">
        <f t="shared" si="384"/>
        <v>#N/A</v>
      </c>
      <c r="CE329" t="e">
        <f t="shared" si="385"/>
        <v>#N/A</v>
      </c>
      <c r="CF329" t="e">
        <f t="shared" si="386"/>
        <v>#N/A</v>
      </c>
      <c r="CG329" t="e">
        <f t="shared" si="387"/>
        <v>#N/A</v>
      </c>
      <c r="CI329" t="e">
        <f>AP114</f>
        <v>#N/A</v>
      </c>
      <c r="CJ329" t="e">
        <f>AQ114</f>
        <v>#N/A</v>
      </c>
      <c r="CK329">
        <f>IF(ISNUMBER(CI329),IFERROR(MAX(0,AR114-CI329),0),0)</f>
        <v>0</v>
      </c>
      <c r="CL329">
        <f>IF(ISNUMBER(CI329),IFERROR(MAX(0,CI329-AR114),0),0)</f>
        <v>0</v>
      </c>
      <c r="CM329">
        <f>IF(ISNUMBER(CJ329),IFERROR(MAX(0,AS114-CJ329),0),0)</f>
        <v>0</v>
      </c>
      <c r="CN329">
        <f>IF(ISNUMBER(CJ329),IFERROR(MAX(0,CJ329-AS114),0),0)</f>
        <v>0</v>
      </c>
      <c r="CP329" t="e">
        <f>BX114</f>
        <v>#N/A</v>
      </c>
      <c r="CQ329" t="e">
        <f>BY114</f>
        <v>#N/A</v>
      </c>
      <c r="CR329">
        <f>IF(ISNUMBER(CP329),IFERROR(MAX(0,BZ114-CP329),0),0)</f>
        <v>0</v>
      </c>
      <c r="CS329">
        <f>IF(ISNUMBER(CP329),IFERROR(MAX(0,CP329-BZ114),0),0)</f>
        <v>0</v>
      </c>
      <c r="CT329">
        <f>IF(ISNUMBER(CQ329),IFERROR(MAX(0,CA114-CQ329),0),0)</f>
        <v>0</v>
      </c>
      <c r="CU329">
        <f>IF(ISNUMBER(CQ329),IFERROR(MAX(0,CQ329-CA114),0),0)</f>
        <v>0</v>
      </c>
    </row>
    <row r="330" spans="21:99" x14ac:dyDescent="0.3">
      <c r="U330">
        <v>324</v>
      </c>
      <c r="V330">
        <f t="shared" si="332"/>
        <v>81</v>
      </c>
      <c r="W330">
        <f t="shared" si="333"/>
        <v>4</v>
      </c>
      <c r="X330">
        <f t="shared" si="334"/>
        <v>0</v>
      </c>
      <c r="Y330">
        <f>IF(X330&lt;&gt;1,9999,CHOOSE(W330,INDEX(Gantt!$BQ$7:$BQ$119,V330),INDEX(Gantt!$BR$7:$BR$119,V330),INDEX(Gantt!$BT$7:$BT$119,V330),INDEX(Gantt!$BU$7:$BU$119,V330)))</f>
        <v>9999</v>
      </c>
      <c r="Z330">
        <f t="shared" si="335"/>
        <v>0</v>
      </c>
      <c r="AA330" t="e">
        <f t="shared" si="336"/>
        <v>#N/A</v>
      </c>
      <c r="AB330" t="e">
        <f t="shared" si="337"/>
        <v>#N/A</v>
      </c>
      <c r="AC330" t="e">
        <f t="shared" si="338"/>
        <v>#N/A</v>
      </c>
      <c r="AD330" t="e">
        <f t="shared" si="339"/>
        <v>#N/A</v>
      </c>
      <c r="AE330" t="e">
        <f t="shared" si="340"/>
        <v>#N/A</v>
      </c>
      <c r="AF330" t="e">
        <f t="shared" si="341"/>
        <v>#N/A</v>
      </c>
      <c r="AG330" t="e">
        <f t="shared" si="342"/>
        <v>#N/A</v>
      </c>
      <c r="AH330" t="e">
        <f t="shared" si="343"/>
        <v>#N/A</v>
      </c>
      <c r="AI330" t="e">
        <f t="shared" si="344"/>
        <v>#N/A</v>
      </c>
      <c r="AJ330" t="e">
        <f t="shared" si="345"/>
        <v>#N/A</v>
      </c>
      <c r="AK330" t="e">
        <f t="shared" si="346"/>
        <v>#N/A</v>
      </c>
      <c r="AL330" t="e">
        <f t="shared" si="347"/>
        <v>#N/A</v>
      </c>
      <c r="AM330" t="e">
        <f t="shared" si="348"/>
        <v>#N/A</v>
      </c>
      <c r="AN330" t="e">
        <f t="shared" si="349"/>
        <v>#N/A</v>
      </c>
      <c r="AO330" t="e">
        <f t="shared" si="350"/>
        <v>#N/A</v>
      </c>
      <c r="AP330" t="e">
        <f t="shared" si="351"/>
        <v>#N/A</v>
      </c>
      <c r="AQ330" t="e">
        <f t="shared" si="352"/>
        <v>#N/A</v>
      </c>
      <c r="AR330" t="e">
        <f t="shared" si="353"/>
        <v>#N/A</v>
      </c>
      <c r="AS330" t="e">
        <f t="shared" si="354"/>
        <v>#N/A</v>
      </c>
      <c r="AT330" t="e">
        <f t="shared" si="355"/>
        <v>#N/A</v>
      </c>
      <c r="AU330" t="e">
        <f t="shared" si="356"/>
        <v>#N/A</v>
      </c>
      <c r="AV330" t="e">
        <f t="shared" si="357"/>
        <v>#N/A</v>
      </c>
      <c r="AW330" t="e">
        <f t="shared" si="358"/>
        <v>#N/A</v>
      </c>
      <c r="AX330" t="e">
        <f t="shared" si="359"/>
        <v>#N/A</v>
      </c>
      <c r="AY330" t="e">
        <f t="shared" si="360"/>
        <v>#N/A</v>
      </c>
      <c r="BE330" t="e">
        <f>IF(Z330=1,IF(INDEX($C$7:$C$126,V330)&gt;=Gantt!$BF$6,NA(),MATCH(INDEX($C$7:$C$126,V330),Gantt!$J$6:$BE$6,1)),NA())</f>
        <v>#N/A</v>
      </c>
      <c r="BF330" t="e">
        <f>IF(Z330=1,IF((INDEX($D$7:$D$126,AA330)-1)&gt;=Gantt!$BF$6,NA(),IF((INDEX($D$7:$D$126,AA330)-1)&lt;Gantt!$J$6,0,MATCH((INDEX($D$7:$D$126,AA330)-1),Gantt!$J$6:$BE$6,1))),NA())</f>
        <v>#N/A</v>
      </c>
      <c r="BG330" t="e">
        <f t="shared" si="361"/>
        <v>#N/A</v>
      </c>
      <c r="BH330" t="e">
        <f t="shared" si="362"/>
        <v>#N/A</v>
      </c>
      <c r="BI330" t="e">
        <f t="shared" si="363"/>
        <v>#N/A</v>
      </c>
      <c r="BJ330" t="e">
        <f t="shared" si="364"/>
        <v>#N/A</v>
      </c>
      <c r="BK330" t="e">
        <f t="shared" si="365"/>
        <v>#N/A</v>
      </c>
      <c r="BL330" t="e">
        <f t="shared" si="366"/>
        <v>#N/A</v>
      </c>
      <c r="BM330" t="e">
        <f t="shared" si="367"/>
        <v>#N/A</v>
      </c>
      <c r="BN330" t="e">
        <f t="shared" si="368"/>
        <v>#N/A</v>
      </c>
      <c r="BO330" t="e">
        <f t="shared" si="369"/>
        <v>#N/A</v>
      </c>
      <c r="BP330" t="e">
        <f t="shared" si="370"/>
        <v>#N/A</v>
      </c>
      <c r="BQ330" t="e">
        <f t="shared" si="371"/>
        <v>#N/A</v>
      </c>
      <c r="BR330" t="e">
        <f t="shared" si="372"/>
        <v>#N/A</v>
      </c>
      <c r="BS330" t="e">
        <f t="shared" si="373"/>
        <v>#N/A</v>
      </c>
      <c r="BT330" t="e">
        <f t="shared" si="374"/>
        <v>#N/A</v>
      </c>
      <c r="BU330" t="e">
        <f t="shared" si="375"/>
        <v>#N/A</v>
      </c>
      <c r="BV330" t="e">
        <f t="shared" si="376"/>
        <v>#N/A</v>
      </c>
      <c r="BW330" t="e">
        <f t="shared" si="377"/>
        <v>#N/A</v>
      </c>
      <c r="BX330" t="e">
        <f t="shared" si="378"/>
        <v>#N/A</v>
      </c>
      <c r="BY330" t="e">
        <f t="shared" si="379"/>
        <v>#N/A</v>
      </c>
      <c r="BZ330" t="e">
        <f t="shared" si="380"/>
        <v>#N/A</v>
      </c>
      <c r="CA330" t="e">
        <f t="shared" si="381"/>
        <v>#N/A</v>
      </c>
      <c r="CB330" t="e">
        <f t="shared" si="382"/>
        <v>#N/A</v>
      </c>
      <c r="CC330" t="e">
        <f t="shared" si="383"/>
        <v>#N/A</v>
      </c>
      <c r="CD330" t="e">
        <f t="shared" si="384"/>
        <v>#N/A</v>
      </c>
      <c r="CE330" t="e">
        <f t="shared" si="385"/>
        <v>#N/A</v>
      </c>
      <c r="CF330" t="e">
        <f t="shared" si="386"/>
        <v>#N/A</v>
      </c>
      <c r="CG330" t="e">
        <f t="shared" si="387"/>
        <v>#N/A</v>
      </c>
      <c r="CI330" t="e">
        <f>AT114</f>
        <v>#N/A</v>
      </c>
      <c r="CJ330" t="e">
        <f>AU114</f>
        <v>#N/A</v>
      </c>
      <c r="CK330">
        <f>IF(ISNUMBER(CI330),IFERROR(MAX(0,AV114-CI330),0),0)</f>
        <v>0</v>
      </c>
      <c r="CL330">
        <f>IF(ISNUMBER(CI330),IFERROR(MAX(0,CI330-AV114),0),0)</f>
        <v>0</v>
      </c>
      <c r="CM330">
        <f>IF(ISNUMBER(CJ330),IFERROR(MAX(0,AW114-CJ330),0),0)</f>
        <v>0</v>
      </c>
      <c r="CN330">
        <f>IF(ISNUMBER(CJ330),IFERROR(MAX(0,CJ330-AW114),0),0)</f>
        <v>0</v>
      </c>
      <c r="CP330" t="e">
        <f>CB114</f>
        <v>#N/A</v>
      </c>
      <c r="CQ330" t="e">
        <f>CC114</f>
        <v>#N/A</v>
      </c>
      <c r="CR330">
        <f>IF(ISNUMBER(CP330),IFERROR(MAX(0,CD114-CP330),0),0)</f>
        <v>0</v>
      </c>
      <c r="CS330">
        <f>IF(ISNUMBER(CP330),IFERROR(MAX(0,CP330-CD114),0),0)</f>
        <v>0</v>
      </c>
      <c r="CT330">
        <f>IF(ISNUMBER(CQ330),IFERROR(MAX(0,CE114-CQ330),0),0)</f>
        <v>0</v>
      </c>
      <c r="CU330">
        <f>IF(ISNUMBER(CQ330),IFERROR(MAX(0,CQ330-CE114),0),0)</f>
        <v>0</v>
      </c>
    </row>
    <row r="331" spans="21:99" x14ac:dyDescent="0.3">
      <c r="U331">
        <v>325</v>
      </c>
      <c r="V331">
        <f t="shared" si="332"/>
        <v>82</v>
      </c>
      <c r="W331">
        <f t="shared" si="333"/>
        <v>1</v>
      </c>
      <c r="X331">
        <f t="shared" si="334"/>
        <v>0</v>
      </c>
      <c r="Y331">
        <f>IF(X331&lt;&gt;1,9999,CHOOSE(W331,INDEX(Gantt!$BQ$7:$BQ$119,V331),INDEX(Gantt!$BR$7:$BR$119,V331),INDEX(Gantt!$BT$7:$BT$119,V331),INDEX(Gantt!$BU$7:$BU$119,V331)))</f>
        <v>9999</v>
      </c>
      <c r="Z331">
        <f t="shared" si="335"/>
        <v>0</v>
      </c>
      <c r="AA331" t="e">
        <f t="shared" si="336"/>
        <v>#N/A</v>
      </c>
      <c r="AB331" t="e">
        <f t="shared" si="337"/>
        <v>#N/A</v>
      </c>
      <c r="AC331" t="e">
        <f t="shared" si="338"/>
        <v>#N/A</v>
      </c>
      <c r="AD331" t="e">
        <f t="shared" si="339"/>
        <v>#N/A</v>
      </c>
      <c r="AE331" t="e">
        <f t="shared" si="340"/>
        <v>#N/A</v>
      </c>
      <c r="AF331" t="e">
        <f t="shared" si="341"/>
        <v>#N/A</v>
      </c>
      <c r="AG331" t="e">
        <f t="shared" si="342"/>
        <v>#N/A</v>
      </c>
      <c r="AH331" t="e">
        <f t="shared" si="343"/>
        <v>#N/A</v>
      </c>
      <c r="AI331" t="e">
        <f t="shared" si="344"/>
        <v>#N/A</v>
      </c>
      <c r="AJ331" t="e">
        <f t="shared" si="345"/>
        <v>#N/A</v>
      </c>
      <c r="AK331" t="e">
        <f t="shared" si="346"/>
        <v>#N/A</v>
      </c>
      <c r="AL331" t="e">
        <f t="shared" si="347"/>
        <v>#N/A</v>
      </c>
      <c r="AM331" t="e">
        <f t="shared" si="348"/>
        <v>#N/A</v>
      </c>
      <c r="AN331" t="e">
        <f t="shared" si="349"/>
        <v>#N/A</v>
      </c>
      <c r="AO331" t="e">
        <f t="shared" si="350"/>
        <v>#N/A</v>
      </c>
      <c r="AP331" t="e">
        <f t="shared" si="351"/>
        <v>#N/A</v>
      </c>
      <c r="AQ331" t="e">
        <f t="shared" si="352"/>
        <v>#N/A</v>
      </c>
      <c r="AR331" t="e">
        <f t="shared" si="353"/>
        <v>#N/A</v>
      </c>
      <c r="AS331" t="e">
        <f t="shared" si="354"/>
        <v>#N/A</v>
      </c>
      <c r="AT331" t="e">
        <f t="shared" si="355"/>
        <v>#N/A</v>
      </c>
      <c r="AU331" t="e">
        <f t="shared" si="356"/>
        <v>#N/A</v>
      </c>
      <c r="AV331" t="e">
        <f t="shared" si="357"/>
        <v>#N/A</v>
      </c>
      <c r="AW331" t="e">
        <f t="shared" si="358"/>
        <v>#N/A</v>
      </c>
      <c r="AX331" t="e">
        <f t="shared" si="359"/>
        <v>#N/A</v>
      </c>
      <c r="AY331" t="e">
        <f t="shared" si="360"/>
        <v>#N/A</v>
      </c>
      <c r="BE331" t="e">
        <f>IF(Z331=1,IF(INDEX($C$7:$C$126,V331)&gt;=Gantt!$BF$6,NA(),MATCH(INDEX($C$7:$C$126,V331),Gantt!$J$6:$BE$6,1)),NA())</f>
        <v>#N/A</v>
      </c>
      <c r="BF331" t="e">
        <f>IF(Z331=1,IF((INDEX($D$7:$D$126,AA331)-1)&gt;=Gantt!$BF$6,NA(),IF((INDEX($D$7:$D$126,AA331)-1)&lt;Gantt!$J$6,0,MATCH((INDEX($D$7:$D$126,AA331)-1),Gantt!$J$6:$BE$6,1))),NA())</f>
        <v>#N/A</v>
      </c>
      <c r="BG331" t="e">
        <f t="shared" si="361"/>
        <v>#N/A</v>
      </c>
      <c r="BH331" t="e">
        <f t="shared" si="362"/>
        <v>#N/A</v>
      </c>
      <c r="BI331" t="e">
        <f t="shared" si="363"/>
        <v>#N/A</v>
      </c>
      <c r="BJ331" t="e">
        <f t="shared" si="364"/>
        <v>#N/A</v>
      </c>
      <c r="BK331" t="e">
        <f t="shared" si="365"/>
        <v>#N/A</v>
      </c>
      <c r="BL331" t="e">
        <f t="shared" si="366"/>
        <v>#N/A</v>
      </c>
      <c r="BM331" t="e">
        <f t="shared" si="367"/>
        <v>#N/A</v>
      </c>
      <c r="BN331" t="e">
        <f t="shared" si="368"/>
        <v>#N/A</v>
      </c>
      <c r="BO331" t="e">
        <f t="shared" si="369"/>
        <v>#N/A</v>
      </c>
      <c r="BP331" t="e">
        <f t="shared" si="370"/>
        <v>#N/A</v>
      </c>
      <c r="BQ331" t="e">
        <f t="shared" si="371"/>
        <v>#N/A</v>
      </c>
      <c r="BR331" t="e">
        <f t="shared" si="372"/>
        <v>#N/A</v>
      </c>
      <c r="BS331" t="e">
        <f t="shared" si="373"/>
        <v>#N/A</v>
      </c>
      <c r="BT331" t="e">
        <f t="shared" si="374"/>
        <v>#N/A</v>
      </c>
      <c r="BU331" t="e">
        <f t="shared" si="375"/>
        <v>#N/A</v>
      </c>
      <c r="BV331" t="e">
        <f t="shared" si="376"/>
        <v>#N/A</v>
      </c>
      <c r="BW331" t="e">
        <f t="shared" si="377"/>
        <v>#N/A</v>
      </c>
      <c r="BX331" t="e">
        <f t="shared" si="378"/>
        <v>#N/A</v>
      </c>
      <c r="BY331" t="e">
        <f t="shared" si="379"/>
        <v>#N/A</v>
      </c>
      <c r="BZ331" t="e">
        <f t="shared" si="380"/>
        <v>#N/A</v>
      </c>
      <c r="CA331" t="e">
        <f t="shared" si="381"/>
        <v>#N/A</v>
      </c>
      <c r="CB331" t="e">
        <f t="shared" si="382"/>
        <v>#N/A</v>
      </c>
      <c r="CC331" t="e">
        <f t="shared" si="383"/>
        <v>#N/A</v>
      </c>
      <c r="CD331" t="e">
        <f t="shared" si="384"/>
        <v>#N/A</v>
      </c>
      <c r="CE331" t="e">
        <f t="shared" si="385"/>
        <v>#N/A</v>
      </c>
      <c r="CF331" t="e">
        <f t="shared" si="386"/>
        <v>#N/A</v>
      </c>
      <c r="CG331" t="e">
        <f t="shared" si="387"/>
        <v>#N/A</v>
      </c>
      <c r="CI331" t="e">
        <f>AL115</f>
        <v>#N/A</v>
      </c>
      <c r="CJ331" t="e">
        <f>AM115</f>
        <v>#N/A</v>
      </c>
      <c r="CK331">
        <f>IF(ISNUMBER(CI331),IFERROR(MAX(0,AN115-CI331),0),0)</f>
        <v>0</v>
      </c>
      <c r="CL331">
        <f>IF(ISNUMBER(CI331),IFERROR(MAX(0,CI331-AN115),0),0)</f>
        <v>0</v>
      </c>
      <c r="CM331">
        <f>IF(ISNUMBER(CJ331),IFERROR(MAX(0,AO115-CJ331),0),0)</f>
        <v>0</v>
      </c>
      <c r="CN331">
        <f>IF(ISNUMBER(CJ331),IFERROR(MAX(0,CJ331-AO115),0),0)</f>
        <v>0</v>
      </c>
      <c r="CP331" t="e">
        <f>BT115</f>
        <v>#N/A</v>
      </c>
      <c r="CQ331" t="e">
        <f>BU115</f>
        <v>#N/A</v>
      </c>
      <c r="CR331">
        <f>IF(ISNUMBER(CP331),IFERROR(MAX(0,BV115-CP331),0),0)</f>
        <v>0</v>
      </c>
      <c r="CS331">
        <f>IF(ISNUMBER(CP331),IFERROR(MAX(0,CP331-BV115),0),0)</f>
        <v>0</v>
      </c>
      <c r="CT331">
        <f>IF(ISNUMBER(CQ331),IFERROR(MAX(0,BW115-CQ331),0),0)</f>
        <v>0</v>
      </c>
      <c r="CU331">
        <f>IF(ISNUMBER(CQ331),IFERROR(MAX(0,CQ331-BW115),0),0)</f>
        <v>0</v>
      </c>
    </row>
    <row r="332" spans="21:99" x14ac:dyDescent="0.3">
      <c r="U332">
        <v>326</v>
      </c>
      <c r="V332">
        <f t="shared" si="332"/>
        <v>82</v>
      </c>
      <c r="W332">
        <f t="shared" si="333"/>
        <v>2</v>
      </c>
      <c r="X332">
        <f t="shared" si="334"/>
        <v>0</v>
      </c>
      <c r="Y332">
        <f>IF(X332&lt;&gt;1,9999,CHOOSE(W332,INDEX(Gantt!$BQ$7:$BQ$119,V332),INDEX(Gantt!$BR$7:$BR$119,V332),INDEX(Gantt!$BT$7:$BT$119,V332),INDEX(Gantt!$BU$7:$BU$119,V332)))</f>
        <v>9999</v>
      </c>
      <c r="Z332">
        <f t="shared" si="335"/>
        <v>0</v>
      </c>
      <c r="AA332" t="e">
        <f t="shared" si="336"/>
        <v>#N/A</v>
      </c>
      <c r="AB332" t="e">
        <f t="shared" si="337"/>
        <v>#N/A</v>
      </c>
      <c r="AC332" t="e">
        <f t="shared" si="338"/>
        <v>#N/A</v>
      </c>
      <c r="AD332" t="e">
        <f t="shared" si="339"/>
        <v>#N/A</v>
      </c>
      <c r="AE332" t="e">
        <f t="shared" si="340"/>
        <v>#N/A</v>
      </c>
      <c r="AF332" t="e">
        <f t="shared" si="341"/>
        <v>#N/A</v>
      </c>
      <c r="AG332" t="e">
        <f t="shared" si="342"/>
        <v>#N/A</v>
      </c>
      <c r="AH332" t="e">
        <f t="shared" si="343"/>
        <v>#N/A</v>
      </c>
      <c r="AI332" t="e">
        <f t="shared" si="344"/>
        <v>#N/A</v>
      </c>
      <c r="AJ332" t="e">
        <f t="shared" si="345"/>
        <v>#N/A</v>
      </c>
      <c r="AK332" t="e">
        <f t="shared" si="346"/>
        <v>#N/A</v>
      </c>
      <c r="AL332" t="e">
        <f t="shared" si="347"/>
        <v>#N/A</v>
      </c>
      <c r="AM332" t="e">
        <f t="shared" si="348"/>
        <v>#N/A</v>
      </c>
      <c r="AN332" t="e">
        <f t="shared" si="349"/>
        <v>#N/A</v>
      </c>
      <c r="AO332" t="e">
        <f t="shared" si="350"/>
        <v>#N/A</v>
      </c>
      <c r="AP332" t="e">
        <f t="shared" si="351"/>
        <v>#N/A</v>
      </c>
      <c r="AQ332" t="e">
        <f t="shared" si="352"/>
        <v>#N/A</v>
      </c>
      <c r="AR332" t="e">
        <f t="shared" si="353"/>
        <v>#N/A</v>
      </c>
      <c r="AS332" t="e">
        <f t="shared" si="354"/>
        <v>#N/A</v>
      </c>
      <c r="AT332" t="e">
        <f t="shared" si="355"/>
        <v>#N/A</v>
      </c>
      <c r="AU332" t="e">
        <f t="shared" si="356"/>
        <v>#N/A</v>
      </c>
      <c r="AV332" t="e">
        <f t="shared" si="357"/>
        <v>#N/A</v>
      </c>
      <c r="AW332" t="e">
        <f t="shared" si="358"/>
        <v>#N/A</v>
      </c>
      <c r="AX332" t="e">
        <f t="shared" si="359"/>
        <v>#N/A</v>
      </c>
      <c r="AY332" t="e">
        <f t="shared" si="360"/>
        <v>#N/A</v>
      </c>
      <c r="BE332" t="e">
        <f>IF(Z332=1,IF(INDEX($C$7:$C$126,V332)&gt;=Gantt!$BF$6,NA(),MATCH(INDEX($C$7:$C$126,V332),Gantt!$J$6:$BE$6,1)),NA())</f>
        <v>#N/A</v>
      </c>
      <c r="BF332" t="e">
        <f>IF(Z332=1,IF((INDEX($D$7:$D$126,AA332)-1)&gt;=Gantt!$BF$6,NA(),IF((INDEX($D$7:$D$126,AA332)-1)&lt;Gantt!$J$6,0,MATCH((INDEX($D$7:$D$126,AA332)-1),Gantt!$J$6:$BE$6,1))),NA())</f>
        <v>#N/A</v>
      </c>
      <c r="BG332" t="e">
        <f t="shared" si="361"/>
        <v>#N/A</v>
      </c>
      <c r="BH332" t="e">
        <f t="shared" si="362"/>
        <v>#N/A</v>
      </c>
      <c r="BI332" t="e">
        <f t="shared" si="363"/>
        <v>#N/A</v>
      </c>
      <c r="BJ332" t="e">
        <f t="shared" si="364"/>
        <v>#N/A</v>
      </c>
      <c r="BK332" t="e">
        <f t="shared" si="365"/>
        <v>#N/A</v>
      </c>
      <c r="BL332" t="e">
        <f t="shared" si="366"/>
        <v>#N/A</v>
      </c>
      <c r="BM332" t="e">
        <f t="shared" si="367"/>
        <v>#N/A</v>
      </c>
      <c r="BN332" t="e">
        <f t="shared" si="368"/>
        <v>#N/A</v>
      </c>
      <c r="BO332" t="e">
        <f t="shared" si="369"/>
        <v>#N/A</v>
      </c>
      <c r="BP332" t="e">
        <f t="shared" si="370"/>
        <v>#N/A</v>
      </c>
      <c r="BQ332" t="e">
        <f t="shared" si="371"/>
        <v>#N/A</v>
      </c>
      <c r="BR332" t="e">
        <f t="shared" si="372"/>
        <v>#N/A</v>
      </c>
      <c r="BS332" t="e">
        <f t="shared" si="373"/>
        <v>#N/A</v>
      </c>
      <c r="BT332" t="e">
        <f t="shared" si="374"/>
        <v>#N/A</v>
      </c>
      <c r="BU332" t="e">
        <f t="shared" si="375"/>
        <v>#N/A</v>
      </c>
      <c r="BV332" t="e">
        <f t="shared" si="376"/>
        <v>#N/A</v>
      </c>
      <c r="BW332" t="e">
        <f t="shared" si="377"/>
        <v>#N/A</v>
      </c>
      <c r="BX332" t="e">
        <f t="shared" si="378"/>
        <v>#N/A</v>
      </c>
      <c r="BY332" t="e">
        <f t="shared" si="379"/>
        <v>#N/A</v>
      </c>
      <c r="BZ332" t="e">
        <f t="shared" si="380"/>
        <v>#N/A</v>
      </c>
      <c r="CA332" t="e">
        <f t="shared" si="381"/>
        <v>#N/A</v>
      </c>
      <c r="CB332" t="e">
        <f t="shared" si="382"/>
        <v>#N/A</v>
      </c>
      <c r="CC332" t="e">
        <f t="shared" si="383"/>
        <v>#N/A</v>
      </c>
      <c r="CD332" t="e">
        <f t="shared" si="384"/>
        <v>#N/A</v>
      </c>
      <c r="CE332" t="e">
        <f t="shared" si="385"/>
        <v>#N/A</v>
      </c>
      <c r="CF332" t="e">
        <f t="shared" si="386"/>
        <v>#N/A</v>
      </c>
      <c r="CG332" t="e">
        <f t="shared" si="387"/>
        <v>#N/A</v>
      </c>
      <c r="CI332" t="e">
        <f>AP115</f>
        <v>#N/A</v>
      </c>
      <c r="CJ332" t="e">
        <f>AQ115</f>
        <v>#N/A</v>
      </c>
      <c r="CK332">
        <f>IF(ISNUMBER(CI332),IFERROR(MAX(0,AR115-CI332),0),0)</f>
        <v>0</v>
      </c>
      <c r="CL332">
        <f>IF(ISNUMBER(CI332),IFERROR(MAX(0,CI332-AR115),0),0)</f>
        <v>0</v>
      </c>
      <c r="CM332">
        <f>IF(ISNUMBER(CJ332),IFERROR(MAX(0,AS115-CJ332),0),0)</f>
        <v>0</v>
      </c>
      <c r="CN332">
        <f>IF(ISNUMBER(CJ332),IFERROR(MAX(0,CJ332-AS115),0),0)</f>
        <v>0</v>
      </c>
      <c r="CP332" t="e">
        <f>BX115</f>
        <v>#N/A</v>
      </c>
      <c r="CQ332" t="e">
        <f>BY115</f>
        <v>#N/A</v>
      </c>
      <c r="CR332">
        <f>IF(ISNUMBER(CP332),IFERROR(MAX(0,BZ115-CP332),0),0)</f>
        <v>0</v>
      </c>
      <c r="CS332">
        <f>IF(ISNUMBER(CP332),IFERROR(MAX(0,CP332-BZ115),0),0)</f>
        <v>0</v>
      </c>
      <c r="CT332">
        <f>IF(ISNUMBER(CQ332),IFERROR(MAX(0,CA115-CQ332),0),0)</f>
        <v>0</v>
      </c>
      <c r="CU332">
        <f>IF(ISNUMBER(CQ332),IFERROR(MAX(0,CQ332-CA115),0),0)</f>
        <v>0</v>
      </c>
    </row>
    <row r="333" spans="21:99" x14ac:dyDescent="0.3">
      <c r="U333">
        <v>327</v>
      </c>
      <c r="V333">
        <f t="shared" si="332"/>
        <v>82</v>
      </c>
      <c r="W333">
        <f t="shared" si="333"/>
        <v>3</v>
      </c>
      <c r="X333">
        <f t="shared" si="334"/>
        <v>0</v>
      </c>
      <c r="Y333">
        <f>IF(X333&lt;&gt;1,9999,CHOOSE(W333,INDEX(Gantt!$BQ$7:$BQ$119,V333),INDEX(Gantt!$BR$7:$BR$119,V333),INDEX(Gantt!$BT$7:$BT$119,V333),INDEX(Gantt!$BU$7:$BU$119,V333)))</f>
        <v>9999</v>
      </c>
      <c r="Z333">
        <f t="shared" si="335"/>
        <v>0</v>
      </c>
      <c r="AA333" t="e">
        <f t="shared" si="336"/>
        <v>#N/A</v>
      </c>
      <c r="AB333" t="e">
        <f t="shared" si="337"/>
        <v>#N/A</v>
      </c>
      <c r="AC333" t="e">
        <f t="shared" si="338"/>
        <v>#N/A</v>
      </c>
      <c r="AD333" t="e">
        <f t="shared" si="339"/>
        <v>#N/A</v>
      </c>
      <c r="AE333" t="e">
        <f t="shared" si="340"/>
        <v>#N/A</v>
      </c>
      <c r="AF333" t="e">
        <f t="shared" si="341"/>
        <v>#N/A</v>
      </c>
      <c r="AG333" t="e">
        <f t="shared" si="342"/>
        <v>#N/A</v>
      </c>
      <c r="AH333" t="e">
        <f t="shared" si="343"/>
        <v>#N/A</v>
      </c>
      <c r="AI333" t="e">
        <f t="shared" si="344"/>
        <v>#N/A</v>
      </c>
      <c r="AJ333" t="e">
        <f t="shared" si="345"/>
        <v>#N/A</v>
      </c>
      <c r="AK333" t="e">
        <f t="shared" si="346"/>
        <v>#N/A</v>
      </c>
      <c r="AL333" t="e">
        <f t="shared" si="347"/>
        <v>#N/A</v>
      </c>
      <c r="AM333" t="e">
        <f t="shared" si="348"/>
        <v>#N/A</v>
      </c>
      <c r="AN333" t="e">
        <f t="shared" si="349"/>
        <v>#N/A</v>
      </c>
      <c r="AO333" t="e">
        <f t="shared" si="350"/>
        <v>#N/A</v>
      </c>
      <c r="AP333" t="e">
        <f t="shared" si="351"/>
        <v>#N/A</v>
      </c>
      <c r="AQ333" t="e">
        <f t="shared" si="352"/>
        <v>#N/A</v>
      </c>
      <c r="AR333" t="e">
        <f t="shared" si="353"/>
        <v>#N/A</v>
      </c>
      <c r="AS333" t="e">
        <f t="shared" si="354"/>
        <v>#N/A</v>
      </c>
      <c r="AT333" t="e">
        <f t="shared" si="355"/>
        <v>#N/A</v>
      </c>
      <c r="AU333" t="e">
        <f t="shared" si="356"/>
        <v>#N/A</v>
      </c>
      <c r="AV333" t="e">
        <f t="shared" si="357"/>
        <v>#N/A</v>
      </c>
      <c r="AW333" t="e">
        <f t="shared" si="358"/>
        <v>#N/A</v>
      </c>
      <c r="AX333" t="e">
        <f t="shared" si="359"/>
        <v>#N/A</v>
      </c>
      <c r="AY333" t="e">
        <f t="shared" si="360"/>
        <v>#N/A</v>
      </c>
      <c r="BE333" t="e">
        <f>IF(Z333=1,IF(INDEX($C$7:$C$126,V333)&gt;=Gantt!$BF$6,NA(),MATCH(INDEX($C$7:$C$126,V333),Gantt!$J$6:$BE$6,1)),NA())</f>
        <v>#N/A</v>
      </c>
      <c r="BF333" t="e">
        <f>IF(Z333=1,IF((INDEX($D$7:$D$126,AA333)-1)&gt;=Gantt!$BF$6,NA(),IF((INDEX($D$7:$D$126,AA333)-1)&lt;Gantt!$J$6,0,MATCH((INDEX($D$7:$D$126,AA333)-1),Gantt!$J$6:$BE$6,1))),NA())</f>
        <v>#N/A</v>
      </c>
      <c r="BG333" t="e">
        <f t="shared" si="361"/>
        <v>#N/A</v>
      </c>
      <c r="BH333" t="e">
        <f t="shared" si="362"/>
        <v>#N/A</v>
      </c>
      <c r="BI333" t="e">
        <f t="shared" si="363"/>
        <v>#N/A</v>
      </c>
      <c r="BJ333" t="e">
        <f t="shared" si="364"/>
        <v>#N/A</v>
      </c>
      <c r="BK333" t="e">
        <f t="shared" si="365"/>
        <v>#N/A</v>
      </c>
      <c r="BL333" t="e">
        <f t="shared" si="366"/>
        <v>#N/A</v>
      </c>
      <c r="BM333" t="e">
        <f t="shared" si="367"/>
        <v>#N/A</v>
      </c>
      <c r="BN333" t="e">
        <f t="shared" si="368"/>
        <v>#N/A</v>
      </c>
      <c r="BO333" t="e">
        <f t="shared" si="369"/>
        <v>#N/A</v>
      </c>
      <c r="BP333" t="e">
        <f t="shared" si="370"/>
        <v>#N/A</v>
      </c>
      <c r="BQ333" t="e">
        <f t="shared" si="371"/>
        <v>#N/A</v>
      </c>
      <c r="BR333" t="e">
        <f t="shared" si="372"/>
        <v>#N/A</v>
      </c>
      <c r="BS333" t="e">
        <f t="shared" si="373"/>
        <v>#N/A</v>
      </c>
      <c r="BT333" t="e">
        <f t="shared" si="374"/>
        <v>#N/A</v>
      </c>
      <c r="BU333" t="e">
        <f t="shared" si="375"/>
        <v>#N/A</v>
      </c>
      <c r="BV333" t="e">
        <f t="shared" si="376"/>
        <v>#N/A</v>
      </c>
      <c r="BW333" t="e">
        <f t="shared" si="377"/>
        <v>#N/A</v>
      </c>
      <c r="BX333" t="e">
        <f t="shared" si="378"/>
        <v>#N/A</v>
      </c>
      <c r="BY333" t="e">
        <f t="shared" si="379"/>
        <v>#N/A</v>
      </c>
      <c r="BZ333" t="e">
        <f t="shared" si="380"/>
        <v>#N/A</v>
      </c>
      <c r="CA333" t="e">
        <f t="shared" si="381"/>
        <v>#N/A</v>
      </c>
      <c r="CB333" t="e">
        <f t="shared" si="382"/>
        <v>#N/A</v>
      </c>
      <c r="CC333" t="e">
        <f t="shared" si="383"/>
        <v>#N/A</v>
      </c>
      <c r="CD333" t="e">
        <f t="shared" si="384"/>
        <v>#N/A</v>
      </c>
      <c r="CE333" t="e">
        <f t="shared" si="385"/>
        <v>#N/A</v>
      </c>
      <c r="CF333" t="e">
        <f t="shared" si="386"/>
        <v>#N/A</v>
      </c>
      <c r="CG333" t="e">
        <f t="shared" si="387"/>
        <v>#N/A</v>
      </c>
      <c r="CI333" t="e">
        <f>AT115</f>
        <v>#N/A</v>
      </c>
      <c r="CJ333" t="e">
        <f>AU115</f>
        <v>#N/A</v>
      </c>
      <c r="CK333">
        <f>IF(ISNUMBER(CI333),IFERROR(MAX(0,AV115-CI333),0),0)</f>
        <v>0</v>
      </c>
      <c r="CL333">
        <f>IF(ISNUMBER(CI333),IFERROR(MAX(0,CI333-AV115),0),0)</f>
        <v>0</v>
      </c>
      <c r="CM333">
        <f>IF(ISNUMBER(CJ333),IFERROR(MAX(0,AW115-CJ333),0),0)</f>
        <v>0</v>
      </c>
      <c r="CN333">
        <f>IF(ISNUMBER(CJ333),IFERROR(MAX(0,CJ333-AW115),0),0)</f>
        <v>0</v>
      </c>
      <c r="CP333" t="e">
        <f>CB115</f>
        <v>#N/A</v>
      </c>
      <c r="CQ333" t="e">
        <f>CC115</f>
        <v>#N/A</v>
      </c>
      <c r="CR333">
        <f>IF(ISNUMBER(CP333),IFERROR(MAX(0,CD115-CP333),0),0)</f>
        <v>0</v>
      </c>
      <c r="CS333">
        <f>IF(ISNUMBER(CP333),IFERROR(MAX(0,CP333-CD115),0),0)</f>
        <v>0</v>
      </c>
      <c r="CT333">
        <f>IF(ISNUMBER(CQ333),IFERROR(MAX(0,CE115-CQ333),0),0)</f>
        <v>0</v>
      </c>
      <c r="CU333">
        <f>IF(ISNUMBER(CQ333),IFERROR(MAX(0,CQ333-CE115),0),0)</f>
        <v>0</v>
      </c>
    </row>
    <row r="334" spans="21:99" x14ac:dyDescent="0.3">
      <c r="U334">
        <v>328</v>
      </c>
      <c r="V334">
        <f t="shared" si="332"/>
        <v>82</v>
      </c>
      <c r="W334">
        <f t="shared" si="333"/>
        <v>4</v>
      </c>
      <c r="X334">
        <f t="shared" si="334"/>
        <v>0</v>
      </c>
      <c r="Y334">
        <f>IF(X334&lt;&gt;1,9999,CHOOSE(W334,INDEX(Gantt!$BQ$7:$BQ$119,V334),INDEX(Gantt!$BR$7:$BR$119,V334),INDEX(Gantt!$BT$7:$BT$119,V334),INDEX(Gantt!$BU$7:$BU$119,V334)))</f>
        <v>9999</v>
      </c>
      <c r="Z334">
        <f t="shared" si="335"/>
        <v>0</v>
      </c>
      <c r="AA334" t="e">
        <f t="shared" si="336"/>
        <v>#N/A</v>
      </c>
      <c r="AB334" t="e">
        <f t="shared" si="337"/>
        <v>#N/A</v>
      </c>
      <c r="AC334" t="e">
        <f t="shared" si="338"/>
        <v>#N/A</v>
      </c>
      <c r="AD334" t="e">
        <f t="shared" si="339"/>
        <v>#N/A</v>
      </c>
      <c r="AE334" t="e">
        <f t="shared" si="340"/>
        <v>#N/A</v>
      </c>
      <c r="AF334" t="e">
        <f t="shared" si="341"/>
        <v>#N/A</v>
      </c>
      <c r="AG334" t="e">
        <f t="shared" si="342"/>
        <v>#N/A</v>
      </c>
      <c r="AH334" t="e">
        <f t="shared" si="343"/>
        <v>#N/A</v>
      </c>
      <c r="AI334" t="e">
        <f t="shared" si="344"/>
        <v>#N/A</v>
      </c>
      <c r="AJ334" t="e">
        <f t="shared" si="345"/>
        <v>#N/A</v>
      </c>
      <c r="AK334" t="e">
        <f t="shared" si="346"/>
        <v>#N/A</v>
      </c>
      <c r="AL334" t="e">
        <f t="shared" si="347"/>
        <v>#N/A</v>
      </c>
      <c r="AM334" t="e">
        <f t="shared" si="348"/>
        <v>#N/A</v>
      </c>
      <c r="AN334" t="e">
        <f t="shared" si="349"/>
        <v>#N/A</v>
      </c>
      <c r="AO334" t="e">
        <f t="shared" si="350"/>
        <v>#N/A</v>
      </c>
      <c r="AP334" t="e">
        <f t="shared" si="351"/>
        <v>#N/A</v>
      </c>
      <c r="AQ334" t="e">
        <f t="shared" si="352"/>
        <v>#N/A</v>
      </c>
      <c r="AR334" t="e">
        <f t="shared" si="353"/>
        <v>#N/A</v>
      </c>
      <c r="AS334" t="e">
        <f t="shared" si="354"/>
        <v>#N/A</v>
      </c>
      <c r="AT334" t="e">
        <f t="shared" si="355"/>
        <v>#N/A</v>
      </c>
      <c r="AU334" t="e">
        <f t="shared" si="356"/>
        <v>#N/A</v>
      </c>
      <c r="AV334" t="e">
        <f t="shared" si="357"/>
        <v>#N/A</v>
      </c>
      <c r="AW334" t="e">
        <f t="shared" si="358"/>
        <v>#N/A</v>
      </c>
      <c r="AX334" t="e">
        <f t="shared" si="359"/>
        <v>#N/A</v>
      </c>
      <c r="AY334" t="e">
        <f t="shared" si="360"/>
        <v>#N/A</v>
      </c>
      <c r="BE334" t="e">
        <f>IF(Z334=1,IF(INDEX($C$7:$C$126,V334)&gt;=Gantt!$BF$6,NA(),MATCH(INDEX($C$7:$C$126,V334),Gantt!$J$6:$BE$6,1)),NA())</f>
        <v>#N/A</v>
      </c>
      <c r="BF334" t="e">
        <f>IF(Z334=1,IF((INDEX($D$7:$D$126,AA334)-1)&gt;=Gantt!$BF$6,NA(),IF((INDEX($D$7:$D$126,AA334)-1)&lt;Gantt!$J$6,0,MATCH((INDEX($D$7:$D$126,AA334)-1),Gantt!$J$6:$BE$6,1))),NA())</f>
        <v>#N/A</v>
      </c>
      <c r="BG334" t="e">
        <f t="shared" si="361"/>
        <v>#N/A</v>
      </c>
      <c r="BH334" t="e">
        <f t="shared" si="362"/>
        <v>#N/A</v>
      </c>
      <c r="BI334" t="e">
        <f t="shared" si="363"/>
        <v>#N/A</v>
      </c>
      <c r="BJ334" t="e">
        <f t="shared" si="364"/>
        <v>#N/A</v>
      </c>
      <c r="BK334" t="e">
        <f t="shared" si="365"/>
        <v>#N/A</v>
      </c>
      <c r="BL334" t="e">
        <f t="shared" si="366"/>
        <v>#N/A</v>
      </c>
      <c r="BM334" t="e">
        <f t="shared" si="367"/>
        <v>#N/A</v>
      </c>
      <c r="BN334" t="e">
        <f t="shared" si="368"/>
        <v>#N/A</v>
      </c>
      <c r="BO334" t="e">
        <f t="shared" si="369"/>
        <v>#N/A</v>
      </c>
      <c r="BP334" t="e">
        <f t="shared" si="370"/>
        <v>#N/A</v>
      </c>
      <c r="BQ334" t="e">
        <f t="shared" si="371"/>
        <v>#N/A</v>
      </c>
      <c r="BR334" t="e">
        <f t="shared" si="372"/>
        <v>#N/A</v>
      </c>
      <c r="BS334" t="e">
        <f t="shared" si="373"/>
        <v>#N/A</v>
      </c>
      <c r="BT334" t="e">
        <f t="shared" si="374"/>
        <v>#N/A</v>
      </c>
      <c r="BU334" t="e">
        <f t="shared" si="375"/>
        <v>#N/A</v>
      </c>
      <c r="BV334" t="e">
        <f t="shared" si="376"/>
        <v>#N/A</v>
      </c>
      <c r="BW334" t="e">
        <f t="shared" si="377"/>
        <v>#N/A</v>
      </c>
      <c r="BX334" t="e">
        <f t="shared" si="378"/>
        <v>#N/A</v>
      </c>
      <c r="BY334" t="e">
        <f t="shared" si="379"/>
        <v>#N/A</v>
      </c>
      <c r="BZ334" t="e">
        <f t="shared" si="380"/>
        <v>#N/A</v>
      </c>
      <c r="CA334" t="e">
        <f t="shared" si="381"/>
        <v>#N/A</v>
      </c>
      <c r="CB334" t="e">
        <f t="shared" si="382"/>
        <v>#N/A</v>
      </c>
      <c r="CC334" t="e">
        <f t="shared" si="383"/>
        <v>#N/A</v>
      </c>
      <c r="CD334" t="e">
        <f t="shared" si="384"/>
        <v>#N/A</v>
      </c>
      <c r="CE334" t="e">
        <f t="shared" si="385"/>
        <v>#N/A</v>
      </c>
      <c r="CF334" t="e">
        <f t="shared" si="386"/>
        <v>#N/A</v>
      </c>
      <c r="CG334" t="e">
        <f t="shared" si="387"/>
        <v>#N/A</v>
      </c>
      <c r="CI334" t="e">
        <f>AL116</f>
        <v>#N/A</v>
      </c>
      <c r="CJ334" t="e">
        <f>AM116</f>
        <v>#N/A</v>
      </c>
      <c r="CK334">
        <f>IF(ISNUMBER(CI334),IFERROR(MAX(0,AN116-CI334),0),0)</f>
        <v>0</v>
      </c>
      <c r="CL334">
        <f>IF(ISNUMBER(CI334),IFERROR(MAX(0,CI334-AN116),0),0)</f>
        <v>0</v>
      </c>
      <c r="CM334">
        <f>IF(ISNUMBER(CJ334),IFERROR(MAX(0,AO116-CJ334),0),0)</f>
        <v>0</v>
      </c>
      <c r="CN334">
        <f>IF(ISNUMBER(CJ334),IFERROR(MAX(0,CJ334-AO116),0),0)</f>
        <v>0</v>
      </c>
      <c r="CP334" t="e">
        <f>BT116</f>
        <v>#N/A</v>
      </c>
      <c r="CQ334" t="e">
        <f>BU116</f>
        <v>#N/A</v>
      </c>
      <c r="CR334">
        <f>IF(ISNUMBER(CP334),IFERROR(MAX(0,BV116-CP334),0),0)</f>
        <v>0</v>
      </c>
      <c r="CS334">
        <f>IF(ISNUMBER(CP334),IFERROR(MAX(0,CP334-BV116),0),0)</f>
        <v>0</v>
      </c>
      <c r="CT334">
        <f>IF(ISNUMBER(CQ334),IFERROR(MAX(0,BW116-CQ334),0),0)</f>
        <v>0</v>
      </c>
      <c r="CU334">
        <f>IF(ISNUMBER(CQ334),IFERROR(MAX(0,CQ334-BW116),0),0)</f>
        <v>0</v>
      </c>
    </row>
    <row r="335" spans="21:99" x14ac:dyDescent="0.3">
      <c r="U335">
        <v>329</v>
      </c>
      <c r="V335">
        <f t="shared" si="332"/>
        <v>83</v>
      </c>
      <c r="W335">
        <f t="shared" si="333"/>
        <v>1</v>
      </c>
      <c r="X335">
        <f t="shared" si="334"/>
        <v>0</v>
      </c>
      <c r="Y335">
        <f>IF(X335&lt;&gt;1,9999,CHOOSE(W335,INDEX(Gantt!$BQ$7:$BQ$119,V335),INDEX(Gantt!$BR$7:$BR$119,V335),INDEX(Gantt!$BT$7:$BT$119,V335),INDEX(Gantt!$BU$7:$BU$119,V335)))</f>
        <v>9999</v>
      </c>
      <c r="Z335">
        <f t="shared" si="335"/>
        <v>0</v>
      </c>
      <c r="AA335" t="e">
        <f t="shared" si="336"/>
        <v>#N/A</v>
      </c>
      <c r="AB335" t="e">
        <f t="shared" si="337"/>
        <v>#N/A</v>
      </c>
      <c r="AC335" t="e">
        <f t="shared" si="338"/>
        <v>#N/A</v>
      </c>
      <c r="AD335" t="e">
        <f t="shared" si="339"/>
        <v>#N/A</v>
      </c>
      <c r="AE335" t="e">
        <f t="shared" si="340"/>
        <v>#N/A</v>
      </c>
      <c r="AF335" t="e">
        <f t="shared" si="341"/>
        <v>#N/A</v>
      </c>
      <c r="AG335" t="e">
        <f t="shared" si="342"/>
        <v>#N/A</v>
      </c>
      <c r="AH335" t="e">
        <f t="shared" si="343"/>
        <v>#N/A</v>
      </c>
      <c r="AI335" t="e">
        <f t="shared" si="344"/>
        <v>#N/A</v>
      </c>
      <c r="AJ335" t="e">
        <f t="shared" si="345"/>
        <v>#N/A</v>
      </c>
      <c r="AK335" t="e">
        <f t="shared" si="346"/>
        <v>#N/A</v>
      </c>
      <c r="AL335" t="e">
        <f t="shared" si="347"/>
        <v>#N/A</v>
      </c>
      <c r="AM335" t="e">
        <f t="shared" si="348"/>
        <v>#N/A</v>
      </c>
      <c r="AN335" t="e">
        <f t="shared" si="349"/>
        <v>#N/A</v>
      </c>
      <c r="AO335" t="e">
        <f t="shared" si="350"/>
        <v>#N/A</v>
      </c>
      <c r="AP335" t="e">
        <f t="shared" si="351"/>
        <v>#N/A</v>
      </c>
      <c r="AQ335" t="e">
        <f t="shared" si="352"/>
        <v>#N/A</v>
      </c>
      <c r="AR335" t="e">
        <f t="shared" si="353"/>
        <v>#N/A</v>
      </c>
      <c r="AS335" t="e">
        <f t="shared" si="354"/>
        <v>#N/A</v>
      </c>
      <c r="AT335" t="e">
        <f t="shared" si="355"/>
        <v>#N/A</v>
      </c>
      <c r="AU335" t="e">
        <f t="shared" si="356"/>
        <v>#N/A</v>
      </c>
      <c r="AV335" t="e">
        <f t="shared" si="357"/>
        <v>#N/A</v>
      </c>
      <c r="AW335" t="e">
        <f t="shared" si="358"/>
        <v>#N/A</v>
      </c>
      <c r="AX335" t="e">
        <f t="shared" si="359"/>
        <v>#N/A</v>
      </c>
      <c r="AY335" t="e">
        <f t="shared" si="360"/>
        <v>#N/A</v>
      </c>
      <c r="BE335" t="e">
        <f>IF(Z335=1,IF(INDEX($C$7:$C$126,V335)&gt;=Gantt!$BF$6,NA(),MATCH(INDEX($C$7:$C$126,V335),Gantt!$J$6:$BE$6,1)),NA())</f>
        <v>#N/A</v>
      </c>
      <c r="BF335" t="e">
        <f>IF(Z335=1,IF((INDEX($D$7:$D$126,AA335)-1)&gt;=Gantt!$BF$6,NA(),IF((INDEX($D$7:$D$126,AA335)-1)&lt;Gantt!$J$6,0,MATCH((INDEX($D$7:$D$126,AA335)-1),Gantt!$J$6:$BE$6,1))),NA())</f>
        <v>#N/A</v>
      </c>
      <c r="BG335" t="e">
        <f t="shared" si="361"/>
        <v>#N/A</v>
      </c>
      <c r="BH335" t="e">
        <f t="shared" si="362"/>
        <v>#N/A</v>
      </c>
      <c r="BI335" t="e">
        <f t="shared" si="363"/>
        <v>#N/A</v>
      </c>
      <c r="BJ335" t="e">
        <f t="shared" si="364"/>
        <v>#N/A</v>
      </c>
      <c r="BK335" t="e">
        <f t="shared" si="365"/>
        <v>#N/A</v>
      </c>
      <c r="BL335" t="e">
        <f t="shared" si="366"/>
        <v>#N/A</v>
      </c>
      <c r="BM335" t="e">
        <f t="shared" si="367"/>
        <v>#N/A</v>
      </c>
      <c r="BN335" t="e">
        <f t="shared" si="368"/>
        <v>#N/A</v>
      </c>
      <c r="BO335" t="e">
        <f t="shared" si="369"/>
        <v>#N/A</v>
      </c>
      <c r="BP335" t="e">
        <f t="shared" si="370"/>
        <v>#N/A</v>
      </c>
      <c r="BQ335" t="e">
        <f t="shared" si="371"/>
        <v>#N/A</v>
      </c>
      <c r="BR335" t="e">
        <f t="shared" si="372"/>
        <v>#N/A</v>
      </c>
      <c r="BS335" t="e">
        <f t="shared" si="373"/>
        <v>#N/A</v>
      </c>
      <c r="BT335" t="e">
        <f t="shared" si="374"/>
        <v>#N/A</v>
      </c>
      <c r="BU335" t="e">
        <f t="shared" si="375"/>
        <v>#N/A</v>
      </c>
      <c r="BV335" t="e">
        <f t="shared" si="376"/>
        <v>#N/A</v>
      </c>
      <c r="BW335" t="e">
        <f t="shared" si="377"/>
        <v>#N/A</v>
      </c>
      <c r="BX335" t="e">
        <f t="shared" si="378"/>
        <v>#N/A</v>
      </c>
      <c r="BY335" t="e">
        <f t="shared" si="379"/>
        <v>#N/A</v>
      </c>
      <c r="BZ335" t="e">
        <f t="shared" si="380"/>
        <v>#N/A</v>
      </c>
      <c r="CA335" t="e">
        <f t="shared" si="381"/>
        <v>#N/A</v>
      </c>
      <c r="CB335" t="e">
        <f t="shared" si="382"/>
        <v>#N/A</v>
      </c>
      <c r="CC335" t="e">
        <f t="shared" si="383"/>
        <v>#N/A</v>
      </c>
      <c r="CD335" t="e">
        <f t="shared" si="384"/>
        <v>#N/A</v>
      </c>
      <c r="CE335" t="e">
        <f t="shared" si="385"/>
        <v>#N/A</v>
      </c>
      <c r="CF335" t="e">
        <f t="shared" si="386"/>
        <v>#N/A</v>
      </c>
      <c r="CG335" t="e">
        <f t="shared" si="387"/>
        <v>#N/A</v>
      </c>
      <c r="CI335" t="e">
        <f>AP116</f>
        <v>#N/A</v>
      </c>
      <c r="CJ335" t="e">
        <f>AQ116</f>
        <v>#N/A</v>
      </c>
      <c r="CK335">
        <f>IF(ISNUMBER(CI335),IFERROR(MAX(0,AR116-CI335),0),0)</f>
        <v>0</v>
      </c>
      <c r="CL335">
        <f>IF(ISNUMBER(CI335),IFERROR(MAX(0,CI335-AR116),0),0)</f>
        <v>0</v>
      </c>
      <c r="CM335">
        <f>IF(ISNUMBER(CJ335),IFERROR(MAX(0,AS116-CJ335),0),0)</f>
        <v>0</v>
      </c>
      <c r="CN335">
        <f>IF(ISNUMBER(CJ335),IFERROR(MAX(0,CJ335-AS116),0),0)</f>
        <v>0</v>
      </c>
      <c r="CP335" t="e">
        <f>BX116</f>
        <v>#N/A</v>
      </c>
      <c r="CQ335" t="e">
        <f>BY116</f>
        <v>#N/A</v>
      </c>
      <c r="CR335">
        <f>IF(ISNUMBER(CP335),IFERROR(MAX(0,BZ116-CP335),0),0)</f>
        <v>0</v>
      </c>
      <c r="CS335">
        <f>IF(ISNUMBER(CP335),IFERROR(MAX(0,CP335-BZ116),0),0)</f>
        <v>0</v>
      </c>
      <c r="CT335">
        <f>IF(ISNUMBER(CQ335),IFERROR(MAX(0,CA116-CQ335),0),0)</f>
        <v>0</v>
      </c>
      <c r="CU335">
        <f>IF(ISNUMBER(CQ335),IFERROR(MAX(0,CQ335-CA116),0),0)</f>
        <v>0</v>
      </c>
    </row>
    <row r="336" spans="21:99" x14ac:dyDescent="0.3">
      <c r="U336">
        <v>330</v>
      </c>
      <c r="V336">
        <f t="shared" si="332"/>
        <v>83</v>
      </c>
      <c r="W336">
        <f t="shared" si="333"/>
        <v>2</v>
      </c>
      <c r="X336">
        <f t="shared" si="334"/>
        <v>0</v>
      </c>
      <c r="Y336">
        <f>IF(X336&lt;&gt;1,9999,CHOOSE(W336,INDEX(Gantt!$BQ$7:$BQ$119,V336),INDEX(Gantt!$BR$7:$BR$119,V336),INDEX(Gantt!$BT$7:$BT$119,V336),INDEX(Gantt!$BU$7:$BU$119,V336)))</f>
        <v>9999</v>
      </c>
      <c r="Z336">
        <f t="shared" si="335"/>
        <v>0</v>
      </c>
      <c r="AA336" t="e">
        <f t="shared" si="336"/>
        <v>#N/A</v>
      </c>
      <c r="AB336" t="e">
        <f t="shared" si="337"/>
        <v>#N/A</v>
      </c>
      <c r="AC336" t="e">
        <f t="shared" si="338"/>
        <v>#N/A</v>
      </c>
      <c r="AD336" t="e">
        <f t="shared" si="339"/>
        <v>#N/A</v>
      </c>
      <c r="AE336" t="e">
        <f t="shared" si="340"/>
        <v>#N/A</v>
      </c>
      <c r="AF336" t="e">
        <f t="shared" si="341"/>
        <v>#N/A</v>
      </c>
      <c r="AG336" t="e">
        <f t="shared" si="342"/>
        <v>#N/A</v>
      </c>
      <c r="AH336" t="e">
        <f t="shared" si="343"/>
        <v>#N/A</v>
      </c>
      <c r="AI336" t="e">
        <f t="shared" si="344"/>
        <v>#N/A</v>
      </c>
      <c r="AJ336" t="e">
        <f t="shared" si="345"/>
        <v>#N/A</v>
      </c>
      <c r="AK336" t="e">
        <f t="shared" si="346"/>
        <v>#N/A</v>
      </c>
      <c r="AL336" t="e">
        <f t="shared" si="347"/>
        <v>#N/A</v>
      </c>
      <c r="AM336" t="e">
        <f t="shared" si="348"/>
        <v>#N/A</v>
      </c>
      <c r="AN336" t="e">
        <f t="shared" si="349"/>
        <v>#N/A</v>
      </c>
      <c r="AO336" t="e">
        <f t="shared" si="350"/>
        <v>#N/A</v>
      </c>
      <c r="AP336" t="e">
        <f t="shared" si="351"/>
        <v>#N/A</v>
      </c>
      <c r="AQ336" t="e">
        <f t="shared" si="352"/>
        <v>#N/A</v>
      </c>
      <c r="AR336" t="e">
        <f t="shared" si="353"/>
        <v>#N/A</v>
      </c>
      <c r="AS336" t="e">
        <f t="shared" si="354"/>
        <v>#N/A</v>
      </c>
      <c r="AT336" t="e">
        <f t="shared" si="355"/>
        <v>#N/A</v>
      </c>
      <c r="AU336" t="e">
        <f t="shared" si="356"/>
        <v>#N/A</v>
      </c>
      <c r="AV336" t="e">
        <f t="shared" si="357"/>
        <v>#N/A</v>
      </c>
      <c r="AW336" t="e">
        <f t="shared" si="358"/>
        <v>#N/A</v>
      </c>
      <c r="AX336" t="e">
        <f t="shared" si="359"/>
        <v>#N/A</v>
      </c>
      <c r="AY336" t="e">
        <f t="shared" si="360"/>
        <v>#N/A</v>
      </c>
      <c r="BE336" t="e">
        <f>IF(Z336=1,IF(INDEX($C$7:$C$126,V336)&gt;=Gantt!$BF$6,NA(),MATCH(INDEX($C$7:$C$126,V336),Gantt!$J$6:$BE$6,1)),NA())</f>
        <v>#N/A</v>
      </c>
      <c r="BF336" t="e">
        <f>IF(Z336=1,IF((INDEX($D$7:$D$126,AA336)-1)&gt;=Gantt!$BF$6,NA(),IF((INDEX($D$7:$D$126,AA336)-1)&lt;Gantt!$J$6,0,MATCH((INDEX($D$7:$D$126,AA336)-1),Gantt!$J$6:$BE$6,1))),NA())</f>
        <v>#N/A</v>
      </c>
      <c r="BG336" t="e">
        <f t="shared" si="361"/>
        <v>#N/A</v>
      </c>
      <c r="BH336" t="e">
        <f t="shared" si="362"/>
        <v>#N/A</v>
      </c>
      <c r="BI336" t="e">
        <f t="shared" si="363"/>
        <v>#N/A</v>
      </c>
      <c r="BJ336" t="e">
        <f t="shared" si="364"/>
        <v>#N/A</v>
      </c>
      <c r="BK336" t="e">
        <f t="shared" si="365"/>
        <v>#N/A</v>
      </c>
      <c r="BL336" t="e">
        <f t="shared" si="366"/>
        <v>#N/A</v>
      </c>
      <c r="BM336" t="e">
        <f t="shared" si="367"/>
        <v>#N/A</v>
      </c>
      <c r="BN336" t="e">
        <f t="shared" si="368"/>
        <v>#N/A</v>
      </c>
      <c r="BO336" t="e">
        <f t="shared" si="369"/>
        <v>#N/A</v>
      </c>
      <c r="BP336" t="e">
        <f t="shared" si="370"/>
        <v>#N/A</v>
      </c>
      <c r="BQ336" t="e">
        <f t="shared" si="371"/>
        <v>#N/A</v>
      </c>
      <c r="BR336" t="e">
        <f t="shared" si="372"/>
        <v>#N/A</v>
      </c>
      <c r="BS336" t="e">
        <f t="shared" si="373"/>
        <v>#N/A</v>
      </c>
      <c r="BT336" t="e">
        <f t="shared" si="374"/>
        <v>#N/A</v>
      </c>
      <c r="BU336" t="e">
        <f t="shared" si="375"/>
        <v>#N/A</v>
      </c>
      <c r="BV336" t="e">
        <f t="shared" si="376"/>
        <v>#N/A</v>
      </c>
      <c r="BW336" t="e">
        <f t="shared" si="377"/>
        <v>#N/A</v>
      </c>
      <c r="BX336" t="e">
        <f t="shared" si="378"/>
        <v>#N/A</v>
      </c>
      <c r="BY336" t="e">
        <f t="shared" si="379"/>
        <v>#N/A</v>
      </c>
      <c r="BZ336" t="e">
        <f t="shared" si="380"/>
        <v>#N/A</v>
      </c>
      <c r="CA336" t="e">
        <f t="shared" si="381"/>
        <v>#N/A</v>
      </c>
      <c r="CB336" t="e">
        <f t="shared" si="382"/>
        <v>#N/A</v>
      </c>
      <c r="CC336" t="e">
        <f t="shared" si="383"/>
        <v>#N/A</v>
      </c>
      <c r="CD336" t="e">
        <f t="shared" si="384"/>
        <v>#N/A</v>
      </c>
      <c r="CE336" t="e">
        <f t="shared" si="385"/>
        <v>#N/A</v>
      </c>
      <c r="CF336" t="e">
        <f t="shared" si="386"/>
        <v>#N/A</v>
      </c>
      <c r="CG336" t="e">
        <f t="shared" si="387"/>
        <v>#N/A</v>
      </c>
      <c r="CI336" t="e">
        <f>AT116</f>
        <v>#N/A</v>
      </c>
      <c r="CJ336" t="e">
        <f>AU116</f>
        <v>#N/A</v>
      </c>
      <c r="CK336">
        <f>IF(ISNUMBER(CI336),IFERROR(MAX(0,AV116-CI336),0),0)</f>
        <v>0</v>
      </c>
      <c r="CL336">
        <f>IF(ISNUMBER(CI336),IFERROR(MAX(0,CI336-AV116),0),0)</f>
        <v>0</v>
      </c>
      <c r="CM336">
        <f>IF(ISNUMBER(CJ336),IFERROR(MAX(0,AW116-CJ336),0),0)</f>
        <v>0</v>
      </c>
      <c r="CN336">
        <f>IF(ISNUMBER(CJ336),IFERROR(MAX(0,CJ336-AW116),0),0)</f>
        <v>0</v>
      </c>
      <c r="CP336" t="e">
        <f>CB116</f>
        <v>#N/A</v>
      </c>
      <c r="CQ336" t="e">
        <f>CC116</f>
        <v>#N/A</v>
      </c>
      <c r="CR336">
        <f>IF(ISNUMBER(CP336),IFERROR(MAX(0,CD116-CP336),0),0)</f>
        <v>0</v>
      </c>
      <c r="CS336">
        <f>IF(ISNUMBER(CP336),IFERROR(MAX(0,CP336-CD116),0),0)</f>
        <v>0</v>
      </c>
      <c r="CT336">
        <f>IF(ISNUMBER(CQ336),IFERROR(MAX(0,CE116-CQ336),0),0)</f>
        <v>0</v>
      </c>
      <c r="CU336">
        <f>IF(ISNUMBER(CQ336),IFERROR(MAX(0,CQ336-CE116),0),0)</f>
        <v>0</v>
      </c>
    </row>
    <row r="337" spans="21:99" x14ac:dyDescent="0.3">
      <c r="U337">
        <v>331</v>
      </c>
      <c r="V337">
        <f t="shared" si="332"/>
        <v>83</v>
      </c>
      <c r="W337">
        <f t="shared" si="333"/>
        <v>3</v>
      </c>
      <c r="X337">
        <f t="shared" si="334"/>
        <v>0</v>
      </c>
      <c r="Y337">
        <f>IF(X337&lt;&gt;1,9999,CHOOSE(W337,INDEX(Gantt!$BQ$7:$BQ$119,V337),INDEX(Gantt!$BR$7:$BR$119,V337),INDEX(Gantt!$BT$7:$BT$119,V337),INDEX(Gantt!$BU$7:$BU$119,V337)))</f>
        <v>9999</v>
      </c>
      <c r="Z337">
        <f t="shared" si="335"/>
        <v>0</v>
      </c>
      <c r="AA337" t="e">
        <f t="shared" si="336"/>
        <v>#N/A</v>
      </c>
      <c r="AB337" t="e">
        <f t="shared" si="337"/>
        <v>#N/A</v>
      </c>
      <c r="AC337" t="e">
        <f t="shared" si="338"/>
        <v>#N/A</v>
      </c>
      <c r="AD337" t="e">
        <f t="shared" si="339"/>
        <v>#N/A</v>
      </c>
      <c r="AE337" t="e">
        <f t="shared" si="340"/>
        <v>#N/A</v>
      </c>
      <c r="AF337" t="e">
        <f t="shared" si="341"/>
        <v>#N/A</v>
      </c>
      <c r="AG337" t="e">
        <f t="shared" si="342"/>
        <v>#N/A</v>
      </c>
      <c r="AH337" t="e">
        <f t="shared" si="343"/>
        <v>#N/A</v>
      </c>
      <c r="AI337" t="e">
        <f t="shared" si="344"/>
        <v>#N/A</v>
      </c>
      <c r="AJ337" t="e">
        <f t="shared" si="345"/>
        <v>#N/A</v>
      </c>
      <c r="AK337" t="e">
        <f t="shared" si="346"/>
        <v>#N/A</v>
      </c>
      <c r="AL337" t="e">
        <f t="shared" si="347"/>
        <v>#N/A</v>
      </c>
      <c r="AM337" t="e">
        <f t="shared" si="348"/>
        <v>#N/A</v>
      </c>
      <c r="AN337" t="e">
        <f t="shared" si="349"/>
        <v>#N/A</v>
      </c>
      <c r="AO337" t="e">
        <f t="shared" si="350"/>
        <v>#N/A</v>
      </c>
      <c r="AP337" t="e">
        <f t="shared" si="351"/>
        <v>#N/A</v>
      </c>
      <c r="AQ337" t="e">
        <f t="shared" si="352"/>
        <v>#N/A</v>
      </c>
      <c r="AR337" t="e">
        <f t="shared" si="353"/>
        <v>#N/A</v>
      </c>
      <c r="AS337" t="e">
        <f t="shared" si="354"/>
        <v>#N/A</v>
      </c>
      <c r="AT337" t="e">
        <f t="shared" si="355"/>
        <v>#N/A</v>
      </c>
      <c r="AU337" t="e">
        <f t="shared" si="356"/>
        <v>#N/A</v>
      </c>
      <c r="AV337" t="e">
        <f t="shared" si="357"/>
        <v>#N/A</v>
      </c>
      <c r="AW337" t="e">
        <f t="shared" si="358"/>
        <v>#N/A</v>
      </c>
      <c r="AX337" t="e">
        <f t="shared" si="359"/>
        <v>#N/A</v>
      </c>
      <c r="AY337" t="e">
        <f t="shared" si="360"/>
        <v>#N/A</v>
      </c>
      <c r="BE337" t="e">
        <f>IF(Z337=1,IF(INDEX($C$7:$C$126,V337)&gt;=Gantt!$BF$6,NA(),MATCH(INDEX($C$7:$C$126,V337),Gantt!$J$6:$BE$6,1)),NA())</f>
        <v>#N/A</v>
      </c>
      <c r="BF337" t="e">
        <f>IF(Z337=1,IF((INDEX($D$7:$D$126,AA337)-1)&gt;=Gantt!$BF$6,NA(),IF((INDEX($D$7:$D$126,AA337)-1)&lt;Gantt!$J$6,0,MATCH((INDEX($D$7:$D$126,AA337)-1),Gantt!$J$6:$BE$6,1))),NA())</f>
        <v>#N/A</v>
      </c>
      <c r="BG337" t="e">
        <f t="shared" si="361"/>
        <v>#N/A</v>
      </c>
      <c r="BH337" t="e">
        <f t="shared" si="362"/>
        <v>#N/A</v>
      </c>
      <c r="BI337" t="e">
        <f t="shared" si="363"/>
        <v>#N/A</v>
      </c>
      <c r="BJ337" t="e">
        <f t="shared" si="364"/>
        <v>#N/A</v>
      </c>
      <c r="BK337" t="e">
        <f t="shared" si="365"/>
        <v>#N/A</v>
      </c>
      <c r="BL337" t="e">
        <f t="shared" si="366"/>
        <v>#N/A</v>
      </c>
      <c r="BM337" t="e">
        <f t="shared" si="367"/>
        <v>#N/A</v>
      </c>
      <c r="BN337" t="e">
        <f t="shared" si="368"/>
        <v>#N/A</v>
      </c>
      <c r="BO337" t="e">
        <f t="shared" si="369"/>
        <v>#N/A</v>
      </c>
      <c r="BP337" t="e">
        <f t="shared" si="370"/>
        <v>#N/A</v>
      </c>
      <c r="BQ337" t="e">
        <f t="shared" si="371"/>
        <v>#N/A</v>
      </c>
      <c r="BR337" t="e">
        <f t="shared" si="372"/>
        <v>#N/A</v>
      </c>
      <c r="BS337" t="e">
        <f t="shared" si="373"/>
        <v>#N/A</v>
      </c>
      <c r="BT337" t="e">
        <f t="shared" si="374"/>
        <v>#N/A</v>
      </c>
      <c r="BU337" t="e">
        <f t="shared" si="375"/>
        <v>#N/A</v>
      </c>
      <c r="BV337" t="e">
        <f t="shared" si="376"/>
        <v>#N/A</v>
      </c>
      <c r="BW337" t="e">
        <f t="shared" si="377"/>
        <v>#N/A</v>
      </c>
      <c r="BX337" t="e">
        <f t="shared" si="378"/>
        <v>#N/A</v>
      </c>
      <c r="BY337" t="e">
        <f t="shared" si="379"/>
        <v>#N/A</v>
      </c>
      <c r="BZ337" t="e">
        <f t="shared" si="380"/>
        <v>#N/A</v>
      </c>
      <c r="CA337" t="e">
        <f t="shared" si="381"/>
        <v>#N/A</v>
      </c>
      <c r="CB337" t="e">
        <f t="shared" si="382"/>
        <v>#N/A</v>
      </c>
      <c r="CC337" t="e">
        <f t="shared" si="383"/>
        <v>#N/A</v>
      </c>
      <c r="CD337" t="e">
        <f t="shared" si="384"/>
        <v>#N/A</v>
      </c>
      <c r="CE337" t="e">
        <f t="shared" si="385"/>
        <v>#N/A</v>
      </c>
      <c r="CF337" t="e">
        <f t="shared" si="386"/>
        <v>#N/A</v>
      </c>
      <c r="CG337" t="e">
        <f t="shared" si="387"/>
        <v>#N/A</v>
      </c>
      <c r="CI337" t="e">
        <f>AL117</f>
        <v>#N/A</v>
      </c>
      <c r="CJ337" t="e">
        <f>AM117</f>
        <v>#N/A</v>
      </c>
      <c r="CK337">
        <f>IF(ISNUMBER(CI337),IFERROR(MAX(0,AN117-CI337),0),0)</f>
        <v>0</v>
      </c>
      <c r="CL337">
        <f>IF(ISNUMBER(CI337),IFERROR(MAX(0,CI337-AN117),0),0)</f>
        <v>0</v>
      </c>
      <c r="CM337">
        <f>IF(ISNUMBER(CJ337),IFERROR(MAX(0,AO117-CJ337),0),0)</f>
        <v>0</v>
      </c>
      <c r="CN337">
        <f>IF(ISNUMBER(CJ337),IFERROR(MAX(0,CJ337-AO117),0),0)</f>
        <v>0</v>
      </c>
      <c r="CP337" t="e">
        <f>BT117</f>
        <v>#N/A</v>
      </c>
      <c r="CQ337" t="e">
        <f>BU117</f>
        <v>#N/A</v>
      </c>
      <c r="CR337">
        <f>IF(ISNUMBER(CP337),IFERROR(MAX(0,BV117-CP337),0),0)</f>
        <v>0</v>
      </c>
      <c r="CS337">
        <f>IF(ISNUMBER(CP337),IFERROR(MAX(0,CP337-BV117),0),0)</f>
        <v>0</v>
      </c>
      <c r="CT337">
        <f>IF(ISNUMBER(CQ337),IFERROR(MAX(0,BW117-CQ337),0),0)</f>
        <v>0</v>
      </c>
      <c r="CU337">
        <f>IF(ISNUMBER(CQ337),IFERROR(MAX(0,CQ337-BW117),0),0)</f>
        <v>0</v>
      </c>
    </row>
    <row r="338" spans="21:99" x14ac:dyDescent="0.3">
      <c r="U338">
        <v>332</v>
      </c>
      <c r="V338">
        <f t="shared" si="332"/>
        <v>83</v>
      </c>
      <c r="W338">
        <f t="shared" si="333"/>
        <v>4</v>
      </c>
      <c r="X338">
        <f t="shared" si="334"/>
        <v>0</v>
      </c>
      <c r="Y338">
        <f>IF(X338&lt;&gt;1,9999,CHOOSE(W338,INDEX(Gantt!$BQ$7:$BQ$119,V338),INDEX(Gantt!$BR$7:$BR$119,V338),INDEX(Gantt!$BT$7:$BT$119,V338),INDEX(Gantt!$BU$7:$BU$119,V338)))</f>
        <v>9999</v>
      </c>
      <c r="Z338">
        <f t="shared" si="335"/>
        <v>0</v>
      </c>
      <c r="AA338" t="e">
        <f t="shared" si="336"/>
        <v>#N/A</v>
      </c>
      <c r="AB338" t="e">
        <f t="shared" si="337"/>
        <v>#N/A</v>
      </c>
      <c r="AC338" t="e">
        <f t="shared" si="338"/>
        <v>#N/A</v>
      </c>
      <c r="AD338" t="e">
        <f t="shared" si="339"/>
        <v>#N/A</v>
      </c>
      <c r="AE338" t="e">
        <f t="shared" si="340"/>
        <v>#N/A</v>
      </c>
      <c r="AF338" t="e">
        <f t="shared" si="341"/>
        <v>#N/A</v>
      </c>
      <c r="AG338" t="e">
        <f t="shared" si="342"/>
        <v>#N/A</v>
      </c>
      <c r="AH338" t="e">
        <f t="shared" si="343"/>
        <v>#N/A</v>
      </c>
      <c r="AI338" t="e">
        <f t="shared" si="344"/>
        <v>#N/A</v>
      </c>
      <c r="AJ338" t="e">
        <f t="shared" si="345"/>
        <v>#N/A</v>
      </c>
      <c r="AK338" t="e">
        <f t="shared" si="346"/>
        <v>#N/A</v>
      </c>
      <c r="AL338" t="e">
        <f t="shared" si="347"/>
        <v>#N/A</v>
      </c>
      <c r="AM338" t="e">
        <f t="shared" si="348"/>
        <v>#N/A</v>
      </c>
      <c r="AN338" t="e">
        <f t="shared" si="349"/>
        <v>#N/A</v>
      </c>
      <c r="AO338" t="e">
        <f t="shared" si="350"/>
        <v>#N/A</v>
      </c>
      <c r="AP338" t="e">
        <f t="shared" si="351"/>
        <v>#N/A</v>
      </c>
      <c r="AQ338" t="e">
        <f t="shared" si="352"/>
        <v>#N/A</v>
      </c>
      <c r="AR338" t="e">
        <f t="shared" si="353"/>
        <v>#N/A</v>
      </c>
      <c r="AS338" t="e">
        <f t="shared" si="354"/>
        <v>#N/A</v>
      </c>
      <c r="AT338" t="e">
        <f t="shared" si="355"/>
        <v>#N/A</v>
      </c>
      <c r="AU338" t="e">
        <f t="shared" si="356"/>
        <v>#N/A</v>
      </c>
      <c r="AV338" t="e">
        <f t="shared" si="357"/>
        <v>#N/A</v>
      </c>
      <c r="AW338" t="e">
        <f t="shared" si="358"/>
        <v>#N/A</v>
      </c>
      <c r="AX338" t="e">
        <f t="shared" si="359"/>
        <v>#N/A</v>
      </c>
      <c r="AY338" t="e">
        <f t="shared" si="360"/>
        <v>#N/A</v>
      </c>
      <c r="BE338" t="e">
        <f>IF(Z338=1,IF(INDEX($C$7:$C$126,V338)&gt;=Gantt!$BF$6,NA(),MATCH(INDEX($C$7:$C$126,V338),Gantt!$J$6:$BE$6,1)),NA())</f>
        <v>#N/A</v>
      </c>
      <c r="BF338" t="e">
        <f>IF(Z338=1,IF((INDEX($D$7:$D$126,AA338)-1)&gt;=Gantt!$BF$6,NA(),IF((INDEX($D$7:$D$126,AA338)-1)&lt;Gantt!$J$6,0,MATCH((INDEX($D$7:$D$126,AA338)-1),Gantt!$J$6:$BE$6,1))),NA())</f>
        <v>#N/A</v>
      </c>
      <c r="BG338" t="e">
        <f t="shared" si="361"/>
        <v>#N/A</v>
      </c>
      <c r="BH338" t="e">
        <f t="shared" si="362"/>
        <v>#N/A</v>
      </c>
      <c r="BI338" t="e">
        <f t="shared" si="363"/>
        <v>#N/A</v>
      </c>
      <c r="BJ338" t="e">
        <f t="shared" si="364"/>
        <v>#N/A</v>
      </c>
      <c r="BK338" t="e">
        <f t="shared" si="365"/>
        <v>#N/A</v>
      </c>
      <c r="BL338" t="e">
        <f t="shared" si="366"/>
        <v>#N/A</v>
      </c>
      <c r="BM338" t="e">
        <f t="shared" si="367"/>
        <v>#N/A</v>
      </c>
      <c r="BN338" t="e">
        <f t="shared" si="368"/>
        <v>#N/A</v>
      </c>
      <c r="BO338" t="e">
        <f t="shared" si="369"/>
        <v>#N/A</v>
      </c>
      <c r="BP338" t="e">
        <f t="shared" si="370"/>
        <v>#N/A</v>
      </c>
      <c r="BQ338" t="e">
        <f t="shared" si="371"/>
        <v>#N/A</v>
      </c>
      <c r="BR338" t="e">
        <f t="shared" si="372"/>
        <v>#N/A</v>
      </c>
      <c r="BS338" t="e">
        <f t="shared" si="373"/>
        <v>#N/A</v>
      </c>
      <c r="BT338" t="e">
        <f t="shared" si="374"/>
        <v>#N/A</v>
      </c>
      <c r="BU338" t="e">
        <f t="shared" si="375"/>
        <v>#N/A</v>
      </c>
      <c r="BV338" t="e">
        <f t="shared" si="376"/>
        <v>#N/A</v>
      </c>
      <c r="BW338" t="e">
        <f t="shared" si="377"/>
        <v>#N/A</v>
      </c>
      <c r="BX338" t="e">
        <f t="shared" si="378"/>
        <v>#N/A</v>
      </c>
      <c r="BY338" t="e">
        <f t="shared" si="379"/>
        <v>#N/A</v>
      </c>
      <c r="BZ338" t="e">
        <f t="shared" si="380"/>
        <v>#N/A</v>
      </c>
      <c r="CA338" t="e">
        <f t="shared" si="381"/>
        <v>#N/A</v>
      </c>
      <c r="CB338" t="e">
        <f t="shared" si="382"/>
        <v>#N/A</v>
      </c>
      <c r="CC338" t="e">
        <f t="shared" si="383"/>
        <v>#N/A</v>
      </c>
      <c r="CD338" t="e">
        <f t="shared" si="384"/>
        <v>#N/A</v>
      </c>
      <c r="CE338" t="e">
        <f t="shared" si="385"/>
        <v>#N/A</v>
      </c>
      <c r="CF338" t="e">
        <f t="shared" si="386"/>
        <v>#N/A</v>
      </c>
      <c r="CG338" t="e">
        <f t="shared" si="387"/>
        <v>#N/A</v>
      </c>
      <c r="CI338" t="e">
        <f>AP117</f>
        <v>#N/A</v>
      </c>
      <c r="CJ338" t="e">
        <f>AQ117</f>
        <v>#N/A</v>
      </c>
      <c r="CK338">
        <f>IF(ISNUMBER(CI338),IFERROR(MAX(0,AR117-CI338),0),0)</f>
        <v>0</v>
      </c>
      <c r="CL338">
        <f>IF(ISNUMBER(CI338),IFERROR(MAX(0,CI338-AR117),0),0)</f>
        <v>0</v>
      </c>
      <c r="CM338">
        <f>IF(ISNUMBER(CJ338),IFERROR(MAX(0,AS117-CJ338),0),0)</f>
        <v>0</v>
      </c>
      <c r="CN338">
        <f>IF(ISNUMBER(CJ338),IFERROR(MAX(0,CJ338-AS117),0),0)</f>
        <v>0</v>
      </c>
      <c r="CP338" t="e">
        <f>BX117</f>
        <v>#N/A</v>
      </c>
      <c r="CQ338" t="e">
        <f>BY117</f>
        <v>#N/A</v>
      </c>
      <c r="CR338">
        <f>IF(ISNUMBER(CP338),IFERROR(MAX(0,BZ117-CP338),0),0)</f>
        <v>0</v>
      </c>
      <c r="CS338">
        <f>IF(ISNUMBER(CP338),IFERROR(MAX(0,CP338-BZ117),0),0)</f>
        <v>0</v>
      </c>
      <c r="CT338">
        <f>IF(ISNUMBER(CQ338),IFERROR(MAX(0,CA117-CQ338),0),0)</f>
        <v>0</v>
      </c>
      <c r="CU338">
        <f>IF(ISNUMBER(CQ338),IFERROR(MAX(0,CQ338-CA117),0),0)</f>
        <v>0</v>
      </c>
    </row>
    <row r="339" spans="21:99" x14ac:dyDescent="0.3">
      <c r="U339">
        <v>333</v>
      </c>
      <c r="V339">
        <f t="shared" si="332"/>
        <v>84</v>
      </c>
      <c r="W339">
        <f t="shared" si="333"/>
        <v>1</v>
      </c>
      <c r="X339">
        <f t="shared" si="334"/>
        <v>0</v>
      </c>
      <c r="Y339">
        <f>IF(X339&lt;&gt;1,9999,CHOOSE(W339,INDEX(Gantt!$BQ$7:$BQ$119,V339),INDEX(Gantt!$BR$7:$BR$119,V339),INDEX(Gantt!$BT$7:$BT$119,V339),INDEX(Gantt!$BU$7:$BU$119,V339)))</f>
        <v>9999</v>
      </c>
      <c r="Z339">
        <f t="shared" si="335"/>
        <v>0</v>
      </c>
      <c r="AA339" t="e">
        <f t="shared" si="336"/>
        <v>#N/A</v>
      </c>
      <c r="AB339" t="e">
        <f t="shared" si="337"/>
        <v>#N/A</v>
      </c>
      <c r="AC339" t="e">
        <f t="shared" si="338"/>
        <v>#N/A</v>
      </c>
      <c r="AD339" t="e">
        <f t="shared" si="339"/>
        <v>#N/A</v>
      </c>
      <c r="AE339" t="e">
        <f t="shared" si="340"/>
        <v>#N/A</v>
      </c>
      <c r="AF339" t="e">
        <f t="shared" si="341"/>
        <v>#N/A</v>
      </c>
      <c r="AG339" t="e">
        <f t="shared" si="342"/>
        <v>#N/A</v>
      </c>
      <c r="AH339" t="e">
        <f t="shared" si="343"/>
        <v>#N/A</v>
      </c>
      <c r="AI339" t="e">
        <f t="shared" si="344"/>
        <v>#N/A</v>
      </c>
      <c r="AJ339" t="e">
        <f t="shared" si="345"/>
        <v>#N/A</v>
      </c>
      <c r="AK339" t="e">
        <f t="shared" si="346"/>
        <v>#N/A</v>
      </c>
      <c r="AL339" t="e">
        <f t="shared" si="347"/>
        <v>#N/A</v>
      </c>
      <c r="AM339" t="e">
        <f t="shared" si="348"/>
        <v>#N/A</v>
      </c>
      <c r="AN339" t="e">
        <f t="shared" si="349"/>
        <v>#N/A</v>
      </c>
      <c r="AO339" t="e">
        <f t="shared" si="350"/>
        <v>#N/A</v>
      </c>
      <c r="AP339" t="e">
        <f t="shared" si="351"/>
        <v>#N/A</v>
      </c>
      <c r="AQ339" t="e">
        <f t="shared" si="352"/>
        <v>#N/A</v>
      </c>
      <c r="AR339" t="e">
        <f t="shared" si="353"/>
        <v>#N/A</v>
      </c>
      <c r="AS339" t="e">
        <f t="shared" si="354"/>
        <v>#N/A</v>
      </c>
      <c r="AT339" t="e">
        <f t="shared" si="355"/>
        <v>#N/A</v>
      </c>
      <c r="AU339" t="e">
        <f t="shared" si="356"/>
        <v>#N/A</v>
      </c>
      <c r="AV339" t="e">
        <f t="shared" si="357"/>
        <v>#N/A</v>
      </c>
      <c r="AW339" t="e">
        <f t="shared" si="358"/>
        <v>#N/A</v>
      </c>
      <c r="AX339" t="e">
        <f t="shared" si="359"/>
        <v>#N/A</v>
      </c>
      <c r="AY339" t="e">
        <f t="shared" si="360"/>
        <v>#N/A</v>
      </c>
      <c r="BE339" t="e">
        <f>IF(Z339=1,IF(INDEX($C$7:$C$126,V339)&gt;=Gantt!$BF$6,NA(),MATCH(INDEX($C$7:$C$126,V339),Gantt!$J$6:$BE$6,1)),NA())</f>
        <v>#N/A</v>
      </c>
      <c r="BF339" t="e">
        <f>IF(Z339=1,IF((INDEX($D$7:$D$126,AA339)-1)&gt;=Gantt!$BF$6,NA(),IF((INDEX($D$7:$D$126,AA339)-1)&lt;Gantt!$J$6,0,MATCH((INDEX($D$7:$D$126,AA339)-1),Gantt!$J$6:$BE$6,1))),NA())</f>
        <v>#N/A</v>
      </c>
      <c r="BG339" t="e">
        <f t="shared" si="361"/>
        <v>#N/A</v>
      </c>
      <c r="BH339" t="e">
        <f t="shared" si="362"/>
        <v>#N/A</v>
      </c>
      <c r="BI339" t="e">
        <f t="shared" si="363"/>
        <v>#N/A</v>
      </c>
      <c r="BJ339" t="e">
        <f t="shared" si="364"/>
        <v>#N/A</v>
      </c>
      <c r="BK339" t="e">
        <f t="shared" si="365"/>
        <v>#N/A</v>
      </c>
      <c r="BL339" t="e">
        <f t="shared" si="366"/>
        <v>#N/A</v>
      </c>
      <c r="BM339" t="e">
        <f t="shared" si="367"/>
        <v>#N/A</v>
      </c>
      <c r="BN339" t="e">
        <f t="shared" si="368"/>
        <v>#N/A</v>
      </c>
      <c r="BO339" t="e">
        <f t="shared" si="369"/>
        <v>#N/A</v>
      </c>
      <c r="BP339" t="e">
        <f t="shared" si="370"/>
        <v>#N/A</v>
      </c>
      <c r="BQ339" t="e">
        <f t="shared" si="371"/>
        <v>#N/A</v>
      </c>
      <c r="BR339" t="e">
        <f t="shared" si="372"/>
        <v>#N/A</v>
      </c>
      <c r="BS339" t="e">
        <f t="shared" si="373"/>
        <v>#N/A</v>
      </c>
      <c r="BT339" t="e">
        <f t="shared" si="374"/>
        <v>#N/A</v>
      </c>
      <c r="BU339" t="e">
        <f t="shared" si="375"/>
        <v>#N/A</v>
      </c>
      <c r="BV339" t="e">
        <f t="shared" si="376"/>
        <v>#N/A</v>
      </c>
      <c r="BW339" t="e">
        <f t="shared" si="377"/>
        <v>#N/A</v>
      </c>
      <c r="BX339" t="e">
        <f t="shared" si="378"/>
        <v>#N/A</v>
      </c>
      <c r="BY339" t="e">
        <f t="shared" si="379"/>
        <v>#N/A</v>
      </c>
      <c r="BZ339" t="e">
        <f t="shared" si="380"/>
        <v>#N/A</v>
      </c>
      <c r="CA339" t="e">
        <f t="shared" si="381"/>
        <v>#N/A</v>
      </c>
      <c r="CB339" t="e">
        <f t="shared" si="382"/>
        <v>#N/A</v>
      </c>
      <c r="CC339" t="e">
        <f t="shared" si="383"/>
        <v>#N/A</v>
      </c>
      <c r="CD339" t="e">
        <f t="shared" si="384"/>
        <v>#N/A</v>
      </c>
      <c r="CE339" t="e">
        <f t="shared" si="385"/>
        <v>#N/A</v>
      </c>
      <c r="CF339" t="e">
        <f t="shared" si="386"/>
        <v>#N/A</v>
      </c>
      <c r="CG339" t="e">
        <f t="shared" si="387"/>
        <v>#N/A</v>
      </c>
      <c r="CI339" t="e">
        <f>AT117</f>
        <v>#N/A</v>
      </c>
      <c r="CJ339" t="e">
        <f>AU117</f>
        <v>#N/A</v>
      </c>
      <c r="CK339">
        <f>IF(ISNUMBER(CI339),IFERROR(MAX(0,AV117-CI339),0),0)</f>
        <v>0</v>
      </c>
      <c r="CL339">
        <f>IF(ISNUMBER(CI339),IFERROR(MAX(0,CI339-AV117),0),0)</f>
        <v>0</v>
      </c>
      <c r="CM339">
        <f>IF(ISNUMBER(CJ339),IFERROR(MAX(0,AW117-CJ339),0),0)</f>
        <v>0</v>
      </c>
      <c r="CN339">
        <f>IF(ISNUMBER(CJ339),IFERROR(MAX(0,CJ339-AW117),0),0)</f>
        <v>0</v>
      </c>
      <c r="CP339" t="e">
        <f>CB117</f>
        <v>#N/A</v>
      </c>
      <c r="CQ339" t="e">
        <f>CC117</f>
        <v>#N/A</v>
      </c>
      <c r="CR339">
        <f>IF(ISNUMBER(CP339),IFERROR(MAX(0,CD117-CP339),0),0)</f>
        <v>0</v>
      </c>
      <c r="CS339">
        <f>IF(ISNUMBER(CP339),IFERROR(MAX(0,CP339-CD117),0),0)</f>
        <v>0</v>
      </c>
      <c r="CT339">
        <f>IF(ISNUMBER(CQ339),IFERROR(MAX(0,CE117-CQ339),0),0)</f>
        <v>0</v>
      </c>
      <c r="CU339">
        <f>IF(ISNUMBER(CQ339),IFERROR(MAX(0,CQ339-CE117),0),0)</f>
        <v>0</v>
      </c>
    </row>
    <row r="340" spans="21:99" x14ac:dyDescent="0.3">
      <c r="U340">
        <v>334</v>
      </c>
      <c r="V340">
        <f t="shared" si="332"/>
        <v>84</v>
      </c>
      <c r="W340">
        <f t="shared" si="333"/>
        <v>2</v>
      </c>
      <c r="X340">
        <f t="shared" si="334"/>
        <v>0</v>
      </c>
      <c r="Y340">
        <f>IF(X340&lt;&gt;1,9999,CHOOSE(W340,INDEX(Gantt!$BQ$7:$BQ$119,V340),INDEX(Gantt!$BR$7:$BR$119,V340),INDEX(Gantt!$BT$7:$BT$119,V340),INDEX(Gantt!$BU$7:$BU$119,V340)))</f>
        <v>9999</v>
      </c>
      <c r="Z340">
        <f t="shared" si="335"/>
        <v>0</v>
      </c>
      <c r="AA340" t="e">
        <f t="shared" si="336"/>
        <v>#N/A</v>
      </c>
      <c r="AB340" t="e">
        <f t="shared" si="337"/>
        <v>#N/A</v>
      </c>
      <c r="AC340" t="e">
        <f t="shared" si="338"/>
        <v>#N/A</v>
      </c>
      <c r="AD340" t="e">
        <f t="shared" si="339"/>
        <v>#N/A</v>
      </c>
      <c r="AE340" t="e">
        <f t="shared" si="340"/>
        <v>#N/A</v>
      </c>
      <c r="AF340" t="e">
        <f t="shared" si="341"/>
        <v>#N/A</v>
      </c>
      <c r="AG340" t="e">
        <f t="shared" si="342"/>
        <v>#N/A</v>
      </c>
      <c r="AH340" t="e">
        <f t="shared" si="343"/>
        <v>#N/A</v>
      </c>
      <c r="AI340" t="e">
        <f t="shared" si="344"/>
        <v>#N/A</v>
      </c>
      <c r="AJ340" t="e">
        <f t="shared" si="345"/>
        <v>#N/A</v>
      </c>
      <c r="AK340" t="e">
        <f t="shared" si="346"/>
        <v>#N/A</v>
      </c>
      <c r="AL340" t="e">
        <f t="shared" si="347"/>
        <v>#N/A</v>
      </c>
      <c r="AM340" t="e">
        <f t="shared" si="348"/>
        <v>#N/A</v>
      </c>
      <c r="AN340" t="e">
        <f t="shared" si="349"/>
        <v>#N/A</v>
      </c>
      <c r="AO340" t="e">
        <f t="shared" si="350"/>
        <v>#N/A</v>
      </c>
      <c r="AP340" t="e">
        <f t="shared" si="351"/>
        <v>#N/A</v>
      </c>
      <c r="AQ340" t="e">
        <f t="shared" si="352"/>
        <v>#N/A</v>
      </c>
      <c r="AR340" t="e">
        <f t="shared" si="353"/>
        <v>#N/A</v>
      </c>
      <c r="AS340" t="e">
        <f t="shared" si="354"/>
        <v>#N/A</v>
      </c>
      <c r="AT340" t="e">
        <f t="shared" si="355"/>
        <v>#N/A</v>
      </c>
      <c r="AU340" t="e">
        <f t="shared" si="356"/>
        <v>#N/A</v>
      </c>
      <c r="AV340" t="e">
        <f t="shared" si="357"/>
        <v>#N/A</v>
      </c>
      <c r="AW340" t="e">
        <f t="shared" si="358"/>
        <v>#N/A</v>
      </c>
      <c r="AX340" t="e">
        <f t="shared" si="359"/>
        <v>#N/A</v>
      </c>
      <c r="AY340" t="e">
        <f t="shared" si="360"/>
        <v>#N/A</v>
      </c>
      <c r="BE340" t="e">
        <f>IF(Z340=1,IF(INDEX($C$7:$C$126,V340)&gt;=Gantt!$BF$6,NA(),MATCH(INDEX($C$7:$C$126,V340),Gantt!$J$6:$BE$6,1)),NA())</f>
        <v>#N/A</v>
      </c>
      <c r="BF340" t="e">
        <f>IF(Z340=1,IF((INDEX($D$7:$D$126,AA340)-1)&gt;=Gantt!$BF$6,NA(),IF((INDEX($D$7:$D$126,AA340)-1)&lt;Gantt!$J$6,0,MATCH((INDEX($D$7:$D$126,AA340)-1),Gantt!$J$6:$BE$6,1))),NA())</f>
        <v>#N/A</v>
      </c>
      <c r="BG340" t="e">
        <f t="shared" si="361"/>
        <v>#N/A</v>
      </c>
      <c r="BH340" t="e">
        <f t="shared" si="362"/>
        <v>#N/A</v>
      </c>
      <c r="BI340" t="e">
        <f t="shared" si="363"/>
        <v>#N/A</v>
      </c>
      <c r="BJ340" t="e">
        <f t="shared" si="364"/>
        <v>#N/A</v>
      </c>
      <c r="BK340" t="e">
        <f t="shared" si="365"/>
        <v>#N/A</v>
      </c>
      <c r="BL340" t="e">
        <f t="shared" si="366"/>
        <v>#N/A</v>
      </c>
      <c r="BM340" t="e">
        <f t="shared" si="367"/>
        <v>#N/A</v>
      </c>
      <c r="BN340" t="e">
        <f t="shared" si="368"/>
        <v>#N/A</v>
      </c>
      <c r="BO340" t="e">
        <f t="shared" si="369"/>
        <v>#N/A</v>
      </c>
      <c r="BP340" t="e">
        <f t="shared" si="370"/>
        <v>#N/A</v>
      </c>
      <c r="BQ340" t="e">
        <f t="shared" si="371"/>
        <v>#N/A</v>
      </c>
      <c r="BR340" t="e">
        <f t="shared" si="372"/>
        <v>#N/A</v>
      </c>
      <c r="BS340" t="e">
        <f t="shared" si="373"/>
        <v>#N/A</v>
      </c>
      <c r="BT340" t="e">
        <f t="shared" si="374"/>
        <v>#N/A</v>
      </c>
      <c r="BU340" t="e">
        <f t="shared" si="375"/>
        <v>#N/A</v>
      </c>
      <c r="BV340" t="e">
        <f t="shared" si="376"/>
        <v>#N/A</v>
      </c>
      <c r="BW340" t="e">
        <f t="shared" si="377"/>
        <v>#N/A</v>
      </c>
      <c r="BX340" t="e">
        <f t="shared" si="378"/>
        <v>#N/A</v>
      </c>
      <c r="BY340" t="e">
        <f t="shared" si="379"/>
        <v>#N/A</v>
      </c>
      <c r="BZ340" t="e">
        <f t="shared" si="380"/>
        <v>#N/A</v>
      </c>
      <c r="CA340" t="e">
        <f t="shared" si="381"/>
        <v>#N/A</v>
      </c>
      <c r="CB340" t="e">
        <f t="shared" si="382"/>
        <v>#N/A</v>
      </c>
      <c r="CC340" t="e">
        <f t="shared" si="383"/>
        <v>#N/A</v>
      </c>
      <c r="CD340" t="e">
        <f t="shared" si="384"/>
        <v>#N/A</v>
      </c>
      <c r="CE340" t="e">
        <f t="shared" si="385"/>
        <v>#N/A</v>
      </c>
      <c r="CF340" t="e">
        <f t="shared" si="386"/>
        <v>#N/A</v>
      </c>
      <c r="CG340" t="e">
        <f t="shared" si="387"/>
        <v>#N/A</v>
      </c>
      <c r="CI340" t="e">
        <f>AL118</f>
        <v>#N/A</v>
      </c>
      <c r="CJ340" t="e">
        <f>AM118</f>
        <v>#N/A</v>
      </c>
      <c r="CK340">
        <f>IF(ISNUMBER(CI340),IFERROR(MAX(0,AN118-CI340),0),0)</f>
        <v>0</v>
      </c>
      <c r="CL340">
        <f>IF(ISNUMBER(CI340),IFERROR(MAX(0,CI340-AN118),0),0)</f>
        <v>0</v>
      </c>
      <c r="CM340">
        <f>IF(ISNUMBER(CJ340),IFERROR(MAX(0,AO118-CJ340),0),0)</f>
        <v>0</v>
      </c>
      <c r="CN340">
        <f>IF(ISNUMBER(CJ340),IFERROR(MAX(0,CJ340-AO118),0),0)</f>
        <v>0</v>
      </c>
      <c r="CP340" t="e">
        <f>BT118</f>
        <v>#N/A</v>
      </c>
      <c r="CQ340" t="e">
        <f>BU118</f>
        <v>#N/A</v>
      </c>
      <c r="CR340">
        <f>IF(ISNUMBER(CP340),IFERROR(MAX(0,BV118-CP340),0),0)</f>
        <v>0</v>
      </c>
      <c r="CS340">
        <f>IF(ISNUMBER(CP340),IFERROR(MAX(0,CP340-BV118),0),0)</f>
        <v>0</v>
      </c>
      <c r="CT340">
        <f>IF(ISNUMBER(CQ340),IFERROR(MAX(0,BW118-CQ340),0),0)</f>
        <v>0</v>
      </c>
      <c r="CU340">
        <f>IF(ISNUMBER(CQ340),IFERROR(MAX(0,CQ340-BW118),0),0)</f>
        <v>0</v>
      </c>
    </row>
    <row r="341" spans="21:99" x14ac:dyDescent="0.3">
      <c r="U341">
        <v>335</v>
      </c>
      <c r="V341">
        <f t="shared" si="332"/>
        <v>84</v>
      </c>
      <c r="W341">
        <f t="shared" si="333"/>
        <v>3</v>
      </c>
      <c r="X341">
        <f t="shared" si="334"/>
        <v>0</v>
      </c>
      <c r="Y341">
        <f>IF(X341&lt;&gt;1,9999,CHOOSE(W341,INDEX(Gantt!$BQ$7:$BQ$119,V341),INDEX(Gantt!$BR$7:$BR$119,V341),INDEX(Gantt!$BT$7:$BT$119,V341),INDEX(Gantt!$BU$7:$BU$119,V341)))</f>
        <v>9999</v>
      </c>
      <c r="Z341">
        <f t="shared" si="335"/>
        <v>0</v>
      </c>
      <c r="AA341" t="e">
        <f t="shared" si="336"/>
        <v>#N/A</v>
      </c>
      <c r="AB341" t="e">
        <f t="shared" si="337"/>
        <v>#N/A</v>
      </c>
      <c r="AC341" t="e">
        <f t="shared" si="338"/>
        <v>#N/A</v>
      </c>
      <c r="AD341" t="e">
        <f t="shared" si="339"/>
        <v>#N/A</v>
      </c>
      <c r="AE341" t="e">
        <f t="shared" si="340"/>
        <v>#N/A</v>
      </c>
      <c r="AF341" t="e">
        <f t="shared" si="341"/>
        <v>#N/A</v>
      </c>
      <c r="AG341" t="e">
        <f t="shared" si="342"/>
        <v>#N/A</v>
      </c>
      <c r="AH341" t="e">
        <f t="shared" si="343"/>
        <v>#N/A</v>
      </c>
      <c r="AI341" t="e">
        <f t="shared" si="344"/>
        <v>#N/A</v>
      </c>
      <c r="AJ341" t="e">
        <f t="shared" si="345"/>
        <v>#N/A</v>
      </c>
      <c r="AK341" t="e">
        <f t="shared" si="346"/>
        <v>#N/A</v>
      </c>
      <c r="AL341" t="e">
        <f t="shared" si="347"/>
        <v>#N/A</v>
      </c>
      <c r="AM341" t="e">
        <f t="shared" si="348"/>
        <v>#N/A</v>
      </c>
      <c r="AN341" t="e">
        <f t="shared" si="349"/>
        <v>#N/A</v>
      </c>
      <c r="AO341" t="e">
        <f t="shared" si="350"/>
        <v>#N/A</v>
      </c>
      <c r="AP341" t="e">
        <f t="shared" si="351"/>
        <v>#N/A</v>
      </c>
      <c r="AQ341" t="e">
        <f t="shared" si="352"/>
        <v>#N/A</v>
      </c>
      <c r="AR341" t="e">
        <f t="shared" si="353"/>
        <v>#N/A</v>
      </c>
      <c r="AS341" t="e">
        <f t="shared" si="354"/>
        <v>#N/A</v>
      </c>
      <c r="AT341" t="e">
        <f t="shared" si="355"/>
        <v>#N/A</v>
      </c>
      <c r="AU341" t="e">
        <f t="shared" si="356"/>
        <v>#N/A</v>
      </c>
      <c r="AV341" t="e">
        <f t="shared" si="357"/>
        <v>#N/A</v>
      </c>
      <c r="AW341" t="e">
        <f t="shared" si="358"/>
        <v>#N/A</v>
      </c>
      <c r="AX341" t="e">
        <f t="shared" si="359"/>
        <v>#N/A</v>
      </c>
      <c r="AY341" t="e">
        <f t="shared" si="360"/>
        <v>#N/A</v>
      </c>
      <c r="BE341" t="e">
        <f>IF(Z341=1,IF(INDEX($C$7:$C$126,V341)&gt;=Gantt!$BF$6,NA(),MATCH(INDEX($C$7:$C$126,V341),Gantt!$J$6:$BE$6,1)),NA())</f>
        <v>#N/A</v>
      </c>
      <c r="BF341" t="e">
        <f>IF(Z341=1,IF((INDEX($D$7:$D$126,AA341)-1)&gt;=Gantt!$BF$6,NA(),IF((INDEX($D$7:$D$126,AA341)-1)&lt;Gantt!$J$6,0,MATCH((INDEX($D$7:$D$126,AA341)-1),Gantt!$J$6:$BE$6,1))),NA())</f>
        <v>#N/A</v>
      </c>
      <c r="BG341" t="e">
        <f t="shared" si="361"/>
        <v>#N/A</v>
      </c>
      <c r="BH341" t="e">
        <f t="shared" si="362"/>
        <v>#N/A</v>
      </c>
      <c r="BI341" t="e">
        <f t="shared" si="363"/>
        <v>#N/A</v>
      </c>
      <c r="BJ341" t="e">
        <f t="shared" si="364"/>
        <v>#N/A</v>
      </c>
      <c r="BK341" t="e">
        <f t="shared" si="365"/>
        <v>#N/A</v>
      </c>
      <c r="BL341" t="e">
        <f t="shared" si="366"/>
        <v>#N/A</v>
      </c>
      <c r="BM341" t="e">
        <f t="shared" si="367"/>
        <v>#N/A</v>
      </c>
      <c r="BN341" t="e">
        <f t="shared" si="368"/>
        <v>#N/A</v>
      </c>
      <c r="BO341" t="e">
        <f t="shared" si="369"/>
        <v>#N/A</v>
      </c>
      <c r="BP341" t="e">
        <f t="shared" si="370"/>
        <v>#N/A</v>
      </c>
      <c r="BQ341" t="e">
        <f t="shared" si="371"/>
        <v>#N/A</v>
      </c>
      <c r="BR341" t="e">
        <f t="shared" si="372"/>
        <v>#N/A</v>
      </c>
      <c r="BS341" t="e">
        <f t="shared" si="373"/>
        <v>#N/A</v>
      </c>
      <c r="BT341" t="e">
        <f t="shared" si="374"/>
        <v>#N/A</v>
      </c>
      <c r="BU341" t="e">
        <f t="shared" si="375"/>
        <v>#N/A</v>
      </c>
      <c r="BV341" t="e">
        <f t="shared" si="376"/>
        <v>#N/A</v>
      </c>
      <c r="BW341" t="e">
        <f t="shared" si="377"/>
        <v>#N/A</v>
      </c>
      <c r="BX341" t="e">
        <f t="shared" si="378"/>
        <v>#N/A</v>
      </c>
      <c r="BY341" t="e">
        <f t="shared" si="379"/>
        <v>#N/A</v>
      </c>
      <c r="BZ341" t="e">
        <f t="shared" si="380"/>
        <v>#N/A</v>
      </c>
      <c r="CA341" t="e">
        <f t="shared" si="381"/>
        <v>#N/A</v>
      </c>
      <c r="CB341" t="e">
        <f t="shared" si="382"/>
        <v>#N/A</v>
      </c>
      <c r="CC341" t="e">
        <f t="shared" si="383"/>
        <v>#N/A</v>
      </c>
      <c r="CD341" t="e">
        <f t="shared" si="384"/>
        <v>#N/A</v>
      </c>
      <c r="CE341" t="e">
        <f t="shared" si="385"/>
        <v>#N/A</v>
      </c>
      <c r="CF341" t="e">
        <f t="shared" si="386"/>
        <v>#N/A</v>
      </c>
      <c r="CG341" t="e">
        <f t="shared" si="387"/>
        <v>#N/A</v>
      </c>
      <c r="CI341" t="e">
        <f>AP118</f>
        <v>#N/A</v>
      </c>
      <c r="CJ341" t="e">
        <f>AQ118</f>
        <v>#N/A</v>
      </c>
      <c r="CK341">
        <f>IF(ISNUMBER(CI341),IFERROR(MAX(0,AR118-CI341),0),0)</f>
        <v>0</v>
      </c>
      <c r="CL341">
        <f>IF(ISNUMBER(CI341),IFERROR(MAX(0,CI341-AR118),0),0)</f>
        <v>0</v>
      </c>
      <c r="CM341">
        <f>IF(ISNUMBER(CJ341),IFERROR(MAX(0,AS118-CJ341),0),0)</f>
        <v>0</v>
      </c>
      <c r="CN341">
        <f>IF(ISNUMBER(CJ341),IFERROR(MAX(0,CJ341-AS118),0),0)</f>
        <v>0</v>
      </c>
      <c r="CP341" t="e">
        <f>BX118</f>
        <v>#N/A</v>
      </c>
      <c r="CQ341" t="e">
        <f>BY118</f>
        <v>#N/A</v>
      </c>
      <c r="CR341">
        <f>IF(ISNUMBER(CP341),IFERROR(MAX(0,BZ118-CP341),0),0)</f>
        <v>0</v>
      </c>
      <c r="CS341">
        <f>IF(ISNUMBER(CP341),IFERROR(MAX(0,CP341-BZ118),0),0)</f>
        <v>0</v>
      </c>
      <c r="CT341">
        <f>IF(ISNUMBER(CQ341),IFERROR(MAX(0,CA118-CQ341),0),0)</f>
        <v>0</v>
      </c>
      <c r="CU341">
        <f>IF(ISNUMBER(CQ341),IFERROR(MAX(0,CQ341-CA118),0),0)</f>
        <v>0</v>
      </c>
    </row>
    <row r="342" spans="21:99" x14ac:dyDescent="0.3">
      <c r="U342">
        <v>336</v>
      </c>
      <c r="V342">
        <f t="shared" si="332"/>
        <v>84</v>
      </c>
      <c r="W342">
        <f t="shared" si="333"/>
        <v>4</v>
      </c>
      <c r="X342">
        <f t="shared" si="334"/>
        <v>0</v>
      </c>
      <c r="Y342">
        <f>IF(X342&lt;&gt;1,9999,CHOOSE(W342,INDEX(Gantt!$BQ$7:$BQ$119,V342),INDEX(Gantt!$BR$7:$BR$119,V342),INDEX(Gantt!$BT$7:$BT$119,V342),INDEX(Gantt!$BU$7:$BU$119,V342)))</f>
        <v>9999</v>
      </c>
      <c r="Z342">
        <f t="shared" si="335"/>
        <v>0</v>
      </c>
      <c r="AA342" t="e">
        <f t="shared" si="336"/>
        <v>#N/A</v>
      </c>
      <c r="AB342" t="e">
        <f t="shared" si="337"/>
        <v>#N/A</v>
      </c>
      <c r="AC342" t="e">
        <f t="shared" si="338"/>
        <v>#N/A</v>
      </c>
      <c r="AD342" t="e">
        <f t="shared" si="339"/>
        <v>#N/A</v>
      </c>
      <c r="AE342" t="e">
        <f t="shared" si="340"/>
        <v>#N/A</v>
      </c>
      <c r="AF342" t="e">
        <f t="shared" si="341"/>
        <v>#N/A</v>
      </c>
      <c r="AG342" t="e">
        <f t="shared" si="342"/>
        <v>#N/A</v>
      </c>
      <c r="AH342" t="e">
        <f t="shared" si="343"/>
        <v>#N/A</v>
      </c>
      <c r="AI342" t="e">
        <f t="shared" si="344"/>
        <v>#N/A</v>
      </c>
      <c r="AJ342" t="e">
        <f t="shared" si="345"/>
        <v>#N/A</v>
      </c>
      <c r="AK342" t="e">
        <f t="shared" si="346"/>
        <v>#N/A</v>
      </c>
      <c r="AL342" t="e">
        <f t="shared" si="347"/>
        <v>#N/A</v>
      </c>
      <c r="AM342" t="e">
        <f t="shared" si="348"/>
        <v>#N/A</v>
      </c>
      <c r="AN342" t="e">
        <f t="shared" si="349"/>
        <v>#N/A</v>
      </c>
      <c r="AO342" t="e">
        <f t="shared" si="350"/>
        <v>#N/A</v>
      </c>
      <c r="AP342" t="e">
        <f t="shared" si="351"/>
        <v>#N/A</v>
      </c>
      <c r="AQ342" t="e">
        <f t="shared" si="352"/>
        <v>#N/A</v>
      </c>
      <c r="AR342" t="e">
        <f t="shared" si="353"/>
        <v>#N/A</v>
      </c>
      <c r="AS342" t="e">
        <f t="shared" si="354"/>
        <v>#N/A</v>
      </c>
      <c r="AT342" t="e">
        <f t="shared" si="355"/>
        <v>#N/A</v>
      </c>
      <c r="AU342" t="e">
        <f t="shared" si="356"/>
        <v>#N/A</v>
      </c>
      <c r="AV342" t="e">
        <f t="shared" si="357"/>
        <v>#N/A</v>
      </c>
      <c r="AW342" t="e">
        <f t="shared" si="358"/>
        <v>#N/A</v>
      </c>
      <c r="AX342" t="e">
        <f t="shared" si="359"/>
        <v>#N/A</v>
      </c>
      <c r="AY342" t="e">
        <f t="shared" si="360"/>
        <v>#N/A</v>
      </c>
      <c r="BE342" t="e">
        <f>IF(Z342=1,IF(INDEX($C$7:$C$126,V342)&gt;=Gantt!$BF$6,NA(),MATCH(INDEX($C$7:$C$126,V342),Gantt!$J$6:$BE$6,1)),NA())</f>
        <v>#N/A</v>
      </c>
      <c r="BF342" t="e">
        <f>IF(Z342=1,IF((INDEX($D$7:$D$126,AA342)-1)&gt;=Gantt!$BF$6,NA(),IF((INDEX($D$7:$D$126,AA342)-1)&lt;Gantt!$J$6,0,MATCH((INDEX($D$7:$D$126,AA342)-1),Gantt!$J$6:$BE$6,1))),NA())</f>
        <v>#N/A</v>
      </c>
      <c r="BG342" t="e">
        <f t="shared" si="361"/>
        <v>#N/A</v>
      </c>
      <c r="BH342" t="e">
        <f t="shared" si="362"/>
        <v>#N/A</v>
      </c>
      <c r="BI342" t="e">
        <f t="shared" si="363"/>
        <v>#N/A</v>
      </c>
      <c r="BJ342" t="e">
        <f t="shared" si="364"/>
        <v>#N/A</v>
      </c>
      <c r="BK342" t="e">
        <f t="shared" si="365"/>
        <v>#N/A</v>
      </c>
      <c r="BL342" t="e">
        <f t="shared" si="366"/>
        <v>#N/A</v>
      </c>
      <c r="BM342" t="e">
        <f t="shared" si="367"/>
        <v>#N/A</v>
      </c>
      <c r="BN342" t="e">
        <f t="shared" si="368"/>
        <v>#N/A</v>
      </c>
      <c r="BO342" t="e">
        <f t="shared" si="369"/>
        <v>#N/A</v>
      </c>
      <c r="BP342" t="e">
        <f t="shared" si="370"/>
        <v>#N/A</v>
      </c>
      <c r="BQ342" t="e">
        <f t="shared" si="371"/>
        <v>#N/A</v>
      </c>
      <c r="BR342" t="e">
        <f t="shared" si="372"/>
        <v>#N/A</v>
      </c>
      <c r="BS342" t="e">
        <f t="shared" si="373"/>
        <v>#N/A</v>
      </c>
      <c r="BT342" t="e">
        <f t="shared" si="374"/>
        <v>#N/A</v>
      </c>
      <c r="BU342" t="e">
        <f t="shared" si="375"/>
        <v>#N/A</v>
      </c>
      <c r="BV342" t="e">
        <f t="shared" si="376"/>
        <v>#N/A</v>
      </c>
      <c r="BW342" t="e">
        <f t="shared" si="377"/>
        <v>#N/A</v>
      </c>
      <c r="BX342" t="e">
        <f t="shared" si="378"/>
        <v>#N/A</v>
      </c>
      <c r="BY342" t="e">
        <f t="shared" si="379"/>
        <v>#N/A</v>
      </c>
      <c r="BZ342" t="e">
        <f t="shared" si="380"/>
        <v>#N/A</v>
      </c>
      <c r="CA342" t="e">
        <f t="shared" si="381"/>
        <v>#N/A</v>
      </c>
      <c r="CB342" t="e">
        <f t="shared" si="382"/>
        <v>#N/A</v>
      </c>
      <c r="CC342" t="e">
        <f t="shared" si="383"/>
        <v>#N/A</v>
      </c>
      <c r="CD342" t="e">
        <f t="shared" si="384"/>
        <v>#N/A</v>
      </c>
      <c r="CE342" t="e">
        <f t="shared" si="385"/>
        <v>#N/A</v>
      </c>
      <c r="CF342" t="e">
        <f t="shared" si="386"/>
        <v>#N/A</v>
      </c>
      <c r="CG342" t="e">
        <f t="shared" si="387"/>
        <v>#N/A</v>
      </c>
      <c r="CI342" t="e">
        <f>AT118</f>
        <v>#N/A</v>
      </c>
      <c r="CJ342" t="e">
        <f>AU118</f>
        <v>#N/A</v>
      </c>
      <c r="CK342">
        <f>IF(ISNUMBER(CI342),IFERROR(MAX(0,AV118-CI342),0),0)</f>
        <v>0</v>
      </c>
      <c r="CL342">
        <f>IF(ISNUMBER(CI342),IFERROR(MAX(0,CI342-AV118),0),0)</f>
        <v>0</v>
      </c>
      <c r="CM342">
        <f>IF(ISNUMBER(CJ342),IFERROR(MAX(0,AW118-CJ342),0),0)</f>
        <v>0</v>
      </c>
      <c r="CN342">
        <f>IF(ISNUMBER(CJ342),IFERROR(MAX(0,CJ342-AW118),0),0)</f>
        <v>0</v>
      </c>
      <c r="CP342" t="e">
        <f>CB118</f>
        <v>#N/A</v>
      </c>
      <c r="CQ342" t="e">
        <f>CC118</f>
        <v>#N/A</v>
      </c>
      <c r="CR342">
        <f>IF(ISNUMBER(CP342),IFERROR(MAX(0,CD118-CP342),0),0)</f>
        <v>0</v>
      </c>
      <c r="CS342">
        <f>IF(ISNUMBER(CP342),IFERROR(MAX(0,CP342-CD118),0),0)</f>
        <v>0</v>
      </c>
      <c r="CT342">
        <f>IF(ISNUMBER(CQ342),IFERROR(MAX(0,CE118-CQ342),0),0)</f>
        <v>0</v>
      </c>
      <c r="CU342">
        <f>IF(ISNUMBER(CQ342),IFERROR(MAX(0,CQ342-CE118),0),0)</f>
        <v>0</v>
      </c>
    </row>
    <row r="343" spans="21:99" x14ac:dyDescent="0.3">
      <c r="U343">
        <v>337</v>
      </c>
      <c r="V343">
        <f t="shared" si="332"/>
        <v>85</v>
      </c>
      <c r="W343">
        <f t="shared" si="333"/>
        <v>1</v>
      </c>
      <c r="X343">
        <f t="shared" si="334"/>
        <v>0</v>
      </c>
      <c r="Y343">
        <f>IF(X343&lt;&gt;1,9999,CHOOSE(W343,INDEX(Gantt!$BQ$7:$BQ$119,V343),INDEX(Gantt!$BR$7:$BR$119,V343),INDEX(Gantt!$BT$7:$BT$119,V343),INDEX(Gantt!$BU$7:$BU$119,V343)))</f>
        <v>9999</v>
      </c>
      <c r="Z343">
        <f t="shared" si="335"/>
        <v>0</v>
      </c>
      <c r="AA343" t="e">
        <f t="shared" si="336"/>
        <v>#N/A</v>
      </c>
      <c r="AB343" t="e">
        <f t="shared" si="337"/>
        <v>#N/A</v>
      </c>
      <c r="AC343" t="e">
        <f t="shared" si="338"/>
        <v>#N/A</v>
      </c>
      <c r="AD343" t="e">
        <f t="shared" si="339"/>
        <v>#N/A</v>
      </c>
      <c r="AE343" t="e">
        <f t="shared" si="340"/>
        <v>#N/A</v>
      </c>
      <c r="AF343" t="e">
        <f t="shared" si="341"/>
        <v>#N/A</v>
      </c>
      <c r="AG343" t="e">
        <f t="shared" si="342"/>
        <v>#N/A</v>
      </c>
      <c r="AH343" t="e">
        <f t="shared" si="343"/>
        <v>#N/A</v>
      </c>
      <c r="AI343" t="e">
        <f t="shared" si="344"/>
        <v>#N/A</v>
      </c>
      <c r="AJ343" t="e">
        <f t="shared" si="345"/>
        <v>#N/A</v>
      </c>
      <c r="AK343" t="e">
        <f t="shared" si="346"/>
        <v>#N/A</v>
      </c>
      <c r="AL343" t="e">
        <f t="shared" si="347"/>
        <v>#N/A</v>
      </c>
      <c r="AM343" t="e">
        <f t="shared" si="348"/>
        <v>#N/A</v>
      </c>
      <c r="AN343" t="e">
        <f t="shared" si="349"/>
        <v>#N/A</v>
      </c>
      <c r="AO343" t="e">
        <f t="shared" si="350"/>
        <v>#N/A</v>
      </c>
      <c r="AP343" t="e">
        <f t="shared" si="351"/>
        <v>#N/A</v>
      </c>
      <c r="AQ343" t="e">
        <f t="shared" si="352"/>
        <v>#N/A</v>
      </c>
      <c r="AR343" t="e">
        <f t="shared" si="353"/>
        <v>#N/A</v>
      </c>
      <c r="AS343" t="e">
        <f t="shared" si="354"/>
        <v>#N/A</v>
      </c>
      <c r="AT343" t="e">
        <f t="shared" si="355"/>
        <v>#N/A</v>
      </c>
      <c r="AU343" t="e">
        <f t="shared" si="356"/>
        <v>#N/A</v>
      </c>
      <c r="AV343" t="e">
        <f t="shared" si="357"/>
        <v>#N/A</v>
      </c>
      <c r="AW343" t="e">
        <f t="shared" si="358"/>
        <v>#N/A</v>
      </c>
      <c r="AX343" t="e">
        <f t="shared" si="359"/>
        <v>#N/A</v>
      </c>
      <c r="AY343" t="e">
        <f t="shared" si="360"/>
        <v>#N/A</v>
      </c>
      <c r="BE343" t="e">
        <f>IF(Z343=1,IF(INDEX($C$7:$C$126,V343)&gt;=Gantt!$BF$6,NA(),MATCH(INDEX($C$7:$C$126,V343),Gantt!$J$6:$BE$6,1)),NA())</f>
        <v>#N/A</v>
      </c>
      <c r="BF343" t="e">
        <f>IF(Z343=1,IF((INDEX($D$7:$D$126,AA343)-1)&gt;=Gantt!$BF$6,NA(),IF((INDEX($D$7:$D$126,AA343)-1)&lt;Gantt!$J$6,0,MATCH((INDEX($D$7:$D$126,AA343)-1),Gantt!$J$6:$BE$6,1))),NA())</f>
        <v>#N/A</v>
      </c>
      <c r="BG343" t="e">
        <f t="shared" si="361"/>
        <v>#N/A</v>
      </c>
      <c r="BH343" t="e">
        <f t="shared" si="362"/>
        <v>#N/A</v>
      </c>
      <c r="BI343" t="e">
        <f t="shared" si="363"/>
        <v>#N/A</v>
      </c>
      <c r="BJ343" t="e">
        <f t="shared" si="364"/>
        <v>#N/A</v>
      </c>
      <c r="BK343" t="e">
        <f t="shared" si="365"/>
        <v>#N/A</v>
      </c>
      <c r="BL343" t="e">
        <f t="shared" si="366"/>
        <v>#N/A</v>
      </c>
      <c r="BM343" t="e">
        <f t="shared" si="367"/>
        <v>#N/A</v>
      </c>
      <c r="BN343" t="e">
        <f t="shared" si="368"/>
        <v>#N/A</v>
      </c>
      <c r="BO343" t="e">
        <f t="shared" si="369"/>
        <v>#N/A</v>
      </c>
      <c r="BP343" t="e">
        <f t="shared" si="370"/>
        <v>#N/A</v>
      </c>
      <c r="BQ343" t="e">
        <f t="shared" si="371"/>
        <v>#N/A</v>
      </c>
      <c r="BR343" t="e">
        <f t="shared" si="372"/>
        <v>#N/A</v>
      </c>
      <c r="BS343" t="e">
        <f t="shared" si="373"/>
        <v>#N/A</v>
      </c>
      <c r="BT343" t="e">
        <f t="shared" si="374"/>
        <v>#N/A</v>
      </c>
      <c r="BU343" t="e">
        <f t="shared" si="375"/>
        <v>#N/A</v>
      </c>
      <c r="BV343" t="e">
        <f t="shared" si="376"/>
        <v>#N/A</v>
      </c>
      <c r="BW343" t="e">
        <f t="shared" si="377"/>
        <v>#N/A</v>
      </c>
      <c r="BX343" t="e">
        <f t="shared" si="378"/>
        <v>#N/A</v>
      </c>
      <c r="BY343" t="e">
        <f t="shared" si="379"/>
        <v>#N/A</v>
      </c>
      <c r="BZ343" t="e">
        <f t="shared" si="380"/>
        <v>#N/A</v>
      </c>
      <c r="CA343" t="e">
        <f t="shared" si="381"/>
        <v>#N/A</v>
      </c>
      <c r="CB343" t="e">
        <f t="shared" si="382"/>
        <v>#N/A</v>
      </c>
      <c r="CC343" t="e">
        <f t="shared" si="383"/>
        <v>#N/A</v>
      </c>
      <c r="CD343" t="e">
        <f t="shared" si="384"/>
        <v>#N/A</v>
      </c>
      <c r="CE343" t="e">
        <f t="shared" si="385"/>
        <v>#N/A</v>
      </c>
      <c r="CF343" t="e">
        <f t="shared" si="386"/>
        <v>#N/A</v>
      </c>
      <c r="CG343" t="e">
        <f t="shared" si="387"/>
        <v>#N/A</v>
      </c>
      <c r="CI343" t="e">
        <f>AL119</f>
        <v>#N/A</v>
      </c>
      <c r="CJ343" t="e">
        <f>AM119</f>
        <v>#N/A</v>
      </c>
      <c r="CK343">
        <f>IF(ISNUMBER(CI343),IFERROR(MAX(0,AN119-CI343),0),0)</f>
        <v>0</v>
      </c>
      <c r="CL343">
        <f>IF(ISNUMBER(CI343),IFERROR(MAX(0,CI343-AN119),0),0)</f>
        <v>0</v>
      </c>
      <c r="CM343">
        <f>IF(ISNUMBER(CJ343),IFERROR(MAX(0,AO119-CJ343),0),0)</f>
        <v>0</v>
      </c>
      <c r="CN343">
        <f>IF(ISNUMBER(CJ343),IFERROR(MAX(0,CJ343-AO119),0),0)</f>
        <v>0</v>
      </c>
      <c r="CP343" t="e">
        <f>BT119</f>
        <v>#N/A</v>
      </c>
      <c r="CQ343" t="e">
        <f>BU119</f>
        <v>#N/A</v>
      </c>
      <c r="CR343">
        <f>IF(ISNUMBER(CP343),IFERROR(MAX(0,BV119-CP343),0),0)</f>
        <v>0</v>
      </c>
      <c r="CS343">
        <f>IF(ISNUMBER(CP343),IFERROR(MAX(0,CP343-BV119),0),0)</f>
        <v>0</v>
      </c>
      <c r="CT343">
        <f>IF(ISNUMBER(CQ343),IFERROR(MAX(0,BW119-CQ343),0),0)</f>
        <v>0</v>
      </c>
      <c r="CU343">
        <f>IF(ISNUMBER(CQ343),IFERROR(MAX(0,CQ343-BW119),0),0)</f>
        <v>0</v>
      </c>
    </row>
    <row r="344" spans="21:99" x14ac:dyDescent="0.3">
      <c r="U344">
        <v>338</v>
      </c>
      <c r="V344">
        <f t="shared" si="332"/>
        <v>85</v>
      </c>
      <c r="W344">
        <f t="shared" si="333"/>
        <v>2</v>
      </c>
      <c r="X344">
        <f t="shared" si="334"/>
        <v>0</v>
      </c>
      <c r="Y344">
        <f>IF(X344&lt;&gt;1,9999,CHOOSE(W344,INDEX(Gantt!$BQ$7:$BQ$119,V344),INDEX(Gantt!$BR$7:$BR$119,V344),INDEX(Gantt!$BT$7:$BT$119,V344),INDEX(Gantt!$BU$7:$BU$119,V344)))</f>
        <v>9999</v>
      </c>
      <c r="Z344">
        <f t="shared" si="335"/>
        <v>0</v>
      </c>
      <c r="AA344" t="e">
        <f t="shared" si="336"/>
        <v>#N/A</v>
      </c>
      <c r="AB344" t="e">
        <f t="shared" si="337"/>
        <v>#N/A</v>
      </c>
      <c r="AC344" t="e">
        <f t="shared" si="338"/>
        <v>#N/A</v>
      </c>
      <c r="AD344" t="e">
        <f t="shared" si="339"/>
        <v>#N/A</v>
      </c>
      <c r="AE344" t="e">
        <f t="shared" si="340"/>
        <v>#N/A</v>
      </c>
      <c r="AF344" t="e">
        <f t="shared" si="341"/>
        <v>#N/A</v>
      </c>
      <c r="AG344" t="e">
        <f t="shared" si="342"/>
        <v>#N/A</v>
      </c>
      <c r="AH344" t="e">
        <f t="shared" si="343"/>
        <v>#N/A</v>
      </c>
      <c r="AI344" t="e">
        <f t="shared" si="344"/>
        <v>#N/A</v>
      </c>
      <c r="AJ344" t="e">
        <f t="shared" si="345"/>
        <v>#N/A</v>
      </c>
      <c r="AK344" t="e">
        <f t="shared" si="346"/>
        <v>#N/A</v>
      </c>
      <c r="AL344" t="e">
        <f t="shared" si="347"/>
        <v>#N/A</v>
      </c>
      <c r="AM344" t="e">
        <f t="shared" si="348"/>
        <v>#N/A</v>
      </c>
      <c r="AN344" t="e">
        <f t="shared" si="349"/>
        <v>#N/A</v>
      </c>
      <c r="AO344" t="e">
        <f t="shared" si="350"/>
        <v>#N/A</v>
      </c>
      <c r="AP344" t="e">
        <f t="shared" si="351"/>
        <v>#N/A</v>
      </c>
      <c r="AQ344" t="e">
        <f t="shared" si="352"/>
        <v>#N/A</v>
      </c>
      <c r="AR344" t="e">
        <f t="shared" si="353"/>
        <v>#N/A</v>
      </c>
      <c r="AS344" t="e">
        <f t="shared" si="354"/>
        <v>#N/A</v>
      </c>
      <c r="AT344" t="e">
        <f t="shared" si="355"/>
        <v>#N/A</v>
      </c>
      <c r="AU344" t="e">
        <f t="shared" si="356"/>
        <v>#N/A</v>
      </c>
      <c r="AV344" t="e">
        <f t="shared" si="357"/>
        <v>#N/A</v>
      </c>
      <c r="AW344" t="e">
        <f t="shared" si="358"/>
        <v>#N/A</v>
      </c>
      <c r="AX344" t="e">
        <f t="shared" si="359"/>
        <v>#N/A</v>
      </c>
      <c r="AY344" t="e">
        <f t="shared" si="360"/>
        <v>#N/A</v>
      </c>
      <c r="BE344" t="e">
        <f>IF(Z344=1,IF(INDEX($C$7:$C$126,V344)&gt;=Gantt!$BF$6,NA(),MATCH(INDEX($C$7:$C$126,V344),Gantt!$J$6:$BE$6,1)),NA())</f>
        <v>#N/A</v>
      </c>
      <c r="BF344" t="e">
        <f>IF(Z344=1,IF((INDEX($D$7:$D$126,AA344)-1)&gt;=Gantt!$BF$6,NA(),IF((INDEX($D$7:$D$126,AA344)-1)&lt;Gantt!$J$6,0,MATCH((INDEX($D$7:$D$126,AA344)-1),Gantt!$J$6:$BE$6,1))),NA())</f>
        <v>#N/A</v>
      </c>
      <c r="BG344" t="e">
        <f t="shared" si="361"/>
        <v>#N/A</v>
      </c>
      <c r="BH344" t="e">
        <f t="shared" si="362"/>
        <v>#N/A</v>
      </c>
      <c r="BI344" t="e">
        <f t="shared" si="363"/>
        <v>#N/A</v>
      </c>
      <c r="BJ344" t="e">
        <f t="shared" si="364"/>
        <v>#N/A</v>
      </c>
      <c r="BK344" t="e">
        <f t="shared" si="365"/>
        <v>#N/A</v>
      </c>
      <c r="BL344" t="e">
        <f t="shared" si="366"/>
        <v>#N/A</v>
      </c>
      <c r="BM344" t="e">
        <f t="shared" si="367"/>
        <v>#N/A</v>
      </c>
      <c r="BN344" t="e">
        <f t="shared" si="368"/>
        <v>#N/A</v>
      </c>
      <c r="BO344" t="e">
        <f t="shared" si="369"/>
        <v>#N/A</v>
      </c>
      <c r="BP344" t="e">
        <f t="shared" si="370"/>
        <v>#N/A</v>
      </c>
      <c r="BQ344" t="e">
        <f t="shared" si="371"/>
        <v>#N/A</v>
      </c>
      <c r="BR344" t="e">
        <f t="shared" si="372"/>
        <v>#N/A</v>
      </c>
      <c r="BS344" t="e">
        <f t="shared" si="373"/>
        <v>#N/A</v>
      </c>
      <c r="BT344" t="e">
        <f t="shared" si="374"/>
        <v>#N/A</v>
      </c>
      <c r="BU344" t="e">
        <f t="shared" si="375"/>
        <v>#N/A</v>
      </c>
      <c r="BV344" t="e">
        <f t="shared" si="376"/>
        <v>#N/A</v>
      </c>
      <c r="BW344" t="e">
        <f t="shared" si="377"/>
        <v>#N/A</v>
      </c>
      <c r="BX344" t="e">
        <f t="shared" si="378"/>
        <v>#N/A</v>
      </c>
      <c r="BY344" t="e">
        <f t="shared" si="379"/>
        <v>#N/A</v>
      </c>
      <c r="BZ344" t="e">
        <f t="shared" si="380"/>
        <v>#N/A</v>
      </c>
      <c r="CA344" t="e">
        <f t="shared" si="381"/>
        <v>#N/A</v>
      </c>
      <c r="CB344" t="e">
        <f t="shared" si="382"/>
        <v>#N/A</v>
      </c>
      <c r="CC344" t="e">
        <f t="shared" si="383"/>
        <v>#N/A</v>
      </c>
      <c r="CD344" t="e">
        <f t="shared" si="384"/>
        <v>#N/A</v>
      </c>
      <c r="CE344" t="e">
        <f t="shared" si="385"/>
        <v>#N/A</v>
      </c>
      <c r="CF344" t="e">
        <f t="shared" si="386"/>
        <v>#N/A</v>
      </c>
      <c r="CG344" t="e">
        <f t="shared" si="387"/>
        <v>#N/A</v>
      </c>
      <c r="CI344" t="e">
        <f>AP119</f>
        <v>#N/A</v>
      </c>
      <c r="CJ344" t="e">
        <f>AQ119</f>
        <v>#N/A</v>
      </c>
      <c r="CK344">
        <f>IF(ISNUMBER(CI344),IFERROR(MAX(0,AR119-CI344),0),0)</f>
        <v>0</v>
      </c>
      <c r="CL344">
        <f>IF(ISNUMBER(CI344),IFERROR(MAX(0,CI344-AR119),0),0)</f>
        <v>0</v>
      </c>
      <c r="CM344">
        <f>IF(ISNUMBER(CJ344),IFERROR(MAX(0,AS119-CJ344),0),0)</f>
        <v>0</v>
      </c>
      <c r="CN344">
        <f>IF(ISNUMBER(CJ344),IFERROR(MAX(0,CJ344-AS119),0),0)</f>
        <v>0</v>
      </c>
      <c r="CP344" t="e">
        <f>BX119</f>
        <v>#N/A</v>
      </c>
      <c r="CQ344" t="e">
        <f>BY119</f>
        <v>#N/A</v>
      </c>
      <c r="CR344">
        <f>IF(ISNUMBER(CP344),IFERROR(MAX(0,BZ119-CP344),0),0)</f>
        <v>0</v>
      </c>
      <c r="CS344">
        <f>IF(ISNUMBER(CP344),IFERROR(MAX(0,CP344-BZ119),0),0)</f>
        <v>0</v>
      </c>
      <c r="CT344">
        <f>IF(ISNUMBER(CQ344),IFERROR(MAX(0,CA119-CQ344),0),0)</f>
        <v>0</v>
      </c>
      <c r="CU344">
        <f>IF(ISNUMBER(CQ344),IFERROR(MAX(0,CQ344-CA119),0),0)</f>
        <v>0</v>
      </c>
    </row>
    <row r="345" spans="21:99" x14ac:dyDescent="0.3">
      <c r="U345">
        <v>339</v>
      </c>
      <c r="V345">
        <f t="shared" si="332"/>
        <v>85</v>
      </c>
      <c r="W345">
        <f t="shared" si="333"/>
        <v>3</v>
      </c>
      <c r="X345">
        <f t="shared" si="334"/>
        <v>0</v>
      </c>
      <c r="Y345">
        <f>IF(X345&lt;&gt;1,9999,CHOOSE(W345,INDEX(Gantt!$BQ$7:$BQ$119,V345),INDEX(Gantt!$BR$7:$BR$119,V345),INDEX(Gantt!$BT$7:$BT$119,V345),INDEX(Gantt!$BU$7:$BU$119,V345)))</f>
        <v>9999</v>
      </c>
      <c r="Z345">
        <f t="shared" si="335"/>
        <v>0</v>
      </c>
      <c r="AA345" t="e">
        <f t="shared" si="336"/>
        <v>#N/A</v>
      </c>
      <c r="AB345" t="e">
        <f t="shared" si="337"/>
        <v>#N/A</v>
      </c>
      <c r="AC345" t="e">
        <f t="shared" si="338"/>
        <v>#N/A</v>
      </c>
      <c r="AD345" t="e">
        <f t="shared" si="339"/>
        <v>#N/A</v>
      </c>
      <c r="AE345" t="e">
        <f t="shared" si="340"/>
        <v>#N/A</v>
      </c>
      <c r="AF345" t="e">
        <f t="shared" si="341"/>
        <v>#N/A</v>
      </c>
      <c r="AG345" t="e">
        <f t="shared" si="342"/>
        <v>#N/A</v>
      </c>
      <c r="AH345" t="e">
        <f t="shared" si="343"/>
        <v>#N/A</v>
      </c>
      <c r="AI345" t="e">
        <f t="shared" si="344"/>
        <v>#N/A</v>
      </c>
      <c r="AJ345" t="e">
        <f t="shared" si="345"/>
        <v>#N/A</v>
      </c>
      <c r="AK345" t="e">
        <f t="shared" si="346"/>
        <v>#N/A</v>
      </c>
      <c r="AL345" t="e">
        <f t="shared" si="347"/>
        <v>#N/A</v>
      </c>
      <c r="AM345" t="e">
        <f t="shared" si="348"/>
        <v>#N/A</v>
      </c>
      <c r="AN345" t="e">
        <f t="shared" si="349"/>
        <v>#N/A</v>
      </c>
      <c r="AO345" t="e">
        <f t="shared" si="350"/>
        <v>#N/A</v>
      </c>
      <c r="AP345" t="e">
        <f t="shared" si="351"/>
        <v>#N/A</v>
      </c>
      <c r="AQ345" t="e">
        <f t="shared" si="352"/>
        <v>#N/A</v>
      </c>
      <c r="AR345" t="e">
        <f t="shared" si="353"/>
        <v>#N/A</v>
      </c>
      <c r="AS345" t="e">
        <f t="shared" si="354"/>
        <v>#N/A</v>
      </c>
      <c r="AT345" t="e">
        <f t="shared" si="355"/>
        <v>#N/A</v>
      </c>
      <c r="AU345" t="e">
        <f t="shared" si="356"/>
        <v>#N/A</v>
      </c>
      <c r="AV345" t="e">
        <f t="shared" si="357"/>
        <v>#N/A</v>
      </c>
      <c r="AW345" t="e">
        <f t="shared" si="358"/>
        <v>#N/A</v>
      </c>
      <c r="AX345" t="e">
        <f t="shared" si="359"/>
        <v>#N/A</v>
      </c>
      <c r="AY345" t="e">
        <f t="shared" si="360"/>
        <v>#N/A</v>
      </c>
      <c r="BE345" t="e">
        <f>IF(Z345=1,IF(INDEX($C$7:$C$126,V345)&gt;=Gantt!$BF$6,NA(),MATCH(INDEX($C$7:$C$126,V345),Gantt!$J$6:$BE$6,1)),NA())</f>
        <v>#N/A</v>
      </c>
      <c r="BF345" t="e">
        <f>IF(Z345=1,IF((INDEX($D$7:$D$126,AA345)-1)&gt;=Gantt!$BF$6,NA(),IF((INDEX($D$7:$D$126,AA345)-1)&lt;Gantt!$J$6,0,MATCH((INDEX($D$7:$D$126,AA345)-1),Gantt!$J$6:$BE$6,1))),NA())</f>
        <v>#N/A</v>
      </c>
      <c r="BG345" t="e">
        <f t="shared" si="361"/>
        <v>#N/A</v>
      </c>
      <c r="BH345" t="e">
        <f t="shared" si="362"/>
        <v>#N/A</v>
      </c>
      <c r="BI345" t="e">
        <f t="shared" si="363"/>
        <v>#N/A</v>
      </c>
      <c r="BJ345" t="e">
        <f t="shared" si="364"/>
        <v>#N/A</v>
      </c>
      <c r="BK345" t="e">
        <f t="shared" si="365"/>
        <v>#N/A</v>
      </c>
      <c r="BL345" t="e">
        <f t="shared" si="366"/>
        <v>#N/A</v>
      </c>
      <c r="BM345" t="e">
        <f t="shared" si="367"/>
        <v>#N/A</v>
      </c>
      <c r="BN345" t="e">
        <f t="shared" si="368"/>
        <v>#N/A</v>
      </c>
      <c r="BO345" t="e">
        <f t="shared" si="369"/>
        <v>#N/A</v>
      </c>
      <c r="BP345" t="e">
        <f t="shared" si="370"/>
        <v>#N/A</v>
      </c>
      <c r="BQ345" t="e">
        <f t="shared" si="371"/>
        <v>#N/A</v>
      </c>
      <c r="BR345" t="e">
        <f t="shared" si="372"/>
        <v>#N/A</v>
      </c>
      <c r="BS345" t="e">
        <f t="shared" si="373"/>
        <v>#N/A</v>
      </c>
      <c r="BT345" t="e">
        <f t="shared" si="374"/>
        <v>#N/A</v>
      </c>
      <c r="BU345" t="e">
        <f t="shared" si="375"/>
        <v>#N/A</v>
      </c>
      <c r="BV345" t="e">
        <f t="shared" si="376"/>
        <v>#N/A</v>
      </c>
      <c r="BW345" t="e">
        <f t="shared" si="377"/>
        <v>#N/A</v>
      </c>
      <c r="BX345" t="e">
        <f t="shared" si="378"/>
        <v>#N/A</v>
      </c>
      <c r="BY345" t="e">
        <f t="shared" si="379"/>
        <v>#N/A</v>
      </c>
      <c r="BZ345" t="e">
        <f t="shared" si="380"/>
        <v>#N/A</v>
      </c>
      <c r="CA345" t="e">
        <f t="shared" si="381"/>
        <v>#N/A</v>
      </c>
      <c r="CB345" t="e">
        <f t="shared" si="382"/>
        <v>#N/A</v>
      </c>
      <c r="CC345" t="e">
        <f t="shared" si="383"/>
        <v>#N/A</v>
      </c>
      <c r="CD345" t="e">
        <f t="shared" si="384"/>
        <v>#N/A</v>
      </c>
      <c r="CE345" t="e">
        <f t="shared" si="385"/>
        <v>#N/A</v>
      </c>
      <c r="CF345" t="e">
        <f t="shared" si="386"/>
        <v>#N/A</v>
      </c>
      <c r="CG345" t="e">
        <f t="shared" si="387"/>
        <v>#N/A</v>
      </c>
      <c r="CI345" t="e">
        <f>AT119</f>
        <v>#N/A</v>
      </c>
      <c r="CJ345" t="e">
        <f>AU119</f>
        <v>#N/A</v>
      </c>
      <c r="CK345">
        <f>IF(ISNUMBER(CI345),IFERROR(MAX(0,AV119-CI345),0),0)</f>
        <v>0</v>
      </c>
      <c r="CL345">
        <f>IF(ISNUMBER(CI345),IFERROR(MAX(0,CI345-AV119),0),0)</f>
        <v>0</v>
      </c>
      <c r="CM345">
        <f>IF(ISNUMBER(CJ345),IFERROR(MAX(0,AW119-CJ345),0),0)</f>
        <v>0</v>
      </c>
      <c r="CN345">
        <f>IF(ISNUMBER(CJ345),IFERROR(MAX(0,CJ345-AW119),0),0)</f>
        <v>0</v>
      </c>
      <c r="CP345" t="e">
        <f>CB119</f>
        <v>#N/A</v>
      </c>
      <c r="CQ345" t="e">
        <f>CC119</f>
        <v>#N/A</v>
      </c>
      <c r="CR345">
        <f>IF(ISNUMBER(CP345),IFERROR(MAX(0,CD119-CP345),0),0)</f>
        <v>0</v>
      </c>
      <c r="CS345">
        <f>IF(ISNUMBER(CP345),IFERROR(MAX(0,CP345-CD119),0),0)</f>
        <v>0</v>
      </c>
      <c r="CT345">
        <f>IF(ISNUMBER(CQ345),IFERROR(MAX(0,CE119-CQ345),0),0)</f>
        <v>0</v>
      </c>
      <c r="CU345">
        <f>IF(ISNUMBER(CQ345),IFERROR(MAX(0,CQ345-CE119),0),0)</f>
        <v>0</v>
      </c>
    </row>
    <row r="346" spans="21:99" x14ac:dyDescent="0.3">
      <c r="U346">
        <v>340</v>
      </c>
      <c r="V346">
        <f t="shared" si="332"/>
        <v>85</v>
      </c>
      <c r="W346">
        <f t="shared" si="333"/>
        <v>4</v>
      </c>
      <c r="X346">
        <f t="shared" si="334"/>
        <v>0</v>
      </c>
      <c r="Y346">
        <f>IF(X346&lt;&gt;1,9999,CHOOSE(W346,INDEX(Gantt!$BQ$7:$BQ$119,V346),INDEX(Gantt!$BR$7:$BR$119,V346),INDEX(Gantt!$BT$7:$BT$119,V346),INDEX(Gantt!$BU$7:$BU$119,V346)))</f>
        <v>9999</v>
      </c>
      <c r="Z346">
        <f t="shared" si="335"/>
        <v>0</v>
      </c>
      <c r="AA346" t="e">
        <f t="shared" si="336"/>
        <v>#N/A</v>
      </c>
      <c r="AB346" t="e">
        <f t="shared" si="337"/>
        <v>#N/A</v>
      </c>
      <c r="AC346" t="e">
        <f t="shared" si="338"/>
        <v>#N/A</v>
      </c>
      <c r="AD346" t="e">
        <f t="shared" si="339"/>
        <v>#N/A</v>
      </c>
      <c r="AE346" t="e">
        <f t="shared" si="340"/>
        <v>#N/A</v>
      </c>
      <c r="AF346" t="e">
        <f t="shared" si="341"/>
        <v>#N/A</v>
      </c>
      <c r="AG346" t="e">
        <f t="shared" si="342"/>
        <v>#N/A</v>
      </c>
      <c r="AH346" t="e">
        <f t="shared" si="343"/>
        <v>#N/A</v>
      </c>
      <c r="AI346" t="e">
        <f t="shared" si="344"/>
        <v>#N/A</v>
      </c>
      <c r="AJ346" t="e">
        <f t="shared" si="345"/>
        <v>#N/A</v>
      </c>
      <c r="AK346" t="e">
        <f t="shared" si="346"/>
        <v>#N/A</v>
      </c>
      <c r="AL346" t="e">
        <f t="shared" si="347"/>
        <v>#N/A</v>
      </c>
      <c r="AM346" t="e">
        <f t="shared" si="348"/>
        <v>#N/A</v>
      </c>
      <c r="AN346" t="e">
        <f t="shared" si="349"/>
        <v>#N/A</v>
      </c>
      <c r="AO346" t="e">
        <f t="shared" si="350"/>
        <v>#N/A</v>
      </c>
      <c r="AP346" t="e">
        <f t="shared" si="351"/>
        <v>#N/A</v>
      </c>
      <c r="AQ346" t="e">
        <f t="shared" si="352"/>
        <v>#N/A</v>
      </c>
      <c r="AR346" t="e">
        <f t="shared" si="353"/>
        <v>#N/A</v>
      </c>
      <c r="AS346" t="e">
        <f t="shared" si="354"/>
        <v>#N/A</v>
      </c>
      <c r="AT346" t="e">
        <f t="shared" si="355"/>
        <v>#N/A</v>
      </c>
      <c r="AU346" t="e">
        <f t="shared" si="356"/>
        <v>#N/A</v>
      </c>
      <c r="AV346" t="e">
        <f t="shared" si="357"/>
        <v>#N/A</v>
      </c>
      <c r="AW346" t="e">
        <f t="shared" si="358"/>
        <v>#N/A</v>
      </c>
      <c r="AX346" t="e">
        <f t="shared" si="359"/>
        <v>#N/A</v>
      </c>
      <c r="AY346" t="e">
        <f t="shared" si="360"/>
        <v>#N/A</v>
      </c>
      <c r="BE346" t="e">
        <f>IF(Z346=1,IF(INDEX($C$7:$C$126,V346)&gt;=Gantt!$BF$6,NA(),MATCH(INDEX($C$7:$C$126,V346),Gantt!$J$6:$BE$6,1)),NA())</f>
        <v>#N/A</v>
      </c>
      <c r="BF346" t="e">
        <f>IF(Z346=1,IF((INDEX($D$7:$D$126,AA346)-1)&gt;=Gantt!$BF$6,NA(),IF((INDEX($D$7:$D$126,AA346)-1)&lt;Gantt!$J$6,0,MATCH((INDEX($D$7:$D$126,AA346)-1),Gantt!$J$6:$BE$6,1))),NA())</f>
        <v>#N/A</v>
      </c>
      <c r="BG346" t="e">
        <f t="shared" si="361"/>
        <v>#N/A</v>
      </c>
      <c r="BH346" t="e">
        <f t="shared" si="362"/>
        <v>#N/A</v>
      </c>
      <c r="BI346" t="e">
        <f t="shared" si="363"/>
        <v>#N/A</v>
      </c>
      <c r="BJ346" t="e">
        <f t="shared" si="364"/>
        <v>#N/A</v>
      </c>
      <c r="BK346" t="e">
        <f t="shared" si="365"/>
        <v>#N/A</v>
      </c>
      <c r="BL346" t="e">
        <f t="shared" si="366"/>
        <v>#N/A</v>
      </c>
      <c r="BM346" t="e">
        <f t="shared" si="367"/>
        <v>#N/A</v>
      </c>
      <c r="BN346" t="e">
        <f t="shared" si="368"/>
        <v>#N/A</v>
      </c>
      <c r="BO346" t="e">
        <f t="shared" si="369"/>
        <v>#N/A</v>
      </c>
      <c r="BP346" t="e">
        <f t="shared" si="370"/>
        <v>#N/A</v>
      </c>
      <c r="BQ346" t="e">
        <f t="shared" si="371"/>
        <v>#N/A</v>
      </c>
      <c r="BR346" t="e">
        <f t="shared" si="372"/>
        <v>#N/A</v>
      </c>
      <c r="BS346" t="e">
        <f t="shared" si="373"/>
        <v>#N/A</v>
      </c>
      <c r="BT346" t="e">
        <f t="shared" si="374"/>
        <v>#N/A</v>
      </c>
      <c r="BU346" t="e">
        <f t="shared" si="375"/>
        <v>#N/A</v>
      </c>
      <c r="BV346" t="e">
        <f t="shared" si="376"/>
        <v>#N/A</v>
      </c>
      <c r="BW346" t="e">
        <f t="shared" si="377"/>
        <v>#N/A</v>
      </c>
      <c r="BX346" t="e">
        <f t="shared" si="378"/>
        <v>#N/A</v>
      </c>
      <c r="BY346" t="e">
        <f t="shared" si="379"/>
        <v>#N/A</v>
      </c>
      <c r="BZ346" t="e">
        <f t="shared" si="380"/>
        <v>#N/A</v>
      </c>
      <c r="CA346" t="e">
        <f t="shared" si="381"/>
        <v>#N/A</v>
      </c>
      <c r="CB346" t="e">
        <f t="shared" si="382"/>
        <v>#N/A</v>
      </c>
      <c r="CC346" t="e">
        <f t="shared" si="383"/>
        <v>#N/A</v>
      </c>
      <c r="CD346" t="e">
        <f t="shared" si="384"/>
        <v>#N/A</v>
      </c>
      <c r="CE346" t="e">
        <f t="shared" si="385"/>
        <v>#N/A</v>
      </c>
      <c r="CF346" t="e">
        <f t="shared" si="386"/>
        <v>#N/A</v>
      </c>
      <c r="CG346" t="e">
        <f t="shared" si="387"/>
        <v>#N/A</v>
      </c>
      <c r="CI346" t="e">
        <f>AL120</f>
        <v>#N/A</v>
      </c>
      <c r="CJ346" t="e">
        <f>AM120</f>
        <v>#N/A</v>
      </c>
      <c r="CK346">
        <f>IF(ISNUMBER(CI346),IFERROR(MAX(0,AN120-CI346),0),0)</f>
        <v>0</v>
      </c>
      <c r="CL346">
        <f>IF(ISNUMBER(CI346),IFERROR(MAX(0,CI346-AN120),0),0)</f>
        <v>0</v>
      </c>
      <c r="CM346">
        <f>IF(ISNUMBER(CJ346),IFERROR(MAX(0,AO120-CJ346),0),0)</f>
        <v>0</v>
      </c>
      <c r="CN346">
        <f>IF(ISNUMBER(CJ346),IFERROR(MAX(0,CJ346-AO120),0),0)</f>
        <v>0</v>
      </c>
      <c r="CP346" t="e">
        <f>BT120</f>
        <v>#N/A</v>
      </c>
      <c r="CQ346" t="e">
        <f>BU120</f>
        <v>#N/A</v>
      </c>
      <c r="CR346">
        <f>IF(ISNUMBER(CP346),IFERROR(MAX(0,BV120-CP346),0),0)</f>
        <v>0</v>
      </c>
      <c r="CS346">
        <f>IF(ISNUMBER(CP346),IFERROR(MAX(0,CP346-BV120),0),0)</f>
        <v>0</v>
      </c>
      <c r="CT346">
        <f>IF(ISNUMBER(CQ346),IFERROR(MAX(0,BW120-CQ346),0),0)</f>
        <v>0</v>
      </c>
      <c r="CU346">
        <f>IF(ISNUMBER(CQ346),IFERROR(MAX(0,CQ346-BW120),0),0)</f>
        <v>0</v>
      </c>
    </row>
    <row r="347" spans="21:99" x14ac:dyDescent="0.3">
      <c r="U347">
        <v>341</v>
      </c>
      <c r="V347">
        <f t="shared" si="332"/>
        <v>86</v>
      </c>
      <c r="W347">
        <f t="shared" si="333"/>
        <v>1</v>
      </c>
      <c r="X347">
        <f t="shared" si="334"/>
        <v>0</v>
      </c>
      <c r="Y347">
        <f>IF(X347&lt;&gt;1,9999,CHOOSE(W347,INDEX(Gantt!$BQ$7:$BQ$119,V347),INDEX(Gantt!$BR$7:$BR$119,V347),INDEX(Gantt!$BT$7:$BT$119,V347),INDEX(Gantt!$BU$7:$BU$119,V347)))</f>
        <v>9999</v>
      </c>
      <c r="Z347">
        <f t="shared" si="335"/>
        <v>0</v>
      </c>
      <c r="AA347" t="e">
        <f t="shared" si="336"/>
        <v>#N/A</v>
      </c>
      <c r="AB347" t="e">
        <f t="shared" si="337"/>
        <v>#N/A</v>
      </c>
      <c r="AC347" t="e">
        <f t="shared" si="338"/>
        <v>#N/A</v>
      </c>
      <c r="AD347" t="e">
        <f t="shared" si="339"/>
        <v>#N/A</v>
      </c>
      <c r="AE347" t="e">
        <f t="shared" si="340"/>
        <v>#N/A</v>
      </c>
      <c r="AF347" t="e">
        <f t="shared" si="341"/>
        <v>#N/A</v>
      </c>
      <c r="AG347" t="e">
        <f t="shared" si="342"/>
        <v>#N/A</v>
      </c>
      <c r="AH347" t="e">
        <f t="shared" si="343"/>
        <v>#N/A</v>
      </c>
      <c r="AI347" t="e">
        <f t="shared" si="344"/>
        <v>#N/A</v>
      </c>
      <c r="AJ347" t="e">
        <f t="shared" si="345"/>
        <v>#N/A</v>
      </c>
      <c r="AK347" t="e">
        <f t="shared" si="346"/>
        <v>#N/A</v>
      </c>
      <c r="AL347" t="e">
        <f t="shared" si="347"/>
        <v>#N/A</v>
      </c>
      <c r="AM347" t="e">
        <f t="shared" si="348"/>
        <v>#N/A</v>
      </c>
      <c r="AN347" t="e">
        <f t="shared" si="349"/>
        <v>#N/A</v>
      </c>
      <c r="AO347" t="e">
        <f t="shared" si="350"/>
        <v>#N/A</v>
      </c>
      <c r="AP347" t="e">
        <f t="shared" si="351"/>
        <v>#N/A</v>
      </c>
      <c r="AQ347" t="e">
        <f t="shared" si="352"/>
        <v>#N/A</v>
      </c>
      <c r="AR347" t="e">
        <f t="shared" si="353"/>
        <v>#N/A</v>
      </c>
      <c r="AS347" t="e">
        <f t="shared" si="354"/>
        <v>#N/A</v>
      </c>
      <c r="AT347" t="e">
        <f t="shared" si="355"/>
        <v>#N/A</v>
      </c>
      <c r="AU347" t="e">
        <f t="shared" si="356"/>
        <v>#N/A</v>
      </c>
      <c r="AV347" t="e">
        <f t="shared" si="357"/>
        <v>#N/A</v>
      </c>
      <c r="AW347" t="e">
        <f t="shared" si="358"/>
        <v>#N/A</v>
      </c>
      <c r="AX347" t="e">
        <f t="shared" si="359"/>
        <v>#N/A</v>
      </c>
      <c r="AY347" t="e">
        <f t="shared" si="360"/>
        <v>#N/A</v>
      </c>
      <c r="BE347" t="e">
        <f>IF(Z347=1,IF(INDEX($C$7:$C$126,V347)&gt;=Gantt!$BF$6,NA(),MATCH(INDEX($C$7:$C$126,V347),Gantt!$J$6:$BE$6,1)),NA())</f>
        <v>#N/A</v>
      </c>
      <c r="BF347" t="e">
        <f>IF(Z347=1,IF((INDEX($D$7:$D$126,AA347)-1)&gt;=Gantt!$BF$6,NA(),IF((INDEX($D$7:$D$126,AA347)-1)&lt;Gantt!$J$6,0,MATCH((INDEX($D$7:$D$126,AA347)-1),Gantt!$J$6:$BE$6,1))),NA())</f>
        <v>#N/A</v>
      </c>
      <c r="BG347" t="e">
        <f t="shared" si="361"/>
        <v>#N/A</v>
      </c>
      <c r="BH347" t="e">
        <f t="shared" si="362"/>
        <v>#N/A</v>
      </c>
      <c r="BI347" t="e">
        <f t="shared" si="363"/>
        <v>#N/A</v>
      </c>
      <c r="BJ347" t="e">
        <f t="shared" si="364"/>
        <v>#N/A</v>
      </c>
      <c r="BK347" t="e">
        <f t="shared" si="365"/>
        <v>#N/A</v>
      </c>
      <c r="BL347" t="e">
        <f t="shared" si="366"/>
        <v>#N/A</v>
      </c>
      <c r="BM347" t="e">
        <f t="shared" si="367"/>
        <v>#N/A</v>
      </c>
      <c r="BN347" t="e">
        <f t="shared" si="368"/>
        <v>#N/A</v>
      </c>
      <c r="BO347" t="e">
        <f t="shared" si="369"/>
        <v>#N/A</v>
      </c>
      <c r="BP347" t="e">
        <f t="shared" si="370"/>
        <v>#N/A</v>
      </c>
      <c r="BQ347" t="e">
        <f t="shared" si="371"/>
        <v>#N/A</v>
      </c>
      <c r="BR347" t="e">
        <f t="shared" si="372"/>
        <v>#N/A</v>
      </c>
      <c r="BS347" t="e">
        <f t="shared" si="373"/>
        <v>#N/A</v>
      </c>
      <c r="BT347" t="e">
        <f t="shared" si="374"/>
        <v>#N/A</v>
      </c>
      <c r="BU347" t="e">
        <f t="shared" si="375"/>
        <v>#N/A</v>
      </c>
      <c r="BV347" t="e">
        <f t="shared" si="376"/>
        <v>#N/A</v>
      </c>
      <c r="BW347" t="e">
        <f t="shared" si="377"/>
        <v>#N/A</v>
      </c>
      <c r="BX347" t="e">
        <f t="shared" si="378"/>
        <v>#N/A</v>
      </c>
      <c r="BY347" t="e">
        <f t="shared" si="379"/>
        <v>#N/A</v>
      </c>
      <c r="BZ347" t="e">
        <f t="shared" si="380"/>
        <v>#N/A</v>
      </c>
      <c r="CA347" t="e">
        <f t="shared" si="381"/>
        <v>#N/A</v>
      </c>
      <c r="CB347" t="e">
        <f t="shared" si="382"/>
        <v>#N/A</v>
      </c>
      <c r="CC347" t="e">
        <f t="shared" si="383"/>
        <v>#N/A</v>
      </c>
      <c r="CD347" t="e">
        <f t="shared" si="384"/>
        <v>#N/A</v>
      </c>
      <c r="CE347" t="e">
        <f t="shared" si="385"/>
        <v>#N/A</v>
      </c>
      <c r="CF347" t="e">
        <f t="shared" si="386"/>
        <v>#N/A</v>
      </c>
      <c r="CG347" t="e">
        <f t="shared" si="387"/>
        <v>#N/A</v>
      </c>
      <c r="CI347" t="e">
        <f>AP120</f>
        <v>#N/A</v>
      </c>
      <c r="CJ347" t="e">
        <f>AQ120</f>
        <v>#N/A</v>
      </c>
      <c r="CK347">
        <f>IF(ISNUMBER(CI347),IFERROR(MAX(0,AR120-CI347),0),0)</f>
        <v>0</v>
      </c>
      <c r="CL347">
        <f>IF(ISNUMBER(CI347),IFERROR(MAX(0,CI347-AR120),0),0)</f>
        <v>0</v>
      </c>
      <c r="CM347">
        <f>IF(ISNUMBER(CJ347),IFERROR(MAX(0,AS120-CJ347),0),0)</f>
        <v>0</v>
      </c>
      <c r="CN347">
        <f>IF(ISNUMBER(CJ347),IFERROR(MAX(0,CJ347-AS120),0),0)</f>
        <v>0</v>
      </c>
      <c r="CP347" t="e">
        <f>BX120</f>
        <v>#N/A</v>
      </c>
      <c r="CQ347" t="e">
        <f>BY120</f>
        <v>#N/A</v>
      </c>
      <c r="CR347">
        <f>IF(ISNUMBER(CP347),IFERROR(MAX(0,BZ120-CP347),0),0)</f>
        <v>0</v>
      </c>
      <c r="CS347">
        <f>IF(ISNUMBER(CP347),IFERROR(MAX(0,CP347-BZ120),0),0)</f>
        <v>0</v>
      </c>
      <c r="CT347">
        <f>IF(ISNUMBER(CQ347),IFERROR(MAX(0,CA120-CQ347),0),0)</f>
        <v>0</v>
      </c>
      <c r="CU347">
        <f>IF(ISNUMBER(CQ347),IFERROR(MAX(0,CQ347-CA120),0),0)</f>
        <v>0</v>
      </c>
    </row>
    <row r="348" spans="21:99" x14ac:dyDescent="0.3">
      <c r="U348">
        <v>342</v>
      </c>
      <c r="V348">
        <f t="shared" si="332"/>
        <v>86</v>
      </c>
      <c r="W348">
        <f t="shared" si="333"/>
        <v>2</v>
      </c>
      <c r="X348">
        <f t="shared" si="334"/>
        <v>0</v>
      </c>
      <c r="Y348">
        <f>IF(X348&lt;&gt;1,9999,CHOOSE(W348,INDEX(Gantt!$BQ$7:$BQ$119,V348),INDEX(Gantt!$BR$7:$BR$119,V348),INDEX(Gantt!$BT$7:$BT$119,V348),INDEX(Gantt!$BU$7:$BU$119,V348)))</f>
        <v>9999</v>
      </c>
      <c r="Z348">
        <f t="shared" si="335"/>
        <v>0</v>
      </c>
      <c r="AA348" t="e">
        <f t="shared" si="336"/>
        <v>#N/A</v>
      </c>
      <c r="AB348" t="e">
        <f t="shared" si="337"/>
        <v>#N/A</v>
      </c>
      <c r="AC348" t="e">
        <f t="shared" si="338"/>
        <v>#N/A</v>
      </c>
      <c r="AD348" t="e">
        <f t="shared" si="339"/>
        <v>#N/A</v>
      </c>
      <c r="AE348" t="e">
        <f t="shared" si="340"/>
        <v>#N/A</v>
      </c>
      <c r="AF348" t="e">
        <f t="shared" si="341"/>
        <v>#N/A</v>
      </c>
      <c r="AG348" t="e">
        <f t="shared" si="342"/>
        <v>#N/A</v>
      </c>
      <c r="AH348" t="e">
        <f t="shared" si="343"/>
        <v>#N/A</v>
      </c>
      <c r="AI348" t="e">
        <f t="shared" si="344"/>
        <v>#N/A</v>
      </c>
      <c r="AJ348" t="e">
        <f t="shared" si="345"/>
        <v>#N/A</v>
      </c>
      <c r="AK348" t="e">
        <f t="shared" si="346"/>
        <v>#N/A</v>
      </c>
      <c r="AL348" t="e">
        <f t="shared" si="347"/>
        <v>#N/A</v>
      </c>
      <c r="AM348" t="e">
        <f t="shared" si="348"/>
        <v>#N/A</v>
      </c>
      <c r="AN348" t="e">
        <f t="shared" si="349"/>
        <v>#N/A</v>
      </c>
      <c r="AO348" t="e">
        <f t="shared" si="350"/>
        <v>#N/A</v>
      </c>
      <c r="AP348" t="e">
        <f t="shared" si="351"/>
        <v>#N/A</v>
      </c>
      <c r="AQ348" t="e">
        <f t="shared" si="352"/>
        <v>#N/A</v>
      </c>
      <c r="AR348" t="e">
        <f t="shared" si="353"/>
        <v>#N/A</v>
      </c>
      <c r="AS348" t="e">
        <f t="shared" si="354"/>
        <v>#N/A</v>
      </c>
      <c r="AT348" t="e">
        <f t="shared" si="355"/>
        <v>#N/A</v>
      </c>
      <c r="AU348" t="e">
        <f t="shared" si="356"/>
        <v>#N/A</v>
      </c>
      <c r="AV348" t="e">
        <f t="shared" si="357"/>
        <v>#N/A</v>
      </c>
      <c r="AW348" t="e">
        <f t="shared" si="358"/>
        <v>#N/A</v>
      </c>
      <c r="AX348" t="e">
        <f t="shared" si="359"/>
        <v>#N/A</v>
      </c>
      <c r="AY348" t="e">
        <f t="shared" si="360"/>
        <v>#N/A</v>
      </c>
      <c r="BE348" t="e">
        <f>IF(Z348=1,IF(INDEX($C$7:$C$126,V348)&gt;=Gantt!$BF$6,NA(),MATCH(INDEX($C$7:$C$126,V348),Gantt!$J$6:$BE$6,1)),NA())</f>
        <v>#N/A</v>
      </c>
      <c r="BF348" t="e">
        <f>IF(Z348=1,IF((INDEX($D$7:$D$126,AA348)-1)&gt;=Gantt!$BF$6,NA(),IF((INDEX($D$7:$D$126,AA348)-1)&lt;Gantt!$J$6,0,MATCH((INDEX($D$7:$D$126,AA348)-1),Gantt!$J$6:$BE$6,1))),NA())</f>
        <v>#N/A</v>
      </c>
      <c r="BG348" t="e">
        <f t="shared" si="361"/>
        <v>#N/A</v>
      </c>
      <c r="BH348" t="e">
        <f t="shared" si="362"/>
        <v>#N/A</v>
      </c>
      <c r="BI348" t="e">
        <f t="shared" si="363"/>
        <v>#N/A</v>
      </c>
      <c r="BJ348" t="e">
        <f t="shared" si="364"/>
        <v>#N/A</v>
      </c>
      <c r="BK348" t="e">
        <f t="shared" si="365"/>
        <v>#N/A</v>
      </c>
      <c r="BL348" t="e">
        <f t="shared" si="366"/>
        <v>#N/A</v>
      </c>
      <c r="BM348" t="e">
        <f t="shared" si="367"/>
        <v>#N/A</v>
      </c>
      <c r="BN348" t="e">
        <f t="shared" si="368"/>
        <v>#N/A</v>
      </c>
      <c r="BO348" t="e">
        <f t="shared" si="369"/>
        <v>#N/A</v>
      </c>
      <c r="BP348" t="e">
        <f t="shared" si="370"/>
        <v>#N/A</v>
      </c>
      <c r="BQ348" t="e">
        <f t="shared" si="371"/>
        <v>#N/A</v>
      </c>
      <c r="BR348" t="e">
        <f t="shared" si="372"/>
        <v>#N/A</v>
      </c>
      <c r="BS348" t="e">
        <f t="shared" si="373"/>
        <v>#N/A</v>
      </c>
      <c r="BT348" t="e">
        <f t="shared" si="374"/>
        <v>#N/A</v>
      </c>
      <c r="BU348" t="e">
        <f t="shared" si="375"/>
        <v>#N/A</v>
      </c>
      <c r="BV348" t="e">
        <f t="shared" si="376"/>
        <v>#N/A</v>
      </c>
      <c r="BW348" t="e">
        <f t="shared" si="377"/>
        <v>#N/A</v>
      </c>
      <c r="BX348" t="e">
        <f t="shared" si="378"/>
        <v>#N/A</v>
      </c>
      <c r="BY348" t="e">
        <f t="shared" si="379"/>
        <v>#N/A</v>
      </c>
      <c r="BZ348" t="e">
        <f t="shared" si="380"/>
        <v>#N/A</v>
      </c>
      <c r="CA348" t="e">
        <f t="shared" si="381"/>
        <v>#N/A</v>
      </c>
      <c r="CB348" t="e">
        <f t="shared" si="382"/>
        <v>#N/A</v>
      </c>
      <c r="CC348" t="e">
        <f t="shared" si="383"/>
        <v>#N/A</v>
      </c>
      <c r="CD348" t="e">
        <f t="shared" si="384"/>
        <v>#N/A</v>
      </c>
      <c r="CE348" t="e">
        <f t="shared" si="385"/>
        <v>#N/A</v>
      </c>
      <c r="CF348" t="e">
        <f t="shared" si="386"/>
        <v>#N/A</v>
      </c>
      <c r="CG348" t="e">
        <f t="shared" si="387"/>
        <v>#N/A</v>
      </c>
      <c r="CI348" t="e">
        <f>AT120</f>
        <v>#N/A</v>
      </c>
      <c r="CJ348" t="e">
        <f>AU120</f>
        <v>#N/A</v>
      </c>
      <c r="CK348">
        <f>IF(ISNUMBER(CI348),IFERROR(MAX(0,AV120-CI348),0),0)</f>
        <v>0</v>
      </c>
      <c r="CL348">
        <f>IF(ISNUMBER(CI348),IFERROR(MAX(0,CI348-AV120),0),0)</f>
        <v>0</v>
      </c>
      <c r="CM348">
        <f>IF(ISNUMBER(CJ348),IFERROR(MAX(0,AW120-CJ348),0),0)</f>
        <v>0</v>
      </c>
      <c r="CN348">
        <f>IF(ISNUMBER(CJ348),IFERROR(MAX(0,CJ348-AW120),0),0)</f>
        <v>0</v>
      </c>
      <c r="CP348" t="e">
        <f>CB120</f>
        <v>#N/A</v>
      </c>
      <c r="CQ348" t="e">
        <f>CC120</f>
        <v>#N/A</v>
      </c>
      <c r="CR348">
        <f>IF(ISNUMBER(CP348),IFERROR(MAX(0,CD120-CP348),0),0)</f>
        <v>0</v>
      </c>
      <c r="CS348">
        <f>IF(ISNUMBER(CP348),IFERROR(MAX(0,CP348-CD120),0),0)</f>
        <v>0</v>
      </c>
      <c r="CT348">
        <f>IF(ISNUMBER(CQ348),IFERROR(MAX(0,CE120-CQ348),0),0)</f>
        <v>0</v>
      </c>
      <c r="CU348">
        <f>IF(ISNUMBER(CQ348),IFERROR(MAX(0,CQ348-CE120),0),0)</f>
        <v>0</v>
      </c>
    </row>
    <row r="349" spans="21:99" x14ac:dyDescent="0.3">
      <c r="U349">
        <v>343</v>
      </c>
      <c r="V349">
        <f t="shared" si="332"/>
        <v>86</v>
      </c>
      <c r="W349">
        <f t="shared" si="333"/>
        <v>3</v>
      </c>
      <c r="X349">
        <f t="shared" si="334"/>
        <v>0</v>
      </c>
      <c r="Y349">
        <f>IF(X349&lt;&gt;1,9999,CHOOSE(W349,INDEX(Gantt!$BQ$7:$BQ$119,V349),INDEX(Gantt!$BR$7:$BR$119,V349),INDEX(Gantt!$BT$7:$BT$119,V349),INDEX(Gantt!$BU$7:$BU$119,V349)))</f>
        <v>9999</v>
      </c>
      <c r="Z349">
        <f t="shared" si="335"/>
        <v>0</v>
      </c>
      <c r="AA349" t="e">
        <f t="shared" si="336"/>
        <v>#N/A</v>
      </c>
      <c r="AB349" t="e">
        <f t="shared" si="337"/>
        <v>#N/A</v>
      </c>
      <c r="AC349" t="e">
        <f t="shared" si="338"/>
        <v>#N/A</v>
      </c>
      <c r="AD349" t="e">
        <f t="shared" si="339"/>
        <v>#N/A</v>
      </c>
      <c r="AE349" t="e">
        <f t="shared" si="340"/>
        <v>#N/A</v>
      </c>
      <c r="AF349" t="e">
        <f t="shared" si="341"/>
        <v>#N/A</v>
      </c>
      <c r="AG349" t="e">
        <f t="shared" si="342"/>
        <v>#N/A</v>
      </c>
      <c r="AH349" t="e">
        <f t="shared" si="343"/>
        <v>#N/A</v>
      </c>
      <c r="AI349" t="e">
        <f t="shared" si="344"/>
        <v>#N/A</v>
      </c>
      <c r="AJ349" t="e">
        <f t="shared" si="345"/>
        <v>#N/A</v>
      </c>
      <c r="AK349" t="e">
        <f t="shared" si="346"/>
        <v>#N/A</v>
      </c>
      <c r="AL349" t="e">
        <f t="shared" si="347"/>
        <v>#N/A</v>
      </c>
      <c r="AM349" t="e">
        <f t="shared" si="348"/>
        <v>#N/A</v>
      </c>
      <c r="AN349" t="e">
        <f t="shared" si="349"/>
        <v>#N/A</v>
      </c>
      <c r="AO349" t="e">
        <f t="shared" si="350"/>
        <v>#N/A</v>
      </c>
      <c r="AP349" t="e">
        <f t="shared" si="351"/>
        <v>#N/A</v>
      </c>
      <c r="AQ349" t="e">
        <f t="shared" si="352"/>
        <v>#N/A</v>
      </c>
      <c r="AR349" t="e">
        <f t="shared" si="353"/>
        <v>#N/A</v>
      </c>
      <c r="AS349" t="e">
        <f t="shared" si="354"/>
        <v>#N/A</v>
      </c>
      <c r="AT349" t="e">
        <f t="shared" si="355"/>
        <v>#N/A</v>
      </c>
      <c r="AU349" t="e">
        <f t="shared" si="356"/>
        <v>#N/A</v>
      </c>
      <c r="AV349" t="e">
        <f t="shared" si="357"/>
        <v>#N/A</v>
      </c>
      <c r="AW349" t="e">
        <f t="shared" si="358"/>
        <v>#N/A</v>
      </c>
      <c r="AX349" t="e">
        <f t="shared" si="359"/>
        <v>#N/A</v>
      </c>
      <c r="AY349" t="e">
        <f t="shared" si="360"/>
        <v>#N/A</v>
      </c>
      <c r="BE349" t="e">
        <f>IF(Z349=1,IF(INDEX($C$7:$C$126,V349)&gt;=Gantt!$BF$6,NA(),MATCH(INDEX($C$7:$C$126,V349),Gantt!$J$6:$BE$6,1)),NA())</f>
        <v>#N/A</v>
      </c>
      <c r="BF349" t="e">
        <f>IF(Z349=1,IF((INDEX($D$7:$D$126,AA349)-1)&gt;=Gantt!$BF$6,NA(),IF((INDEX($D$7:$D$126,AA349)-1)&lt;Gantt!$J$6,0,MATCH((INDEX($D$7:$D$126,AA349)-1),Gantt!$J$6:$BE$6,1))),NA())</f>
        <v>#N/A</v>
      </c>
      <c r="BG349" t="e">
        <f t="shared" si="361"/>
        <v>#N/A</v>
      </c>
      <c r="BH349" t="e">
        <f t="shared" si="362"/>
        <v>#N/A</v>
      </c>
      <c r="BI349" t="e">
        <f t="shared" si="363"/>
        <v>#N/A</v>
      </c>
      <c r="BJ349" t="e">
        <f t="shared" si="364"/>
        <v>#N/A</v>
      </c>
      <c r="BK349" t="e">
        <f t="shared" si="365"/>
        <v>#N/A</v>
      </c>
      <c r="BL349" t="e">
        <f t="shared" si="366"/>
        <v>#N/A</v>
      </c>
      <c r="BM349" t="e">
        <f t="shared" si="367"/>
        <v>#N/A</v>
      </c>
      <c r="BN349" t="e">
        <f t="shared" si="368"/>
        <v>#N/A</v>
      </c>
      <c r="BO349" t="e">
        <f t="shared" si="369"/>
        <v>#N/A</v>
      </c>
      <c r="BP349" t="e">
        <f t="shared" si="370"/>
        <v>#N/A</v>
      </c>
      <c r="BQ349" t="e">
        <f t="shared" si="371"/>
        <v>#N/A</v>
      </c>
      <c r="BR349" t="e">
        <f t="shared" si="372"/>
        <v>#N/A</v>
      </c>
      <c r="BS349" t="e">
        <f t="shared" si="373"/>
        <v>#N/A</v>
      </c>
      <c r="BT349" t="e">
        <f t="shared" si="374"/>
        <v>#N/A</v>
      </c>
      <c r="BU349" t="e">
        <f t="shared" si="375"/>
        <v>#N/A</v>
      </c>
      <c r="BV349" t="e">
        <f t="shared" si="376"/>
        <v>#N/A</v>
      </c>
      <c r="BW349" t="e">
        <f t="shared" si="377"/>
        <v>#N/A</v>
      </c>
      <c r="BX349" t="e">
        <f t="shared" si="378"/>
        <v>#N/A</v>
      </c>
      <c r="BY349" t="e">
        <f t="shared" si="379"/>
        <v>#N/A</v>
      </c>
      <c r="BZ349" t="e">
        <f t="shared" si="380"/>
        <v>#N/A</v>
      </c>
      <c r="CA349" t="e">
        <f t="shared" si="381"/>
        <v>#N/A</v>
      </c>
      <c r="CB349" t="e">
        <f t="shared" si="382"/>
        <v>#N/A</v>
      </c>
      <c r="CC349" t="e">
        <f t="shared" si="383"/>
        <v>#N/A</v>
      </c>
      <c r="CD349" t="e">
        <f t="shared" si="384"/>
        <v>#N/A</v>
      </c>
      <c r="CE349" t="e">
        <f t="shared" si="385"/>
        <v>#N/A</v>
      </c>
      <c r="CF349" t="e">
        <f t="shared" si="386"/>
        <v>#N/A</v>
      </c>
      <c r="CG349" t="e">
        <f t="shared" si="387"/>
        <v>#N/A</v>
      </c>
      <c r="CI349" t="e">
        <f>AL121</f>
        <v>#N/A</v>
      </c>
      <c r="CJ349" t="e">
        <f>AM121</f>
        <v>#N/A</v>
      </c>
      <c r="CK349">
        <f>IF(ISNUMBER(CI349),IFERROR(MAX(0,AN121-CI349),0),0)</f>
        <v>0</v>
      </c>
      <c r="CL349">
        <f>IF(ISNUMBER(CI349),IFERROR(MAX(0,CI349-AN121),0),0)</f>
        <v>0</v>
      </c>
      <c r="CM349">
        <f>IF(ISNUMBER(CJ349),IFERROR(MAX(0,AO121-CJ349),0),0)</f>
        <v>0</v>
      </c>
      <c r="CN349">
        <f>IF(ISNUMBER(CJ349),IFERROR(MAX(0,CJ349-AO121),0),0)</f>
        <v>0</v>
      </c>
      <c r="CP349" t="e">
        <f>BT121</f>
        <v>#N/A</v>
      </c>
      <c r="CQ349" t="e">
        <f>BU121</f>
        <v>#N/A</v>
      </c>
      <c r="CR349">
        <f>IF(ISNUMBER(CP349),IFERROR(MAX(0,BV121-CP349),0),0)</f>
        <v>0</v>
      </c>
      <c r="CS349">
        <f>IF(ISNUMBER(CP349),IFERROR(MAX(0,CP349-BV121),0),0)</f>
        <v>0</v>
      </c>
      <c r="CT349">
        <f>IF(ISNUMBER(CQ349),IFERROR(MAX(0,BW121-CQ349),0),0)</f>
        <v>0</v>
      </c>
      <c r="CU349">
        <f>IF(ISNUMBER(CQ349),IFERROR(MAX(0,CQ349-BW121),0),0)</f>
        <v>0</v>
      </c>
    </row>
    <row r="350" spans="21:99" x14ac:dyDescent="0.3">
      <c r="U350">
        <v>344</v>
      </c>
      <c r="V350">
        <f t="shared" si="332"/>
        <v>86</v>
      </c>
      <c r="W350">
        <f t="shared" si="333"/>
        <v>4</v>
      </c>
      <c r="X350">
        <f t="shared" si="334"/>
        <v>0</v>
      </c>
      <c r="Y350">
        <f>IF(X350&lt;&gt;1,9999,CHOOSE(W350,INDEX(Gantt!$BQ$7:$BQ$119,V350),INDEX(Gantt!$BR$7:$BR$119,V350),INDEX(Gantt!$BT$7:$BT$119,V350),INDEX(Gantt!$BU$7:$BU$119,V350)))</f>
        <v>9999</v>
      </c>
      <c r="Z350">
        <f t="shared" si="335"/>
        <v>0</v>
      </c>
      <c r="AA350" t="e">
        <f t="shared" si="336"/>
        <v>#N/A</v>
      </c>
      <c r="AB350" t="e">
        <f t="shared" si="337"/>
        <v>#N/A</v>
      </c>
      <c r="AC350" t="e">
        <f t="shared" si="338"/>
        <v>#N/A</v>
      </c>
      <c r="AD350" t="e">
        <f t="shared" si="339"/>
        <v>#N/A</v>
      </c>
      <c r="AE350" t="e">
        <f t="shared" si="340"/>
        <v>#N/A</v>
      </c>
      <c r="AF350" t="e">
        <f t="shared" si="341"/>
        <v>#N/A</v>
      </c>
      <c r="AG350" t="e">
        <f t="shared" si="342"/>
        <v>#N/A</v>
      </c>
      <c r="AH350" t="e">
        <f t="shared" si="343"/>
        <v>#N/A</v>
      </c>
      <c r="AI350" t="e">
        <f t="shared" si="344"/>
        <v>#N/A</v>
      </c>
      <c r="AJ350" t="e">
        <f t="shared" si="345"/>
        <v>#N/A</v>
      </c>
      <c r="AK350" t="e">
        <f t="shared" si="346"/>
        <v>#N/A</v>
      </c>
      <c r="AL350" t="e">
        <f t="shared" si="347"/>
        <v>#N/A</v>
      </c>
      <c r="AM350" t="e">
        <f t="shared" si="348"/>
        <v>#N/A</v>
      </c>
      <c r="AN350" t="e">
        <f t="shared" si="349"/>
        <v>#N/A</v>
      </c>
      <c r="AO350" t="e">
        <f t="shared" si="350"/>
        <v>#N/A</v>
      </c>
      <c r="AP350" t="e">
        <f t="shared" si="351"/>
        <v>#N/A</v>
      </c>
      <c r="AQ350" t="e">
        <f t="shared" si="352"/>
        <v>#N/A</v>
      </c>
      <c r="AR350" t="e">
        <f t="shared" si="353"/>
        <v>#N/A</v>
      </c>
      <c r="AS350" t="e">
        <f t="shared" si="354"/>
        <v>#N/A</v>
      </c>
      <c r="AT350" t="e">
        <f t="shared" si="355"/>
        <v>#N/A</v>
      </c>
      <c r="AU350" t="e">
        <f t="shared" si="356"/>
        <v>#N/A</v>
      </c>
      <c r="AV350" t="e">
        <f t="shared" si="357"/>
        <v>#N/A</v>
      </c>
      <c r="AW350" t="e">
        <f t="shared" si="358"/>
        <v>#N/A</v>
      </c>
      <c r="AX350" t="e">
        <f t="shared" si="359"/>
        <v>#N/A</v>
      </c>
      <c r="AY350" t="e">
        <f t="shared" si="360"/>
        <v>#N/A</v>
      </c>
      <c r="BE350" t="e">
        <f>IF(Z350=1,IF(INDEX($C$7:$C$126,V350)&gt;=Gantt!$BF$6,NA(),MATCH(INDEX($C$7:$C$126,V350),Gantt!$J$6:$BE$6,1)),NA())</f>
        <v>#N/A</v>
      </c>
      <c r="BF350" t="e">
        <f>IF(Z350=1,IF((INDEX($D$7:$D$126,AA350)-1)&gt;=Gantt!$BF$6,NA(),IF((INDEX($D$7:$D$126,AA350)-1)&lt;Gantt!$J$6,0,MATCH((INDEX($D$7:$D$126,AA350)-1),Gantt!$J$6:$BE$6,1))),NA())</f>
        <v>#N/A</v>
      </c>
      <c r="BG350" t="e">
        <f t="shared" si="361"/>
        <v>#N/A</v>
      </c>
      <c r="BH350" t="e">
        <f t="shared" si="362"/>
        <v>#N/A</v>
      </c>
      <c r="BI350" t="e">
        <f t="shared" si="363"/>
        <v>#N/A</v>
      </c>
      <c r="BJ350" t="e">
        <f t="shared" si="364"/>
        <v>#N/A</v>
      </c>
      <c r="BK350" t="e">
        <f t="shared" si="365"/>
        <v>#N/A</v>
      </c>
      <c r="BL350" t="e">
        <f t="shared" si="366"/>
        <v>#N/A</v>
      </c>
      <c r="BM350" t="e">
        <f t="shared" si="367"/>
        <v>#N/A</v>
      </c>
      <c r="BN350" t="e">
        <f t="shared" si="368"/>
        <v>#N/A</v>
      </c>
      <c r="BO350" t="e">
        <f t="shared" si="369"/>
        <v>#N/A</v>
      </c>
      <c r="BP350" t="e">
        <f t="shared" si="370"/>
        <v>#N/A</v>
      </c>
      <c r="BQ350" t="e">
        <f t="shared" si="371"/>
        <v>#N/A</v>
      </c>
      <c r="BR350" t="e">
        <f t="shared" si="372"/>
        <v>#N/A</v>
      </c>
      <c r="BS350" t="e">
        <f t="shared" si="373"/>
        <v>#N/A</v>
      </c>
      <c r="BT350" t="e">
        <f t="shared" si="374"/>
        <v>#N/A</v>
      </c>
      <c r="BU350" t="e">
        <f t="shared" si="375"/>
        <v>#N/A</v>
      </c>
      <c r="BV350" t="e">
        <f t="shared" si="376"/>
        <v>#N/A</v>
      </c>
      <c r="BW350" t="e">
        <f t="shared" si="377"/>
        <v>#N/A</v>
      </c>
      <c r="BX350" t="e">
        <f t="shared" si="378"/>
        <v>#N/A</v>
      </c>
      <c r="BY350" t="e">
        <f t="shared" si="379"/>
        <v>#N/A</v>
      </c>
      <c r="BZ350" t="e">
        <f t="shared" si="380"/>
        <v>#N/A</v>
      </c>
      <c r="CA350" t="e">
        <f t="shared" si="381"/>
        <v>#N/A</v>
      </c>
      <c r="CB350" t="e">
        <f t="shared" si="382"/>
        <v>#N/A</v>
      </c>
      <c r="CC350" t="e">
        <f t="shared" si="383"/>
        <v>#N/A</v>
      </c>
      <c r="CD350" t="e">
        <f t="shared" si="384"/>
        <v>#N/A</v>
      </c>
      <c r="CE350" t="e">
        <f t="shared" si="385"/>
        <v>#N/A</v>
      </c>
      <c r="CF350" t="e">
        <f t="shared" si="386"/>
        <v>#N/A</v>
      </c>
      <c r="CG350" t="e">
        <f t="shared" si="387"/>
        <v>#N/A</v>
      </c>
      <c r="CI350" t="e">
        <f>AP121</f>
        <v>#N/A</v>
      </c>
      <c r="CJ350" t="e">
        <f>AQ121</f>
        <v>#N/A</v>
      </c>
      <c r="CK350">
        <f>IF(ISNUMBER(CI350),IFERROR(MAX(0,AR121-CI350),0),0)</f>
        <v>0</v>
      </c>
      <c r="CL350">
        <f>IF(ISNUMBER(CI350),IFERROR(MAX(0,CI350-AR121),0),0)</f>
        <v>0</v>
      </c>
      <c r="CM350">
        <f>IF(ISNUMBER(CJ350),IFERROR(MAX(0,AS121-CJ350),0),0)</f>
        <v>0</v>
      </c>
      <c r="CN350">
        <f>IF(ISNUMBER(CJ350),IFERROR(MAX(0,CJ350-AS121),0),0)</f>
        <v>0</v>
      </c>
      <c r="CP350" t="e">
        <f>BX121</f>
        <v>#N/A</v>
      </c>
      <c r="CQ350" t="e">
        <f>BY121</f>
        <v>#N/A</v>
      </c>
      <c r="CR350">
        <f>IF(ISNUMBER(CP350),IFERROR(MAX(0,BZ121-CP350),0),0)</f>
        <v>0</v>
      </c>
      <c r="CS350">
        <f>IF(ISNUMBER(CP350),IFERROR(MAX(0,CP350-BZ121),0),0)</f>
        <v>0</v>
      </c>
      <c r="CT350">
        <f>IF(ISNUMBER(CQ350),IFERROR(MAX(0,CA121-CQ350),0),0)</f>
        <v>0</v>
      </c>
      <c r="CU350">
        <f>IF(ISNUMBER(CQ350),IFERROR(MAX(0,CQ350-CA121),0),0)</f>
        <v>0</v>
      </c>
    </row>
    <row r="351" spans="21:99" x14ac:dyDescent="0.3">
      <c r="U351">
        <v>345</v>
      </c>
      <c r="V351">
        <f t="shared" si="332"/>
        <v>87</v>
      </c>
      <c r="W351">
        <f t="shared" si="333"/>
        <v>1</v>
      </c>
      <c r="X351">
        <f t="shared" si="334"/>
        <v>0</v>
      </c>
      <c r="Y351">
        <f>IF(X351&lt;&gt;1,9999,CHOOSE(W351,INDEX(Gantt!$BQ$7:$BQ$119,V351),INDEX(Gantt!$BR$7:$BR$119,V351),INDEX(Gantt!$BT$7:$BT$119,V351),INDEX(Gantt!$BU$7:$BU$119,V351)))</f>
        <v>9999</v>
      </c>
      <c r="Z351">
        <f t="shared" si="335"/>
        <v>0</v>
      </c>
      <c r="AA351" t="e">
        <f t="shared" si="336"/>
        <v>#N/A</v>
      </c>
      <c r="AB351" t="e">
        <f t="shared" si="337"/>
        <v>#N/A</v>
      </c>
      <c r="AC351" t="e">
        <f t="shared" si="338"/>
        <v>#N/A</v>
      </c>
      <c r="AD351" t="e">
        <f t="shared" si="339"/>
        <v>#N/A</v>
      </c>
      <c r="AE351" t="e">
        <f t="shared" si="340"/>
        <v>#N/A</v>
      </c>
      <c r="AF351" t="e">
        <f t="shared" si="341"/>
        <v>#N/A</v>
      </c>
      <c r="AG351" t="e">
        <f t="shared" si="342"/>
        <v>#N/A</v>
      </c>
      <c r="AH351" t="e">
        <f t="shared" si="343"/>
        <v>#N/A</v>
      </c>
      <c r="AI351" t="e">
        <f t="shared" si="344"/>
        <v>#N/A</v>
      </c>
      <c r="AJ351" t="e">
        <f t="shared" si="345"/>
        <v>#N/A</v>
      </c>
      <c r="AK351" t="e">
        <f t="shared" si="346"/>
        <v>#N/A</v>
      </c>
      <c r="AL351" t="e">
        <f t="shared" si="347"/>
        <v>#N/A</v>
      </c>
      <c r="AM351" t="e">
        <f t="shared" si="348"/>
        <v>#N/A</v>
      </c>
      <c r="AN351" t="e">
        <f t="shared" si="349"/>
        <v>#N/A</v>
      </c>
      <c r="AO351" t="e">
        <f t="shared" si="350"/>
        <v>#N/A</v>
      </c>
      <c r="AP351" t="e">
        <f t="shared" si="351"/>
        <v>#N/A</v>
      </c>
      <c r="AQ351" t="e">
        <f t="shared" si="352"/>
        <v>#N/A</v>
      </c>
      <c r="AR351" t="e">
        <f t="shared" si="353"/>
        <v>#N/A</v>
      </c>
      <c r="AS351" t="e">
        <f t="shared" si="354"/>
        <v>#N/A</v>
      </c>
      <c r="AT351" t="e">
        <f t="shared" si="355"/>
        <v>#N/A</v>
      </c>
      <c r="AU351" t="e">
        <f t="shared" si="356"/>
        <v>#N/A</v>
      </c>
      <c r="AV351" t="e">
        <f t="shared" si="357"/>
        <v>#N/A</v>
      </c>
      <c r="AW351" t="e">
        <f t="shared" si="358"/>
        <v>#N/A</v>
      </c>
      <c r="AX351" t="e">
        <f t="shared" si="359"/>
        <v>#N/A</v>
      </c>
      <c r="AY351" t="e">
        <f t="shared" si="360"/>
        <v>#N/A</v>
      </c>
      <c r="BE351" t="e">
        <f>IF(Z351=1,IF(INDEX($C$7:$C$126,V351)&gt;=Gantt!$BF$6,NA(),MATCH(INDEX($C$7:$C$126,V351),Gantt!$J$6:$BE$6,1)),NA())</f>
        <v>#N/A</v>
      </c>
      <c r="BF351" t="e">
        <f>IF(Z351=1,IF((INDEX($D$7:$D$126,AA351)-1)&gt;=Gantt!$BF$6,NA(),IF((INDEX($D$7:$D$126,AA351)-1)&lt;Gantt!$J$6,0,MATCH((INDEX($D$7:$D$126,AA351)-1),Gantt!$J$6:$BE$6,1))),NA())</f>
        <v>#N/A</v>
      </c>
      <c r="BG351" t="e">
        <f t="shared" si="361"/>
        <v>#N/A</v>
      </c>
      <c r="BH351" t="e">
        <f t="shared" si="362"/>
        <v>#N/A</v>
      </c>
      <c r="BI351" t="e">
        <f t="shared" si="363"/>
        <v>#N/A</v>
      </c>
      <c r="BJ351" t="e">
        <f t="shared" si="364"/>
        <v>#N/A</v>
      </c>
      <c r="BK351" t="e">
        <f t="shared" si="365"/>
        <v>#N/A</v>
      </c>
      <c r="BL351" t="e">
        <f t="shared" si="366"/>
        <v>#N/A</v>
      </c>
      <c r="BM351" t="e">
        <f t="shared" si="367"/>
        <v>#N/A</v>
      </c>
      <c r="BN351" t="e">
        <f t="shared" si="368"/>
        <v>#N/A</v>
      </c>
      <c r="BO351" t="e">
        <f t="shared" si="369"/>
        <v>#N/A</v>
      </c>
      <c r="BP351" t="e">
        <f t="shared" si="370"/>
        <v>#N/A</v>
      </c>
      <c r="BQ351" t="e">
        <f t="shared" si="371"/>
        <v>#N/A</v>
      </c>
      <c r="BR351" t="e">
        <f t="shared" si="372"/>
        <v>#N/A</v>
      </c>
      <c r="BS351" t="e">
        <f t="shared" si="373"/>
        <v>#N/A</v>
      </c>
      <c r="BT351" t="e">
        <f t="shared" si="374"/>
        <v>#N/A</v>
      </c>
      <c r="BU351" t="e">
        <f t="shared" si="375"/>
        <v>#N/A</v>
      </c>
      <c r="BV351" t="e">
        <f t="shared" si="376"/>
        <v>#N/A</v>
      </c>
      <c r="BW351" t="e">
        <f t="shared" si="377"/>
        <v>#N/A</v>
      </c>
      <c r="BX351" t="e">
        <f t="shared" si="378"/>
        <v>#N/A</v>
      </c>
      <c r="BY351" t="e">
        <f t="shared" si="379"/>
        <v>#N/A</v>
      </c>
      <c r="BZ351" t="e">
        <f t="shared" si="380"/>
        <v>#N/A</v>
      </c>
      <c r="CA351" t="e">
        <f t="shared" si="381"/>
        <v>#N/A</v>
      </c>
      <c r="CB351" t="e">
        <f t="shared" si="382"/>
        <v>#N/A</v>
      </c>
      <c r="CC351" t="e">
        <f t="shared" si="383"/>
        <v>#N/A</v>
      </c>
      <c r="CD351" t="e">
        <f t="shared" si="384"/>
        <v>#N/A</v>
      </c>
      <c r="CE351" t="e">
        <f t="shared" si="385"/>
        <v>#N/A</v>
      </c>
      <c r="CF351" t="e">
        <f t="shared" si="386"/>
        <v>#N/A</v>
      </c>
      <c r="CG351" t="e">
        <f t="shared" si="387"/>
        <v>#N/A</v>
      </c>
      <c r="CI351" t="e">
        <f>AT121</f>
        <v>#N/A</v>
      </c>
      <c r="CJ351" t="e">
        <f>AU121</f>
        <v>#N/A</v>
      </c>
      <c r="CK351">
        <f>IF(ISNUMBER(CI351),IFERROR(MAX(0,AV121-CI351),0),0)</f>
        <v>0</v>
      </c>
      <c r="CL351">
        <f>IF(ISNUMBER(CI351),IFERROR(MAX(0,CI351-AV121),0),0)</f>
        <v>0</v>
      </c>
      <c r="CM351">
        <f>IF(ISNUMBER(CJ351),IFERROR(MAX(0,AW121-CJ351),0),0)</f>
        <v>0</v>
      </c>
      <c r="CN351">
        <f>IF(ISNUMBER(CJ351),IFERROR(MAX(0,CJ351-AW121),0),0)</f>
        <v>0</v>
      </c>
      <c r="CP351" t="e">
        <f>CB121</f>
        <v>#N/A</v>
      </c>
      <c r="CQ351" t="e">
        <f>CC121</f>
        <v>#N/A</v>
      </c>
      <c r="CR351">
        <f>IF(ISNUMBER(CP351),IFERROR(MAX(0,CD121-CP351),0),0)</f>
        <v>0</v>
      </c>
      <c r="CS351">
        <f>IF(ISNUMBER(CP351),IFERROR(MAX(0,CP351-CD121),0),0)</f>
        <v>0</v>
      </c>
      <c r="CT351">
        <f>IF(ISNUMBER(CQ351),IFERROR(MAX(0,CE121-CQ351),0),0)</f>
        <v>0</v>
      </c>
      <c r="CU351">
        <f>IF(ISNUMBER(CQ351),IFERROR(MAX(0,CQ351-CE121),0),0)</f>
        <v>0</v>
      </c>
    </row>
    <row r="352" spans="21:99" x14ac:dyDescent="0.3">
      <c r="U352">
        <v>346</v>
      </c>
      <c r="V352">
        <f t="shared" si="332"/>
        <v>87</v>
      </c>
      <c r="W352">
        <f t="shared" si="333"/>
        <v>2</v>
      </c>
      <c r="X352">
        <f t="shared" si="334"/>
        <v>0</v>
      </c>
      <c r="Y352">
        <f>IF(X352&lt;&gt;1,9999,CHOOSE(W352,INDEX(Gantt!$BQ$7:$BQ$119,V352),INDEX(Gantt!$BR$7:$BR$119,V352),INDEX(Gantt!$BT$7:$BT$119,V352),INDEX(Gantt!$BU$7:$BU$119,V352)))</f>
        <v>9999</v>
      </c>
      <c r="Z352">
        <f t="shared" si="335"/>
        <v>0</v>
      </c>
      <c r="AA352" t="e">
        <f t="shared" si="336"/>
        <v>#N/A</v>
      </c>
      <c r="AB352" t="e">
        <f t="shared" si="337"/>
        <v>#N/A</v>
      </c>
      <c r="AC352" t="e">
        <f t="shared" si="338"/>
        <v>#N/A</v>
      </c>
      <c r="AD352" t="e">
        <f t="shared" si="339"/>
        <v>#N/A</v>
      </c>
      <c r="AE352" t="e">
        <f t="shared" si="340"/>
        <v>#N/A</v>
      </c>
      <c r="AF352" t="e">
        <f t="shared" si="341"/>
        <v>#N/A</v>
      </c>
      <c r="AG352" t="e">
        <f t="shared" si="342"/>
        <v>#N/A</v>
      </c>
      <c r="AH352" t="e">
        <f t="shared" si="343"/>
        <v>#N/A</v>
      </c>
      <c r="AI352" t="e">
        <f t="shared" si="344"/>
        <v>#N/A</v>
      </c>
      <c r="AJ352" t="e">
        <f t="shared" si="345"/>
        <v>#N/A</v>
      </c>
      <c r="AK352" t="e">
        <f t="shared" si="346"/>
        <v>#N/A</v>
      </c>
      <c r="AL352" t="e">
        <f t="shared" si="347"/>
        <v>#N/A</v>
      </c>
      <c r="AM352" t="e">
        <f t="shared" si="348"/>
        <v>#N/A</v>
      </c>
      <c r="AN352" t="e">
        <f t="shared" si="349"/>
        <v>#N/A</v>
      </c>
      <c r="AO352" t="e">
        <f t="shared" si="350"/>
        <v>#N/A</v>
      </c>
      <c r="AP352" t="e">
        <f t="shared" si="351"/>
        <v>#N/A</v>
      </c>
      <c r="AQ352" t="e">
        <f t="shared" si="352"/>
        <v>#N/A</v>
      </c>
      <c r="AR352" t="e">
        <f t="shared" si="353"/>
        <v>#N/A</v>
      </c>
      <c r="AS352" t="e">
        <f t="shared" si="354"/>
        <v>#N/A</v>
      </c>
      <c r="AT352" t="e">
        <f t="shared" si="355"/>
        <v>#N/A</v>
      </c>
      <c r="AU352" t="e">
        <f t="shared" si="356"/>
        <v>#N/A</v>
      </c>
      <c r="AV352" t="e">
        <f t="shared" si="357"/>
        <v>#N/A</v>
      </c>
      <c r="AW352" t="e">
        <f t="shared" si="358"/>
        <v>#N/A</v>
      </c>
      <c r="AX352" t="e">
        <f t="shared" si="359"/>
        <v>#N/A</v>
      </c>
      <c r="AY352" t="e">
        <f t="shared" si="360"/>
        <v>#N/A</v>
      </c>
      <c r="BE352" t="e">
        <f>IF(Z352=1,IF(INDEX($C$7:$C$126,V352)&gt;=Gantt!$BF$6,NA(),MATCH(INDEX($C$7:$C$126,V352),Gantt!$J$6:$BE$6,1)),NA())</f>
        <v>#N/A</v>
      </c>
      <c r="BF352" t="e">
        <f>IF(Z352=1,IF((INDEX($D$7:$D$126,AA352)-1)&gt;=Gantt!$BF$6,NA(),IF((INDEX($D$7:$D$126,AA352)-1)&lt;Gantt!$J$6,0,MATCH((INDEX($D$7:$D$126,AA352)-1),Gantt!$J$6:$BE$6,1))),NA())</f>
        <v>#N/A</v>
      </c>
      <c r="BG352" t="e">
        <f t="shared" si="361"/>
        <v>#N/A</v>
      </c>
      <c r="BH352" t="e">
        <f t="shared" si="362"/>
        <v>#N/A</v>
      </c>
      <c r="BI352" t="e">
        <f t="shared" si="363"/>
        <v>#N/A</v>
      </c>
      <c r="BJ352" t="e">
        <f t="shared" si="364"/>
        <v>#N/A</v>
      </c>
      <c r="BK352" t="e">
        <f t="shared" si="365"/>
        <v>#N/A</v>
      </c>
      <c r="BL352" t="e">
        <f t="shared" si="366"/>
        <v>#N/A</v>
      </c>
      <c r="BM352" t="e">
        <f t="shared" si="367"/>
        <v>#N/A</v>
      </c>
      <c r="BN352" t="e">
        <f t="shared" si="368"/>
        <v>#N/A</v>
      </c>
      <c r="BO352" t="e">
        <f t="shared" si="369"/>
        <v>#N/A</v>
      </c>
      <c r="BP352" t="e">
        <f t="shared" si="370"/>
        <v>#N/A</v>
      </c>
      <c r="BQ352" t="e">
        <f t="shared" si="371"/>
        <v>#N/A</v>
      </c>
      <c r="BR352" t="e">
        <f t="shared" si="372"/>
        <v>#N/A</v>
      </c>
      <c r="BS352" t="e">
        <f t="shared" si="373"/>
        <v>#N/A</v>
      </c>
      <c r="BT352" t="e">
        <f t="shared" si="374"/>
        <v>#N/A</v>
      </c>
      <c r="BU352" t="e">
        <f t="shared" si="375"/>
        <v>#N/A</v>
      </c>
      <c r="BV352" t="e">
        <f t="shared" si="376"/>
        <v>#N/A</v>
      </c>
      <c r="BW352" t="e">
        <f t="shared" si="377"/>
        <v>#N/A</v>
      </c>
      <c r="BX352" t="e">
        <f t="shared" si="378"/>
        <v>#N/A</v>
      </c>
      <c r="BY352" t="e">
        <f t="shared" si="379"/>
        <v>#N/A</v>
      </c>
      <c r="BZ352" t="e">
        <f t="shared" si="380"/>
        <v>#N/A</v>
      </c>
      <c r="CA352" t="e">
        <f t="shared" si="381"/>
        <v>#N/A</v>
      </c>
      <c r="CB352" t="e">
        <f t="shared" si="382"/>
        <v>#N/A</v>
      </c>
      <c r="CC352" t="e">
        <f t="shared" si="383"/>
        <v>#N/A</v>
      </c>
      <c r="CD352" t="e">
        <f t="shared" si="384"/>
        <v>#N/A</v>
      </c>
      <c r="CE352" t="e">
        <f t="shared" si="385"/>
        <v>#N/A</v>
      </c>
      <c r="CF352" t="e">
        <f t="shared" si="386"/>
        <v>#N/A</v>
      </c>
      <c r="CG352" t="e">
        <f t="shared" si="387"/>
        <v>#N/A</v>
      </c>
      <c r="CI352" t="e">
        <f>AL122</f>
        <v>#N/A</v>
      </c>
      <c r="CJ352" t="e">
        <f>AM122</f>
        <v>#N/A</v>
      </c>
      <c r="CK352">
        <f>IF(ISNUMBER(CI352),IFERROR(MAX(0,AN122-CI352),0),0)</f>
        <v>0</v>
      </c>
      <c r="CL352">
        <f>IF(ISNUMBER(CI352),IFERROR(MAX(0,CI352-AN122),0),0)</f>
        <v>0</v>
      </c>
      <c r="CM352">
        <f>IF(ISNUMBER(CJ352),IFERROR(MAX(0,AO122-CJ352),0),0)</f>
        <v>0</v>
      </c>
      <c r="CN352">
        <f>IF(ISNUMBER(CJ352),IFERROR(MAX(0,CJ352-AO122),0),0)</f>
        <v>0</v>
      </c>
      <c r="CP352" t="e">
        <f>BT122</f>
        <v>#N/A</v>
      </c>
      <c r="CQ352" t="e">
        <f>BU122</f>
        <v>#N/A</v>
      </c>
      <c r="CR352">
        <f>IF(ISNUMBER(CP352),IFERROR(MAX(0,BV122-CP352),0),0)</f>
        <v>0</v>
      </c>
      <c r="CS352">
        <f>IF(ISNUMBER(CP352),IFERROR(MAX(0,CP352-BV122),0),0)</f>
        <v>0</v>
      </c>
      <c r="CT352">
        <f>IF(ISNUMBER(CQ352),IFERROR(MAX(0,BW122-CQ352),0),0)</f>
        <v>0</v>
      </c>
      <c r="CU352">
        <f>IF(ISNUMBER(CQ352),IFERROR(MAX(0,CQ352-BW122),0),0)</f>
        <v>0</v>
      </c>
    </row>
    <row r="353" spans="21:99" x14ac:dyDescent="0.3">
      <c r="U353">
        <v>347</v>
      </c>
      <c r="V353">
        <f t="shared" si="332"/>
        <v>87</v>
      </c>
      <c r="W353">
        <f t="shared" si="333"/>
        <v>3</v>
      </c>
      <c r="X353">
        <f t="shared" si="334"/>
        <v>0</v>
      </c>
      <c r="Y353">
        <f>IF(X353&lt;&gt;1,9999,CHOOSE(W353,INDEX(Gantt!$BQ$7:$BQ$119,V353),INDEX(Gantt!$BR$7:$BR$119,V353),INDEX(Gantt!$BT$7:$BT$119,V353),INDEX(Gantt!$BU$7:$BU$119,V353)))</f>
        <v>9999</v>
      </c>
      <c r="Z353">
        <f t="shared" si="335"/>
        <v>0</v>
      </c>
      <c r="AA353" t="e">
        <f t="shared" si="336"/>
        <v>#N/A</v>
      </c>
      <c r="AB353" t="e">
        <f t="shared" si="337"/>
        <v>#N/A</v>
      </c>
      <c r="AC353" t="e">
        <f t="shared" si="338"/>
        <v>#N/A</v>
      </c>
      <c r="AD353" t="e">
        <f t="shared" si="339"/>
        <v>#N/A</v>
      </c>
      <c r="AE353" t="e">
        <f t="shared" si="340"/>
        <v>#N/A</v>
      </c>
      <c r="AF353" t="e">
        <f t="shared" si="341"/>
        <v>#N/A</v>
      </c>
      <c r="AG353" t="e">
        <f t="shared" si="342"/>
        <v>#N/A</v>
      </c>
      <c r="AH353" t="e">
        <f t="shared" si="343"/>
        <v>#N/A</v>
      </c>
      <c r="AI353" t="e">
        <f t="shared" si="344"/>
        <v>#N/A</v>
      </c>
      <c r="AJ353" t="e">
        <f t="shared" si="345"/>
        <v>#N/A</v>
      </c>
      <c r="AK353" t="e">
        <f t="shared" si="346"/>
        <v>#N/A</v>
      </c>
      <c r="AL353" t="e">
        <f t="shared" si="347"/>
        <v>#N/A</v>
      </c>
      <c r="AM353" t="e">
        <f t="shared" si="348"/>
        <v>#N/A</v>
      </c>
      <c r="AN353" t="e">
        <f t="shared" si="349"/>
        <v>#N/A</v>
      </c>
      <c r="AO353" t="e">
        <f t="shared" si="350"/>
        <v>#N/A</v>
      </c>
      <c r="AP353" t="e">
        <f t="shared" si="351"/>
        <v>#N/A</v>
      </c>
      <c r="AQ353" t="e">
        <f t="shared" si="352"/>
        <v>#N/A</v>
      </c>
      <c r="AR353" t="e">
        <f t="shared" si="353"/>
        <v>#N/A</v>
      </c>
      <c r="AS353" t="e">
        <f t="shared" si="354"/>
        <v>#N/A</v>
      </c>
      <c r="AT353" t="e">
        <f t="shared" si="355"/>
        <v>#N/A</v>
      </c>
      <c r="AU353" t="e">
        <f t="shared" si="356"/>
        <v>#N/A</v>
      </c>
      <c r="AV353" t="e">
        <f t="shared" si="357"/>
        <v>#N/A</v>
      </c>
      <c r="AW353" t="e">
        <f t="shared" si="358"/>
        <v>#N/A</v>
      </c>
      <c r="AX353" t="e">
        <f t="shared" si="359"/>
        <v>#N/A</v>
      </c>
      <c r="AY353" t="e">
        <f t="shared" si="360"/>
        <v>#N/A</v>
      </c>
      <c r="BE353" t="e">
        <f>IF(Z353=1,IF(INDEX($C$7:$C$126,V353)&gt;=Gantt!$BF$6,NA(),MATCH(INDEX($C$7:$C$126,V353),Gantt!$J$6:$BE$6,1)),NA())</f>
        <v>#N/A</v>
      </c>
      <c r="BF353" t="e">
        <f>IF(Z353=1,IF((INDEX($D$7:$D$126,AA353)-1)&gt;=Gantt!$BF$6,NA(),IF((INDEX($D$7:$D$126,AA353)-1)&lt;Gantt!$J$6,0,MATCH((INDEX($D$7:$D$126,AA353)-1),Gantt!$J$6:$BE$6,1))),NA())</f>
        <v>#N/A</v>
      </c>
      <c r="BG353" t="e">
        <f t="shared" si="361"/>
        <v>#N/A</v>
      </c>
      <c r="BH353" t="e">
        <f t="shared" si="362"/>
        <v>#N/A</v>
      </c>
      <c r="BI353" t="e">
        <f t="shared" si="363"/>
        <v>#N/A</v>
      </c>
      <c r="BJ353" t="e">
        <f t="shared" si="364"/>
        <v>#N/A</v>
      </c>
      <c r="BK353" t="e">
        <f t="shared" si="365"/>
        <v>#N/A</v>
      </c>
      <c r="BL353" t="e">
        <f t="shared" si="366"/>
        <v>#N/A</v>
      </c>
      <c r="BM353" t="e">
        <f t="shared" si="367"/>
        <v>#N/A</v>
      </c>
      <c r="BN353" t="e">
        <f t="shared" si="368"/>
        <v>#N/A</v>
      </c>
      <c r="BO353" t="e">
        <f t="shared" si="369"/>
        <v>#N/A</v>
      </c>
      <c r="BP353" t="e">
        <f t="shared" si="370"/>
        <v>#N/A</v>
      </c>
      <c r="BQ353" t="e">
        <f t="shared" si="371"/>
        <v>#N/A</v>
      </c>
      <c r="BR353" t="e">
        <f t="shared" si="372"/>
        <v>#N/A</v>
      </c>
      <c r="BS353" t="e">
        <f t="shared" si="373"/>
        <v>#N/A</v>
      </c>
      <c r="BT353" t="e">
        <f t="shared" si="374"/>
        <v>#N/A</v>
      </c>
      <c r="BU353" t="e">
        <f t="shared" si="375"/>
        <v>#N/A</v>
      </c>
      <c r="BV353" t="e">
        <f t="shared" si="376"/>
        <v>#N/A</v>
      </c>
      <c r="BW353" t="e">
        <f t="shared" si="377"/>
        <v>#N/A</v>
      </c>
      <c r="BX353" t="e">
        <f t="shared" si="378"/>
        <v>#N/A</v>
      </c>
      <c r="BY353" t="e">
        <f t="shared" si="379"/>
        <v>#N/A</v>
      </c>
      <c r="BZ353" t="e">
        <f t="shared" si="380"/>
        <v>#N/A</v>
      </c>
      <c r="CA353" t="e">
        <f t="shared" si="381"/>
        <v>#N/A</v>
      </c>
      <c r="CB353" t="e">
        <f t="shared" si="382"/>
        <v>#N/A</v>
      </c>
      <c r="CC353" t="e">
        <f t="shared" si="383"/>
        <v>#N/A</v>
      </c>
      <c r="CD353" t="e">
        <f t="shared" si="384"/>
        <v>#N/A</v>
      </c>
      <c r="CE353" t="e">
        <f t="shared" si="385"/>
        <v>#N/A</v>
      </c>
      <c r="CF353" t="e">
        <f t="shared" si="386"/>
        <v>#N/A</v>
      </c>
      <c r="CG353" t="e">
        <f t="shared" si="387"/>
        <v>#N/A</v>
      </c>
      <c r="CI353" t="e">
        <f>AP122</f>
        <v>#N/A</v>
      </c>
      <c r="CJ353" t="e">
        <f>AQ122</f>
        <v>#N/A</v>
      </c>
      <c r="CK353">
        <f>IF(ISNUMBER(CI353),IFERROR(MAX(0,AR122-CI353),0),0)</f>
        <v>0</v>
      </c>
      <c r="CL353">
        <f>IF(ISNUMBER(CI353),IFERROR(MAX(0,CI353-AR122),0),0)</f>
        <v>0</v>
      </c>
      <c r="CM353">
        <f>IF(ISNUMBER(CJ353),IFERROR(MAX(0,AS122-CJ353),0),0)</f>
        <v>0</v>
      </c>
      <c r="CN353">
        <f>IF(ISNUMBER(CJ353),IFERROR(MAX(0,CJ353-AS122),0),0)</f>
        <v>0</v>
      </c>
      <c r="CP353" t="e">
        <f>BX122</f>
        <v>#N/A</v>
      </c>
      <c r="CQ353" t="e">
        <f>BY122</f>
        <v>#N/A</v>
      </c>
      <c r="CR353">
        <f>IF(ISNUMBER(CP353),IFERROR(MAX(0,BZ122-CP353),0),0)</f>
        <v>0</v>
      </c>
      <c r="CS353">
        <f>IF(ISNUMBER(CP353),IFERROR(MAX(0,CP353-BZ122),0),0)</f>
        <v>0</v>
      </c>
      <c r="CT353">
        <f>IF(ISNUMBER(CQ353),IFERROR(MAX(0,CA122-CQ353),0),0)</f>
        <v>0</v>
      </c>
      <c r="CU353">
        <f>IF(ISNUMBER(CQ353),IFERROR(MAX(0,CQ353-CA122),0),0)</f>
        <v>0</v>
      </c>
    </row>
    <row r="354" spans="21:99" x14ac:dyDescent="0.3">
      <c r="U354">
        <v>348</v>
      </c>
      <c r="V354">
        <f t="shared" si="332"/>
        <v>87</v>
      </c>
      <c r="W354">
        <f t="shared" si="333"/>
        <v>4</v>
      </c>
      <c r="X354">
        <f t="shared" si="334"/>
        <v>0</v>
      </c>
      <c r="Y354">
        <f>IF(X354&lt;&gt;1,9999,CHOOSE(W354,INDEX(Gantt!$BQ$7:$BQ$119,V354),INDEX(Gantt!$BR$7:$BR$119,V354),INDEX(Gantt!$BT$7:$BT$119,V354),INDEX(Gantt!$BU$7:$BU$119,V354)))</f>
        <v>9999</v>
      </c>
      <c r="Z354">
        <f t="shared" si="335"/>
        <v>0</v>
      </c>
      <c r="AA354" t="e">
        <f t="shared" si="336"/>
        <v>#N/A</v>
      </c>
      <c r="AB354" t="e">
        <f t="shared" si="337"/>
        <v>#N/A</v>
      </c>
      <c r="AC354" t="e">
        <f t="shared" si="338"/>
        <v>#N/A</v>
      </c>
      <c r="AD354" t="e">
        <f t="shared" si="339"/>
        <v>#N/A</v>
      </c>
      <c r="AE354" t="e">
        <f t="shared" si="340"/>
        <v>#N/A</v>
      </c>
      <c r="AF354" t="e">
        <f t="shared" si="341"/>
        <v>#N/A</v>
      </c>
      <c r="AG354" t="e">
        <f t="shared" si="342"/>
        <v>#N/A</v>
      </c>
      <c r="AH354" t="e">
        <f t="shared" si="343"/>
        <v>#N/A</v>
      </c>
      <c r="AI354" t="e">
        <f t="shared" si="344"/>
        <v>#N/A</v>
      </c>
      <c r="AJ354" t="e">
        <f t="shared" si="345"/>
        <v>#N/A</v>
      </c>
      <c r="AK354" t="e">
        <f t="shared" si="346"/>
        <v>#N/A</v>
      </c>
      <c r="AL354" t="e">
        <f t="shared" si="347"/>
        <v>#N/A</v>
      </c>
      <c r="AM354" t="e">
        <f t="shared" si="348"/>
        <v>#N/A</v>
      </c>
      <c r="AN354" t="e">
        <f t="shared" si="349"/>
        <v>#N/A</v>
      </c>
      <c r="AO354" t="e">
        <f t="shared" si="350"/>
        <v>#N/A</v>
      </c>
      <c r="AP354" t="e">
        <f t="shared" si="351"/>
        <v>#N/A</v>
      </c>
      <c r="AQ354" t="e">
        <f t="shared" si="352"/>
        <v>#N/A</v>
      </c>
      <c r="AR354" t="e">
        <f t="shared" si="353"/>
        <v>#N/A</v>
      </c>
      <c r="AS354" t="e">
        <f t="shared" si="354"/>
        <v>#N/A</v>
      </c>
      <c r="AT354" t="e">
        <f t="shared" si="355"/>
        <v>#N/A</v>
      </c>
      <c r="AU354" t="e">
        <f t="shared" si="356"/>
        <v>#N/A</v>
      </c>
      <c r="AV354" t="e">
        <f t="shared" si="357"/>
        <v>#N/A</v>
      </c>
      <c r="AW354" t="e">
        <f t="shared" si="358"/>
        <v>#N/A</v>
      </c>
      <c r="AX354" t="e">
        <f t="shared" si="359"/>
        <v>#N/A</v>
      </c>
      <c r="AY354" t="e">
        <f t="shared" si="360"/>
        <v>#N/A</v>
      </c>
      <c r="BE354" t="e">
        <f>IF(Z354=1,IF(INDEX($C$7:$C$126,V354)&gt;=Gantt!$BF$6,NA(),MATCH(INDEX($C$7:$C$126,V354),Gantt!$J$6:$BE$6,1)),NA())</f>
        <v>#N/A</v>
      </c>
      <c r="BF354" t="e">
        <f>IF(Z354=1,IF((INDEX($D$7:$D$126,AA354)-1)&gt;=Gantt!$BF$6,NA(),IF((INDEX($D$7:$D$126,AA354)-1)&lt;Gantt!$J$6,0,MATCH((INDEX($D$7:$D$126,AA354)-1),Gantt!$J$6:$BE$6,1))),NA())</f>
        <v>#N/A</v>
      </c>
      <c r="BG354" t="e">
        <f t="shared" si="361"/>
        <v>#N/A</v>
      </c>
      <c r="BH354" t="e">
        <f t="shared" si="362"/>
        <v>#N/A</v>
      </c>
      <c r="BI354" t="e">
        <f t="shared" si="363"/>
        <v>#N/A</v>
      </c>
      <c r="BJ354" t="e">
        <f t="shared" si="364"/>
        <v>#N/A</v>
      </c>
      <c r="BK354" t="e">
        <f t="shared" si="365"/>
        <v>#N/A</v>
      </c>
      <c r="BL354" t="e">
        <f t="shared" si="366"/>
        <v>#N/A</v>
      </c>
      <c r="BM354" t="e">
        <f t="shared" si="367"/>
        <v>#N/A</v>
      </c>
      <c r="BN354" t="e">
        <f t="shared" si="368"/>
        <v>#N/A</v>
      </c>
      <c r="BO354" t="e">
        <f t="shared" si="369"/>
        <v>#N/A</v>
      </c>
      <c r="BP354" t="e">
        <f t="shared" si="370"/>
        <v>#N/A</v>
      </c>
      <c r="BQ354" t="e">
        <f t="shared" si="371"/>
        <v>#N/A</v>
      </c>
      <c r="BR354" t="e">
        <f t="shared" si="372"/>
        <v>#N/A</v>
      </c>
      <c r="BS354" t="e">
        <f t="shared" si="373"/>
        <v>#N/A</v>
      </c>
      <c r="BT354" t="e">
        <f t="shared" si="374"/>
        <v>#N/A</v>
      </c>
      <c r="BU354" t="e">
        <f t="shared" si="375"/>
        <v>#N/A</v>
      </c>
      <c r="BV354" t="e">
        <f t="shared" si="376"/>
        <v>#N/A</v>
      </c>
      <c r="BW354" t="e">
        <f t="shared" si="377"/>
        <v>#N/A</v>
      </c>
      <c r="BX354" t="e">
        <f t="shared" si="378"/>
        <v>#N/A</v>
      </c>
      <c r="BY354" t="e">
        <f t="shared" si="379"/>
        <v>#N/A</v>
      </c>
      <c r="BZ354" t="e">
        <f t="shared" si="380"/>
        <v>#N/A</v>
      </c>
      <c r="CA354" t="e">
        <f t="shared" si="381"/>
        <v>#N/A</v>
      </c>
      <c r="CB354" t="e">
        <f t="shared" si="382"/>
        <v>#N/A</v>
      </c>
      <c r="CC354" t="e">
        <f t="shared" si="383"/>
        <v>#N/A</v>
      </c>
      <c r="CD354" t="e">
        <f t="shared" si="384"/>
        <v>#N/A</v>
      </c>
      <c r="CE354" t="e">
        <f t="shared" si="385"/>
        <v>#N/A</v>
      </c>
      <c r="CF354" t="e">
        <f t="shared" si="386"/>
        <v>#N/A</v>
      </c>
      <c r="CG354" t="e">
        <f t="shared" si="387"/>
        <v>#N/A</v>
      </c>
      <c r="CI354" t="e">
        <f>AT122</f>
        <v>#N/A</v>
      </c>
      <c r="CJ354" t="e">
        <f>AU122</f>
        <v>#N/A</v>
      </c>
      <c r="CK354">
        <f>IF(ISNUMBER(CI354),IFERROR(MAX(0,AV122-CI354),0),0)</f>
        <v>0</v>
      </c>
      <c r="CL354">
        <f>IF(ISNUMBER(CI354),IFERROR(MAX(0,CI354-AV122),0),0)</f>
        <v>0</v>
      </c>
      <c r="CM354">
        <f>IF(ISNUMBER(CJ354),IFERROR(MAX(0,AW122-CJ354),0),0)</f>
        <v>0</v>
      </c>
      <c r="CN354">
        <f>IF(ISNUMBER(CJ354),IFERROR(MAX(0,CJ354-AW122),0),0)</f>
        <v>0</v>
      </c>
      <c r="CP354" t="e">
        <f>CB122</f>
        <v>#N/A</v>
      </c>
      <c r="CQ354" t="e">
        <f>CC122</f>
        <v>#N/A</v>
      </c>
      <c r="CR354">
        <f>IF(ISNUMBER(CP354),IFERROR(MAX(0,CD122-CP354),0),0)</f>
        <v>0</v>
      </c>
      <c r="CS354">
        <f>IF(ISNUMBER(CP354),IFERROR(MAX(0,CP354-CD122),0),0)</f>
        <v>0</v>
      </c>
      <c r="CT354">
        <f>IF(ISNUMBER(CQ354),IFERROR(MAX(0,CE122-CQ354),0),0)</f>
        <v>0</v>
      </c>
      <c r="CU354">
        <f>IF(ISNUMBER(CQ354),IFERROR(MAX(0,CQ354-CE122),0),0)</f>
        <v>0</v>
      </c>
    </row>
    <row r="355" spans="21:99" x14ac:dyDescent="0.3">
      <c r="U355">
        <v>349</v>
      </c>
      <c r="V355">
        <f t="shared" si="332"/>
        <v>88</v>
      </c>
      <c r="W355">
        <f t="shared" si="333"/>
        <v>1</v>
      </c>
      <c r="X355">
        <f t="shared" si="334"/>
        <v>0</v>
      </c>
      <c r="Y355">
        <f>IF(X355&lt;&gt;1,9999,CHOOSE(W355,INDEX(Gantt!$BQ$7:$BQ$119,V355),INDEX(Gantt!$BR$7:$BR$119,V355),INDEX(Gantt!$BT$7:$BT$119,V355),INDEX(Gantt!$BU$7:$BU$119,V355)))</f>
        <v>9999</v>
      </c>
      <c r="Z355">
        <f t="shared" si="335"/>
        <v>0</v>
      </c>
      <c r="AA355" t="e">
        <f t="shared" si="336"/>
        <v>#N/A</v>
      </c>
      <c r="AB355" t="e">
        <f t="shared" si="337"/>
        <v>#N/A</v>
      </c>
      <c r="AC355" t="e">
        <f t="shared" si="338"/>
        <v>#N/A</v>
      </c>
      <c r="AD355" t="e">
        <f t="shared" si="339"/>
        <v>#N/A</v>
      </c>
      <c r="AE355" t="e">
        <f t="shared" si="340"/>
        <v>#N/A</v>
      </c>
      <c r="AF355" t="e">
        <f t="shared" si="341"/>
        <v>#N/A</v>
      </c>
      <c r="AG355" t="e">
        <f t="shared" si="342"/>
        <v>#N/A</v>
      </c>
      <c r="AH355" t="e">
        <f t="shared" si="343"/>
        <v>#N/A</v>
      </c>
      <c r="AI355" t="e">
        <f t="shared" si="344"/>
        <v>#N/A</v>
      </c>
      <c r="AJ355" t="e">
        <f t="shared" si="345"/>
        <v>#N/A</v>
      </c>
      <c r="AK355" t="e">
        <f t="shared" si="346"/>
        <v>#N/A</v>
      </c>
      <c r="AL355" t="e">
        <f t="shared" si="347"/>
        <v>#N/A</v>
      </c>
      <c r="AM355" t="e">
        <f t="shared" si="348"/>
        <v>#N/A</v>
      </c>
      <c r="AN355" t="e">
        <f t="shared" si="349"/>
        <v>#N/A</v>
      </c>
      <c r="AO355" t="e">
        <f t="shared" si="350"/>
        <v>#N/A</v>
      </c>
      <c r="AP355" t="e">
        <f t="shared" si="351"/>
        <v>#N/A</v>
      </c>
      <c r="AQ355" t="e">
        <f t="shared" si="352"/>
        <v>#N/A</v>
      </c>
      <c r="AR355" t="e">
        <f t="shared" si="353"/>
        <v>#N/A</v>
      </c>
      <c r="AS355" t="e">
        <f t="shared" si="354"/>
        <v>#N/A</v>
      </c>
      <c r="AT355" t="e">
        <f t="shared" si="355"/>
        <v>#N/A</v>
      </c>
      <c r="AU355" t="e">
        <f t="shared" si="356"/>
        <v>#N/A</v>
      </c>
      <c r="AV355" t="e">
        <f t="shared" si="357"/>
        <v>#N/A</v>
      </c>
      <c r="AW355" t="e">
        <f t="shared" si="358"/>
        <v>#N/A</v>
      </c>
      <c r="AX355" t="e">
        <f t="shared" si="359"/>
        <v>#N/A</v>
      </c>
      <c r="AY355" t="e">
        <f t="shared" si="360"/>
        <v>#N/A</v>
      </c>
      <c r="BE355" t="e">
        <f>IF(Z355=1,IF(INDEX($C$7:$C$126,V355)&gt;=Gantt!$BF$6,NA(),MATCH(INDEX($C$7:$C$126,V355),Gantt!$J$6:$BE$6,1)),NA())</f>
        <v>#N/A</v>
      </c>
      <c r="BF355" t="e">
        <f>IF(Z355=1,IF((INDEX($D$7:$D$126,AA355)-1)&gt;=Gantt!$BF$6,NA(),IF((INDEX($D$7:$D$126,AA355)-1)&lt;Gantt!$J$6,0,MATCH((INDEX($D$7:$D$126,AA355)-1),Gantt!$J$6:$BE$6,1))),NA())</f>
        <v>#N/A</v>
      </c>
      <c r="BG355" t="e">
        <f t="shared" si="361"/>
        <v>#N/A</v>
      </c>
      <c r="BH355" t="e">
        <f t="shared" si="362"/>
        <v>#N/A</v>
      </c>
      <c r="BI355" t="e">
        <f t="shared" si="363"/>
        <v>#N/A</v>
      </c>
      <c r="BJ355" t="e">
        <f t="shared" si="364"/>
        <v>#N/A</v>
      </c>
      <c r="BK355" t="e">
        <f t="shared" si="365"/>
        <v>#N/A</v>
      </c>
      <c r="BL355" t="e">
        <f t="shared" si="366"/>
        <v>#N/A</v>
      </c>
      <c r="BM355" t="e">
        <f t="shared" si="367"/>
        <v>#N/A</v>
      </c>
      <c r="BN355" t="e">
        <f t="shared" si="368"/>
        <v>#N/A</v>
      </c>
      <c r="BO355" t="e">
        <f t="shared" si="369"/>
        <v>#N/A</v>
      </c>
      <c r="BP355" t="e">
        <f t="shared" si="370"/>
        <v>#N/A</v>
      </c>
      <c r="BQ355" t="e">
        <f t="shared" si="371"/>
        <v>#N/A</v>
      </c>
      <c r="BR355" t="e">
        <f t="shared" si="372"/>
        <v>#N/A</v>
      </c>
      <c r="BS355" t="e">
        <f t="shared" si="373"/>
        <v>#N/A</v>
      </c>
      <c r="BT355" t="e">
        <f t="shared" si="374"/>
        <v>#N/A</v>
      </c>
      <c r="BU355" t="e">
        <f t="shared" si="375"/>
        <v>#N/A</v>
      </c>
      <c r="BV355" t="e">
        <f t="shared" si="376"/>
        <v>#N/A</v>
      </c>
      <c r="BW355" t="e">
        <f t="shared" si="377"/>
        <v>#N/A</v>
      </c>
      <c r="BX355" t="e">
        <f t="shared" si="378"/>
        <v>#N/A</v>
      </c>
      <c r="BY355" t="e">
        <f t="shared" si="379"/>
        <v>#N/A</v>
      </c>
      <c r="BZ355" t="e">
        <f t="shared" si="380"/>
        <v>#N/A</v>
      </c>
      <c r="CA355" t="e">
        <f t="shared" si="381"/>
        <v>#N/A</v>
      </c>
      <c r="CB355" t="e">
        <f t="shared" si="382"/>
        <v>#N/A</v>
      </c>
      <c r="CC355" t="e">
        <f t="shared" si="383"/>
        <v>#N/A</v>
      </c>
      <c r="CD355" t="e">
        <f t="shared" si="384"/>
        <v>#N/A</v>
      </c>
      <c r="CE355" t="e">
        <f t="shared" si="385"/>
        <v>#N/A</v>
      </c>
      <c r="CF355" t="e">
        <f t="shared" si="386"/>
        <v>#N/A</v>
      </c>
      <c r="CG355" t="e">
        <f t="shared" si="387"/>
        <v>#N/A</v>
      </c>
      <c r="CI355" t="e">
        <f>AL123</f>
        <v>#N/A</v>
      </c>
      <c r="CJ355" t="e">
        <f>AM123</f>
        <v>#N/A</v>
      </c>
      <c r="CK355">
        <f>IF(ISNUMBER(CI355),IFERROR(MAX(0,AN123-CI355),0),0)</f>
        <v>0</v>
      </c>
      <c r="CL355">
        <f>IF(ISNUMBER(CI355),IFERROR(MAX(0,CI355-AN123),0),0)</f>
        <v>0</v>
      </c>
      <c r="CM355">
        <f>IF(ISNUMBER(CJ355),IFERROR(MAX(0,AO123-CJ355),0),0)</f>
        <v>0</v>
      </c>
      <c r="CN355">
        <f>IF(ISNUMBER(CJ355),IFERROR(MAX(0,CJ355-AO123),0),0)</f>
        <v>0</v>
      </c>
      <c r="CP355" t="e">
        <f>BT123</f>
        <v>#N/A</v>
      </c>
      <c r="CQ355" t="e">
        <f>BU123</f>
        <v>#N/A</v>
      </c>
      <c r="CR355">
        <f>IF(ISNUMBER(CP355),IFERROR(MAX(0,BV123-CP355),0),0)</f>
        <v>0</v>
      </c>
      <c r="CS355">
        <f>IF(ISNUMBER(CP355),IFERROR(MAX(0,CP355-BV123),0),0)</f>
        <v>0</v>
      </c>
      <c r="CT355">
        <f>IF(ISNUMBER(CQ355),IFERROR(MAX(0,BW123-CQ355),0),0)</f>
        <v>0</v>
      </c>
      <c r="CU355">
        <f>IF(ISNUMBER(CQ355),IFERROR(MAX(0,CQ355-BW123),0),0)</f>
        <v>0</v>
      </c>
    </row>
    <row r="356" spans="21:99" x14ac:dyDescent="0.3">
      <c r="U356">
        <v>350</v>
      </c>
      <c r="V356">
        <f t="shared" si="332"/>
        <v>88</v>
      </c>
      <c r="W356">
        <f t="shared" si="333"/>
        <v>2</v>
      </c>
      <c r="X356">
        <f t="shared" si="334"/>
        <v>0</v>
      </c>
      <c r="Y356">
        <f>IF(X356&lt;&gt;1,9999,CHOOSE(W356,INDEX(Gantt!$BQ$7:$BQ$119,V356),INDEX(Gantt!$BR$7:$BR$119,V356),INDEX(Gantt!$BT$7:$BT$119,V356),INDEX(Gantt!$BU$7:$BU$119,V356)))</f>
        <v>9999</v>
      </c>
      <c r="Z356">
        <f t="shared" si="335"/>
        <v>0</v>
      </c>
      <c r="AA356" t="e">
        <f t="shared" si="336"/>
        <v>#N/A</v>
      </c>
      <c r="AB356" t="e">
        <f t="shared" si="337"/>
        <v>#N/A</v>
      </c>
      <c r="AC356" t="e">
        <f t="shared" si="338"/>
        <v>#N/A</v>
      </c>
      <c r="AD356" t="e">
        <f t="shared" si="339"/>
        <v>#N/A</v>
      </c>
      <c r="AE356" t="e">
        <f t="shared" si="340"/>
        <v>#N/A</v>
      </c>
      <c r="AF356" t="e">
        <f t="shared" si="341"/>
        <v>#N/A</v>
      </c>
      <c r="AG356" t="e">
        <f t="shared" si="342"/>
        <v>#N/A</v>
      </c>
      <c r="AH356" t="e">
        <f t="shared" si="343"/>
        <v>#N/A</v>
      </c>
      <c r="AI356" t="e">
        <f t="shared" si="344"/>
        <v>#N/A</v>
      </c>
      <c r="AJ356" t="e">
        <f t="shared" si="345"/>
        <v>#N/A</v>
      </c>
      <c r="AK356" t="e">
        <f t="shared" si="346"/>
        <v>#N/A</v>
      </c>
      <c r="AL356" t="e">
        <f t="shared" si="347"/>
        <v>#N/A</v>
      </c>
      <c r="AM356" t="e">
        <f t="shared" si="348"/>
        <v>#N/A</v>
      </c>
      <c r="AN356" t="e">
        <f t="shared" si="349"/>
        <v>#N/A</v>
      </c>
      <c r="AO356" t="e">
        <f t="shared" si="350"/>
        <v>#N/A</v>
      </c>
      <c r="AP356" t="e">
        <f t="shared" si="351"/>
        <v>#N/A</v>
      </c>
      <c r="AQ356" t="e">
        <f t="shared" si="352"/>
        <v>#N/A</v>
      </c>
      <c r="AR356" t="e">
        <f t="shared" si="353"/>
        <v>#N/A</v>
      </c>
      <c r="AS356" t="e">
        <f t="shared" si="354"/>
        <v>#N/A</v>
      </c>
      <c r="AT356" t="e">
        <f t="shared" si="355"/>
        <v>#N/A</v>
      </c>
      <c r="AU356" t="e">
        <f t="shared" si="356"/>
        <v>#N/A</v>
      </c>
      <c r="AV356" t="e">
        <f t="shared" si="357"/>
        <v>#N/A</v>
      </c>
      <c r="AW356" t="e">
        <f t="shared" si="358"/>
        <v>#N/A</v>
      </c>
      <c r="AX356" t="e">
        <f t="shared" si="359"/>
        <v>#N/A</v>
      </c>
      <c r="AY356" t="e">
        <f t="shared" si="360"/>
        <v>#N/A</v>
      </c>
      <c r="BE356" t="e">
        <f>IF(Z356=1,IF(INDEX($C$7:$C$126,V356)&gt;=Gantt!$BF$6,NA(),MATCH(INDEX($C$7:$C$126,V356),Gantt!$J$6:$BE$6,1)),NA())</f>
        <v>#N/A</v>
      </c>
      <c r="BF356" t="e">
        <f>IF(Z356=1,IF((INDEX($D$7:$D$126,AA356)-1)&gt;=Gantt!$BF$6,NA(),IF((INDEX($D$7:$D$126,AA356)-1)&lt;Gantt!$J$6,0,MATCH((INDEX($D$7:$D$126,AA356)-1),Gantt!$J$6:$BE$6,1))),NA())</f>
        <v>#N/A</v>
      </c>
      <c r="BG356" t="e">
        <f t="shared" si="361"/>
        <v>#N/A</v>
      </c>
      <c r="BH356" t="e">
        <f t="shared" si="362"/>
        <v>#N/A</v>
      </c>
      <c r="BI356" t="e">
        <f t="shared" si="363"/>
        <v>#N/A</v>
      </c>
      <c r="BJ356" t="e">
        <f t="shared" si="364"/>
        <v>#N/A</v>
      </c>
      <c r="BK356" t="e">
        <f t="shared" si="365"/>
        <v>#N/A</v>
      </c>
      <c r="BL356" t="e">
        <f t="shared" si="366"/>
        <v>#N/A</v>
      </c>
      <c r="BM356" t="e">
        <f t="shared" si="367"/>
        <v>#N/A</v>
      </c>
      <c r="BN356" t="e">
        <f t="shared" si="368"/>
        <v>#N/A</v>
      </c>
      <c r="BO356" t="e">
        <f t="shared" si="369"/>
        <v>#N/A</v>
      </c>
      <c r="BP356" t="e">
        <f t="shared" si="370"/>
        <v>#N/A</v>
      </c>
      <c r="BQ356" t="e">
        <f t="shared" si="371"/>
        <v>#N/A</v>
      </c>
      <c r="BR356" t="e">
        <f t="shared" si="372"/>
        <v>#N/A</v>
      </c>
      <c r="BS356" t="e">
        <f t="shared" si="373"/>
        <v>#N/A</v>
      </c>
      <c r="BT356" t="e">
        <f t="shared" si="374"/>
        <v>#N/A</v>
      </c>
      <c r="BU356" t="e">
        <f t="shared" si="375"/>
        <v>#N/A</v>
      </c>
      <c r="BV356" t="e">
        <f t="shared" si="376"/>
        <v>#N/A</v>
      </c>
      <c r="BW356" t="e">
        <f t="shared" si="377"/>
        <v>#N/A</v>
      </c>
      <c r="BX356" t="e">
        <f t="shared" si="378"/>
        <v>#N/A</v>
      </c>
      <c r="BY356" t="e">
        <f t="shared" si="379"/>
        <v>#N/A</v>
      </c>
      <c r="BZ356" t="e">
        <f t="shared" si="380"/>
        <v>#N/A</v>
      </c>
      <c r="CA356" t="e">
        <f t="shared" si="381"/>
        <v>#N/A</v>
      </c>
      <c r="CB356" t="e">
        <f t="shared" si="382"/>
        <v>#N/A</v>
      </c>
      <c r="CC356" t="e">
        <f t="shared" si="383"/>
        <v>#N/A</v>
      </c>
      <c r="CD356" t="e">
        <f t="shared" si="384"/>
        <v>#N/A</v>
      </c>
      <c r="CE356" t="e">
        <f t="shared" si="385"/>
        <v>#N/A</v>
      </c>
      <c r="CF356" t="e">
        <f t="shared" si="386"/>
        <v>#N/A</v>
      </c>
      <c r="CG356" t="e">
        <f t="shared" si="387"/>
        <v>#N/A</v>
      </c>
      <c r="CI356" t="e">
        <f>AP123</f>
        <v>#N/A</v>
      </c>
      <c r="CJ356" t="e">
        <f>AQ123</f>
        <v>#N/A</v>
      </c>
      <c r="CK356">
        <f>IF(ISNUMBER(CI356),IFERROR(MAX(0,AR123-CI356),0),0)</f>
        <v>0</v>
      </c>
      <c r="CL356">
        <f>IF(ISNUMBER(CI356),IFERROR(MAX(0,CI356-AR123),0),0)</f>
        <v>0</v>
      </c>
      <c r="CM356">
        <f>IF(ISNUMBER(CJ356),IFERROR(MAX(0,AS123-CJ356),0),0)</f>
        <v>0</v>
      </c>
      <c r="CN356">
        <f>IF(ISNUMBER(CJ356),IFERROR(MAX(0,CJ356-AS123),0),0)</f>
        <v>0</v>
      </c>
      <c r="CP356" t="e">
        <f>BX123</f>
        <v>#N/A</v>
      </c>
      <c r="CQ356" t="e">
        <f>BY123</f>
        <v>#N/A</v>
      </c>
      <c r="CR356">
        <f>IF(ISNUMBER(CP356),IFERROR(MAX(0,BZ123-CP356),0),0)</f>
        <v>0</v>
      </c>
      <c r="CS356">
        <f>IF(ISNUMBER(CP356),IFERROR(MAX(0,CP356-BZ123),0),0)</f>
        <v>0</v>
      </c>
      <c r="CT356">
        <f>IF(ISNUMBER(CQ356),IFERROR(MAX(0,CA123-CQ356),0),0)</f>
        <v>0</v>
      </c>
      <c r="CU356">
        <f>IF(ISNUMBER(CQ356),IFERROR(MAX(0,CQ356-CA123),0),0)</f>
        <v>0</v>
      </c>
    </row>
    <row r="357" spans="21:99" x14ac:dyDescent="0.3">
      <c r="U357">
        <v>351</v>
      </c>
      <c r="V357">
        <f t="shared" si="332"/>
        <v>88</v>
      </c>
      <c r="W357">
        <f t="shared" si="333"/>
        <v>3</v>
      </c>
      <c r="X357">
        <f t="shared" si="334"/>
        <v>0</v>
      </c>
      <c r="Y357">
        <f>IF(X357&lt;&gt;1,9999,CHOOSE(W357,INDEX(Gantt!$BQ$7:$BQ$119,V357),INDEX(Gantt!$BR$7:$BR$119,V357),INDEX(Gantt!$BT$7:$BT$119,V357),INDEX(Gantt!$BU$7:$BU$119,V357)))</f>
        <v>9999</v>
      </c>
      <c r="Z357">
        <f t="shared" si="335"/>
        <v>0</v>
      </c>
      <c r="AA357" t="e">
        <f t="shared" si="336"/>
        <v>#N/A</v>
      </c>
      <c r="AB357" t="e">
        <f t="shared" si="337"/>
        <v>#N/A</v>
      </c>
      <c r="AC357" t="e">
        <f t="shared" si="338"/>
        <v>#N/A</v>
      </c>
      <c r="AD357" t="e">
        <f t="shared" si="339"/>
        <v>#N/A</v>
      </c>
      <c r="AE357" t="e">
        <f t="shared" si="340"/>
        <v>#N/A</v>
      </c>
      <c r="AF357" t="e">
        <f t="shared" si="341"/>
        <v>#N/A</v>
      </c>
      <c r="AG357" t="e">
        <f t="shared" si="342"/>
        <v>#N/A</v>
      </c>
      <c r="AH357" t="e">
        <f t="shared" si="343"/>
        <v>#N/A</v>
      </c>
      <c r="AI357" t="e">
        <f t="shared" si="344"/>
        <v>#N/A</v>
      </c>
      <c r="AJ357" t="e">
        <f t="shared" si="345"/>
        <v>#N/A</v>
      </c>
      <c r="AK357" t="e">
        <f t="shared" si="346"/>
        <v>#N/A</v>
      </c>
      <c r="AL357" t="e">
        <f t="shared" si="347"/>
        <v>#N/A</v>
      </c>
      <c r="AM357" t="e">
        <f t="shared" si="348"/>
        <v>#N/A</v>
      </c>
      <c r="AN357" t="e">
        <f t="shared" si="349"/>
        <v>#N/A</v>
      </c>
      <c r="AO357" t="e">
        <f t="shared" si="350"/>
        <v>#N/A</v>
      </c>
      <c r="AP357" t="e">
        <f t="shared" si="351"/>
        <v>#N/A</v>
      </c>
      <c r="AQ357" t="e">
        <f t="shared" si="352"/>
        <v>#N/A</v>
      </c>
      <c r="AR357" t="e">
        <f t="shared" si="353"/>
        <v>#N/A</v>
      </c>
      <c r="AS357" t="e">
        <f t="shared" si="354"/>
        <v>#N/A</v>
      </c>
      <c r="AT357" t="e">
        <f t="shared" si="355"/>
        <v>#N/A</v>
      </c>
      <c r="AU357" t="e">
        <f t="shared" si="356"/>
        <v>#N/A</v>
      </c>
      <c r="AV357" t="e">
        <f t="shared" si="357"/>
        <v>#N/A</v>
      </c>
      <c r="AW357" t="e">
        <f t="shared" si="358"/>
        <v>#N/A</v>
      </c>
      <c r="AX357" t="e">
        <f t="shared" si="359"/>
        <v>#N/A</v>
      </c>
      <c r="AY357" t="e">
        <f t="shared" si="360"/>
        <v>#N/A</v>
      </c>
      <c r="BE357" t="e">
        <f>IF(Z357=1,IF(INDEX($C$7:$C$126,V357)&gt;=Gantt!$BF$6,NA(),MATCH(INDEX($C$7:$C$126,V357),Gantt!$J$6:$BE$6,1)),NA())</f>
        <v>#N/A</v>
      </c>
      <c r="BF357" t="e">
        <f>IF(Z357=1,IF((INDEX($D$7:$D$126,AA357)-1)&gt;=Gantt!$BF$6,NA(),IF((INDEX($D$7:$D$126,AA357)-1)&lt;Gantt!$J$6,0,MATCH((INDEX($D$7:$D$126,AA357)-1),Gantt!$J$6:$BE$6,1))),NA())</f>
        <v>#N/A</v>
      </c>
      <c r="BG357" t="e">
        <f t="shared" si="361"/>
        <v>#N/A</v>
      </c>
      <c r="BH357" t="e">
        <f t="shared" si="362"/>
        <v>#N/A</v>
      </c>
      <c r="BI357" t="e">
        <f t="shared" si="363"/>
        <v>#N/A</v>
      </c>
      <c r="BJ357" t="e">
        <f t="shared" si="364"/>
        <v>#N/A</v>
      </c>
      <c r="BK357" t="e">
        <f t="shared" si="365"/>
        <v>#N/A</v>
      </c>
      <c r="BL357" t="e">
        <f t="shared" si="366"/>
        <v>#N/A</v>
      </c>
      <c r="BM357" t="e">
        <f t="shared" si="367"/>
        <v>#N/A</v>
      </c>
      <c r="BN357" t="e">
        <f t="shared" si="368"/>
        <v>#N/A</v>
      </c>
      <c r="BO357" t="e">
        <f t="shared" si="369"/>
        <v>#N/A</v>
      </c>
      <c r="BP357" t="e">
        <f t="shared" si="370"/>
        <v>#N/A</v>
      </c>
      <c r="BQ357" t="e">
        <f t="shared" si="371"/>
        <v>#N/A</v>
      </c>
      <c r="BR357" t="e">
        <f t="shared" si="372"/>
        <v>#N/A</v>
      </c>
      <c r="BS357" t="e">
        <f t="shared" si="373"/>
        <v>#N/A</v>
      </c>
      <c r="BT357" t="e">
        <f t="shared" si="374"/>
        <v>#N/A</v>
      </c>
      <c r="BU357" t="e">
        <f t="shared" si="375"/>
        <v>#N/A</v>
      </c>
      <c r="BV357" t="e">
        <f t="shared" si="376"/>
        <v>#N/A</v>
      </c>
      <c r="BW357" t="e">
        <f t="shared" si="377"/>
        <v>#N/A</v>
      </c>
      <c r="BX357" t="e">
        <f t="shared" si="378"/>
        <v>#N/A</v>
      </c>
      <c r="BY357" t="e">
        <f t="shared" si="379"/>
        <v>#N/A</v>
      </c>
      <c r="BZ357" t="e">
        <f t="shared" si="380"/>
        <v>#N/A</v>
      </c>
      <c r="CA357" t="e">
        <f t="shared" si="381"/>
        <v>#N/A</v>
      </c>
      <c r="CB357" t="e">
        <f t="shared" si="382"/>
        <v>#N/A</v>
      </c>
      <c r="CC357" t="e">
        <f t="shared" si="383"/>
        <v>#N/A</v>
      </c>
      <c r="CD357" t="e">
        <f t="shared" si="384"/>
        <v>#N/A</v>
      </c>
      <c r="CE357" t="e">
        <f t="shared" si="385"/>
        <v>#N/A</v>
      </c>
      <c r="CF357" t="e">
        <f t="shared" si="386"/>
        <v>#N/A</v>
      </c>
      <c r="CG357" t="e">
        <f t="shared" si="387"/>
        <v>#N/A</v>
      </c>
      <c r="CI357" t="e">
        <f>AT123</f>
        <v>#N/A</v>
      </c>
      <c r="CJ357" t="e">
        <f>AU123</f>
        <v>#N/A</v>
      </c>
      <c r="CK357">
        <f>IF(ISNUMBER(CI357),IFERROR(MAX(0,AV123-CI357),0),0)</f>
        <v>0</v>
      </c>
      <c r="CL357">
        <f>IF(ISNUMBER(CI357),IFERROR(MAX(0,CI357-AV123),0),0)</f>
        <v>0</v>
      </c>
      <c r="CM357">
        <f>IF(ISNUMBER(CJ357),IFERROR(MAX(0,AW123-CJ357),0),0)</f>
        <v>0</v>
      </c>
      <c r="CN357">
        <f>IF(ISNUMBER(CJ357),IFERROR(MAX(0,CJ357-AW123),0),0)</f>
        <v>0</v>
      </c>
      <c r="CP357" t="e">
        <f>CB123</f>
        <v>#N/A</v>
      </c>
      <c r="CQ357" t="e">
        <f>CC123</f>
        <v>#N/A</v>
      </c>
      <c r="CR357">
        <f>IF(ISNUMBER(CP357),IFERROR(MAX(0,CD123-CP357),0),0)</f>
        <v>0</v>
      </c>
      <c r="CS357">
        <f>IF(ISNUMBER(CP357),IFERROR(MAX(0,CP357-CD123),0),0)</f>
        <v>0</v>
      </c>
      <c r="CT357">
        <f>IF(ISNUMBER(CQ357),IFERROR(MAX(0,CE123-CQ357),0),0)</f>
        <v>0</v>
      </c>
      <c r="CU357">
        <f>IF(ISNUMBER(CQ357),IFERROR(MAX(0,CQ357-CE123),0),0)</f>
        <v>0</v>
      </c>
    </row>
    <row r="358" spans="21:99" x14ac:dyDescent="0.3">
      <c r="U358">
        <v>352</v>
      </c>
      <c r="V358">
        <f t="shared" si="332"/>
        <v>88</v>
      </c>
      <c r="W358">
        <f t="shared" si="333"/>
        <v>4</v>
      </c>
      <c r="X358">
        <f t="shared" si="334"/>
        <v>0</v>
      </c>
      <c r="Y358">
        <f>IF(X358&lt;&gt;1,9999,CHOOSE(W358,INDEX(Gantt!$BQ$7:$BQ$119,V358),INDEX(Gantt!$BR$7:$BR$119,V358),INDEX(Gantt!$BT$7:$BT$119,V358),INDEX(Gantt!$BU$7:$BU$119,V358)))</f>
        <v>9999</v>
      </c>
      <c r="Z358">
        <f t="shared" si="335"/>
        <v>0</v>
      </c>
      <c r="AA358" t="e">
        <f t="shared" si="336"/>
        <v>#N/A</v>
      </c>
      <c r="AB358" t="e">
        <f t="shared" si="337"/>
        <v>#N/A</v>
      </c>
      <c r="AC358" t="e">
        <f t="shared" si="338"/>
        <v>#N/A</v>
      </c>
      <c r="AD358" t="e">
        <f t="shared" si="339"/>
        <v>#N/A</v>
      </c>
      <c r="AE358" t="e">
        <f t="shared" si="340"/>
        <v>#N/A</v>
      </c>
      <c r="AF358" t="e">
        <f t="shared" si="341"/>
        <v>#N/A</v>
      </c>
      <c r="AG358" t="e">
        <f t="shared" si="342"/>
        <v>#N/A</v>
      </c>
      <c r="AH358" t="e">
        <f t="shared" si="343"/>
        <v>#N/A</v>
      </c>
      <c r="AI358" t="e">
        <f t="shared" si="344"/>
        <v>#N/A</v>
      </c>
      <c r="AJ358" t="e">
        <f t="shared" si="345"/>
        <v>#N/A</v>
      </c>
      <c r="AK358" t="e">
        <f t="shared" si="346"/>
        <v>#N/A</v>
      </c>
      <c r="AL358" t="e">
        <f t="shared" si="347"/>
        <v>#N/A</v>
      </c>
      <c r="AM358" t="e">
        <f t="shared" si="348"/>
        <v>#N/A</v>
      </c>
      <c r="AN358" t="e">
        <f t="shared" si="349"/>
        <v>#N/A</v>
      </c>
      <c r="AO358" t="e">
        <f t="shared" si="350"/>
        <v>#N/A</v>
      </c>
      <c r="AP358" t="e">
        <f t="shared" si="351"/>
        <v>#N/A</v>
      </c>
      <c r="AQ358" t="e">
        <f t="shared" si="352"/>
        <v>#N/A</v>
      </c>
      <c r="AR358" t="e">
        <f t="shared" si="353"/>
        <v>#N/A</v>
      </c>
      <c r="AS358" t="e">
        <f t="shared" si="354"/>
        <v>#N/A</v>
      </c>
      <c r="AT358" t="e">
        <f t="shared" si="355"/>
        <v>#N/A</v>
      </c>
      <c r="AU358" t="e">
        <f t="shared" si="356"/>
        <v>#N/A</v>
      </c>
      <c r="AV358" t="e">
        <f t="shared" si="357"/>
        <v>#N/A</v>
      </c>
      <c r="AW358" t="e">
        <f t="shared" si="358"/>
        <v>#N/A</v>
      </c>
      <c r="AX358" t="e">
        <f t="shared" si="359"/>
        <v>#N/A</v>
      </c>
      <c r="AY358" t="e">
        <f t="shared" si="360"/>
        <v>#N/A</v>
      </c>
      <c r="BE358" t="e">
        <f>IF(Z358=1,IF(INDEX($C$7:$C$126,V358)&gt;=Gantt!$BF$6,NA(),MATCH(INDEX($C$7:$C$126,V358),Gantt!$J$6:$BE$6,1)),NA())</f>
        <v>#N/A</v>
      </c>
      <c r="BF358" t="e">
        <f>IF(Z358=1,IF((INDEX($D$7:$D$126,AA358)-1)&gt;=Gantt!$BF$6,NA(),IF((INDEX($D$7:$D$126,AA358)-1)&lt;Gantt!$J$6,0,MATCH((INDEX($D$7:$D$126,AA358)-1),Gantt!$J$6:$BE$6,1))),NA())</f>
        <v>#N/A</v>
      </c>
      <c r="BG358" t="e">
        <f t="shared" si="361"/>
        <v>#N/A</v>
      </c>
      <c r="BH358" t="e">
        <f t="shared" si="362"/>
        <v>#N/A</v>
      </c>
      <c r="BI358" t="e">
        <f t="shared" si="363"/>
        <v>#N/A</v>
      </c>
      <c r="BJ358" t="e">
        <f t="shared" si="364"/>
        <v>#N/A</v>
      </c>
      <c r="BK358" t="e">
        <f t="shared" si="365"/>
        <v>#N/A</v>
      </c>
      <c r="BL358" t="e">
        <f t="shared" si="366"/>
        <v>#N/A</v>
      </c>
      <c r="BM358" t="e">
        <f t="shared" si="367"/>
        <v>#N/A</v>
      </c>
      <c r="BN358" t="e">
        <f t="shared" si="368"/>
        <v>#N/A</v>
      </c>
      <c r="BO358" t="e">
        <f t="shared" si="369"/>
        <v>#N/A</v>
      </c>
      <c r="BP358" t="e">
        <f t="shared" si="370"/>
        <v>#N/A</v>
      </c>
      <c r="BQ358" t="e">
        <f t="shared" si="371"/>
        <v>#N/A</v>
      </c>
      <c r="BR358" t="e">
        <f t="shared" si="372"/>
        <v>#N/A</v>
      </c>
      <c r="BS358" t="e">
        <f t="shared" si="373"/>
        <v>#N/A</v>
      </c>
      <c r="BT358" t="e">
        <f t="shared" si="374"/>
        <v>#N/A</v>
      </c>
      <c r="BU358" t="e">
        <f t="shared" si="375"/>
        <v>#N/A</v>
      </c>
      <c r="BV358" t="e">
        <f t="shared" si="376"/>
        <v>#N/A</v>
      </c>
      <c r="BW358" t="e">
        <f t="shared" si="377"/>
        <v>#N/A</v>
      </c>
      <c r="BX358" t="e">
        <f t="shared" si="378"/>
        <v>#N/A</v>
      </c>
      <c r="BY358" t="e">
        <f t="shared" si="379"/>
        <v>#N/A</v>
      </c>
      <c r="BZ358" t="e">
        <f t="shared" si="380"/>
        <v>#N/A</v>
      </c>
      <c r="CA358" t="e">
        <f t="shared" si="381"/>
        <v>#N/A</v>
      </c>
      <c r="CB358" t="e">
        <f t="shared" si="382"/>
        <v>#N/A</v>
      </c>
      <c r="CC358" t="e">
        <f t="shared" si="383"/>
        <v>#N/A</v>
      </c>
      <c r="CD358" t="e">
        <f t="shared" si="384"/>
        <v>#N/A</v>
      </c>
      <c r="CE358" t="e">
        <f t="shared" si="385"/>
        <v>#N/A</v>
      </c>
      <c r="CF358" t="e">
        <f t="shared" si="386"/>
        <v>#N/A</v>
      </c>
      <c r="CG358" t="e">
        <f t="shared" si="387"/>
        <v>#N/A</v>
      </c>
      <c r="CI358" t="e">
        <f>AL124</f>
        <v>#N/A</v>
      </c>
      <c r="CJ358" t="e">
        <f>AM124</f>
        <v>#N/A</v>
      </c>
      <c r="CK358">
        <f>IF(ISNUMBER(CI358),IFERROR(MAX(0,AN124-CI358),0),0)</f>
        <v>0</v>
      </c>
      <c r="CL358">
        <f>IF(ISNUMBER(CI358),IFERROR(MAX(0,CI358-AN124),0),0)</f>
        <v>0</v>
      </c>
      <c r="CM358">
        <f>IF(ISNUMBER(CJ358),IFERROR(MAX(0,AO124-CJ358),0),0)</f>
        <v>0</v>
      </c>
      <c r="CN358">
        <f>IF(ISNUMBER(CJ358),IFERROR(MAX(0,CJ358-AO124),0),0)</f>
        <v>0</v>
      </c>
      <c r="CP358" t="e">
        <f>BT124</f>
        <v>#N/A</v>
      </c>
      <c r="CQ358" t="e">
        <f>BU124</f>
        <v>#N/A</v>
      </c>
      <c r="CR358">
        <f>IF(ISNUMBER(CP358),IFERROR(MAX(0,BV124-CP358),0),0)</f>
        <v>0</v>
      </c>
      <c r="CS358">
        <f>IF(ISNUMBER(CP358),IFERROR(MAX(0,CP358-BV124),0),0)</f>
        <v>0</v>
      </c>
      <c r="CT358">
        <f>IF(ISNUMBER(CQ358),IFERROR(MAX(0,BW124-CQ358),0),0)</f>
        <v>0</v>
      </c>
      <c r="CU358">
        <f>IF(ISNUMBER(CQ358),IFERROR(MAX(0,CQ358-BW124),0),0)</f>
        <v>0</v>
      </c>
    </row>
    <row r="359" spans="21:99" x14ac:dyDescent="0.3">
      <c r="U359">
        <v>353</v>
      </c>
      <c r="V359">
        <f t="shared" si="332"/>
        <v>89</v>
      </c>
      <c r="W359">
        <f t="shared" si="333"/>
        <v>1</v>
      </c>
      <c r="X359">
        <f t="shared" si="334"/>
        <v>0</v>
      </c>
      <c r="Y359">
        <f>IF(X359&lt;&gt;1,9999,CHOOSE(W359,INDEX(Gantt!$BQ$7:$BQ$119,V359),INDEX(Gantt!$BR$7:$BR$119,V359),INDEX(Gantt!$BT$7:$BT$119,V359),INDEX(Gantt!$BU$7:$BU$119,V359)))</f>
        <v>9999</v>
      </c>
      <c r="Z359">
        <f t="shared" si="335"/>
        <v>0</v>
      </c>
      <c r="AA359" t="e">
        <f t="shared" si="336"/>
        <v>#N/A</v>
      </c>
      <c r="AB359" t="e">
        <f t="shared" si="337"/>
        <v>#N/A</v>
      </c>
      <c r="AC359" t="e">
        <f t="shared" si="338"/>
        <v>#N/A</v>
      </c>
      <c r="AD359" t="e">
        <f t="shared" si="339"/>
        <v>#N/A</v>
      </c>
      <c r="AE359" t="e">
        <f t="shared" si="340"/>
        <v>#N/A</v>
      </c>
      <c r="AF359" t="e">
        <f t="shared" si="341"/>
        <v>#N/A</v>
      </c>
      <c r="AG359" t="e">
        <f t="shared" si="342"/>
        <v>#N/A</v>
      </c>
      <c r="AH359" t="e">
        <f t="shared" si="343"/>
        <v>#N/A</v>
      </c>
      <c r="AI359" t="e">
        <f t="shared" si="344"/>
        <v>#N/A</v>
      </c>
      <c r="AJ359" t="e">
        <f t="shared" si="345"/>
        <v>#N/A</v>
      </c>
      <c r="AK359" t="e">
        <f t="shared" si="346"/>
        <v>#N/A</v>
      </c>
      <c r="AL359" t="e">
        <f t="shared" si="347"/>
        <v>#N/A</v>
      </c>
      <c r="AM359" t="e">
        <f t="shared" si="348"/>
        <v>#N/A</v>
      </c>
      <c r="AN359" t="e">
        <f t="shared" si="349"/>
        <v>#N/A</v>
      </c>
      <c r="AO359" t="e">
        <f t="shared" si="350"/>
        <v>#N/A</v>
      </c>
      <c r="AP359" t="e">
        <f t="shared" si="351"/>
        <v>#N/A</v>
      </c>
      <c r="AQ359" t="e">
        <f t="shared" si="352"/>
        <v>#N/A</v>
      </c>
      <c r="AR359" t="e">
        <f t="shared" si="353"/>
        <v>#N/A</v>
      </c>
      <c r="AS359" t="e">
        <f t="shared" si="354"/>
        <v>#N/A</v>
      </c>
      <c r="AT359" t="e">
        <f t="shared" si="355"/>
        <v>#N/A</v>
      </c>
      <c r="AU359" t="e">
        <f t="shared" si="356"/>
        <v>#N/A</v>
      </c>
      <c r="AV359" t="e">
        <f t="shared" si="357"/>
        <v>#N/A</v>
      </c>
      <c r="AW359" t="e">
        <f t="shared" si="358"/>
        <v>#N/A</v>
      </c>
      <c r="AX359" t="e">
        <f t="shared" si="359"/>
        <v>#N/A</v>
      </c>
      <c r="AY359" t="e">
        <f t="shared" si="360"/>
        <v>#N/A</v>
      </c>
      <c r="BE359" t="e">
        <f>IF(Z359=1,IF(INDEX($C$7:$C$126,V359)&gt;=Gantt!$BF$6,NA(),MATCH(INDEX($C$7:$C$126,V359),Gantt!$J$6:$BE$6,1)),NA())</f>
        <v>#N/A</v>
      </c>
      <c r="BF359" t="e">
        <f>IF(Z359=1,IF((INDEX($D$7:$D$126,AA359)-1)&gt;=Gantt!$BF$6,NA(),IF((INDEX($D$7:$D$126,AA359)-1)&lt;Gantt!$J$6,0,MATCH((INDEX($D$7:$D$126,AA359)-1),Gantt!$J$6:$BE$6,1))),NA())</f>
        <v>#N/A</v>
      </c>
      <c r="BG359" t="e">
        <f t="shared" si="361"/>
        <v>#N/A</v>
      </c>
      <c r="BH359" t="e">
        <f t="shared" si="362"/>
        <v>#N/A</v>
      </c>
      <c r="BI359" t="e">
        <f t="shared" si="363"/>
        <v>#N/A</v>
      </c>
      <c r="BJ359" t="e">
        <f t="shared" si="364"/>
        <v>#N/A</v>
      </c>
      <c r="BK359" t="e">
        <f t="shared" si="365"/>
        <v>#N/A</v>
      </c>
      <c r="BL359" t="e">
        <f t="shared" si="366"/>
        <v>#N/A</v>
      </c>
      <c r="BM359" t="e">
        <f t="shared" si="367"/>
        <v>#N/A</v>
      </c>
      <c r="BN359" t="e">
        <f t="shared" si="368"/>
        <v>#N/A</v>
      </c>
      <c r="BO359" t="e">
        <f t="shared" si="369"/>
        <v>#N/A</v>
      </c>
      <c r="BP359" t="e">
        <f t="shared" si="370"/>
        <v>#N/A</v>
      </c>
      <c r="BQ359" t="e">
        <f t="shared" si="371"/>
        <v>#N/A</v>
      </c>
      <c r="BR359" t="e">
        <f t="shared" si="372"/>
        <v>#N/A</v>
      </c>
      <c r="BS359" t="e">
        <f t="shared" si="373"/>
        <v>#N/A</v>
      </c>
      <c r="BT359" t="e">
        <f t="shared" si="374"/>
        <v>#N/A</v>
      </c>
      <c r="BU359" t="e">
        <f t="shared" si="375"/>
        <v>#N/A</v>
      </c>
      <c r="BV359" t="e">
        <f t="shared" si="376"/>
        <v>#N/A</v>
      </c>
      <c r="BW359" t="e">
        <f t="shared" si="377"/>
        <v>#N/A</v>
      </c>
      <c r="BX359" t="e">
        <f t="shared" si="378"/>
        <v>#N/A</v>
      </c>
      <c r="BY359" t="e">
        <f t="shared" si="379"/>
        <v>#N/A</v>
      </c>
      <c r="BZ359" t="e">
        <f t="shared" si="380"/>
        <v>#N/A</v>
      </c>
      <c r="CA359" t="e">
        <f t="shared" si="381"/>
        <v>#N/A</v>
      </c>
      <c r="CB359" t="e">
        <f t="shared" si="382"/>
        <v>#N/A</v>
      </c>
      <c r="CC359" t="e">
        <f t="shared" si="383"/>
        <v>#N/A</v>
      </c>
      <c r="CD359" t="e">
        <f t="shared" si="384"/>
        <v>#N/A</v>
      </c>
      <c r="CE359" t="e">
        <f t="shared" si="385"/>
        <v>#N/A</v>
      </c>
      <c r="CF359" t="e">
        <f t="shared" si="386"/>
        <v>#N/A</v>
      </c>
      <c r="CG359" t="e">
        <f t="shared" si="387"/>
        <v>#N/A</v>
      </c>
      <c r="CI359" t="e">
        <f>AP124</f>
        <v>#N/A</v>
      </c>
      <c r="CJ359" t="e">
        <f>AQ124</f>
        <v>#N/A</v>
      </c>
      <c r="CK359">
        <f>IF(ISNUMBER(CI359),IFERROR(MAX(0,AR124-CI359),0),0)</f>
        <v>0</v>
      </c>
      <c r="CL359">
        <f>IF(ISNUMBER(CI359),IFERROR(MAX(0,CI359-AR124),0),0)</f>
        <v>0</v>
      </c>
      <c r="CM359">
        <f>IF(ISNUMBER(CJ359),IFERROR(MAX(0,AS124-CJ359),0),0)</f>
        <v>0</v>
      </c>
      <c r="CN359">
        <f>IF(ISNUMBER(CJ359),IFERROR(MAX(0,CJ359-AS124),0),0)</f>
        <v>0</v>
      </c>
      <c r="CP359" t="e">
        <f>BX124</f>
        <v>#N/A</v>
      </c>
      <c r="CQ359" t="e">
        <f>BY124</f>
        <v>#N/A</v>
      </c>
      <c r="CR359">
        <f>IF(ISNUMBER(CP359),IFERROR(MAX(0,BZ124-CP359),0),0)</f>
        <v>0</v>
      </c>
      <c r="CS359">
        <f>IF(ISNUMBER(CP359),IFERROR(MAX(0,CP359-BZ124),0),0)</f>
        <v>0</v>
      </c>
      <c r="CT359">
        <f>IF(ISNUMBER(CQ359),IFERROR(MAX(0,CA124-CQ359),0),0)</f>
        <v>0</v>
      </c>
      <c r="CU359">
        <f>IF(ISNUMBER(CQ359),IFERROR(MAX(0,CQ359-CA124),0),0)</f>
        <v>0</v>
      </c>
    </row>
    <row r="360" spans="21:99" x14ac:dyDescent="0.3">
      <c r="U360">
        <v>354</v>
      </c>
      <c r="V360">
        <f t="shared" si="332"/>
        <v>89</v>
      </c>
      <c r="W360">
        <f t="shared" si="333"/>
        <v>2</v>
      </c>
      <c r="X360">
        <f t="shared" si="334"/>
        <v>0</v>
      </c>
      <c r="Y360">
        <f>IF(X360&lt;&gt;1,9999,CHOOSE(W360,INDEX(Gantt!$BQ$7:$BQ$119,V360),INDEX(Gantt!$BR$7:$BR$119,V360),INDEX(Gantt!$BT$7:$BT$119,V360),INDEX(Gantt!$BU$7:$BU$119,V360)))</f>
        <v>9999</v>
      </c>
      <c r="Z360">
        <f t="shared" si="335"/>
        <v>0</v>
      </c>
      <c r="AA360" t="e">
        <f t="shared" si="336"/>
        <v>#N/A</v>
      </c>
      <c r="AB360" t="e">
        <f t="shared" si="337"/>
        <v>#N/A</v>
      </c>
      <c r="AC360" t="e">
        <f t="shared" si="338"/>
        <v>#N/A</v>
      </c>
      <c r="AD360" t="e">
        <f t="shared" si="339"/>
        <v>#N/A</v>
      </c>
      <c r="AE360" t="e">
        <f t="shared" si="340"/>
        <v>#N/A</v>
      </c>
      <c r="AF360" t="e">
        <f t="shared" si="341"/>
        <v>#N/A</v>
      </c>
      <c r="AG360" t="e">
        <f t="shared" si="342"/>
        <v>#N/A</v>
      </c>
      <c r="AH360" t="e">
        <f t="shared" si="343"/>
        <v>#N/A</v>
      </c>
      <c r="AI360" t="e">
        <f t="shared" si="344"/>
        <v>#N/A</v>
      </c>
      <c r="AJ360" t="e">
        <f t="shared" si="345"/>
        <v>#N/A</v>
      </c>
      <c r="AK360" t="e">
        <f t="shared" si="346"/>
        <v>#N/A</v>
      </c>
      <c r="AL360" t="e">
        <f t="shared" si="347"/>
        <v>#N/A</v>
      </c>
      <c r="AM360" t="e">
        <f t="shared" si="348"/>
        <v>#N/A</v>
      </c>
      <c r="AN360" t="e">
        <f t="shared" si="349"/>
        <v>#N/A</v>
      </c>
      <c r="AO360" t="e">
        <f t="shared" si="350"/>
        <v>#N/A</v>
      </c>
      <c r="AP360" t="e">
        <f t="shared" si="351"/>
        <v>#N/A</v>
      </c>
      <c r="AQ360" t="e">
        <f t="shared" si="352"/>
        <v>#N/A</v>
      </c>
      <c r="AR360" t="e">
        <f t="shared" si="353"/>
        <v>#N/A</v>
      </c>
      <c r="AS360" t="e">
        <f t="shared" si="354"/>
        <v>#N/A</v>
      </c>
      <c r="AT360" t="e">
        <f t="shared" si="355"/>
        <v>#N/A</v>
      </c>
      <c r="AU360" t="e">
        <f t="shared" si="356"/>
        <v>#N/A</v>
      </c>
      <c r="AV360" t="e">
        <f t="shared" si="357"/>
        <v>#N/A</v>
      </c>
      <c r="AW360" t="e">
        <f t="shared" si="358"/>
        <v>#N/A</v>
      </c>
      <c r="AX360" t="e">
        <f t="shared" si="359"/>
        <v>#N/A</v>
      </c>
      <c r="AY360" t="e">
        <f t="shared" si="360"/>
        <v>#N/A</v>
      </c>
      <c r="BE360" t="e">
        <f>IF(Z360=1,IF(INDEX($C$7:$C$126,V360)&gt;=Gantt!$BF$6,NA(),MATCH(INDEX($C$7:$C$126,V360),Gantt!$J$6:$BE$6,1)),NA())</f>
        <v>#N/A</v>
      </c>
      <c r="BF360" t="e">
        <f>IF(Z360=1,IF((INDEX($D$7:$D$126,AA360)-1)&gt;=Gantt!$BF$6,NA(),IF((INDEX($D$7:$D$126,AA360)-1)&lt;Gantt!$J$6,0,MATCH((INDEX($D$7:$D$126,AA360)-1),Gantt!$J$6:$BE$6,1))),NA())</f>
        <v>#N/A</v>
      </c>
      <c r="BG360" t="e">
        <f t="shared" si="361"/>
        <v>#N/A</v>
      </c>
      <c r="BH360" t="e">
        <f t="shared" si="362"/>
        <v>#N/A</v>
      </c>
      <c r="BI360" t="e">
        <f t="shared" si="363"/>
        <v>#N/A</v>
      </c>
      <c r="BJ360" t="e">
        <f t="shared" si="364"/>
        <v>#N/A</v>
      </c>
      <c r="BK360" t="e">
        <f t="shared" si="365"/>
        <v>#N/A</v>
      </c>
      <c r="BL360" t="e">
        <f t="shared" si="366"/>
        <v>#N/A</v>
      </c>
      <c r="BM360" t="e">
        <f t="shared" si="367"/>
        <v>#N/A</v>
      </c>
      <c r="BN360" t="e">
        <f t="shared" si="368"/>
        <v>#N/A</v>
      </c>
      <c r="BO360" t="e">
        <f t="shared" si="369"/>
        <v>#N/A</v>
      </c>
      <c r="BP360" t="e">
        <f t="shared" si="370"/>
        <v>#N/A</v>
      </c>
      <c r="BQ360" t="e">
        <f t="shared" si="371"/>
        <v>#N/A</v>
      </c>
      <c r="BR360" t="e">
        <f t="shared" si="372"/>
        <v>#N/A</v>
      </c>
      <c r="BS360" t="e">
        <f t="shared" si="373"/>
        <v>#N/A</v>
      </c>
      <c r="BT360" t="e">
        <f t="shared" si="374"/>
        <v>#N/A</v>
      </c>
      <c r="BU360" t="e">
        <f t="shared" si="375"/>
        <v>#N/A</v>
      </c>
      <c r="BV360" t="e">
        <f t="shared" si="376"/>
        <v>#N/A</v>
      </c>
      <c r="BW360" t="e">
        <f t="shared" si="377"/>
        <v>#N/A</v>
      </c>
      <c r="BX360" t="e">
        <f t="shared" si="378"/>
        <v>#N/A</v>
      </c>
      <c r="BY360" t="e">
        <f t="shared" si="379"/>
        <v>#N/A</v>
      </c>
      <c r="BZ360" t="e">
        <f t="shared" si="380"/>
        <v>#N/A</v>
      </c>
      <c r="CA360" t="e">
        <f t="shared" si="381"/>
        <v>#N/A</v>
      </c>
      <c r="CB360" t="e">
        <f t="shared" si="382"/>
        <v>#N/A</v>
      </c>
      <c r="CC360" t="e">
        <f t="shared" si="383"/>
        <v>#N/A</v>
      </c>
      <c r="CD360" t="e">
        <f t="shared" si="384"/>
        <v>#N/A</v>
      </c>
      <c r="CE360" t="e">
        <f t="shared" si="385"/>
        <v>#N/A</v>
      </c>
      <c r="CF360" t="e">
        <f t="shared" si="386"/>
        <v>#N/A</v>
      </c>
      <c r="CG360" t="e">
        <f t="shared" si="387"/>
        <v>#N/A</v>
      </c>
      <c r="CI360" t="e">
        <f>AT124</f>
        <v>#N/A</v>
      </c>
      <c r="CJ360" t="e">
        <f>AU124</f>
        <v>#N/A</v>
      </c>
      <c r="CK360">
        <f>IF(ISNUMBER(CI360),IFERROR(MAX(0,AV124-CI360),0),0)</f>
        <v>0</v>
      </c>
      <c r="CL360">
        <f>IF(ISNUMBER(CI360),IFERROR(MAX(0,CI360-AV124),0),0)</f>
        <v>0</v>
      </c>
      <c r="CM360">
        <f>IF(ISNUMBER(CJ360),IFERROR(MAX(0,AW124-CJ360),0),0)</f>
        <v>0</v>
      </c>
      <c r="CN360">
        <f>IF(ISNUMBER(CJ360),IFERROR(MAX(0,CJ360-AW124),0),0)</f>
        <v>0</v>
      </c>
      <c r="CP360" t="e">
        <f>CB124</f>
        <v>#N/A</v>
      </c>
      <c r="CQ360" t="e">
        <f>CC124</f>
        <v>#N/A</v>
      </c>
      <c r="CR360">
        <f>IF(ISNUMBER(CP360),IFERROR(MAX(0,CD124-CP360),0),0)</f>
        <v>0</v>
      </c>
      <c r="CS360">
        <f>IF(ISNUMBER(CP360),IFERROR(MAX(0,CP360-CD124),0),0)</f>
        <v>0</v>
      </c>
      <c r="CT360">
        <f>IF(ISNUMBER(CQ360),IFERROR(MAX(0,CE124-CQ360),0),0)</f>
        <v>0</v>
      </c>
      <c r="CU360">
        <f>IF(ISNUMBER(CQ360),IFERROR(MAX(0,CQ360-CE124),0),0)</f>
        <v>0</v>
      </c>
    </row>
    <row r="361" spans="21:99" x14ac:dyDescent="0.3">
      <c r="U361">
        <v>355</v>
      </c>
      <c r="V361">
        <f t="shared" si="332"/>
        <v>89</v>
      </c>
      <c r="W361">
        <f t="shared" si="333"/>
        <v>3</v>
      </c>
      <c r="X361">
        <f t="shared" si="334"/>
        <v>0</v>
      </c>
      <c r="Y361">
        <f>IF(X361&lt;&gt;1,9999,CHOOSE(W361,INDEX(Gantt!$BQ$7:$BQ$119,V361),INDEX(Gantt!$BR$7:$BR$119,V361),INDEX(Gantt!$BT$7:$BT$119,V361),INDEX(Gantt!$BU$7:$BU$119,V361)))</f>
        <v>9999</v>
      </c>
      <c r="Z361">
        <f t="shared" si="335"/>
        <v>0</v>
      </c>
      <c r="AA361" t="e">
        <f t="shared" si="336"/>
        <v>#N/A</v>
      </c>
      <c r="AB361" t="e">
        <f t="shared" si="337"/>
        <v>#N/A</v>
      </c>
      <c r="AC361" t="e">
        <f t="shared" si="338"/>
        <v>#N/A</v>
      </c>
      <c r="AD361" t="e">
        <f t="shared" si="339"/>
        <v>#N/A</v>
      </c>
      <c r="AE361" t="e">
        <f t="shared" si="340"/>
        <v>#N/A</v>
      </c>
      <c r="AF361" t="e">
        <f t="shared" si="341"/>
        <v>#N/A</v>
      </c>
      <c r="AG361" t="e">
        <f t="shared" si="342"/>
        <v>#N/A</v>
      </c>
      <c r="AH361" t="e">
        <f t="shared" si="343"/>
        <v>#N/A</v>
      </c>
      <c r="AI361" t="e">
        <f t="shared" si="344"/>
        <v>#N/A</v>
      </c>
      <c r="AJ361" t="e">
        <f t="shared" si="345"/>
        <v>#N/A</v>
      </c>
      <c r="AK361" t="e">
        <f t="shared" si="346"/>
        <v>#N/A</v>
      </c>
      <c r="AL361" t="e">
        <f t="shared" si="347"/>
        <v>#N/A</v>
      </c>
      <c r="AM361" t="e">
        <f t="shared" si="348"/>
        <v>#N/A</v>
      </c>
      <c r="AN361" t="e">
        <f t="shared" si="349"/>
        <v>#N/A</v>
      </c>
      <c r="AO361" t="e">
        <f t="shared" si="350"/>
        <v>#N/A</v>
      </c>
      <c r="AP361" t="e">
        <f t="shared" si="351"/>
        <v>#N/A</v>
      </c>
      <c r="AQ361" t="e">
        <f t="shared" si="352"/>
        <v>#N/A</v>
      </c>
      <c r="AR361" t="e">
        <f t="shared" si="353"/>
        <v>#N/A</v>
      </c>
      <c r="AS361" t="e">
        <f t="shared" si="354"/>
        <v>#N/A</v>
      </c>
      <c r="AT361" t="e">
        <f t="shared" si="355"/>
        <v>#N/A</v>
      </c>
      <c r="AU361" t="e">
        <f t="shared" si="356"/>
        <v>#N/A</v>
      </c>
      <c r="AV361" t="e">
        <f t="shared" si="357"/>
        <v>#N/A</v>
      </c>
      <c r="AW361" t="e">
        <f t="shared" si="358"/>
        <v>#N/A</v>
      </c>
      <c r="AX361" t="e">
        <f t="shared" si="359"/>
        <v>#N/A</v>
      </c>
      <c r="AY361" t="e">
        <f t="shared" si="360"/>
        <v>#N/A</v>
      </c>
      <c r="BE361" t="e">
        <f>IF(Z361=1,IF(INDEX($C$7:$C$126,V361)&gt;=Gantt!$BF$6,NA(),MATCH(INDEX($C$7:$C$126,V361),Gantt!$J$6:$BE$6,1)),NA())</f>
        <v>#N/A</v>
      </c>
      <c r="BF361" t="e">
        <f>IF(Z361=1,IF((INDEX($D$7:$D$126,AA361)-1)&gt;=Gantt!$BF$6,NA(),IF((INDEX($D$7:$D$126,AA361)-1)&lt;Gantt!$J$6,0,MATCH((INDEX($D$7:$D$126,AA361)-1),Gantt!$J$6:$BE$6,1))),NA())</f>
        <v>#N/A</v>
      </c>
      <c r="BG361" t="e">
        <f t="shared" si="361"/>
        <v>#N/A</v>
      </c>
      <c r="BH361" t="e">
        <f t="shared" si="362"/>
        <v>#N/A</v>
      </c>
      <c r="BI361" t="e">
        <f t="shared" si="363"/>
        <v>#N/A</v>
      </c>
      <c r="BJ361" t="e">
        <f t="shared" si="364"/>
        <v>#N/A</v>
      </c>
      <c r="BK361" t="e">
        <f t="shared" si="365"/>
        <v>#N/A</v>
      </c>
      <c r="BL361" t="e">
        <f t="shared" si="366"/>
        <v>#N/A</v>
      </c>
      <c r="BM361" t="e">
        <f t="shared" si="367"/>
        <v>#N/A</v>
      </c>
      <c r="BN361" t="e">
        <f t="shared" si="368"/>
        <v>#N/A</v>
      </c>
      <c r="BO361" t="e">
        <f t="shared" si="369"/>
        <v>#N/A</v>
      </c>
      <c r="BP361" t="e">
        <f t="shared" si="370"/>
        <v>#N/A</v>
      </c>
      <c r="BQ361" t="e">
        <f t="shared" si="371"/>
        <v>#N/A</v>
      </c>
      <c r="BR361" t="e">
        <f t="shared" si="372"/>
        <v>#N/A</v>
      </c>
      <c r="BS361" t="e">
        <f t="shared" si="373"/>
        <v>#N/A</v>
      </c>
      <c r="BT361" t="e">
        <f t="shared" si="374"/>
        <v>#N/A</v>
      </c>
      <c r="BU361" t="e">
        <f t="shared" si="375"/>
        <v>#N/A</v>
      </c>
      <c r="BV361" t="e">
        <f t="shared" si="376"/>
        <v>#N/A</v>
      </c>
      <c r="BW361" t="e">
        <f t="shared" si="377"/>
        <v>#N/A</v>
      </c>
      <c r="BX361" t="e">
        <f t="shared" si="378"/>
        <v>#N/A</v>
      </c>
      <c r="BY361" t="e">
        <f t="shared" si="379"/>
        <v>#N/A</v>
      </c>
      <c r="BZ361" t="e">
        <f t="shared" si="380"/>
        <v>#N/A</v>
      </c>
      <c r="CA361" t="e">
        <f t="shared" si="381"/>
        <v>#N/A</v>
      </c>
      <c r="CB361" t="e">
        <f t="shared" si="382"/>
        <v>#N/A</v>
      </c>
      <c r="CC361" t="e">
        <f t="shared" si="383"/>
        <v>#N/A</v>
      </c>
      <c r="CD361" t="e">
        <f t="shared" si="384"/>
        <v>#N/A</v>
      </c>
      <c r="CE361" t="e">
        <f t="shared" si="385"/>
        <v>#N/A</v>
      </c>
      <c r="CF361" t="e">
        <f t="shared" si="386"/>
        <v>#N/A</v>
      </c>
      <c r="CG361" t="e">
        <f t="shared" si="387"/>
        <v>#N/A</v>
      </c>
      <c r="CI361" t="e">
        <f>AL125</f>
        <v>#N/A</v>
      </c>
      <c r="CJ361" t="e">
        <f>AM125</f>
        <v>#N/A</v>
      </c>
      <c r="CK361">
        <f>IF(ISNUMBER(CI361),IFERROR(MAX(0,AN125-CI361),0),0)</f>
        <v>0</v>
      </c>
      <c r="CL361">
        <f>IF(ISNUMBER(CI361),IFERROR(MAX(0,CI361-AN125),0),0)</f>
        <v>0</v>
      </c>
      <c r="CM361">
        <f>IF(ISNUMBER(CJ361),IFERROR(MAX(0,AO125-CJ361),0),0)</f>
        <v>0</v>
      </c>
      <c r="CN361">
        <f>IF(ISNUMBER(CJ361),IFERROR(MAX(0,CJ361-AO125),0),0)</f>
        <v>0</v>
      </c>
      <c r="CP361" t="e">
        <f>BT125</f>
        <v>#N/A</v>
      </c>
      <c r="CQ361" t="e">
        <f>BU125</f>
        <v>#N/A</v>
      </c>
      <c r="CR361">
        <f>IF(ISNUMBER(CP361),IFERROR(MAX(0,BV125-CP361),0),0)</f>
        <v>0</v>
      </c>
      <c r="CS361">
        <f>IF(ISNUMBER(CP361),IFERROR(MAX(0,CP361-BV125),0),0)</f>
        <v>0</v>
      </c>
      <c r="CT361">
        <f>IF(ISNUMBER(CQ361),IFERROR(MAX(0,BW125-CQ361),0),0)</f>
        <v>0</v>
      </c>
      <c r="CU361">
        <f>IF(ISNUMBER(CQ361),IFERROR(MAX(0,CQ361-BW125),0),0)</f>
        <v>0</v>
      </c>
    </row>
    <row r="362" spans="21:99" x14ac:dyDescent="0.3">
      <c r="U362">
        <v>356</v>
      </c>
      <c r="V362">
        <f t="shared" si="332"/>
        <v>89</v>
      </c>
      <c r="W362">
        <f t="shared" si="333"/>
        <v>4</v>
      </c>
      <c r="X362">
        <f t="shared" si="334"/>
        <v>0</v>
      </c>
      <c r="Y362">
        <f>IF(X362&lt;&gt;1,9999,CHOOSE(W362,INDEX(Gantt!$BQ$7:$BQ$119,V362),INDEX(Gantt!$BR$7:$BR$119,V362),INDEX(Gantt!$BT$7:$BT$119,V362),INDEX(Gantt!$BU$7:$BU$119,V362)))</f>
        <v>9999</v>
      </c>
      <c r="Z362">
        <f t="shared" si="335"/>
        <v>0</v>
      </c>
      <c r="AA362" t="e">
        <f t="shared" si="336"/>
        <v>#N/A</v>
      </c>
      <c r="AB362" t="e">
        <f t="shared" si="337"/>
        <v>#N/A</v>
      </c>
      <c r="AC362" t="e">
        <f t="shared" si="338"/>
        <v>#N/A</v>
      </c>
      <c r="AD362" t="e">
        <f t="shared" si="339"/>
        <v>#N/A</v>
      </c>
      <c r="AE362" t="e">
        <f t="shared" si="340"/>
        <v>#N/A</v>
      </c>
      <c r="AF362" t="e">
        <f t="shared" si="341"/>
        <v>#N/A</v>
      </c>
      <c r="AG362" t="e">
        <f t="shared" si="342"/>
        <v>#N/A</v>
      </c>
      <c r="AH362" t="e">
        <f t="shared" si="343"/>
        <v>#N/A</v>
      </c>
      <c r="AI362" t="e">
        <f t="shared" si="344"/>
        <v>#N/A</v>
      </c>
      <c r="AJ362" t="e">
        <f t="shared" si="345"/>
        <v>#N/A</v>
      </c>
      <c r="AK362" t="e">
        <f t="shared" si="346"/>
        <v>#N/A</v>
      </c>
      <c r="AL362" t="e">
        <f t="shared" si="347"/>
        <v>#N/A</v>
      </c>
      <c r="AM362" t="e">
        <f t="shared" si="348"/>
        <v>#N/A</v>
      </c>
      <c r="AN362" t="e">
        <f t="shared" si="349"/>
        <v>#N/A</v>
      </c>
      <c r="AO362" t="e">
        <f t="shared" si="350"/>
        <v>#N/A</v>
      </c>
      <c r="AP362" t="e">
        <f t="shared" si="351"/>
        <v>#N/A</v>
      </c>
      <c r="AQ362" t="e">
        <f t="shared" si="352"/>
        <v>#N/A</v>
      </c>
      <c r="AR362" t="e">
        <f t="shared" si="353"/>
        <v>#N/A</v>
      </c>
      <c r="AS362" t="e">
        <f t="shared" si="354"/>
        <v>#N/A</v>
      </c>
      <c r="AT362" t="e">
        <f t="shared" si="355"/>
        <v>#N/A</v>
      </c>
      <c r="AU362" t="e">
        <f t="shared" si="356"/>
        <v>#N/A</v>
      </c>
      <c r="AV362" t="e">
        <f t="shared" si="357"/>
        <v>#N/A</v>
      </c>
      <c r="AW362" t="e">
        <f t="shared" si="358"/>
        <v>#N/A</v>
      </c>
      <c r="AX362" t="e">
        <f t="shared" si="359"/>
        <v>#N/A</v>
      </c>
      <c r="AY362" t="e">
        <f t="shared" si="360"/>
        <v>#N/A</v>
      </c>
      <c r="BE362" t="e">
        <f>IF(Z362=1,IF(INDEX($C$7:$C$126,V362)&gt;=Gantt!$BF$6,NA(),MATCH(INDEX($C$7:$C$126,V362),Gantt!$J$6:$BE$6,1)),NA())</f>
        <v>#N/A</v>
      </c>
      <c r="BF362" t="e">
        <f>IF(Z362=1,IF((INDEX($D$7:$D$126,AA362)-1)&gt;=Gantt!$BF$6,NA(),IF((INDEX($D$7:$D$126,AA362)-1)&lt;Gantt!$J$6,0,MATCH((INDEX($D$7:$D$126,AA362)-1),Gantt!$J$6:$BE$6,1))),NA())</f>
        <v>#N/A</v>
      </c>
      <c r="BG362" t="e">
        <f t="shared" si="361"/>
        <v>#N/A</v>
      </c>
      <c r="BH362" t="e">
        <f t="shared" si="362"/>
        <v>#N/A</v>
      </c>
      <c r="BI362" t="e">
        <f t="shared" si="363"/>
        <v>#N/A</v>
      </c>
      <c r="BJ362" t="e">
        <f t="shared" si="364"/>
        <v>#N/A</v>
      </c>
      <c r="BK362" t="e">
        <f t="shared" si="365"/>
        <v>#N/A</v>
      </c>
      <c r="BL362" t="e">
        <f t="shared" si="366"/>
        <v>#N/A</v>
      </c>
      <c r="BM362" t="e">
        <f t="shared" si="367"/>
        <v>#N/A</v>
      </c>
      <c r="BN362" t="e">
        <f t="shared" si="368"/>
        <v>#N/A</v>
      </c>
      <c r="BO362" t="e">
        <f t="shared" si="369"/>
        <v>#N/A</v>
      </c>
      <c r="BP362" t="e">
        <f t="shared" si="370"/>
        <v>#N/A</v>
      </c>
      <c r="BQ362" t="e">
        <f t="shared" si="371"/>
        <v>#N/A</v>
      </c>
      <c r="BR362" t="e">
        <f t="shared" si="372"/>
        <v>#N/A</v>
      </c>
      <c r="BS362" t="e">
        <f t="shared" si="373"/>
        <v>#N/A</v>
      </c>
      <c r="BT362" t="e">
        <f t="shared" si="374"/>
        <v>#N/A</v>
      </c>
      <c r="BU362" t="e">
        <f t="shared" si="375"/>
        <v>#N/A</v>
      </c>
      <c r="BV362" t="e">
        <f t="shared" si="376"/>
        <v>#N/A</v>
      </c>
      <c r="BW362" t="e">
        <f t="shared" si="377"/>
        <v>#N/A</v>
      </c>
      <c r="BX362" t="e">
        <f t="shared" si="378"/>
        <v>#N/A</v>
      </c>
      <c r="BY362" t="e">
        <f t="shared" si="379"/>
        <v>#N/A</v>
      </c>
      <c r="BZ362" t="e">
        <f t="shared" si="380"/>
        <v>#N/A</v>
      </c>
      <c r="CA362" t="e">
        <f t="shared" si="381"/>
        <v>#N/A</v>
      </c>
      <c r="CB362" t="e">
        <f t="shared" si="382"/>
        <v>#N/A</v>
      </c>
      <c r="CC362" t="e">
        <f t="shared" si="383"/>
        <v>#N/A</v>
      </c>
      <c r="CD362" t="e">
        <f t="shared" si="384"/>
        <v>#N/A</v>
      </c>
      <c r="CE362" t="e">
        <f t="shared" si="385"/>
        <v>#N/A</v>
      </c>
      <c r="CF362" t="e">
        <f t="shared" si="386"/>
        <v>#N/A</v>
      </c>
      <c r="CG362" t="e">
        <f t="shared" si="387"/>
        <v>#N/A</v>
      </c>
      <c r="CI362" t="e">
        <f>AP125</f>
        <v>#N/A</v>
      </c>
      <c r="CJ362" t="e">
        <f>AQ125</f>
        <v>#N/A</v>
      </c>
      <c r="CK362">
        <f>IF(ISNUMBER(CI362),IFERROR(MAX(0,AR125-CI362),0),0)</f>
        <v>0</v>
      </c>
      <c r="CL362">
        <f>IF(ISNUMBER(CI362),IFERROR(MAX(0,CI362-AR125),0),0)</f>
        <v>0</v>
      </c>
      <c r="CM362">
        <f>IF(ISNUMBER(CJ362),IFERROR(MAX(0,AS125-CJ362),0),0)</f>
        <v>0</v>
      </c>
      <c r="CN362">
        <f>IF(ISNUMBER(CJ362),IFERROR(MAX(0,CJ362-AS125),0),0)</f>
        <v>0</v>
      </c>
      <c r="CP362" t="e">
        <f>BX125</f>
        <v>#N/A</v>
      </c>
      <c r="CQ362" t="e">
        <f>BY125</f>
        <v>#N/A</v>
      </c>
      <c r="CR362">
        <f>IF(ISNUMBER(CP362),IFERROR(MAX(0,BZ125-CP362),0),0)</f>
        <v>0</v>
      </c>
      <c r="CS362">
        <f>IF(ISNUMBER(CP362),IFERROR(MAX(0,CP362-BZ125),0),0)</f>
        <v>0</v>
      </c>
      <c r="CT362">
        <f>IF(ISNUMBER(CQ362),IFERROR(MAX(0,CA125-CQ362),0),0)</f>
        <v>0</v>
      </c>
      <c r="CU362">
        <f>IF(ISNUMBER(CQ362),IFERROR(MAX(0,CQ362-CA125),0),0)</f>
        <v>0</v>
      </c>
    </row>
    <row r="363" spans="21:99" x14ac:dyDescent="0.3">
      <c r="U363">
        <v>357</v>
      </c>
      <c r="V363">
        <f t="shared" si="332"/>
        <v>90</v>
      </c>
      <c r="W363">
        <f t="shared" si="333"/>
        <v>1</v>
      </c>
      <c r="X363">
        <f t="shared" si="334"/>
        <v>0</v>
      </c>
      <c r="Y363">
        <f>IF(X363&lt;&gt;1,9999,CHOOSE(W363,INDEX(Gantt!$BQ$7:$BQ$119,V363),INDEX(Gantt!$BR$7:$BR$119,V363),INDEX(Gantt!$BT$7:$BT$119,V363),INDEX(Gantt!$BU$7:$BU$119,V363)))</f>
        <v>9999</v>
      </c>
      <c r="Z363">
        <f t="shared" si="335"/>
        <v>0</v>
      </c>
      <c r="AA363" t="e">
        <f t="shared" si="336"/>
        <v>#N/A</v>
      </c>
      <c r="AB363" t="e">
        <f t="shared" si="337"/>
        <v>#N/A</v>
      </c>
      <c r="AC363" t="e">
        <f t="shared" si="338"/>
        <v>#N/A</v>
      </c>
      <c r="AD363" t="e">
        <f t="shared" si="339"/>
        <v>#N/A</v>
      </c>
      <c r="AE363" t="e">
        <f t="shared" si="340"/>
        <v>#N/A</v>
      </c>
      <c r="AF363" t="e">
        <f t="shared" si="341"/>
        <v>#N/A</v>
      </c>
      <c r="AG363" t="e">
        <f t="shared" si="342"/>
        <v>#N/A</v>
      </c>
      <c r="AH363" t="e">
        <f t="shared" si="343"/>
        <v>#N/A</v>
      </c>
      <c r="AI363" t="e">
        <f t="shared" si="344"/>
        <v>#N/A</v>
      </c>
      <c r="AJ363" t="e">
        <f t="shared" si="345"/>
        <v>#N/A</v>
      </c>
      <c r="AK363" t="e">
        <f t="shared" si="346"/>
        <v>#N/A</v>
      </c>
      <c r="AL363" t="e">
        <f t="shared" si="347"/>
        <v>#N/A</v>
      </c>
      <c r="AM363" t="e">
        <f t="shared" si="348"/>
        <v>#N/A</v>
      </c>
      <c r="AN363" t="e">
        <f t="shared" si="349"/>
        <v>#N/A</v>
      </c>
      <c r="AO363" t="e">
        <f t="shared" si="350"/>
        <v>#N/A</v>
      </c>
      <c r="AP363" t="e">
        <f t="shared" si="351"/>
        <v>#N/A</v>
      </c>
      <c r="AQ363" t="e">
        <f t="shared" si="352"/>
        <v>#N/A</v>
      </c>
      <c r="AR363" t="e">
        <f t="shared" si="353"/>
        <v>#N/A</v>
      </c>
      <c r="AS363" t="e">
        <f t="shared" si="354"/>
        <v>#N/A</v>
      </c>
      <c r="AT363" t="e">
        <f t="shared" si="355"/>
        <v>#N/A</v>
      </c>
      <c r="AU363" t="e">
        <f t="shared" si="356"/>
        <v>#N/A</v>
      </c>
      <c r="AV363" t="e">
        <f t="shared" si="357"/>
        <v>#N/A</v>
      </c>
      <c r="AW363" t="e">
        <f t="shared" si="358"/>
        <v>#N/A</v>
      </c>
      <c r="AX363" t="e">
        <f t="shared" si="359"/>
        <v>#N/A</v>
      </c>
      <c r="AY363" t="e">
        <f t="shared" si="360"/>
        <v>#N/A</v>
      </c>
      <c r="BE363" t="e">
        <f>IF(Z363=1,IF(INDEX($C$7:$C$126,V363)&gt;=Gantt!$BF$6,NA(),MATCH(INDEX($C$7:$C$126,V363),Gantt!$J$6:$BE$6,1)),NA())</f>
        <v>#N/A</v>
      </c>
      <c r="BF363" t="e">
        <f>IF(Z363=1,IF((INDEX($D$7:$D$126,AA363)-1)&gt;=Gantt!$BF$6,NA(),IF((INDEX($D$7:$D$126,AA363)-1)&lt;Gantt!$J$6,0,MATCH((INDEX($D$7:$D$126,AA363)-1),Gantt!$J$6:$BE$6,1))),NA())</f>
        <v>#N/A</v>
      </c>
      <c r="BG363" t="e">
        <f t="shared" si="361"/>
        <v>#N/A</v>
      </c>
      <c r="BH363" t="e">
        <f t="shared" si="362"/>
        <v>#N/A</v>
      </c>
      <c r="BI363" t="e">
        <f t="shared" si="363"/>
        <v>#N/A</v>
      </c>
      <c r="BJ363" t="e">
        <f t="shared" si="364"/>
        <v>#N/A</v>
      </c>
      <c r="BK363" t="e">
        <f t="shared" si="365"/>
        <v>#N/A</v>
      </c>
      <c r="BL363" t="e">
        <f t="shared" si="366"/>
        <v>#N/A</v>
      </c>
      <c r="BM363" t="e">
        <f t="shared" si="367"/>
        <v>#N/A</v>
      </c>
      <c r="BN363" t="e">
        <f t="shared" si="368"/>
        <v>#N/A</v>
      </c>
      <c r="BO363" t="e">
        <f t="shared" si="369"/>
        <v>#N/A</v>
      </c>
      <c r="BP363" t="e">
        <f t="shared" si="370"/>
        <v>#N/A</v>
      </c>
      <c r="BQ363" t="e">
        <f t="shared" si="371"/>
        <v>#N/A</v>
      </c>
      <c r="BR363" t="e">
        <f t="shared" si="372"/>
        <v>#N/A</v>
      </c>
      <c r="BS363" t="e">
        <f t="shared" si="373"/>
        <v>#N/A</v>
      </c>
      <c r="BT363" t="e">
        <f t="shared" si="374"/>
        <v>#N/A</v>
      </c>
      <c r="BU363" t="e">
        <f t="shared" si="375"/>
        <v>#N/A</v>
      </c>
      <c r="BV363" t="e">
        <f t="shared" si="376"/>
        <v>#N/A</v>
      </c>
      <c r="BW363" t="e">
        <f t="shared" si="377"/>
        <v>#N/A</v>
      </c>
      <c r="BX363" t="e">
        <f t="shared" si="378"/>
        <v>#N/A</v>
      </c>
      <c r="BY363" t="e">
        <f t="shared" si="379"/>
        <v>#N/A</v>
      </c>
      <c r="BZ363" t="e">
        <f t="shared" si="380"/>
        <v>#N/A</v>
      </c>
      <c r="CA363" t="e">
        <f t="shared" si="381"/>
        <v>#N/A</v>
      </c>
      <c r="CB363" t="e">
        <f t="shared" si="382"/>
        <v>#N/A</v>
      </c>
      <c r="CC363" t="e">
        <f t="shared" si="383"/>
        <v>#N/A</v>
      </c>
      <c r="CD363" t="e">
        <f t="shared" si="384"/>
        <v>#N/A</v>
      </c>
      <c r="CE363" t="e">
        <f t="shared" si="385"/>
        <v>#N/A</v>
      </c>
      <c r="CF363" t="e">
        <f t="shared" si="386"/>
        <v>#N/A</v>
      </c>
      <c r="CG363" t="e">
        <f t="shared" si="387"/>
        <v>#N/A</v>
      </c>
      <c r="CI363" t="e">
        <f>AT125</f>
        <v>#N/A</v>
      </c>
      <c r="CJ363" t="e">
        <f>AU125</f>
        <v>#N/A</v>
      </c>
      <c r="CK363">
        <f>IF(ISNUMBER(CI363),IFERROR(MAX(0,AV125-CI363),0),0)</f>
        <v>0</v>
      </c>
      <c r="CL363">
        <f>IF(ISNUMBER(CI363),IFERROR(MAX(0,CI363-AV125),0),0)</f>
        <v>0</v>
      </c>
      <c r="CM363">
        <f>IF(ISNUMBER(CJ363),IFERROR(MAX(0,AW125-CJ363),0),0)</f>
        <v>0</v>
      </c>
      <c r="CN363">
        <f>IF(ISNUMBER(CJ363),IFERROR(MAX(0,CJ363-AW125),0),0)</f>
        <v>0</v>
      </c>
      <c r="CP363" t="e">
        <f>CB125</f>
        <v>#N/A</v>
      </c>
      <c r="CQ363" t="e">
        <f>CC125</f>
        <v>#N/A</v>
      </c>
      <c r="CR363">
        <f>IF(ISNUMBER(CP363),IFERROR(MAX(0,CD125-CP363),0),0)</f>
        <v>0</v>
      </c>
      <c r="CS363">
        <f>IF(ISNUMBER(CP363),IFERROR(MAX(0,CP363-CD125),0),0)</f>
        <v>0</v>
      </c>
      <c r="CT363">
        <f>IF(ISNUMBER(CQ363),IFERROR(MAX(0,CE125-CQ363),0),0)</f>
        <v>0</v>
      </c>
      <c r="CU363">
        <f>IF(ISNUMBER(CQ363),IFERROR(MAX(0,CQ363-CE125),0),0)</f>
        <v>0</v>
      </c>
    </row>
    <row r="364" spans="21:99" x14ac:dyDescent="0.3">
      <c r="U364">
        <v>358</v>
      </c>
      <c r="V364">
        <f t="shared" si="332"/>
        <v>90</v>
      </c>
      <c r="W364">
        <f t="shared" si="333"/>
        <v>2</v>
      </c>
      <c r="X364">
        <f t="shared" si="334"/>
        <v>0</v>
      </c>
      <c r="Y364">
        <f>IF(X364&lt;&gt;1,9999,CHOOSE(W364,INDEX(Gantt!$BQ$7:$BQ$119,V364),INDEX(Gantt!$BR$7:$BR$119,V364),INDEX(Gantt!$BT$7:$BT$119,V364),INDEX(Gantt!$BU$7:$BU$119,V364)))</f>
        <v>9999</v>
      </c>
      <c r="Z364">
        <f t="shared" si="335"/>
        <v>0</v>
      </c>
      <c r="AA364" t="e">
        <f t="shared" si="336"/>
        <v>#N/A</v>
      </c>
      <c r="AB364" t="e">
        <f t="shared" si="337"/>
        <v>#N/A</v>
      </c>
      <c r="AC364" t="e">
        <f t="shared" si="338"/>
        <v>#N/A</v>
      </c>
      <c r="AD364" t="e">
        <f t="shared" si="339"/>
        <v>#N/A</v>
      </c>
      <c r="AE364" t="e">
        <f t="shared" si="340"/>
        <v>#N/A</v>
      </c>
      <c r="AF364" t="e">
        <f t="shared" si="341"/>
        <v>#N/A</v>
      </c>
      <c r="AG364" t="e">
        <f t="shared" si="342"/>
        <v>#N/A</v>
      </c>
      <c r="AH364" t="e">
        <f t="shared" si="343"/>
        <v>#N/A</v>
      </c>
      <c r="AI364" t="e">
        <f t="shared" si="344"/>
        <v>#N/A</v>
      </c>
      <c r="AJ364" t="e">
        <f t="shared" si="345"/>
        <v>#N/A</v>
      </c>
      <c r="AK364" t="e">
        <f t="shared" si="346"/>
        <v>#N/A</v>
      </c>
      <c r="AL364" t="e">
        <f t="shared" si="347"/>
        <v>#N/A</v>
      </c>
      <c r="AM364" t="e">
        <f t="shared" si="348"/>
        <v>#N/A</v>
      </c>
      <c r="AN364" t="e">
        <f t="shared" si="349"/>
        <v>#N/A</v>
      </c>
      <c r="AO364" t="e">
        <f t="shared" si="350"/>
        <v>#N/A</v>
      </c>
      <c r="AP364" t="e">
        <f t="shared" si="351"/>
        <v>#N/A</v>
      </c>
      <c r="AQ364" t="e">
        <f t="shared" si="352"/>
        <v>#N/A</v>
      </c>
      <c r="AR364" t="e">
        <f t="shared" si="353"/>
        <v>#N/A</v>
      </c>
      <c r="AS364" t="e">
        <f t="shared" si="354"/>
        <v>#N/A</v>
      </c>
      <c r="AT364" t="e">
        <f t="shared" si="355"/>
        <v>#N/A</v>
      </c>
      <c r="AU364" t="e">
        <f t="shared" si="356"/>
        <v>#N/A</v>
      </c>
      <c r="AV364" t="e">
        <f t="shared" si="357"/>
        <v>#N/A</v>
      </c>
      <c r="AW364" t="e">
        <f t="shared" si="358"/>
        <v>#N/A</v>
      </c>
      <c r="AX364" t="e">
        <f t="shared" si="359"/>
        <v>#N/A</v>
      </c>
      <c r="AY364" t="e">
        <f t="shared" si="360"/>
        <v>#N/A</v>
      </c>
      <c r="BE364" t="e">
        <f>IF(Z364=1,IF(INDEX($C$7:$C$126,V364)&gt;=Gantt!$BF$6,NA(),MATCH(INDEX($C$7:$C$126,V364),Gantt!$J$6:$BE$6,1)),NA())</f>
        <v>#N/A</v>
      </c>
      <c r="BF364" t="e">
        <f>IF(Z364=1,IF((INDEX($D$7:$D$126,AA364)-1)&gt;=Gantt!$BF$6,NA(),IF((INDEX($D$7:$D$126,AA364)-1)&lt;Gantt!$J$6,0,MATCH((INDEX($D$7:$D$126,AA364)-1),Gantt!$J$6:$BE$6,1))),NA())</f>
        <v>#N/A</v>
      </c>
      <c r="BG364" t="e">
        <f t="shared" si="361"/>
        <v>#N/A</v>
      </c>
      <c r="BH364" t="e">
        <f t="shared" si="362"/>
        <v>#N/A</v>
      </c>
      <c r="BI364" t="e">
        <f t="shared" si="363"/>
        <v>#N/A</v>
      </c>
      <c r="BJ364" t="e">
        <f t="shared" si="364"/>
        <v>#N/A</v>
      </c>
      <c r="BK364" t="e">
        <f t="shared" si="365"/>
        <v>#N/A</v>
      </c>
      <c r="BL364" t="e">
        <f t="shared" si="366"/>
        <v>#N/A</v>
      </c>
      <c r="BM364" t="e">
        <f t="shared" si="367"/>
        <v>#N/A</v>
      </c>
      <c r="BN364" t="e">
        <f t="shared" si="368"/>
        <v>#N/A</v>
      </c>
      <c r="BO364" t="e">
        <f t="shared" si="369"/>
        <v>#N/A</v>
      </c>
      <c r="BP364" t="e">
        <f t="shared" si="370"/>
        <v>#N/A</v>
      </c>
      <c r="BQ364" t="e">
        <f t="shared" si="371"/>
        <v>#N/A</v>
      </c>
      <c r="BR364" t="e">
        <f t="shared" si="372"/>
        <v>#N/A</v>
      </c>
      <c r="BS364" t="e">
        <f t="shared" si="373"/>
        <v>#N/A</v>
      </c>
      <c r="BT364" t="e">
        <f t="shared" si="374"/>
        <v>#N/A</v>
      </c>
      <c r="BU364" t="e">
        <f t="shared" si="375"/>
        <v>#N/A</v>
      </c>
      <c r="BV364" t="e">
        <f t="shared" si="376"/>
        <v>#N/A</v>
      </c>
      <c r="BW364" t="e">
        <f t="shared" si="377"/>
        <v>#N/A</v>
      </c>
      <c r="BX364" t="e">
        <f t="shared" si="378"/>
        <v>#N/A</v>
      </c>
      <c r="BY364" t="e">
        <f t="shared" si="379"/>
        <v>#N/A</v>
      </c>
      <c r="BZ364" t="e">
        <f t="shared" si="380"/>
        <v>#N/A</v>
      </c>
      <c r="CA364" t="e">
        <f t="shared" si="381"/>
        <v>#N/A</v>
      </c>
      <c r="CB364" t="e">
        <f t="shared" si="382"/>
        <v>#N/A</v>
      </c>
      <c r="CC364" t="e">
        <f t="shared" si="383"/>
        <v>#N/A</v>
      </c>
      <c r="CD364" t="e">
        <f t="shared" si="384"/>
        <v>#N/A</v>
      </c>
      <c r="CE364" t="e">
        <f t="shared" si="385"/>
        <v>#N/A</v>
      </c>
      <c r="CF364" t="e">
        <f t="shared" si="386"/>
        <v>#N/A</v>
      </c>
      <c r="CG364" t="e">
        <f t="shared" si="387"/>
        <v>#N/A</v>
      </c>
      <c r="CI364" t="e">
        <f>AL126</f>
        <v>#N/A</v>
      </c>
      <c r="CJ364" t="e">
        <f>AM126</f>
        <v>#N/A</v>
      </c>
      <c r="CK364">
        <f>IF(ISNUMBER(CI364),IFERROR(MAX(0,AN126-CI364),0),0)</f>
        <v>0</v>
      </c>
      <c r="CL364">
        <f>IF(ISNUMBER(CI364),IFERROR(MAX(0,CI364-AN126),0),0)</f>
        <v>0</v>
      </c>
      <c r="CM364">
        <f>IF(ISNUMBER(CJ364),IFERROR(MAX(0,AO126-CJ364),0),0)</f>
        <v>0</v>
      </c>
      <c r="CN364">
        <f>IF(ISNUMBER(CJ364),IFERROR(MAX(0,CJ364-AO126),0),0)</f>
        <v>0</v>
      </c>
      <c r="CP364" t="e">
        <f>BT126</f>
        <v>#N/A</v>
      </c>
      <c r="CQ364" t="e">
        <f>BU126</f>
        <v>#N/A</v>
      </c>
      <c r="CR364">
        <f>IF(ISNUMBER(CP364),IFERROR(MAX(0,BV126-CP364),0),0)</f>
        <v>0</v>
      </c>
      <c r="CS364">
        <f>IF(ISNUMBER(CP364),IFERROR(MAX(0,CP364-BV126),0),0)</f>
        <v>0</v>
      </c>
      <c r="CT364">
        <f>IF(ISNUMBER(CQ364),IFERROR(MAX(0,BW126-CQ364),0),0)</f>
        <v>0</v>
      </c>
      <c r="CU364">
        <f>IF(ISNUMBER(CQ364),IFERROR(MAX(0,CQ364-BW126),0),0)</f>
        <v>0</v>
      </c>
    </row>
    <row r="365" spans="21:99" x14ac:dyDescent="0.3">
      <c r="U365">
        <v>359</v>
      </c>
      <c r="V365">
        <f t="shared" si="332"/>
        <v>90</v>
      </c>
      <c r="W365">
        <f t="shared" si="333"/>
        <v>3</v>
      </c>
      <c r="X365">
        <f t="shared" si="334"/>
        <v>0</v>
      </c>
      <c r="Y365">
        <f>IF(X365&lt;&gt;1,9999,CHOOSE(W365,INDEX(Gantt!$BQ$7:$BQ$119,V365),INDEX(Gantt!$BR$7:$BR$119,V365),INDEX(Gantt!$BT$7:$BT$119,V365),INDEX(Gantt!$BU$7:$BU$119,V365)))</f>
        <v>9999</v>
      </c>
      <c r="Z365">
        <f t="shared" si="335"/>
        <v>0</v>
      </c>
      <c r="AA365" t="e">
        <f t="shared" si="336"/>
        <v>#N/A</v>
      </c>
      <c r="AB365" t="e">
        <f t="shared" si="337"/>
        <v>#N/A</v>
      </c>
      <c r="AC365" t="e">
        <f t="shared" si="338"/>
        <v>#N/A</v>
      </c>
      <c r="AD365" t="e">
        <f t="shared" si="339"/>
        <v>#N/A</v>
      </c>
      <c r="AE365" t="e">
        <f t="shared" si="340"/>
        <v>#N/A</v>
      </c>
      <c r="AF365" t="e">
        <f t="shared" si="341"/>
        <v>#N/A</v>
      </c>
      <c r="AG365" t="e">
        <f t="shared" si="342"/>
        <v>#N/A</v>
      </c>
      <c r="AH365" t="e">
        <f t="shared" si="343"/>
        <v>#N/A</v>
      </c>
      <c r="AI365" t="e">
        <f t="shared" si="344"/>
        <v>#N/A</v>
      </c>
      <c r="AJ365" t="e">
        <f t="shared" si="345"/>
        <v>#N/A</v>
      </c>
      <c r="AK365" t="e">
        <f t="shared" si="346"/>
        <v>#N/A</v>
      </c>
      <c r="AL365" t="e">
        <f t="shared" si="347"/>
        <v>#N/A</v>
      </c>
      <c r="AM365" t="e">
        <f t="shared" si="348"/>
        <v>#N/A</v>
      </c>
      <c r="AN365" t="e">
        <f t="shared" si="349"/>
        <v>#N/A</v>
      </c>
      <c r="AO365" t="e">
        <f t="shared" si="350"/>
        <v>#N/A</v>
      </c>
      <c r="AP365" t="e">
        <f t="shared" si="351"/>
        <v>#N/A</v>
      </c>
      <c r="AQ365" t="e">
        <f t="shared" si="352"/>
        <v>#N/A</v>
      </c>
      <c r="AR365" t="e">
        <f t="shared" si="353"/>
        <v>#N/A</v>
      </c>
      <c r="AS365" t="e">
        <f t="shared" si="354"/>
        <v>#N/A</v>
      </c>
      <c r="AT365" t="e">
        <f t="shared" si="355"/>
        <v>#N/A</v>
      </c>
      <c r="AU365" t="e">
        <f t="shared" si="356"/>
        <v>#N/A</v>
      </c>
      <c r="AV365" t="e">
        <f t="shared" si="357"/>
        <v>#N/A</v>
      </c>
      <c r="AW365" t="e">
        <f t="shared" si="358"/>
        <v>#N/A</v>
      </c>
      <c r="AX365" t="e">
        <f t="shared" si="359"/>
        <v>#N/A</v>
      </c>
      <c r="AY365" t="e">
        <f t="shared" si="360"/>
        <v>#N/A</v>
      </c>
      <c r="BE365" t="e">
        <f>IF(Z365=1,IF(INDEX($C$7:$C$126,V365)&gt;=Gantt!$BF$6,NA(),MATCH(INDEX($C$7:$C$126,V365),Gantt!$J$6:$BE$6,1)),NA())</f>
        <v>#N/A</v>
      </c>
      <c r="BF365" t="e">
        <f>IF(Z365=1,IF((INDEX($D$7:$D$126,AA365)-1)&gt;=Gantt!$BF$6,NA(),IF((INDEX($D$7:$D$126,AA365)-1)&lt;Gantt!$J$6,0,MATCH((INDEX($D$7:$D$126,AA365)-1),Gantt!$J$6:$BE$6,1))),NA())</f>
        <v>#N/A</v>
      </c>
      <c r="BG365" t="e">
        <f t="shared" si="361"/>
        <v>#N/A</v>
      </c>
      <c r="BH365" t="e">
        <f t="shared" si="362"/>
        <v>#N/A</v>
      </c>
      <c r="BI365" t="e">
        <f t="shared" si="363"/>
        <v>#N/A</v>
      </c>
      <c r="BJ365" t="e">
        <f t="shared" si="364"/>
        <v>#N/A</v>
      </c>
      <c r="BK365" t="e">
        <f t="shared" si="365"/>
        <v>#N/A</v>
      </c>
      <c r="BL365" t="e">
        <f t="shared" si="366"/>
        <v>#N/A</v>
      </c>
      <c r="BM365" t="e">
        <f t="shared" si="367"/>
        <v>#N/A</v>
      </c>
      <c r="BN365" t="e">
        <f t="shared" si="368"/>
        <v>#N/A</v>
      </c>
      <c r="BO365" t="e">
        <f t="shared" si="369"/>
        <v>#N/A</v>
      </c>
      <c r="BP365" t="e">
        <f t="shared" si="370"/>
        <v>#N/A</v>
      </c>
      <c r="BQ365" t="e">
        <f t="shared" si="371"/>
        <v>#N/A</v>
      </c>
      <c r="BR365" t="e">
        <f t="shared" si="372"/>
        <v>#N/A</v>
      </c>
      <c r="BS365" t="e">
        <f t="shared" si="373"/>
        <v>#N/A</v>
      </c>
      <c r="BT365" t="e">
        <f t="shared" si="374"/>
        <v>#N/A</v>
      </c>
      <c r="BU365" t="e">
        <f t="shared" si="375"/>
        <v>#N/A</v>
      </c>
      <c r="BV365" t="e">
        <f t="shared" si="376"/>
        <v>#N/A</v>
      </c>
      <c r="BW365" t="e">
        <f t="shared" si="377"/>
        <v>#N/A</v>
      </c>
      <c r="BX365" t="e">
        <f t="shared" si="378"/>
        <v>#N/A</v>
      </c>
      <c r="BY365" t="e">
        <f t="shared" si="379"/>
        <v>#N/A</v>
      </c>
      <c r="BZ365" t="e">
        <f t="shared" si="380"/>
        <v>#N/A</v>
      </c>
      <c r="CA365" t="e">
        <f t="shared" si="381"/>
        <v>#N/A</v>
      </c>
      <c r="CB365" t="e">
        <f t="shared" si="382"/>
        <v>#N/A</v>
      </c>
      <c r="CC365" t="e">
        <f t="shared" si="383"/>
        <v>#N/A</v>
      </c>
      <c r="CD365" t="e">
        <f t="shared" si="384"/>
        <v>#N/A</v>
      </c>
      <c r="CE365" t="e">
        <f t="shared" si="385"/>
        <v>#N/A</v>
      </c>
      <c r="CF365" t="e">
        <f t="shared" si="386"/>
        <v>#N/A</v>
      </c>
      <c r="CG365" t="e">
        <f t="shared" si="387"/>
        <v>#N/A</v>
      </c>
      <c r="CI365" t="e">
        <f>AP126</f>
        <v>#N/A</v>
      </c>
      <c r="CJ365" t="e">
        <f>AQ126</f>
        <v>#N/A</v>
      </c>
      <c r="CK365">
        <f>IF(ISNUMBER(CI365),IFERROR(MAX(0,AR126-CI365),0),0)</f>
        <v>0</v>
      </c>
      <c r="CL365">
        <f>IF(ISNUMBER(CI365),IFERROR(MAX(0,CI365-AR126),0),0)</f>
        <v>0</v>
      </c>
      <c r="CM365">
        <f>IF(ISNUMBER(CJ365),IFERROR(MAX(0,AS126-CJ365),0),0)</f>
        <v>0</v>
      </c>
      <c r="CN365">
        <f>IF(ISNUMBER(CJ365),IFERROR(MAX(0,CJ365-AS126),0),0)</f>
        <v>0</v>
      </c>
      <c r="CP365" t="e">
        <f>BX126</f>
        <v>#N/A</v>
      </c>
      <c r="CQ365" t="e">
        <f>BY126</f>
        <v>#N/A</v>
      </c>
      <c r="CR365">
        <f>IF(ISNUMBER(CP365),IFERROR(MAX(0,BZ126-CP365),0),0)</f>
        <v>0</v>
      </c>
      <c r="CS365">
        <f>IF(ISNUMBER(CP365),IFERROR(MAX(0,CP365-BZ126),0),0)</f>
        <v>0</v>
      </c>
      <c r="CT365">
        <f>IF(ISNUMBER(CQ365),IFERROR(MAX(0,CA126-CQ365),0),0)</f>
        <v>0</v>
      </c>
      <c r="CU365">
        <f>IF(ISNUMBER(CQ365),IFERROR(MAX(0,CQ365-CA126),0),0)</f>
        <v>0</v>
      </c>
    </row>
    <row r="366" spans="21:99" x14ac:dyDescent="0.3">
      <c r="U366">
        <v>360</v>
      </c>
      <c r="V366">
        <f t="shared" si="332"/>
        <v>90</v>
      </c>
      <c r="W366">
        <f t="shared" si="333"/>
        <v>4</v>
      </c>
      <c r="X366">
        <f t="shared" si="334"/>
        <v>0</v>
      </c>
      <c r="Y366">
        <f>IF(X366&lt;&gt;1,9999,CHOOSE(W366,INDEX(Gantt!$BQ$7:$BQ$119,V366),INDEX(Gantt!$BR$7:$BR$119,V366),INDEX(Gantt!$BT$7:$BT$119,V366),INDEX(Gantt!$BU$7:$BU$119,V366)))</f>
        <v>9999</v>
      </c>
      <c r="Z366">
        <f t="shared" si="335"/>
        <v>0</v>
      </c>
      <c r="AA366" t="e">
        <f t="shared" si="336"/>
        <v>#N/A</v>
      </c>
      <c r="AB366" t="e">
        <f t="shared" si="337"/>
        <v>#N/A</v>
      </c>
      <c r="AC366" t="e">
        <f t="shared" si="338"/>
        <v>#N/A</v>
      </c>
      <c r="AD366" t="e">
        <f t="shared" si="339"/>
        <v>#N/A</v>
      </c>
      <c r="AE366" t="e">
        <f t="shared" si="340"/>
        <v>#N/A</v>
      </c>
      <c r="AF366" t="e">
        <f t="shared" si="341"/>
        <v>#N/A</v>
      </c>
      <c r="AG366" t="e">
        <f t="shared" si="342"/>
        <v>#N/A</v>
      </c>
      <c r="AH366" t="e">
        <f t="shared" si="343"/>
        <v>#N/A</v>
      </c>
      <c r="AI366" t="e">
        <f t="shared" si="344"/>
        <v>#N/A</v>
      </c>
      <c r="AJ366" t="e">
        <f t="shared" si="345"/>
        <v>#N/A</v>
      </c>
      <c r="AK366" t="e">
        <f t="shared" si="346"/>
        <v>#N/A</v>
      </c>
      <c r="AL366" t="e">
        <f t="shared" si="347"/>
        <v>#N/A</v>
      </c>
      <c r="AM366" t="e">
        <f t="shared" si="348"/>
        <v>#N/A</v>
      </c>
      <c r="AN366" t="e">
        <f t="shared" si="349"/>
        <v>#N/A</v>
      </c>
      <c r="AO366" t="e">
        <f t="shared" si="350"/>
        <v>#N/A</v>
      </c>
      <c r="AP366" t="e">
        <f t="shared" si="351"/>
        <v>#N/A</v>
      </c>
      <c r="AQ366" t="e">
        <f t="shared" si="352"/>
        <v>#N/A</v>
      </c>
      <c r="AR366" t="e">
        <f t="shared" si="353"/>
        <v>#N/A</v>
      </c>
      <c r="AS366" t="e">
        <f t="shared" si="354"/>
        <v>#N/A</v>
      </c>
      <c r="AT366" t="e">
        <f t="shared" si="355"/>
        <v>#N/A</v>
      </c>
      <c r="AU366" t="e">
        <f t="shared" si="356"/>
        <v>#N/A</v>
      </c>
      <c r="AV366" t="e">
        <f t="shared" si="357"/>
        <v>#N/A</v>
      </c>
      <c r="AW366" t="e">
        <f t="shared" si="358"/>
        <v>#N/A</v>
      </c>
      <c r="AX366" t="e">
        <f t="shared" si="359"/>
        <v>#N/A</v>
      </c>
      <c r="AY366" t="e">
        <f t="shared" si="360"/>
        <v>#N/A</v>
      </c>
      <c r="BE366" t="e">
        <f>IF(Z366=1,IF(INDEX($C$7:$C$126,V366)&gt;=Gantt!$BF$6,NA(),MATCH(INDEX($C$7:$C$126,V366),Gantt!$J$6:$BE$6,1)),NA())</f>
        <v>#N/A</v>
      </c>
      <c r="BF366" t="e">
        <f>IF(Z366=1,IF((INDEX($D$7:$D$126,AA366)-1)&gt;=Gantt!$BF$6,NA(),IF((INDEX($D$7:$D$126,AA366)-1)&lt;Gantt!$J$6,0,MATCH((INDEX($D$7:$D$126,AA366)-1),Gantt!$J$6:$BE$6,1))),NA())</f>
        <v>#N/A</v>
      </c>
      <c r="BG366" t="e">
        <f t="shared" si="361"/>
        <v>#N/A</v>
      </c>
      <c r="BH366" t="e">
        <f t="shared" si="362"/>
        <v>#N/A</v>
      </c>
      <c r="BI366" t="e">
        <f t="shared" si="363"/>
        <v>#N/A</v>
      </c>
      <c r="BJ366" t="e">
        <f t="shared" si="364"/>
        <v>#N/A</v>
      </c>
      <c r="BK366" t="e">
        <f t="shared" si="365"/>
        <v>#N/A</v>
      </c>
      <c r="BL366" t="e">
        <f t="shared" si="366"/>
        <v>#N/A</v>
      </c>
      <c r="BM366" t="e">
        <f t="shared" si="367"/>
        <v>#N/A</v>
      </c>
      <c r="BN366" t="e">
        <f t="shared" si="368"/>
        <v>#N/A</v>
      </c>
      <c r="BO366" t="e">
        <f t="shared" si="369"/>
        <v>#N/A</v>
      </c>
      <c r="BP366" t="e">
        <f t="shared" si="370"/>
        <v>#N/A</v>
      </c>
      <c r="BQ366" t="e">
        <f t="shared" si="371"/>
        <v>#N/A</v>
      </c>
      <c r="BR366" t="e">
        <f t="shared" si="372"/>
        <v>#N/A</v>
      </c>
      <c r="BS366" t="e">
        <f t="shared" si="373"/>
        <v>#N/A</v>
      </c>
      <c r="BT366" t="e">
        <f t="shared" si="374"/>
        <v>#N/A</v>
      </c>
      <c r="BU366" t="e">
        <f t="shared" si="375"/>
        <v>#N/A</v>
      </c>
      <c r="BV366" t="e">
        <f t="shared" si="376"/>
        <v>#N/A</v>
      </c>
      <c r="BW366" t="e">
        <f t="shared" si="377"/>
        <v>#N/A</v>
      </c>
      <c r="BX366" t="e">
        <f t="shared" si="378"/>
        <v>#N/A</v>
      </c>
      <c r="BY366" t="e">
        <f t="shared" si="379"/>
        <v>#N/A</v>
      </c>
      <c r="BZ366" t="e">
        <f t="shared" si="380"/>
        <v>#N/A</v>
      </c>
      <c r="CA366" t="e">
        <f t="shared" si="381"/>
        <v>#N/A</v>
      </c>
      <c r="CB366" t="e">
        <f t="shared" si="382"/>
        <v>#N/A</v>
      </c>
      <c r="CC366" t="e">
        <f t="shared" si="383"/>
        <v>#N/A</v>
      </c>
      <c r="CD366" t="e">
        <f t="shared" si="384"/>
        <v>#N/A</v>
      </c>
      <c r="CE366" t="e">
        <f t="shared" si="385"/>
        <v>#N/A</v>
      </c>
      <c r="CF366" t="e">
        <f t="shared" si="386"/>
        <v>#N/A</v>
      </c>
      <c r="CG366" t="e">
        <f t="shared" si="387"/>
        <v>#N/A</v>
      </c>
      <c r="CI366" t="e">
        <f>AT126</f>
        <v>#N/A</v>
      </c>
      <c r="CJ366" t="e">
        <f>AU126</f>
        <v>#N/A</v>
      </c>
      <c r="CK366">
        <f>IF(ISNUMBER(CI366),IFERROR(MAX(0,AV126-CI366),0),0)</f>
        <v>0</v>
      </c>
      <c r="CL366">
        <f>IF(ISNUMBER(CI366),IFERROR(MAX(0,CI366-AV126),0),0)</f>
        <v>0</v>
      </c>
      <c r="CM366">
        <f>IF(ISNUMBER(CJ366),IFERROR(MAX(0,AW126-CJ366),0),0)</f>
        <v>0</v>
      </c>
      <c r="CN366">
        <f>IF(ISNUMBER(CJ366),IFERROR(MAX(0,CJ366-AW126),0),0)</f>
        <v>0</v>
      </c>
      <c r="CP366" t="e">
        <f>CB126</f>
        <v>#N/A</v>
      </c>
      <c r="CQ366" t="e">
        <f>CC126</f>
        <v>#N/A</v>
      </c>
      <c r="CR366">
        <f>IF(ISNUMBER(CP366),IFERROR(MAX(0,CD126-CP366),0),0)</f>
        <v>0</v>
      </c>
      <c r="CS366">
        <f>IF(ISNUMBER(CP366),IFERROR(MAX(0,CP366-CD126),0),0)</f>
        <v>0</v>
      </c>
      <c r="CT366">
        <f>IF(ISNUMBER(CQ366),IFERROR(MAX(0,CE126-CQ366),0),0)</f>
        <v>0</v>
      </c>
      <c r="CU366">
        <f>IF(ISNUMBER(CQ366),IFERROR(MAX(0,CQ366-CE126),0),0)</f>
        <v>0</v>
      </c>
    </row>
    <row r="367" spans="21:99" x14ac:dyDescent="0.3">
      <c r="U367">
        <v>361</v>
      </c>
      <c r="V367">
        <f t="shared" si="332"/>
        <v>91</v>
      </c>
      <c r="W367">
        <f t="shared" si="333"/>
        <v>1</v>
      </c>
      <c r="X367">
        <f t="shared" si="334"/>
        <v>0</v>
      </c>
      <c r="Y367">
        <f>IF(X367&lt;&gt;1,9999,CHOOSE(W367,INDEX(Gantt!$BQ$7:$BQ$119,V367),INDEX(Gantt!$BR$7:$BR$119,V367),INDEX(Gantt!$BT$7:$BT$119,V367),INDEX(Gantt!$BU$7:$BU$119,V367)))</f>
        <v>9999</v>
      </c>
      <c r="Z367">
        <f t="shared" si="335"/>
        <v>0</v>
      </c>
      <c r="AA367" t="e">
        <f t="shared" si="336"/>
        <v>#N/A</v>
      </c>
      <c r="AB367" t="e">
        <f t="shared" si="337"/>
        <v>#N/A</v>
      </c>
      <c r="AC367" t="e">
        <f t="shared" si="338"/>
        <v>#N/A</v>
      </c>
      <c r="AD367" t="e">
        <f t="shared" si="339"/>
        <v>#N/A</v>
      </c>
      <c r="AE367" t="e">
        <f t="shared" si="340"/>
        <v>#N/A</v>
      </c>
      <c r="AF367" t="e">
        <f t="shared" si="341"/>
        <v>#N/A</v>
      </c>
      <c r="AG367" t="e">
        <f t="shared" si="342"/>
        <v>#N/A</v>
      </c>
      <c r="AH367" t="e">
        <f t="shared" si="343"/>
        <v>#N/A</v>
      </c>
      <c r="AI367" t="e">
        <f t="shared" si="344"/>
        <v>#N/A</v>
      </c>
      <c r="AJ367" t="e">
        <f t="shared" si="345"/>
        <v>#N/A</v>
      </c>
      <c r="AK367" t="e">
        <f t="shared" si="346"/>
        <v>#N/A</v>
      </c>
      <c r="AL367" t="e">
        <f t="shared" si="347"/>
        <v>#N/A</v>
      </c>
      <c r="AM367" t="e">
        <f t="shared" si="348"/>
        <v>#N/A</v>
      </c>
      <c r="AN367" t="e">
        <f t="shared" si="349"/>
        <v>#N/A</v>
      </c>
      <c r="AO367" t="e">
        <f t="shared" si="350"/>
        <v>#N/A</v>
      </c>
      <c r="AP367" t="e">
        <f t="shared" si="351"/>
        <v>#N/A</v>
      </c>
      <c r="AQ367" t="e">
        <f t="shared" si="352"/>
        <v>#N/A</v>
      </c>
      <c r="AR367" t="e">
        <f t="shared" si="353"/>
        <v>#N/A</v>
      </c>
      <c r="AS367" t="e">
        <f t="shared" si="354"/>
        <v>#N/A</v>
      </c>
      <c r="AT367" t="e">
        <f t="shared" si="355"/>
        <v>#N/A</v>
      </c>
      <c r="AU367" t="e">
        <f t="shared" si="356"/>
        <v>#N/A</v>
      </c>
      <c r="AV367" t="e">
        <f t="shared" si="357"/>
        <v>#N/A</v>
      </c>
      <c r="AW367" t="e">
        <f t="shared" si="358"/>
        <v>#N/A</v>
      </c>
      <c r="AX367" t="e">
        <f t="shared" si="359"/>
        <v>#N/A</v>
      </c>
      <c r="AY367" t="e">
        <f t="shared" si="360"/>
        <v>#N/A</v>
      </c>
      <c r="BE367" t="e">
        <f>IF(Z367=1,IF(INDEX($C$7:$C$126,V367)&gt;=Gantt!$BF$6,NA(),MATCH(INDEX($C$7:$C$126,V367),Gantt!$J$6:$BE$6,1)),NA())</f>
        <v>#N/A</v>
      </c>
      <c r="BF367" t="e">
        <f>IF(Z367=1,IF((INDEX($D$7:$D$126,AA367)-1)&gt;=Gantt!$BF$6,NA(),IF((INDEX($D$7:$D$126,AA367)-1)&lt;Gantt!$J$6,0,MATCH((INDEX($D$7:$D$126,AA367)-1),Gantt!$J$6:$BE$6,1))),NA())</f>
        <v>#N/A</v>
      </c>
      <c r="BG367" t="e">
        <f t="shared" si="361"/>
        <v>#N/A</v>
      </c>
      <c r="BH367" t="e">
        <f t="shared" si="362"/>
        <v>#N/A</v>
      </c>
      <c r="BI367" t="e">
        <f t="shared" si="363"/>
        <v>#N/A</v>
      </c>
      <c r="BJ367" t="e">
        <f t="shared" si="364"/>
        <v>#N/A</v>
      </c>
      <c r="BK367" t="e">
        <f t="shared" si="365"/>
        <v>#N/A</v>
      </c>
      <c r="BL367" t="e">
        <f t="shared" si="366"/>
        <v>#N/A</v>
      </c>
      <c r="BM367" t="e">
        <f t="shared" si="367"/>
        <v>#N/A</v>
      </c>
      <c r="BN367" t="e">
        <f t="shared" si="368"/>
        <v>#N/A</v>
      </c>
      <c r="BO367" t="e">
        <f t="shared" si="369"/>
        <v>#N/A</v>
      </c>
      <c r="BP367" t="e">
        <f t="shared" si="370"/>
        <v>#N/A</v>
      </c>
      <c r="BQ367" t="e">
        <f t="shared" si="371"/>
        <v>#N/A</v>
      </c>
      <c r="BR367" t="e">
        <f t="shared" si="372"/>
        <v>#N/A</v>
      </c>
      <c r="BS367" t="e">
        <f t="shared" si="373"/>
        <v>#N/A</v>
      </c>
      <c r="BT367" t="e">
        <f t="shared" si="374"/>
        <v>#N/A</v>
      </c>
      <c r="BU367" t="e">
        <f t="shared" si="375"/>
        <v>#N/A</v>
      </c>
      <c r="BV367" t="e">
        <f t="shared" si="376"/>
        <v>#N/A</v>
      </c>
      <c r="BW367" t="e">
        <f t="shared" si="377"/>
        <v>#N/A</v>
      </c>
      <c r="BX367" t="e">
        <f t="shared" si="378"/>
        <v>#N/A</v>
      </c>
      <c r="BY367" t="e">
        <f t="shared" si="379"/>
        <v>#N/A</v>
      </c>
      <c r="BZ367" t="e">
        <f t="shared" si="380"/>
        <v>#N/A</v>
      </c>
      <c r="CA367" t="e">
        <f t="shared" si="381"/>
        <v>#N/A</v>
      </c>
      <c r="CB367" t="e">
        <f t="shared" si="382"/>
        <v>#N/A</v>
      </c>
      <c r="CC367" t="e">
        <f t="shared" si="383"/>
        <v>#N/A</v>
      </c>
      <c r="CD367" t="e">
        <f t="shared" si="384"/>
        <v>#N/A</v>
      </c>
      <c r="CE367" t="e">
        <f t="shared" si="385"/>
        <v>#N/A</v>
      </c>
      <c r="CF367" t="e">
        <f t="shared" si="386"/>
        <v>#N/A</v>
      </c>
      <c r="CG367" t="e">
        <f t="shared" si="387"/>
        <v>#N/A</v>
      </c>
      <c r="CI367" t="e">
        <f>AL127</f>
        <v>#N/A</v>
      </c>
      <c r="CJ367" t="e">
        <f>AM127</f>
        <v>#N/A</v>
      </c>
      <c r="CK367">
        <f>IF(ISNUMBER(CI367),IFERROR(MAX(0,AN127-CI367),0),0)</f>
        <v>0</v>
      </c>
      <c r="CL367">
        <f>IF(ISNUMBER(CI367),IFERROR(MAX(0,CI367-AN127),0),0)</f>
        <v>0</v>
      </c>
      <c r="CM367">
        <f>IF(ISNUMBER(CJ367),IFERROR(MAX(0,AO127-CJ367),0),0)</f>
        <v>0</v>
      </c>
      <c r="CN367">
        <f>IF(ISNUMBER(CJ367),IFERROR(MAX(0,CJ367-AO127),0),0)</f>
        <v>0</v>
      </c>
      <c r="CP367" t="e">
        <f>BT127</f>
        <v>#N/A</v>
      </c>
      <c r="CQ367" t="e">
        <f>BU127</f>
        <v>#N/A</v>
      </c>
      <c r="CR367">
        <f>IF(ISNUMBER(CP367),IFERROR(MAX(0,BV127-CP367),0),0)</f>
        <v>0</v>
      </c>
      <c r="CS367">
        <f>IF(ISNUMBER(CP367),IFERROR(MAX(0,CP367-BV127),0),0)</f>
        <v>0</v>
      </c>
      <c r="CT367">
        <f>IF(ISNUMBER(CQ367),IFERROR(MAX(0,BW127-CQ367),0),0)</f>
        <v>0</v>
      </c>
      <c r="CU367">
        <f>IF(ISNUMBER(CQ367),IFERROR(MAX(0,CQ367-BW127),0),0)</f>
        <v>0</v>
      </c>
    </row>
    <row r="368" spans="21:99" x14ac:dyDescent="0.3">
      <c r="U368">
        <v>362</v>
      </c>
      <c r="V368">
        <f t="shared" si="332"/>
        <v>91</v>
      </c>
      <c r="W368">
        <f t="shared" si="333"/>
        <v>2</v>
      </c>
      <c r="X368">
        <f t="shared" si="334"/>
        <v>0</v>
      </c>
      <c r="Y368">
        <f>IF(X368&lt;&gt;1,9999,CHOOSE(W368,INDEX(Gantt!$BQ$7:$BQ$119,V368),INDEX(Gantt!$BR$7:$BR$119,V368),INDEX(Gantt!$BT$7:$BT$119,V368),INDEX(Gantt!$BU$7:$BU$119,V368)))</f>
        <v>9999</v>
      </c>
      <c r="Z368">
        <f t="shared" si="335"/>
        <v>0</v>
      </c>
      <c r="AA368" t="e">
        <f t="shared" si="336"/>
        <v>#N/A</v>
      </c>
      <c r="AB368" t="e">
        <f t="shared" si="337"/>
        <v>#N/A</v>
      </c>
      <c r="AC368" t="e">
        <f t="shared" si="338"/>
        <v>#N/A</v>
      </c>
      <c r="AD368" t="e">
        <f t="shared" si="339"/>
        <v>#N/A</v>
      </c>
      <c r="AE368" t="e">
        <f t="shared" si="340"/>
        <v>#N/A</v>
      </c>
      <c r="AF368" t="e">
        <f t="shared" si="341"/>
        <v>#N/A</v>
      </c>
      <c r="AG368" t="e">
        <f t="shared" si="342"/>
        <v>#N/A</v>
      </c>
      <c r="AH368" t="e">
        <f t="shared" si="343"/>
        <v>#N/A</v>
      </c>
      <c r="AI368" t="e">
        <f t="shared" si="344"/>
        <v>#N/A</v>
      </c>
      <c r="AJ368" t="e">
        <f t="shared" si="345"/>
        <v>#N/A</v>
      </c>
      <c r="AK368" t="e">
        <f t="shared" si="346"/>
        <v>#N/A</v>
      </c>
      <c r="AL368" t="e">
        <f t="shared" si="347"/>
        <v>#N/A</v>
      </c>
      <c r="AM368" t="e">
        <f t="shared" si="348"/>
        <v>#N/A</v>
      </c>
      <c r="AN368" t="e">
        <f t="shared" si="349"/>
        <v>#N/A</v>
      </c>
      <c r="AO368" t="e">
        <f t="shared" si="350"/>
        <v>#N/A</v>
      </c>
      <c r="AP368" t="e">
        <f t="shared" si="351"/>
        <v>#N/A</v>
      </c>
      <c r="AQ368" t="e">
        <f t="shared" si="352"/>
        <v>#N/A</v>
      </c>
      <c r="AR368" t="e">
        <f t="shared" si="353"/>
        <v>#N/A</v>
      </c>
      <c r="AS368" t="e">
        <f t="shared" si="354"/>
        <v>#N/A</v>
      </c>
      <c r="AT368" t="e">
        <f t="shared" si="355"/>
        <v>#N/A</v>
      </c>
      <c r="AU368" t="e">
        <f t="shared" si="356"/>
        <v>#N/A</v>
      </c>
      <c r="AV368" t="e">
        <f t="shared" si="357"/>
        <v>#N/A</v>
      </c>
      <c r="AW368" t="e">
        <f t="shared" si="358"/>
        <v>#N/A</v>
      </c>
      <c r="AX368" t="e">
        <f t="shared" si="359"/>
        <v>#N/A</v>
      </c>
      <c r="AY368" t="e">
        <f t="shared" si="360"/>
        <v>#N/A</v>
      </c>
      <c r="BE368" t="e">
        <f>IF(Z368=1,IF(INDEX($C$7:$C$126,V368)&gt;=Gantt!$BF$6,NA(),MATCH(INDEX($C$7:$C$126,V368),Gantt!$J$6:$BE$6,1)),NA())</f>
        <v>#N/A</v>
      </c>
      <c r="BF368" t="e">
        <f>IF(Z368=1,IF((INDEX($D$7:$D$126,AA368)-1)&gt;=Gantt!$BF$6,NA(),IF((INDEX($D$7:$D$126,AA368)-1)&lt;Gantt!$J$6,0,MATCH((INDEX($D$7:$D$126,AA368)-1),Gantt!$J$6:$BE$6,1))),NA())</f>
        <v>#N/A</v>
      </c>
      <c r="BG368" t="e">
        <f t="shared" si="361"/>
        <v>#N/A</v>
      </c>
      <c r="BH368" t="e">
        <f t="shared" si="362"/>
        <v>#N/A</v>
      </c>
      <c r="BI368" t="e">
        <f t="shared" si="363"/>
        <v>#N/A</v>
      </c>
      <c r="BJ368" t="e">
        <f t="shared" si="364"/>
        <v>#N/A</v>
      </c>
      <c r="BK368" t="e">
        <f t="shared" si="365"/>
        <v>#N/A</v>
      </c>
      <c r="BL368" t="e">
        <f t="shared" si="366"/>
        <v>#N/A</v>
      </c>
      <c r="BM368" t="e">
        <f t="shared" si="367"/>
        <v>#N/A</v>
      </c>
      <c r="BN368" t="e">
        <f t="shared" si="368"/>
        <v>#N/A</v>
      </c>
      <c r="BO368" t="e">
        <f t="shared" si="369"/>
        <v>#N/A</v>
      </c>
      <c r="BP368" t="e">
        <f t="shared" si="370"/>
        <v>#N/A</v>
      </c>
      <c r="BQ368" t="e">
        <f t="shared" si="371"/>
        <v>#N/A</v>
      </c>
      <c r="BR368" t="e">
        <f t="shared" si="372"/>
        <v>#N/A</v>
      </c>
      <c r="BS368" t="e">
        <f t="shared" si="373"/>
        <v>#N/A</v>
      </c>
      <c r="BT368" t="e">
        <f t="shared" si="374"/>
        <v>#N/A</v>
      </c>
      <c r="BU368" t="e">
        <f t="shared" si="375"/>
        <v>#N/A</v>
      </c>
      <c r="BV368" t="e">
        <f t="shared" si="376"/>
        <v>#N/A</v>
      </c>
      <c r="BW368" t="e">
        <f t="shared" si="377"/>
        <v>#N/A</v>
      </c>
      <c r="BX368" t="e">
        <f t="shared" si="378"/>
        <v>#N/A</v>
      </c>
      <c r="BY368" t="e">
        <f t="shared" si="379"/>
        <v>#N/A</v>
      </c>
      <c r="BZ368" t="e">
        <f t="shared" si="380"/>
        <v>#N/A</v>
      </c>
      <c r="CA368" t="e">
        <f t="shared" si="381"/>
        <v>#N/A</v>
      </c>
      <c r="CB368" t="e">
        <f t="shared" si="382"/>
        <v>#N/A</v>
      </c>
      <c r="CC368" t="e">
        <f t="shared" si="383"/>
        <v>#N/A</v>
      </c>
      <c r="CD368" t="e">
        <f t="shared" si="384"/>
        <v>#N/A</v>
      </c>
      <c r="CE368" t="e">
        <f t="shared" si="385"/>
        <v>#N/A</v>
      </c>
      <c r="CF368" t="e">
        <f t="shared" si="386"/>
        <v>#N/A</v>
      </c>
      <c r="CG368" t="e">
        <f t="shared" si="387"/>
        <v>#N/A</v>
      </c>
      <c r="CI368" t="e">
        <f>AP127</f>
        <v>#N/A</v>
      </c>
      <c r="CJ368" t="e">
        <f>AQ127</f>
        <v>#N/A</v>
      </c>
      <c r="CK368">
        <f>IF(ISNUMBER(CI368),IFERROR(MAX(0,AR127-CI368),0),0)</f>
        <v>0</v>
      </c>
      <c r="CL368">
        <f>IF(ISNUMBER(CI368),IFERROR(MAX(0,CI368-AR127),0),0)</f>
        <v>0</v>
      </c>
      <c r="CM368">
        <f>IF(ISNUMBER(CJ368),IFERROR(MAX(0,AS127-CJ368),0),0)</f>
        <v>0</v>
      </c>
      <c r="CN368">
        <f>IF(ISNUMBER(CJ368),IFERROR(MAX(0,CJ368-AS127),0),0)</f>
        <v>0</v>
      </c>
      <c r="CP368" t="e">
        <f>BX127</f>
        <v>#N/A</v>
      </c>
      <c r="CQ368" t="e">
        <f>BY127</f>
        <v>#N/A</v>
      </c>
      <c r="CR368">
        <f>IF(ISNUMBER(CP368),IFERROR(MAX(0,BZ127-CP368),0),0)</f>
        <v>0</v>
      </c>
      <c r="CS368">
        <f>IF(ISNUMBER(CP368),IFERROR(MAX(0,CP368-BZ127),0),0)</f>
        <v>0</v>
      </c>
      <c r="CT368">
        <f>IF(ISNUMBER(CQ368),IFERROR(MAX(0,CA127-CQ368),0),0)</f>
        <v>0</v>
      </c>
      <c r="CU368">
        <f>IF(ISNUMBER(CQ368),IFERROR(MAX(0,CQ368-CA127),0),0)</f>
        <v>0</v>
      </c>
    </row>
    <row r="369" spans="21:99" x14ac:dyDescent="0.3">
      <c r="U369">
        <v>363</v>
      </c>
      <c r="V369">
        <f t="shared" si="332"/>
        <v>91</v>
      </c>
      <c r="W369">
        <f t="shared" si="333"/>
        <v>3</v>
      </c>
      <c r="X369">
        <f t="shared" si="334"/>
        <v>0</v>
      </c>
      <c r="Y369">
        <f>IF(X369&lt;&gt;1,9999,CHOOSE(W369,INDEX(Gantt!$BQ$7:$BQ$119,V369),INDEX(Gantt!$BR$7:$BR$119,V369),INDEX(Gantt!$BT$7:$BT$119,V369),INDEX(Gantt!$BU$7:$BU$119,V369)))</f>
        <v>9999</v>
      </c>
      <c r="Z369">
        <f t="shared" si="335"/>
        <v>0</v>
      </c>
      <c r="AA369" t="e">
        <f t="shared" si="336"/>
        <v>#N/A</v>
      </c>
      <c r="AB369" t="e">
        <f t="shared" si="337"/>
        <v>#N/A</v>
      </c>
      <c r="AC369" t="e">
        <f t="shared" si="338"/>
        <v>#N/A</v>
      </c>
      <c r="AD369" t="e">
        <f t="shared" si="339"/>
        <v>#N/A</v>
      </c>
      <c r="AE369" t="e">
        <f t="shared" si="340"/>
        <v>#N/A</v>
      </c>
      <c r="AF369" t="e">
        <f t="shared" si="341"/>
        <v>#N/A</v>
      </c>
      <c r="AG369" t="e">
        <f t="shared" si="342"/>
        <v>#N/A</v>
      </c>
      <c r="AH369" t="e">
        <f t="shared" si="343"/>
        <v>#N/A</v>
      </c>
      <c r="AI369" t="e">
        <f t="shared" si="344"/>
        <v>#N/A</v>
      </c>
      <c r="AJ369" t="e">
        <f t="shared" si="345"/>
        <v>#N/A</v>
      </c>
      <c r="AK369" t="e">
        <f t="shared" si="346"/>
        <v>#N/A</v>
      </c>
      <c r="AL369" t="e">
        <f t="shared" si="347"/>
        <v>#N/A</v>
      </c>
      <c r="AM369" t="e">
        <f t="shared" si="348"/>
        <v>#N/A</v>
      </c>
      <c r="AN369" t="e">
        <f t="shared" si="349"/>
        <v>#N/A</v>
      </c>
      <c r="AO369" t="e">
        <f t="shared" si="350"/>
        <v>#N/A</v>
      </c>
      <c r="AP369" t="e">
        <f t="shared" si="351"/>
        <v>#N/A</v>
      </c>
      <c r="AQ369" t="e">
        <f t="shared" si="352"/>
        <v>#N/A</v>
      </c>
      <c r="AR369" t="e">
        <f t="shared" si="353"/>
        <v>#N/A</v>
      </c>
      <c r="AS369" t="e">
        <f t="shared" si="354"/>
        <v>#N/A</v>
      </c>
      <c r="AT369" t="e">
        <f t="shared" si="355"/>
        <v>#N/A</v>
      </c>
      <c r="AU369" t="e">
        <f t="shared" si="356"/>
        <v>#N/A</v>
      </c>
      <c r="AV369" t="e">
        <f t="shared" si="357"/>
        <v>#N/A</v>
      </c>
      <c r="AW369" t="e">
        <f t="shared" si="358"/>
        <v>#N/A</v>
      </c>
      <c r="AX369" t="e">
        <f t="shared" si="359"/>
        <v>#N/A</v>
      </c>
      <c r="AY369" t="e">
        <f t="shared" si="360"/>
        <v>#N/A</v>
      </c>
      <c r="BE369" t="e">
        <f>IF(Z369=1,IF(INDEX($C$7:$C$126,V369)&gt;=Gantt!$BF$6,NA(),MATCH(INDEX($C$7:$C$126,V369),Gantt!$J$6:$BE$6,1)),NA())</f>
        <v>#N/A</v>
      </c>
      <c r="BF369" t="e">
        <f>IF(Z369=1,IF((INDEX($D$7:$D$126,AA369)-1)&gt;=Gantt!$BF$6,NA(),IF((INDEX($D$7:$D$126,AA369)-1)&lt;Gantt!$J$6,0,MATCH((INDEX($D$7:$D$126,AA369)-1),Gantt!$J$6:$BE$6,1))),NA())</f>
        <v>#N/A</v>
      </c>
      <c r="BG369" t="e">
        <f t="shared" si="361"/>
        <v>#N/A</v>
      </c>
      <c r="BH369" t="e">
        <f t="shared" si="362"/>
        <v>#N/A</v>
      </c>
      <c r="BI369" t="e">
        <f t="shared" si="363"/>
        <v>#N/A</v>
      </c>
      <c r="BJ369" t="e">
        <f t="shared" si="364"/>
        <v>#N/A</v>
      </c>
      <c r="BK369" t="e">
        <f t="shared" si="365"/>
        <v>#N/A</v>
      </c>
      <c r="BL369" t="e">
        <f t="shared" si="366"/>
        <v>#N/A</v>
      </c>
      <c r="BM369" t="e">
        <f t="shared" si="367"/>
        <v>#N/A</v>
      </c>
      <c r="BN369" t="e">
        <f t="shared" si="368"/>
        <v>#N/A</v>
      </c>
      <c r="BO369" t="e">
        <f t="shared" si="369"/>
        <v>#N/A</v>
      </c>
      <c r="BP369" t="e">
        <f t="shared" si="370"/>
        <v>#N/A</v>
      </c>
      <c r="BQ369" t="e">
        <f t="shared" si="371"/>
        <v>#N/A</v>
      </c>
      <c r="BR369" t="e">
        <f t="shared" si="372"/>
        <v>#N/A</v>
      </c>
      <c r="BS369" t="e">
        <f t="shared" si="373"/>
        <v>#N/A</v>
      </c>
      <c r="BT369" t="e">
        <f t="shared" si="374"/>
        <v>#N/A</v>
      </c>
      <c r="BU369" t="e">
        <f t="shared" si="375"/>
        <v>#N/A</v>
      </c>
      <c r="BV369" t="e">
        <f t="shared" si="376"/>
        <v>#N/A</v>
      </c>
      <c r="BW369" t="e">
        <f t="shared" si="377"/>
        <v>#N/A</v>
      </c>
      <c r="BX369" t="e">
        <f t="shared" si="378"/>
        <v>#N/A</v>
      </c>
      <c r="BY369" t="e">
        <f t="shared" si="379"/>
        <v>#N/A</v>
      </c>
      <c r="BZ369" t="e">
        <f t="shared" si="380"/>
        <v>#N/A</v>
      </c>
      <c r="CA369" t="e">
        <f t="shared" si="381"/>
        <v>#N/A</v>
      </c>
      <c r="CB369" t="e">
        <f t="shared" si="382"/>
        <v>#N/A</v>
      </c>
      <c r="CC369" t="e">
        <f t="shared" si="383"/>
        <v>#N/A</v>
      </c>
      <c r="CD369" t="e">
        <f t="shared" si="384"/>
        <v>#N/A</v>
      </c>
      <c r="CE369" t="e">
        <f t="shared" si="385"/>
        <v>#N/A</v>
      </c>
      <c r="CF369" t="e">
        <f t="shared" si="386"/>
        <v>#N/A</v>
      </c>
      <c r="CG369" t="e">
        <f t="shared" si="387"/>
        <v>#N/A</v>
      </c>
      <c r="CI369" t="e">
        <f>AT127</f>
        <v>#N/A</v>
      </c>
      <c r="CJ369" t="e">
        <f>AU127</f>
        <v>#N/A</v>
      </c>
      <c r="CK369">
        <f>IF(ISNUMBER(CI369),IFERROR(MAX(0,AV127-CI369),0),0)</f>
        <v>0</v>
      </c>
      <c r="CL369">
        <f>IF(ISNUMBER(CI369),IFERROR(MAX(0,CI369-AV127),0),0)</f>
        <v>0</v>
      </c>
      <c r="CM369">
        <f>IF(ISNUMBER(CJ369),IFERROR(MAX(0,AW127-CJ369),0),0)</f>
        <v>0</v>
      </c>
      <c r="CN369">
        <f>IF(ISNUMBER(CJ369),IFERROR(MAX(0,CJ369-AW127),0),0)</f>
        <v>0</v>
      </c>
      <c r="CP369" t="e">
        <f>CB127</f>
        <v>#N/A</v>
      </c>
      <c r="CQ369" t="e">
        <f>CC127</f>
        <v>#N/A</v>
      </c>
      <c r="CR369">
        <f>IF(ISNUMBER(CP369),IFERROR(MAX(0,CD127-CP369),0),0)</f>
        <v>0</v>
      </c>
      <c r="CS369">
        <f>IF(ISNUMBER(CP369),IFERROR(MAX(0,CP369-CD127),0),0)</f>
        <v>0</v>
      </c>
      <c r="CT369">
        <f>IF(ISNUMBER(CQ369),IFERROR(MAX(0,CE127-CQ369),0),0)</f>
        <v>0</v>
      </c>
      <c r="CU369">
        <f>IF(ISNUMBER(CQ369),IFERROR(MAX(0,CQ369-CE127),0),0)</f>
        <v>0</v>
      </c>
    </row>
    <row r="370" spans="21:99" x14ac:dyDescent="0.3">
      <c r="U370">
        <v>364</v>
      </c>
      <c r="V370">
        <f t="shared" si="332"/>
        <v>91</v>
      </c>
      <c r="W370">
        <f t="shared" si="333"/>
        <v>4</v>
      </c>
      <c r="X370">
        <f t="shared" si="334"/>
        <v>0</v>
      </c>
      <c r="Y370">
        <f>IF(X370&lt;&gt;1,9999,CHOOSE(W370,INDEX(Gantt!$BQ$7:$BQ$119,V370),INDEX(Gantt!$BR$7:$BR$119,V370),INDEX(Gantt!$BT$7:$BT$119,V370),INDEX(Gantt!$BU$7:$BU$119,V370)))</f>
        <v>9999</v>
      </c>
      <c r="Z370">
        <f t="shared" si="335"/>
        <v>0</v>
      </c>
      <c r="AA370" t="e">
        <f t="shared" si="336"/>
        <v>#N/A</v>
      </c>
      <c r="AB370" t="e">
        <f t="shared" si="337"/>
        <v>#N/A</v>
      </c>
      <c r="AC370" t="e">
        <f t="shared" si="338"/>
        <v>#N/A</v>
      </c>
      <c r="AD370" t="e">
        <f t="shared" si="339"/>
        <v>#N/A</v>
      </c>
      <c r="AE370" t="e">
        <f t="shared" si="340"/>
        <v>#N/A</v>
      </c>
      <c r="AF370" t="e">
        <f t="shared" si="341"/>
        <v>#N/A</v>
      </c>
      <c r="AG370" t="e">
        <f t="shared" si="342"/>
        <v>#N/A</v>
      </c>
      <c r="AH370" t="e">
        <f t="shared" si="343"/>
        <v>#N/A</v>
      </c>
      <c r="AI370" t="e">
        <f t="shared" si="344"/>
        <v>#N/A</v>
      </c>
      <c r="AJ370" t="e">
        <f t="shared" si="345"/>
        <v>#N/A</v>
      </c>
      <c r="AK370" t="e">
        <f t="shared" si="346"/>
        <v>#N/A</v>
      </c>
      <c r="AL370" t="e">
        <f t="shared" si="347"/>
        <v>#N/A</v>
      </c>
      <c r="AM370" t="e">
        <f t="shared" si="348"/>
        <v>#N/A</v>
      </c>
      <c r="AN370" t="e">
        <f t="shared" si="349"/>
        <v>#N/A</v>
      </c>
      <c r="AO370" t="e">
        <f t="shared" si="350"/>
        <v>#N/A</v>
      </c>
      <c r="AP370" t="e">
        <f t="shared" si="351"/>
        <v>#N/A</v>
      </c>
      <c r="AQ370" t="e">
        <f t="shared" si="352"/>
        <v>#N/A</v>
      </c>
      <c r="AR370" t="e">
        <f t="shared" si="353"/>
        <v>#N/A</v>
      </c>
      <c r="AS370" t="e">
        <f t="shared" si="354"/>
        <v>#N/A</v>
      </c>
      <c r="AT370" t="e">
        <f t="shared" si="355"/>
        <v>#N/A</v>
      </c>
      <c r="AU370" t="e">
        <f t="shared" si="356"/>
        <v>#N/A</v>
      </c>
      <c r="AV370" t="e">
        <f t="shared" si="357"/>
        <v>#N/A</v>
      </c>
      <c r="AW370" t="e">
        <f t="shared" si="358"/>
        <v>#N/A</v>
      </c>
      <c r="AX370" t="e">
        <f t="shared" si="359"/>
        <v>#N/A</v>
      </c>
      <c r="AY370" t="e">
        <f t="shared" si="360"/>
        <v>#N/A</v>
      </c>
      <c r="BE370" t="e">
        <f>IF(Z370=1,IF(INDEX($C$7:$C$126,V370)&gt;=Gantt!$BF$6,NA(),MATCH(INDEX($C$7:$C$126,V370),Gantt!$J$6:$BE$6,1)),NA())</f>
        <v>#N/A</v>
      </c>
      <c r="BF370" t="e">
        <f>IF(Z370=1,IF((INDEX($D$7:$D$126,AA370)-1)&gt;=Gantt!$BF$6,NA(),IF((INDEX($D$7:$D$126,AA370)-1)&lt;Gantt!$J$6,0,MATCH((INDEX($D$7:$D$126,AA370)-1),Gantt!$J$6:$BE$6,1))),NA())</f>
        <v>#N/A</v>
      </c>
      <c r="BG370" t="e">
        <f t="shared" si="361"/>
        <v>#N/A</v>
      </c>
      <c r="BH370" t="e">
        <f t="shared" si="362"/>
        <v>#N/A</v>
      </c>
      <c r="BI370" t="e">
        <f t="shared" si="363"/>
        <v>#N/A</v>
      </c>
      <c r="BJ370" t="e">
        <f t="shared" si="364"/>
        <v>#N/A</v>
      </c>
      <c r="BK370" t="e">
        <f t="shared" si="365"/>
        <v>#N/A</v>
      </c>
      <c r="BL370" t="e">
        <f t="shared" si="366"/>
        <v>#N/A</v>
      </c>
      <c r="BM370" t="e">
        <f t="shared" si="367"/>
        <v>#N/A</v>
      </c>
      <c r="BN370" t="e">
        <f t="shared" si="368"/>
        <v>#N/A</v>
      </c>
      <c r="BO370" t="e">
        <f t="shared" si="369"/>
        <v>#N/A</v>
      </c>
      <c r="BP370" t="e">
        <f t="shared" si="370"/>
        <v>#N/A</v>
      </c>
      <c r="BQ370" t="e">
        <f t="shared" si="371"/>
        <v>#N/A</v>
      </c>
      <c r="BR370" t="e">
        <f t="shared" si="372"/>
        <v>#N/A</v>
      </c>
      <c r="BS370" t="e">
        <f t="shared" si="373"/>
        <v>#N/A</v>
      </c>
      <c r="BT370" t="e">
        <f t="shared" si="374"/>
        <v>#N/A</v>
      </c>
      <c r="BU370" t="e">
        <f t="shared" si="375"/>
        <v>#N/A</v>
      </c>
      <c r="BV370" t="e">
        <f t="shared" si="376"/>
        <v>#N/A</v>
      </c>
      <c r="BW370" t="e">
        <f t="shared" si="377"/>
        <v>#N/A</v>
      </c>
      <c r="BX370" t="e">
        <f t="shared" si="378"/>
        <v>#N/A</v>
      </c>
      <c r="BY370" t="e">
        <f t="shared" si="379"/>
        <v>#N/A</v>
      </c>
      <c r="BZ370" t="e">
        <f t="shared" si="380"/>
        <v>#N/A</v>
      </c>
      <c r="CA370" t="e">
        <f t="shared" si="381"/>
        <v>#N/A</v>
      </c>
      <c r="CB370" t="e">
        <f t="shared" si="382"/>
        <v>#N/A</v>
      </c>
      <c r="CC370" t="e">
        <f t="shared" si="383"/>
        <v>#N/A</v>
      </c>
      <c r="CD370" t="e">
        <f t="shared" si="384"/>
        <v>#N/A</v>
      </c>
      <c r="CE370" t="e">
        <f t="shared" si="385"/>
        <v>#N/A</v>
      </c>
      <c r="CF370" t="e">
        <f t="shared" si="386"/>
        <v>#N/A</v>
      </c>
      <c r="CG370" t="e">
        <f t="shared" si="387"/>
        <v>#N/A</v>
      </c>
      <c r="CI370" t="e">
        <f>AL128</f>
        <v>#N/A</v>
      </c>
      <c r="CJ370" t="e">
        <f>AM128</f>
        <v>#N/A</v>
      </c>
      <c r="CK370">
        <f>IF(ISNUMBER(CI370),IFERROR(MAX(0,AN128-CI370),0),0)</f>
        <v>0</v>
      </c>
      <c r="CL370">
        <f>IF(ISNUMBER(CI370),IFERROR(MAX(0,CI370-AN128),0),0)</f>
        <v>0</v>
      </c>
      <c r="CM370">
        <f>IF(ISNUMBER(CJ370),IFERROR(MAX(0,AO128-CJ370),0),0)</f>
        <v>0</v>
      </c>
      <c r="CN370">
        <f>IF(ISNUMBER(CJ370),IFERROR(MAX(0,CJ370-AO128),0),0)</f>
        <v>0</v>
      </c>
      <c r="CP370" t="e">
        <f>BT128</f>
        <v>#N/A</v>
      </c>
      <c r="CQ370" t="e">
        <f>BU128</f>
        <v>#N/A</v>
      </c>
      <c r="CR370">
        <f>IF(ISNUMBER(CP370),IFERROR(MAX(0,BV128-CP370),0),0)</f>
        <v>0</v>
      </c>
      <c r="CS370">
        <f>IF(ISNUMBER(CP370),IFERROR(MAX(0,CP370-BV128),0),0)</f>
        <v>0</v>
      </c>
      <c r="CT370">
        <f>IF(ISNUMBER(CQ370),IFERROR(MAX(0,BW128-CQ370),0),0)</f>
        <v>0</v>
      </c>
      <c r="CU370">
        <f>IF(ISNUMBER(CQ370),IFERROR(MAX(0,CQ370-BW128),0),0)</f>
        <v>0</v>
      </c>
    </row>
    <row r="371" spans="21:99" x14ac:dyDescent="0.3">
      <c r="U371">
        <v>365</v>
      </c>
      <c r="V371">
        <f t="shared" si="332"/>
        <v>92</v>
      </c>
      <c r="W371">
        <f t="shared" si="333"/>
        <v>1</v>
      </c>
      <c r="X371">
        <f t="shared" si="334"/>
        <v>0</v>
      </c>
      <c r="Y371">
        <f>IF(X371&lt;&gt;1,9999,CHOOSE(W371,INDEX(Gantt!$BQ$7:$BQ$119,V371),INDEX(Gantt!$BR$7:$BR$119,V371),INDEX(Gantt!$BT$7:$BT$119,V371),INDEX(Gantt!$BU$7:$BU$119,V371)))</f>
        <v>9999</v>
      </c>
      <c r="Z371">
        <f t="shared" si="335"/>
        <v>0</v>
      </c>
      <c r="AA371" t="e">
        <f t="shared" si="336"/>
        <v>#N/A</v>
      </c>
      <c r="AB371" t="e">
        <f t="shared" si="337"/>
        <v>#N/A</v>
      </c>
      <c r="AC371" t="e">
        <f t="shared" si="338"/>
        <v>#N/A</v>
      </c>
      <c r="AD371" t="e">
        <f t="shared" si="339"/>
        <v>#N/A</v>
      </c>
      <c r="AE371" t="e">
        <f t="shared" si="340"/>
        <v>#N/A</v>
      </c>
      <c r="AF371" t="e">
        <f t="shared" si="341"/>
        <v>#N/A</v>
      </c>
      <c r="AG371" t="e">
        <f t="shared" si="342"/>
        <v>#N/A</v>
      </c>
      <c r="AH371" t="e">
        <f t="shared" si="343"/>
        <v>#N/A</v>
      </c>
      <c r="AI371" t="e">
        <f t="shared" si="344"/>
        <v>#N/A</v>
      </c>
      <c r="AJ371" t="e">
        <f t="shared" si="345"/>
        <v>#N/A</v>
      </c>
      <c r="AK371" t="e">
        <f t="shared" si="346"/>
        <v>#N/A</v>
      </c>
      <c r="AL371" t="e">
        <f t="shared" si="347"/>
        <v>#N/A</v>
      </c>
      <c r="AM371" t="e">
        <f t="shared" si="348"/>
        <v>#N/A</v>
      </c>
      <c r="AN371" t="e">
        <f t="shared" si="349"/>
        <v>#N/A</v>
      </c>
      <c r="AO371" t="e">
        <f t="shared" si="350"/>
        <v>#N/A</v>
      </c>
      <c r="AP371" t="e">
        <f t="shared" si="351"/>
        <v>#N/A</v>
      </c>
      <c r="AQ371" t="e">
        <f t="shared" si="352"/>
        <v>#N/A</v>
      </c>
      <c r="AR371" t="e">
        <f t="shared" si="353"/>
        <v>#N/A</v>
      </c>
      <c r="AS371" t="e">
        <f t="shared" si="354"/>
        <v>#N/A</v>
      </c>
      <c r="AT371" t="e">
        <f t="shared" si="355"/>
        <v>#N/A</v>
      </c>
      <c r="AU371" t="e">
        <f t="shared" si="356"/>
        <v>#N/A</v>
      </c>
      <c r="AV371" t="e">
        <f t="shared" si="357"/>
        <v>#N/A</v>
      </c>
      <c r="AW371" t="e">
        <f t="shared" si="358"/>
        <v>#N/A</v>
      </c>
      <c r="AX371" t="e">
        <f t="shared" si="359"/>
        <v>#N/A</v>
      </c>
      <c r="AY371" t="e">
        <f t="shared" si="360"/>
        <v>#N/A</v>
      </c>
      <c r="BE371" t="e">
        <f>IF(Z371=1,IF(INDEX($C$7:$C$126,V371)&gt;=Gantt!$BF$6,NA(),MATCH(INDEX($C$7:$C$126,V371),Gantt!$J$6:$BE$6,1)),NA())</f>
        <v>#N/A</v>
      </c>
      <c r="BF371" t="e">
        <f>IF(Z371=1,IF((INDEX($D$7:$D$126,AA371)-1)&gt;=Gantt!$BF$6,NA(),IF((INDEX($D$7:$D$126,AA371)-1)&lt;Gantt!$J$6,0,MATCH((INDEX($D$7:$D$126,AA371)-1),Gantt!$J$6:$BE$6,1))),NA())</f>
        <v>#N/A</v>
      </c>
      <c r="BG371" t="e">
        <f t="shared" si="361"/>
        <v>#N/A</v>
      </c>
      <c r="BH371" t="e">
        <f t="shared" si="362"/>
        <v>#N/A</v>
      </c>
      <c r="BI371" t="e">
        <f t="shared" si="363"/>
        <v>#N/A</v>
      </c>
      <c r="BJ371" t="e">
        <f t="shared" si="364"/>
        <v>#N/A</v>
      </c>
      <c r="BK371" t="e">
        <f t="shared" si="365"/>
        <v>#N/A</v>
      </c>
      <c r="BL371" t="e">
        <f t="shared" si="366"/>
        <v>#N/A</v>
      </c>
      <c r="BM371" t="e">
        <f t="shared" si="367"/>
        <v>#N/A</v>
      </c>
      <c r="BN371" t="e">
        <f t="shared" si="368"/>
        <v>#N/A</v>
      </c>
      <c r="BO371" t="e">
        <f t="shared" si="369"/>
        <v>#N/A</v>
      </c>
      <c r="BP371" t="e">
        <f t="shared" si="370"/>
        <v>#N/A</v>
      </c>
      <c r="BQ371" t="e">
        <f t="shared" si="371"/>
        <v>#N/A</v>
      </c>
      <c r="BR371" t="e">
        <f t="shared" si="372"/>
        <v>#N/A</v>
      </c>
      <c r="BS371" t="e">
        <f t="shared" si="373"/>
        <v>#N/A</v>
      </c>
      <c r="BT371" t="e">
        <f t="shared" si="374"/>
        <v>#N/A</v>
      </c>
      <c r="BU371" t="e">
        <f t="shared" si="375"/>
        <v>#N/A</v>
      </c>
      <c r="BV371" t="e">
        <f t="shared" si="376"/>
        <v>#N/A</v>
      </c>
      <c r="BW371" t="e">
        <f t="shared" si="377"/>
        <v>#N/A</v>
      </c>
      <c r="BX371" t="e">
        <f t="shared" si="378"/>
        <v>#N/A</v>
      </c>
      <c r="BY371" t="e">
        <f t="shared" si="379"/>
        <v>#N/A</v>
      </c>
      <c r="BZ371" t="e">
        <f t="shared" si="380"/>
        <v>#N/A</v>
      </c>
      <c r="CA371" t="e">
        <f t="shared" si="381"/>
        <v>#N/A</v>
      </c>
      <c r="CB371" t="e">
        <f t="shared" si="382"/>
        <v>#N/A</v>
      </c>
      <c r="CC371" t="e">
        <f t="shared" si="383"/>
        <v>#N/A</v>
      </c>
      <c r="CD371" t="e">
        <f t="shared" si="384"/>
        <v>#N/A</v>
      </c>
      <c r="CE371" t="e">
        <f t="shared" si="385"/>
        <v>#N/A</v>
      </c>
      <c r="CF371" t="e">
        <f t="shared" si="386"/>
        <v>#N/A</v>
      </c>
      <c r="CG371" t="e">
        <f t="shared" si="387"/>
        <v>#N/A</v>
      </c>
      <c r="CI371" t="e">
        <f>AP128</f>
        <v>#N/A</v>
      </c>
      <c r="CJ371" t="e">
        <f>AQ128</f>
        <v>#N/A</v>
      </c>
      <c r="CK371">
        <f>IF(ISNUMBER(CI371),IFERROR(MAX(0,AR128-CI371),0),0)</f>
        <v>0</v>
      </c>
      <c r="CL371">
        <f>IF(ISNUMBER(CI371),IFERROR(MAX(0,CI371-AR128),0),0)</f>
        <v>0</v>
      </c>
      <c r="CM371">
        <f>IF(ISNUMBER(CJ371),IFERROR(MAX(0,AS128-CJ371),0),0)</f>
        <v>0</v>
      </c>
      <c r="CN371">
        <f>IF(ISNUMBER(CJ371),IFERROR(MAX(0,CJ371-AS128),0),0)</f>
        <v>0</v>
      </c>
      <c r="CP371" t="e">
        <f>BX128</f>
        <v>#N/A</v>
      </c>
      <c r="CQ371" t="e">
        <f>BY128</f>
        <v>#N/A</v>
      </c>
      <c r="CR371">
        <f>IF(ISNUMBER(CP371),IFERROR(MAX(0,BZ128-CP371),0),0)</f>
        <v>0</v>
      </c>
      <c r="CS371">
        <f>IF(ISNUMBER(CP371),IFERROR(MAX(0,CP371-BZ128),0),0)</f>
        <v>0</v>
      </c>
      <c r="CT371">
        <f>IF(ISNUMBER(CQ371),IFERROR(MAX(0,CA128-CQ371),0),0)</f>
        <v>0</v>
      </c>
      <c r="CU371">
        <f>IF(ISNUMBER(CQ371),IFERROR(MAX(0,CQ371-CA128),0),0)</f>
        <v>0</v>
      </c>
    </row>
    <row r="372" spans="21:99" x14ac:dyDescent="0.3">
      <c r="U372">
        <v>366</v>
      </c>
      <c r="V372">
        <f t="shared" si="332"/>
        <v>92</v>
      </c>
      <c r="W372">
        <f t="shared" si="333"/>
        <v>2</v>
      </c>
      <c r="X372">
        <f t="shared" si="334"/>
        <v>0</v>
      </c>
      <c r="Y372">
        <f>IF(X372&lt;&gt;1,9999,CHOOSE(W372,INDEX(Gantt!$BQ$7:$BQ$119,V372),INDEX(Gantt!$BR$7:$BR$119,V372),INDEX(Gantt!$BT$7:$BT$119,V372),INDEX(Gantt!$BU$7:$BU$119,V372)))</f>
        <v>9999</v>
      </c>
      <c r="Z372">
        <f t="shared" si="335"/>
        <v>0</v>
      </c>
      <c r="AA372" t="e">
        <f t="shared" si="336"/>
        <v>#N/A</v>
      </c>
      <c r="AB372" t="e">
        <f t="shared" si="337"/>
        <v>#N/A</v>
      </c>
      <c r="AC372" t="e">
        <f t="shared" si="338"/>
        <v>#N/A</v>
      </c>
      <c r="AD372" t="e">
        <f t="shared" si="339"/>
        <v>#N/A</v>
      </c>
      <c r="AE372" t="e">
        <f t="shared" si="340"/>
        <v>#N/A</v>
      </c>
      <c r="AF372" t="e">
        <f t="shared" si="341"/>
        <v>#N/A</v>
      </c>
      <c r="AG372" t="e">
        <f t="shared" si="342"/>
        <v>#N/A</v>
      </c>
      <c r="AH372" t="e">
        <f t="shared" si="343"/>
        <v>#N/A</v>
      </c>
      <c r="AI372" t="e">
        <f t="shared" si="344"/>
        <v>#N/A</v>
      </c>
      <c r="AJ372" t="e">
        <f t="shared" si="345"/>
        <v>#N/A</v>
      </c>
      <c r="AK372" t="e">
        <f t="shared" si="346"/>
        <v>#N/A</v>
      </c>
      <c r="AL372" t="e">
        <f t="shared" si="347"/>
        <v>#N/A</v>
      </c>
      <c r="AM372" t="e">
        <f t="shared" si="348"/>
        <v>#N/A</v>
      </c>
      <c r="AN372" t="e">
        <f t="shared" si="349"/>
        <v>#N/A</v>
      </c>
      <c r="AO372" t="e">
        <f t="shared" si="350"/>
        <v>#N/A</v>
      </c>
      <c r="AP372" t="e">
        <f t="shared" si="351"/>
        <v>#N/A</v>
      </c>
      <c r="AQ372" t="e">
        <f t="shared" si="352"/>
        <v>#N/A</v>
      </c>
      <c r="AR372" t="e">
        <f t="shared" si="353"/>
        <v>#N/A</v>
      </c>
      <c r="AS372" t="e">
        <f t="shared" si="354"/>
        <v>#N/A</v>
      </c>
      <c r="AT372" t="e">
        <f t="shared" si="355"/>
        <v>#N/A</v>
      </c>
      <c r="AU372" t="e">
        <f t="shared" si="356"/>
        <v>#N/A</v>
      </c>
      <c r="AV372" t="e">
        <f t="shared" si="357"/>
        <v>#N/A</v>
      </c>
      <c r="AW372" t="e">
        <f t="shared" si="358"/>
        <v>#N/A</v>
      </c>
      <c r="AX372" t="e">
        <f t="shared" si="359"/>
        <v>#N/A</v>
      </c>
      <c r="AY372" t="e">
        <f t="shared" si="360"/>
        <v>#N/A</v>
      </c>
      <c r="BE372" t="e">
        <f>IF(Z372=1,IF(INDEX($C$7:$C$126,V372)&gt;=Gantt!$BF$6,NA(),MATCH(INDEX($C$7:$C$126,V372),Gantt!$J$6:$BE$6,1)),NA())</f>
        <v>#N/A</v>
      </c>
      <c r="BF372" t="e">
        <f>IF(Z372=1,IF((INDEX($D$7:$D$126,AA372)-1)&gt;=Gantt!$BF$6,NA(),IF((INDEX($D$7:$D$126,AA372)-1)&lt;Gantt!$J$6,0,MATCH((INDEX($D$7:$D$126,AA372)-1),Gantt!$J$6:$BE$6,1))),NA())</f>
        <v>#N/A</v>
      </c>
      <c r="BG372" t="e">
        <f t="shared" si="361"/>
        <v>#N/A</v>
      </c>
      <c r="BH372" t="e">
        <f t="shared" si="362"/>
        <v>#N/A</v>
      </c>
      <c r="BI372" t="e">
        <f t="shared" si="363"/>
        <v>#N/A</v>
      </c>
      <c r="BJ372" t="e">
        <f t="shared" si="364"/>
        <v>#N/A</v>
      </c>
      <c r="BK372" t="e">
        <f t="shared" si="365"/>
        <v>#N/A</v>
      </c>
      <c r="BL372" t="e">
        <f t="shared" si="366"/>
        <v>#N/A</v>
      </c>
      <c r="BM372" t="e">
        <f t="shared" si="367"/>
        <v>#N/A</v>
      </c>
      <c r="BN372" t="e">
        <f t="shared" si="368"/>
        <v>#N/A</v>
      </c>
      <c r="BO372" t="e">
        <f t="shared" si="369"/>
        <v>#N/A</v>
      </c>
      <c r="BP372" t="e">
        <f t="shared" si="370"/>
        <v>#N/A</v>
      </c>
      <c r="BQ372" t="e">
        <f t="shared" si="371"/>
        <v>#N/A</v>
      </c>
      <c r="BR372" t="e">
        <f t="shared" si="372"/>
        <v>#N/A</v>
      </c>
      <c r="BS372" t="e">
        <f t="shared" si="373"/>
        <v>#N/A</v>
      </c>
      <c r="BT372" t="e">
        <f t="shared" si="374"/>
        <v>#N/A</v>
      </c>
      <c r="BU372" t="e">
        <f t="shared" si="375"/>
        <v>#N/A</v>
      </c>
      <c r="BV372" t="e">
        <f t="shared" si="376"/>
        <v>#N/A</v>
      </c>
      <c r="BW372" t="e">
        <f t="shared" si="377"/>
        <v>#N/A</v>
      </c>
      <c r="BX372" t="e">
        <f t="shared" si="378"/>
        <v>#N/A</v>
      </c>
      <c r="BY372" t="e">
        <f t="shared" si="379"/>
        <v>#N/A</v>
      </c>
      <c r="BZ372" t="e">
        <f t="shared" si="380"/>
        <v>#N/A</v>
      </c>
      <c r="CA372" t="e">
        <f t="shared" si="381"/>
        <v>#N/A</v>
      </c>
      <c r="CB372" t="e">
        <f t="shared" si="382"/>
        <v>#N/A</v>
      </c>
      <c r="CC372" t="e">
        <f t="shared" si="383"/>
        <v>#N/A</v>
      </c>
      <c r="CD372" t="e">
        <f t="shared" si="384"/>
        <v>#N/A</v>
      </c>
      <c r="CE372" t="e">
        <f t="shared" si="385"/>
        <v>#N/A</v>
      </c>
      <c r="CF372" t="e">
        <f t="shared" si="386"/>
        <v>#N/A</v>
      </c>
      <c r="CG372" t="e">
        <f t="shared" si="387"/>
        <v>#N/A</v>
      </c>
      <c r="CI372" t="e">
        <f>AT128</f>
        <v>#N/A</v>
      </c>
      <c r="CJ372" t="e">
        <f>AU128</f>
        <v>#N/A</v>
      </c>
      <c r="CK372">
        <f>IF(ISNUMBER(CI372),IFERROR(MAX(0,AV128-CI372),0),0)</f>
        <v>0</v>
      </c>
      <c r="CL372">
        <f>IF(ISNUMBER(CI372),IFERROR(MAX(0,CI372-AV128),0),0)</f>
        <v>0</v>
      </c>
      <c r="CM372">
        <f>IF(ISNUMBER(CJ372),IFERROR(MAX(0,AW128-CJ372),0),0)</f>
        <v>0</v>
      </c>
      <c r="CN372">
        <f>IF(ISNUMBER(CJ372),IFERROR(MAX(0,CJ372-AW128),0),0)</f>
        <v>0</v>
      </c>
      <c r="CP372" t="e">
        <f>CB128</f>
        <v>#N/A</v>
      </c>
      <c r="CQ372" t="e">
        <f>CC128</f>
        <v>#N/A</v>
      </c>
      <c r="CR372">
        <f>IF(ISNUMBER(CP372),IFERROR(MAX(0,CD128-CP372),0),0)</f>
        <v>0</v>
      </c>
      <c r="CS372">
        <f>IF(ISNUMBER(CP372),IFERROR(MAX(0,CP372-CD128),0),0)</f>
        <v>0</v>
      </c>
      <c r="CT372">
        <f>IF(ISNUMBER(CQ372),IFERROR(MAX(0,CE128-CQ372),0),0)</f>
        <v>0</v>
      </c>
      <c r="CU372">
        <f>IF(ISNUMBER(CQ372),IFERROR(MAX(0,CQ372-CE128),0),0)</f>
        <v>0</v>
      </c>
    </row>
    <row r="373" spans="21:99" x14ac:dyDescent="0.3">
      <c r="U373">
        <v>367</v>
      </c>
      <c r="V373">
        <f t="shared" si="332"/>
        <v>92</v>
      </c>
      <c r="W373">
        <f t="shared" si="333"/>
        <v>3</v>
      </c>
      <c r="X373">
        <f t="shared" si="334"/>
        <v>0</v>
      </c>
      <c r="Y373">
        <f>IF(X373&lt;&gt;1,9999,CHOOSE(W373,INDEX(Gantt!$BQ$7:$BQ$119,V373),INDEX(Gantt!$BR$7:$BR$119,V373),INDEX(Gantt!$BT$7:$BT$119,V373),INDEX(Gantt!$BU$7:$BU$119,V373)))</f>
        <v>9999</v>
      </c>
      <c r="Z373">
        <f t="shared" si="335"/>
        <v>0</v>
      </c>
      <c r="AA373" t="e">
        <f t="shared" si="336"/>
        <v>#N/A</v>
      </c>
      <c r="AB373" t="e">
        <f t="shared" si="337"/>
        <v>#N/A</v>
      </c>
      <c r="AC373" t="e">
        <f t="shared" si="338"/>
        <v>#N/A</v>
      </c>
      <c r="AD373" t="e">
        <f t="shared" si="339"/>
        <v>#N/A</v>
      </c>
      <c r="AE373" t="e">
        <f t="shared" si="340"/>
        <v>#N/A</v>
      </c>
      <c r="AF373" t="e">
        <f t="shared" si="341"/>
        <v>#N/A</v>
      </c>
      <c r="AG373" t="e">
        <f t="shared" si="342"/>
        <v>#N/A</v>
      </c>
      <c r="AH373" t="e">
        <f t="shared" si="343"/>
        <v>#N/A</v>
      </c>
      <c r="AI373" t="e">
        <f t="shared" si="344"/>
        <v>#N/A</v>
      </c>
      <c r="AJ373" t="e">
        <f t="shared" si="345"/>
        <v>#N/A</v>
      </c>
      <c r="AK373" t="e">
        <f t="shared" si="346"/>
        <v>#N/A</v>
      </c>
      <c r="AL373" t="e">
        <f t="shared" si="347"/>
        <v>#N/A</v>
      </c>
      <c r="AM373" t="e">
        <f t="shared" si="348"/>
        <v>#N/A</v>
      </c>
      <c r="AN373" t="e">
        <f t="shared" si="349"/>
        <v>#N/A</v>
      </c>
      <c r="AO373" t="e">
        <f t="shared" si="350"/>
        <v>#N/A</v>
      </c>
      <c r="AP373" t="e">
        <f t="shared" si="351"/>
        <v>#N/A</v>
      </c>
      <c r="AQ373" t="e">
        <f t="shared" si="352"/>
        <v>#N/A</v>
      </c>
      <c r="AR373" t="e">
        <f t="shared" si="353"/>
        <v>#N/A</v>
      </c>
      <c r="AS373" t="e">
        <f t="shared" si="354"/>
        <v>#N/A</v>
      </c>
      <c r="AT373" t="e">
        <f t="shared" si="355"/>
        <v>#N/A</v>
      </c>
      <c r="AU373" t="e">
        <f t="shared" si="356"/>
        <v>#N/A</v>
      </c>
      <c r="AV373" t="e">
        <f t="shared" si="357"/>
        <v>#N/A</v>
      </c>
      <c r="AW373" t="e">
        <f t="shared" si="358"/>
        <v>#N/A</v>
      </c>
      <c r="AX373" t="e">
        <f t="shared" si="359"/>
        <v>#N/A</v>
      </c>
      <c r="AY373" t="e">
        <f t="shared" si="360"/>
        <v>#N/A</v>
      </c>
      <c r="BE373" t="e">
        <f>IF(Z373=1,IF(INDEX($C$7:$C$126,V373)&gt;=Gantt!$BF$6,NA(),MATCH(INDEX($C$7:$C$126,V373),Gantt!$J$6:$BE$6,1)),NA())</f>
        <v>#N/A</v>
      </c>
      <c r="BF373" t="e">
        <f>IF(Z373=1,IF((INDEX($D$7:$D$126,AA373)-1)&gt;=Gantt!$BF$6,NA(),IF((INDEX($D$7:$D$126,AA373)-1)&lt;Gantt!$J$6,0,MATCH((INDEX($D$7:$D$126,AA373)-1),Gantt!$J$6:$BE$6,1))),NA())</f>
        <v>#N/A</v>
      </c>
      <c r="BG373" t="e">
        <f t="shared" si="361"/>
        <v>#N/A</v>
      </c>
      <c r="BH373" t="e">
        <f t="shared" si="362"/>
        <v>#N/A</v>
      </c>
      <c r="BI373" t="e">
        <f t="shared" si="363"/>
        <v>#N/A</v>
      </c>
      <c r="BJ373" t="e">
        <f t="shared" si="364"/>
        <v>#N/A</v>
      </c>
      <c r="BK373" t="e">
        <f t="shared" si="365"/>
        <v>#N/A</v>
      </c>
      <c r="BL373" t="e">
        <f t="shared" si="366"/>
        <v>#N/A</v>
      </c>
      <c r="BM373" t="e">
        <f t="shared" si="367"/>
        <v>#N/A</v>
      </c>
      <c r="BN373" t="e">
        <f t="shared" si="368"/>
        <v>#N/A</v>
      </c>
      <c r="BO373" t="e">
        <f t="shared" si="369"/>
        <v>#N/A</v>
      </c>
      <c r="BP373" t="e">
        <f t="shared" si="370"/>
        <v>#N/A</v>
      </c>
      <c r="BQ373" t="e">
        <f t="shared" si="371"/>
        <v>#N/A</v>
      </c>
      <c r="BR373" t="e">
        <f t="shared" si="372"/>
        <v>#N/A</v>
      </c>
      <c r="BS373" t="e">
        <f t="shared" si="373"/>
        <v>#N/A</v>
      </c>
      <c r="BT373" t="e">
        <f t="shared" si="374"/>
        <v>#N/A</v>
      </c>
      <c r="BU373" t="e">
        <f t="shared" si="375"/>
        <v>#N/A</v>
      </c>
      <c r="BV373" t="e">
        <f t="shared" si="376"/>
        <v>#N/A</v>
      </c>
      <c r="BW373" t="e">
        <f t="shared" si="377"/>
        <v>#N/A</v>
      </c>
      <c r="BX373" t="e">
        <f t="shared" si="378"/>
        <v>#N/A</v>
      </c>
      <c r="BY373" t="e">
        <f t="shared" si="379"/>
        <v>#N/A</v>
      </c>
      <c r="BZ373" t="e">
        <f t="shared" si="380"/>
        <v>#N/A</v>
      </c>
      <c r="CA373" t="e">
        <f t="shared" si="381"/>
        <v>#N/A</v>
      </c>
      <c r="CB373" t="e">
        <f t="shared" si="382"/>
        <v>#N/A</v>
      </c>
      <c r="CC373" t="e">
        <f t="shared" si="383"/>
        <v>#N/A</v>
      </c>
      <c r="CD373" t="e">
        <f t="shared" si="384"/>
        <v>#N/A</v>
      </c>
      <c r="CE373" t="e">
        <f t="shared" si="385"/>
        <v>#N/A</v>
      </c>
      <c r="CF373" t="e">
        <f t="shared" si="386"/>
        <v>#N/A</v>
      </c>
      <c r="CG373" t="e">
        <f t="shared" si="387"/>
        <v>#N/A</v>
      </c>
      <c r="CI373" t="e">
        <f>AL129</f>
        <v>#N/A</v>
      </c>
      <c r="CJ373" t="e">
        <f>AM129</f>
        <v>#N/A</v>
      </c>
      <c r="CK373">
        <f>IF(ISNUMBER(CI373),IFERROR(MAX(0,AN129-CI373),0),0)</f>
        <v>0</v>
      </c>
      <c r="CL373">
        <f>IF(ISNUMBER(CI373),IFERROR(MAX(0,CI373-AN129),0),0)</f>
        <v>0</v>
      </c>
      <c r="CM373">
        <f>IF(ISNUMBER(CJ373),IFERROR(MAX(0,AO129-CJ373),0),0)</f>
        <v>0</v>
      </c>
      <c r="CN373">
        <f>IF(ISNUMBER(CJ373),IFERROR(MAX(0,CJ373-AO129),0),0)</f>
        <v>0</v>
      </c>
      <c r="CP373" t="e">
        <f>BT129</f>
        <v>#N/A</v>
      </c>
      <c r="CQ373" t="e">
        <f>BU129</f>
        <v>#N/A</v>
      </c>
      <c r="CR373">
        <f>IF(ISNUMBER(CP373),IFERROR(MAX(0,BV129-CP373),0),0)</f>
        <v>0</v>
      </c>
      <c r="CS373">
        <f>IF(ISNUMBER(CP373),IFERROR(MAX(0,CP373-BV129),0),0)</f>
        <v>0</v>
      </c>
      <c r="CT373">
        <f>IF(ISNUMBER(CQ373),IFERROR(MAX(0,BW129-CQ373),0),0)</f>
        <v>0</v>
      </c>
      <c r="CU373">
        <f>IF(ISNUMBER(CQ373),IFERROR(MAX(0,CQ373-BW129),0),0)</f>
        <v>0</v>
      </c>
    </row>
    <row r="374" spans="21:99" x14ac:dyDescent="0.3">
      <c r="U374">
        <v>368</v>
      </c>
      <c r="V374">
        <f t="shared" si="332"/>
        <v>92</v>
      </c>
      <c r="W374">
        <f t="shared" si="333"/>
        <v>4</v>
      </c>
      <c r="X374">
        <f t="shared" si="334"/>
        <v>0</v>
      </c>
      <c r="Y374">
        <f>IF(X374&lt;&gt;1,9999,CHOOSE(W374,INDEX(Gantt!$BQ$7:$BQ$119,V374),INDEX(Gantt!$BR$7:$BR$119,V374),INDEX(Gantt!$BT$7:$BT$119,V374),INDEX(Gantt!$BU$7:$BU$119,V374)))</f>
        <v>9999</v>
      </c>
      <c r="Z374">
        <f t="shared" si="335"/>
        <v>0</v>
      </c>
      <c r="AA374" t="e">
        <f t="shared" si="336"/>
        <v>#N/A</v>
      </c>
      <c r="AB374" t="e">
        <f t="shared" si="337"/>
        <v>#N/A</v>
      </c>
      <c r="AC374" t="e">
        <f t="shared" si="338"/>
        <v>#N/A</v>
      </c>
      <c r="AD374" t="e">
        <f t="shared" si="339"/>
        <v>#N/A</v>
      </c>
      <c r="AE374" t="e">
        <f t="shared" si="340"/>
        <v>#N/A</v>
      </c>
      <c r="AF374" t="e">
        <f t="shared" si="341"/>
        <v>#N/A</v>
      </c>
      <c r="AG374" t="e">
        <f t="shared" si="342"/>
        <v>#N/A</v>
      </c>
      <c r="AH374" t="e">
        <f t="shared" si="343"/>
        <v>#N/A</v>
      </c>
      <c r="AI374" t="e">
        <f t="shared" si="344"/>
        <v>#N/A</v>
      </c>
      <c r="AJ374" t="e">
        <f t="shared" si="345"/>
        <v>#N/A</v>
      </c>
      <c r="AK374" t="e">
        <f t="shared" si="346"/>
        <v>#N/A</v>
      </c>
      <c r="AL374" t="e">
        <f t="shared" si="347"/>
        <v>#N/A</v>
      </c>
      <c r="AM374" t="e">
        <f t="shared" si="348"/>
        <v>#N/A</v>
      </c>
      <c r="AN374" t="e">
        <f t="shared" si="349"/>
        <v>#N/A</v>
      </c>
      <c r="AO374" t="e">
        <f t="shared" si="350"/>
        <v>#N/A</v>
      </c>
      <c r="AP374" t="e">
        <f t="shared" si="351"/>
        <v>#N/A</v>
      </c>
      <c r="AQ374" t="e">
        <f t="shared" si="352"/>
        <v>#N/A</v>
      </c>
      <c r="AR374" t="e">
        <f t="shared" si="353"/>
        <v>#N/A</v>
      </c>
      <c r="AS374" t="e">
        <f t="shared" si="354"/>
        <v>#N/A</v>
      </c>
      <c r="AT374" t="e">
        <f t="shared" si="355"/>
        <v>#N/A</v>
      </c>
      <c r="AU374" t="e">
        <f t="shared" si="356"/>
        <v>#N/A</v>
      </c>
      <c r="AV374" t="e">
        <f t="shared" si="357"/>
        <v>#N/A</v>
      </c>
      <c r="AW374" t="e">
        <f t="shared" si="358"/>
        <v>#N/A</v>
      </c>
      <c r="AX374" t="e">
        <f t="shared" si="359"/>
        <v>#N/A</v>
      </c>
      <c r="AY374" t="e">
        <f t="shared" si="360"/>
        <v>#N/A</v>
      </c>
      <c r="BE374" t="e">
        <f>IF(Z374=1,IF(INDEX($C$7:$C$126,V374)&gt;=Gantt!$BF$6,NA(),MATCH(INDEX($C$7:$C$126,V374),Gantt!$J$6:$BE$6,1)),NA())</f>
        <v>#N/A</v>
      </c>
      <c r="BF374" t="e">
        <f>IF(Z374=1,IF((INDEX($D$7:$D$126,AA374)-1)&gt;=Gantt!$BF$6,NA(),IF((INDEX($D$7:$D$126,AA374)-1)&lt;Gantt!$J$6,0,MATCH((INDEX($D$7:$D$126,AA374)-1),Gantt!$J$6:$BE$6,1))),NA())</f>
        <v>#N/A</v>
      </c>
      <c r="BG374" t="e">
        <f t="shared" si="361"/>
        <v>#N/A</v>
      </c>
      <c r="BH374" t="e">
        <f t="shared" si="362"/>
        <v>#N/A</v>
      </c>
      <c r="BI374" t="e">
        <f t="shared" si="363"/>
        <v>#N/A</v>
      </c>
      <c r="BJ374" t="e">
        <f t="shared" si="364"/>
        <v>#N/A</v>
      </c>
      <c r="BK374" t="e">
        <f t="shared" si="365"/>
        <v>#N/A</v>
      </c>
      <c r="BL374" t="e">
        <f t="shared" si="366"/>
        <v>#N/A</v>
      </c>
      <c r="BM374" t="e">
        <f t="shared" si="367"/>
        <v>#N/A</v>
      </c>
      <c r="BN374" t="e">
        <f t="shared" si="368"/>
        <v>#N/A</v>
      </c>
      <c r="BO374" t="e">
        <f t="shared" si="369"/>
        <v>#N/A</v>
      </c>
      <c r="BP374" t="e">
        <f t="shared" si="370"/>
        <v>#N/A</v>
      </c>
      <c r="BQ374" t="e">
        <f t="shared" si="371"/>
        <v>#N/A</v>
      </c>
      <c r="BR374" t="e">
        <f t="shared" si="372"/>
        <v>#N/A</v>
      </c>
      <c r="BS374" t="e">
        <f t="shared" si="373"/>
        <v>#N/A</v>
      </c>
      <c r="BT374" t="e">
        <f t="shared" si="374"/>
        <v>#N/A</v>
      </c>
      <c r="BU374" t="e">
        <f t="shared" si="375"/>
        <v>#N/A</v>
      </c>
      <c r="BV374" t="e">
        <f t="shared" si="376"/>
        <v>#N/A</v>
      </c>
      <c r="BW374" t="e">
        <f t="shared" si="377"/>
        <v>#N/A</v>
      </c>
      <c r="BX374" t="e">
        <f t="shared" si="378"/>
        <v>#N/A</v>
      </c>
      <c r="BY374" t="e">
        <f t="shared" si="379"/>
        <v>#N/A</v>
      </c>
      <c r="BZ374" t="e">
        <f t="shared" si="380"/>
        <v>#N/A</v>
      </c>
      <c r="CA374" t="e">
        <f t="shared" si="381"/>
        <v>#N/A</v>
      </c>
      <c r="CB374" t="e">
        <f t="shared" si="382"/>
        <v>#N/A</v>
      </c>
      <c r="CC374" t="e">
        <f t="shared" si="383"/>
        <v>#N/A</v>
      </c>
      <c r="CD374" t="e">
        <f t="shared" si="384"/>
        <v>#N/A</v>
      </c>
      <c r="CE374" t="e">
        <f t="shared" si="385"/>
        <v>#N/A</v>
      </c>
      <c r="CF374" t="e">
        <f t="shared" si="386"/>
        <v>#N/A</v>
      </c>
      <c r="CG374" t="e">
        <f t="shared" si="387"/>
        <v>#N/A</v>
      </c>
      <c r="CI374" t="e">
        <f>AP129</f>
        <v>#N/A</v>
      </c>
      <c r="CJ374" t="e">
        <f>AQ129</f>
        <v>#N/A</v>
      </c>
      <c r="CK374">
        <f>IF(ISNUMBER(CI374),IFERROR(MAX(0,AR129-CI374),0),0)</f>
        <v>0</v>
      </c>
      <c r="CL374">
        <f>IF(ISNUMBER(CI374),IFERROR(MAX(0,CI374-AR129),0),0)</f>
        <v>0</v>
      </c>
      <c r="CM374">
        <f>IF(ISNUMBER(CJ374),IFERROR(MAX(0,AS129-CJ374),0),0)</f>
        <v>0</v>
      </c>
      <c r="CN374">
        <f>IF(ISNUMBER(CJ374),IFERROR(MAX(0,CJ374-AS129),0),0)</f>
        <v>0</v>
      </c>
      <c r="CP374" t="e">
        <f>BX129</f>
        <v>#N/A</v>
      </c>
      <c r="CQ374" t="e">
        <f>BY129</f>
        <v>#N/A</v>
      </c>
      <c r="CR374">
        <f>IF(ISNUMBER(CP374),IFERROR(MAX(0,BZ129-CP374),0),0)</f>
        <v>0</v>
      </c>
      <c r="CS374">
        <f>IF(ISNUMBER(CP374),IFERROR(MAX(0,CP374-BZ129),0),0)</f>
        <v>0</v>
      </c>
      <c r="CT374">
        <f>IF(ISNUMBER(CQ374),IFERROR(MAX(0,CA129-CQ374),0),0)</f>
        <v>0</v>
      </c>
      <c r="CU374">
        <f>IF(ISNUMBER(CQ374),IFERROR(MAX(0,CQ374-CA129),0),0)</f>
        <v>0</v>
      </c>
    </row>
    <row r="375" spans="21:99" x14ac:dyDescent="0.3">
      <c r="U375">
        <v>369</v>
      </c>
      <c r="V375">
        <f t="shared" si="332"/>
        <v>93</v>
      </c>
      <c r="W375">
        <f t="shared" si="333"/>
        <v>1</v>
      </c>
      <c r="X375">
        <f t="shared" si="334"/>
        <v>0</v>
      </c>
      <c r="Y375">
        <f>IF(X375&lt;&gt;1,9999,CHOOSE(W375,INDEX(Gantt!$BQ$7:$BQ$119,V375),INDEX(Gantt!$BR$7:$BR$119,V375),INDEX(Gantt!$BT$7:$BT$119,V375),INDEX(Gantt!$BU$7:$BU$119,V375)))</f>
        <v>9999</v>
      </c>
      <c r="Z375">
        <f t="shared" si="335"/>
        <v>0</v>
      </c>
      <c r="AA375" t="e">
        <f t="shared" si="336"/>
        <v>#N/A</v>
      </c>
      <c r="AB375" t="e">
        <f t="shared" si="337"/>
        <v>#N/A</v>
      </c>
      <c r="AC375" t="e">
        <f t="shared" si="338"/>
        <v>#N/A</v>
      </c>
      <c r="AD375" t="e">
        <f t="shared" si="339"/>
        <v>#N/A</v>
      </c>
      <c r="AE375" t="e">
        <f t="shared" si="340"/>
        <v>#N/A</v>
      </c>
      <c r="AF375" t="e">
        <f t="shared" si="341"/>
        <v>#N/A</v>
      </c>
      <c r="AG375" t="e">
        <f t="shared" si="342"/>
        <v>#N/A</v>
      </c>
      <c r="AH375" t="e">
        <f t="shared" si="343"/>
        <v>#N/A</v>
      </c>
      <c r="AI375" t="e">
        <f t="shared" si="344"/>
        <v>#N/A</v>
      </c>
      <c r="AJ375" t="e">
        <f t="shared" si="345"/>
        <v>#N/A</v>
      </c>
      <c r="AK375" t="e">
        <f t="shared" si="346"/>
        <v>#N/A</v>
      </c>
      <c r="AL375" t="e">
        <f t="shared" si="347"/>
        <v>#N/A</v>
      </c>
      <c r="AM375" t="e">
        <f t="shared" si="348"/>
        <v>#N/A</v>
      </c>
      <c r="AN375" t="e">
        <f t="shared" si="349"/>
        <v>#N/A</v>
      </c>
      <c r="AO375" t="e">
        <f t="shared" si="350"/>
        <v>#N/A</v>
      </c>
      <c r="AP375" t="e">
        <f t="shared" si="351"/>
        <v>#N/A</v>
      </c>
      <c r="AQ375" t="e">
        <f t="shared" si="352"/>
        <v>#N/A</v>
      </c>
      <c r="AR375" t="e">
        <f t="shared" si="353"/>
        <v>#N/A</v>
      </c>
      <c r="AS375" t="e">
        <f t="shared" si="354"/>
        <v>#N/A</v>
      </c>
      <c r="AT375" t="e">
        <f t="shared" si="355"/>
        <v>#N/A</v>
      </c>
      <c r="AU375" t="e">
        <f t="shared" si="356"/>
        <v>#N/A</v>
      </c>
      <c r="AV375" t="e">
        <f t="shared" si="357"/>
        <v>#N/A</v>
      </c>
      <c r="AW375" t="e">
        <f t="shared" si="358"/>
        <v>#N/A</v>
      </c>
      <c r="AX375" t="e">
        <f t="shared" si="359"/>
        <v>#N/A</v>
      </c>
      <c r="AY375" t="e">
        <f t="shared" si="360"/>
        <v>#N/A</v>
      </c>
      <c r="BE375" t="e">
        <f>IF(Z375=1,IF(INDEX($C$7:$C$126,V375)&gt;=Gantt!$BF$6,NA(),MATCH(INDEX($C$7:$C$126,V375),Gantt!$J$6:$BE$6,1)),NA())</f>
        <v>#N/A</v>
      </c>
      <c r="BF375" t="e">
        <f>IF(Z375=1,IF((INDEX($D$7:$D$126,AA375)-1)&gt;=Gantt!$BF$6,NA(),IF((INDEX($D$7:$D$126,AA375)-1)&lt;Gantt!$J$6,0,MATCH((INDEX($D$7:$D$126,AA375)-1),Gantt!$J$6:$BE$6,1))),NA())</f>
        <v>#N/A</v>
      </c>
      <c r="BG375" t="e">
        <f t="shared" si="361"/>
        <v>#N/A</v>
      </c>
      <c r="BH375" t="e">
        <f t="shared" si="362"/>
        <v>#N/A</v>
      </c>
      <c r="BI375" t="e">
        <f t="shared" si="363"/>
        <v>#N/A</v>
      </c>
      <c r="BJ375" t="e">
        <f t="shared" si="364"/>
        <v>#N/A</v>
      </c>
      <c r="BK375" t="e">
        <f t="shared" si="365"/>
        <v>#N/A</v>
      </c>
      <c r="BL375" t="e">
        <f t="shared" si="366"/>
        <v>#N/A</v>
      </c>
      <c r="BM375" t="e">
        <f t="shared" si="367"/>
        <v>#N/A</v>
      </c>
      <c r="BN375" t="e">
        <f t="shared" si="368"/>
        <v>#N/A</v>
      </c>
      <c r="BO375" t="e">
        <f t="shared" si="369"/>
        <v>#N/A</v>
      </c>
      <c r="BP375" t="e">
        <f t="shared" si="370"/>
        <v>#N/A</v>
      </c>
      <c r="BQ375" t="e">
        <f t="shared" si="371"/>
        <v>#N/A</v>
      </c>
      <c r="BR375" t="e">
        <f t="shared" si="372"/>
        <v>#N/A</v>
      </c>
      <c r="BS375" t="e">
        <f t="shared" si="373"/>
        <v>#N/A</v>
      </c>
      <c r="BT375" t="e">
        <f t="shared" si="374"/>
        <v>#N/A</v>
      </c>
      <c r="BU375" t="e">
        <f t="shared" si="375"/>
        <v>#N/A</v>
      </c>
      <c r="BV375" t="e">
        <f t="shared" si="376"/>
        <v>#N/A</v>
      </c>
      <c r="BW375" t="e">
        <f t="shared" si="377"/>
        <v>#N/A</v>
      </c>
      <c r="BX375" t="e">
        <f t="shared" si="378"/>
        <v>#N/A</v>
      </c>
      <c r="BY375" t="e">
        <f t="shared" si="379"/>
        <v>#N/A</v>
      </c>
      <c r="BZ375" t="e">
        <f t="shared" si="380"/>
        <v>#N/A</v>
      </c>
      <c r="CA375" t="e">
        <f t="shared" si="381"/>
        <v>#N/A</v>
      </c>
      <c r="CB375" t="e">
        <f t="shared" si="382"/>
        <v>#N/A</v>
      </c>
      <c r="CC375" t="e">
        <f t="shared" si="383"/>
        <v>#N/A</v>
      </c>
      <c r="CD375" t="e">
        <f t="shared" si="384"/>
        <v>#N/A</v>
      </c>
      <c r="CE375" t="e">
        <f t="shared" si="385"/>
        <v>#N/A</v>
      </c>
      <c r="CF375" t="e">
        <f t="shared" si="386"/>
        <v>#N/A</v>
      </c>
      <c r="CG375" t="e">
        <f t="shared" si="387"/>
        <v>#N/A</v>
      </c>
      <c r="CI375" t="e">
        <f>AT129</f>
        <v>#N/A</v>
      </c>
      <c r="CJ375" t="e">
        <f>AU129</f>
        <v>#N/A</v>
      </c>
      <c r="CK375">
        <f>IF(ISNUMBER(CI375),IFERROR(MAX(0,AV129-CI375),0),0)</f>
        <v>0</v>
      </c>
      <c r="CL375">
        <f>IF(ISNUMBER(CI375),IFERROR(MAX(0,CI375-AV129),0),0)</f>
        <v>0</v>
      </c>
      <c r="CM375">
        <f>IF(ISNUMBER(CJ375),IFERROR(MAX(0,AW129-CJ375),0),0)</f>
        <v>0</v>
      </c>
      <c r="CN375">
        <f>IF(ISNUMBER(CJ375),IFERROR(MAX(0,CJ375-AW129),0),0)</f>
        <v>0</v>
      </c>
      <c r="CP375" t="e">
        <f>CB129</f>
        <v>#N/A</v>
      </c>
      <c r="CQ375" t="e">
        <f>CC129</f>
        <v>#N/A</v>
      </c>
      <c r="CR375">
        <f>IF(ISNUMBER(CP375),IFERROR(MAX(0,CD129-CP375),0),0)</f>
        <v>0</v>
      </c>
      <c r="CS375">
        <f>IF(ISNUMBER(CP375),IFERROR(MAX(0,CP375-CD129),0),0)</f>
        <v>0</v>
      </c>
      <c r="CT375">
        <f>IF(ISNUMBER(CQ375),IFERROR(MAX(0,CE129-CQ375),0),0)</f>
        <v>0</v>
      </c>
      <c r="CU375">
        <f>IF(ISNUMBER(CQ375),IFERROR(MAX(0,CQ375-CE129),0),0)</f>
        <v>0</v>
      </c>
    </row>
    <row r="376" spans="21:99" x14ac:dyDescent="0.3">
      <c r="U376">
        <v>370</v>
      </c>
      <c r="V376">
        <f t="shared" si="332"/>
        <v>93</v>
      </c>
      <c r="W376">
        <f t="shared" si="333"/>
        <v>2</v>
      </c>
      <c r="X376">
        <f t="shared" si="334"/>
        <v>0</v>
      </c>
      <c r="Y376">
        <f>IF(X376&lt;&gt;1,9999,CHOOSE(W376,INDEX(Gantt!$BQ$7:$BQ$119,V376),INDEX(Gantt!$BR$7:$BR$119,V376),INDEX(Gantt!$BT$7:$BT$119,V376),INDEX(Gantt!$BU$7:$BU$119,V376)))</f>
        <v>9999</v>
      </c>
      <c r="Z376">
        <f t="shared" si="335"/>
        <v>0</v>
      </c>
      <c r="AA376" t="e">
        <f t="shared" si="336"/>
        <v>#N/A</v>
      </c>
      <c r="AB376" t="e">
        <f t="shared" si="337"/>
        <v>#N/A</v>
      </c>
      <c r="AC376" t="e">
        <f t="shared" si="338"/>
        <v>#N/A</v>
      </c>
      <c r="AD376" t="e">
        <f t="shared" si="339"/>
        <v>#N/A</v>
      </c>
      <c r="AE376" t="e">
        <f t="shared" si="340"/>
        <v>#N/A</v>
      </c>
      <c r="AF376" t="e">
        <f t="shared" si="341"/>
        <v>#N/A</v>
      </c>
      <c r="AG376" t="e">
        <f t="shared" si="342"/>
        <v>#N/A</v>
      </c>
      <c r="AH376" t="e">
        <f t="shared" si="343"/>
        <v>#N/A</v>
      </c>
      <c r="AI376" t="e">
        <f t="shared" si="344"/>
        <v>#N/A</v>
      </c>
      <c r="AJ376" t="e">
        <f t="shared" si="345"/>
        <v>#N/A</v>
      </c>
      <c r="AK376" t="e">
        <f t="shared" si="346"/>
        <v>#N/A</v>
      </c>
      <c r="AL376" t="e">
        <f t="shared" si="347"/>
        <v>#N/A</v>
      </c>
      <c r="AM376" t="e">
        <f t="shared" si="348"/>
        <v>#N/A</v>
      </c>
      <c r="AN376" t="e">
        <f t="shared" si="349"/>
        <v>#N/A</v>
      </c>
      <c r="AO376" t="e">
        <f t="shared" si="350"/>
        <v>#N/A</v>
      </c>
      <c r="AP376" t="e">
        <f t="shared" si="351"/>
        <v>#N/A</v>
      </c>
      <c r="AQ376" t="e">
        <f t="shared" si="352"/>
        <v>#N/A</v>
      </c>
      <c r="AR376" t="e">
        <f t="shared" si="353"/>
        <v>#N/A</v>
      </c>
      <c r="AS376" t="e">
        <f t="shared" si="354"/>
        <v>#N/A</v>
      </c>
      <c r="AT376" t="e">
        <f t="shared" si="355"/>
        <v>#N/A</v>
      </c>
      <c r="AU376" t="e">
        <f t="shared" si="356"/>
        <v>#N/A</v>
      </c>
      <c r="AV376" t="e">
        <f t="shared" si="357"/>
        <v>#N/A</v>
      </c>
      <c r="AW376" t="e">
        <f t="shared" si="358"/>
        <v>#N/A</v>
      </c>
      <c r="AX376" t="e">
        <f t="shared" si="359"/>
        <v>#N/A</v>
      </c>
      <c r="AY376" t="e">
        <f t="shared" si="360"/>
        <v>#N/A</v>
      </c>
      <c r="BE376" t="e">
        <f>IF(Z376=1,IF(INDEX($C$7:$C$126,V376)&gt;=Gantt!$BF$6,NA(),MATCH(INDEX($C$7:$C$126,V376),Gantt!$J$6:$BE$6,1)),NA())</f>
        <v>#N/A</v>
      </c>
      <c r="BF376" t="e">
        <f>IF(Z376=1,IF((INDEX($D$7:$D$126,AA376)-1)&gt;=Gantt!$BF$6,NA(),IF((INDEX($D$7:$D$126,AA376)-1)&lt;Gantt!$J$6,0,MATCH((INDEX($D$7:$D$126,AA376)-1),Gantt!$J$6:$BE$6,1))),NA())</f>
        <v>#N/A</v>
      </c>
      <c r="BG376" t="e">
        <f t="shared" si="361"/>
        <v>#N/A</v>
      </c>
      <c r="BH376" t="e">
        <f t="shared" si="362"/>
        <v>#N/A</v>
      </c>
      <c r="BI376" t="e">
        <f t="shared" si="363"/>
        <v>#N/A</v>
      </c>
      <c r="BJ376" t="e">
        <f t="shared" si="364"/>
        <v>#N/A</v>
      </c>
      <c r="BK376" t="e">
        <f t="shared" si="365"/>
        <v>#N/A</v>
      </c>
      <c r="BL376" t="e">
        <f t="shared" si="366"/>
        <v>#N/A</v>
      </c>
      <c r="BM376" t="e">
        <f t="shared" si="367"/>
        <v>#N/A</v>
      </c>
      <c r="BN376" t="e">
        <f t="shared" si="368"/>
        <v>#N/A</v>
      </c>
      <c r="BO376" t="e">
        <f t="shared" si="369"/>
        <v>#N/A</v>
      </c>
      <c r="BP376" t="e">
        <f t="shared" si="370"/>
        <v>#N/A</v>
      </c>
      <c r="BQ376" t="e">
        <f t="shared" si="371"/>
        <v>#N/A</v>
      </c>
      <c r="BR376" t="e">
        <f t="shared" si="372"/>
        <v>#N/A</v>
      </c>
      <c r="BS376" t="e">
        <f t="shared" si="373"/>
        <v>#N/A</v>
      </c>
      <c r="BT376" t="e">
        <f t="shared" si="374"/>
        <v>#N/A</v>
      </c>
      <c r="BU376" t="e">
        <f t="shared" si="375"/>
        <v>#N/A</v>
      </c>
      <c r="BV376" t="e">
        <f t="shared" si="376"/>
        <v>#N/A</v>
      </c>
      <c r="BW376" t="e">
        <f t="shared" si="377"/>
        <v>#N/A</v>
      </c>
      <c r="BX376" t="e">
        <f t="shared" si="378"/>
        <v>#N/A</v>
      </c>
      <c r="BY376" t="e">
        <f t="shared" si="379"/>
        <v>#N/A</v>
      </c>
      <c r="BZ376" t="e">
        <f t="shared" si="380"/>
        <v>#N/A</v>
      </c>
      <c r="CA376" t="e">
        <f t="shared" si="381"/>
        <v>#N/A</v>
      </c>
      <c r="CB376" t="e">
        <f t="shared" si="382"/>
        <v>#N/A</v>
      </c>
      <c r="CC376" t="e">
        <f t="shared" si="383"/>
        <v>#N/A</v>
      </c>
      <c r="CD376" t="e">
        <f t="shared" si="384"/>
        <v>#N/A</v>
      </c>
      <c r="CE376" t="e">
        <f t="shared" si="385"/>
        <v>#N/A</v>
      </c>
      <c r="CF376" t="e">
        <f t="shared" si="386"/>
        <v>#N/A</v>
      </c>
      <c r="CG376" t="e">
        <f t="shared" si="387"/>
        <v>#N/A</v>
      </c>
      <c r="CI376" t="e">
        <f>AL130</f>
        <v>#N/A</v>
      </c>
      <c r="CJ376" t="e">
        <f>AM130</f>
        <v>#N/A</v>
      </c>
      <c r="CK376">
        <f>IF(ISNUMBER(CI376),IFERROR(MAX(0,AN130-CI376),0),0)</f>
        <v>0</v>
      </c>
      <c r="CL376">
        <f>IF(ISNUMBER(CI376),IFERROR(MAX(0,CI376-AN130),0),0)</f>
        <v>0</v>
      </c>
      <c r="CM376">
        <f>IF(ISNUMBER(CJ376),IFERROR(MAX(0,AO130-CJ376),0),0)</f>
        <v>0</v>
      </c>
      <c r="CN376">
        <f>IF(ISNUMBER(CJ376),IFERROR(MAX(0,CJ376-AO130),0),0)</f>
        <v>0</v>
      </c>
      <c r="CP376" t="e">
        <f>BT130</f>
        <v>#N/A</v>
      </c>
      <c r="CQ376" t="e">
        <f>BU130</f>
        <v>#N/A</v>
      </c>
      <c r="CR376">
        <f>IF(ISNUMBER(CP376),IFERROR(MAX(0,BV130-CP376),0),0)</f>
        <v>0</v>
      </c>
      <c r="CS376">
        <f>IF(ISNUMBER(CP376),IFERROR(MAX(0,CP376-BV130),0),0)</f>
        <v>0</v>
      </c>
      <c r="CT376">
        <f>IF(ISNUMBER(CQ376),IFERROR(MAX(0,BW130-CQ376),0),0)</f>
        <v>0</v>
      </c>
      <c r="CU376">
        <f>IF(ISNUMBER(CQ376),IFERROR(MAX(0,CQ376-BW130),0),0)</f>
        <v>0</v>
      </c>
    </row>
    <row r="377" spans="21:99" x14ac:dyDescent="0.3">
      <c r="U377">
        <v>371</v>
      </c>
      <c r="V377">
        <f t="shared" si="332"/>
        <v>93</v>
      </c>
      <c r="W377">
        <f t="shared" si="333"/>
        <v>3</v>
      </c>
      <c r="X377">
        <f t="shared" si="334"/>
        <v>0</v>
      </c>
      <c r="Y377">
        <f>IF(X377&lt;&gt;1,9999,CHOOSE(W377,INDEX(Gantt!$BQ$7:$BQ$119,V377),INDEX(Gantt!$BR$7:$BR$119,V377),INDEX(Gantt!$BT$7:$BT$119,V377),INDEX(Gantt!$BU$7:$BU$119,V377)))</f>
        <v>9999</v>
      </c>
      <c r="Z377">
        <f t="shared" si="335"/>
        <v>0</v>
      </c>
      <c r="AA377" t="e">
        <f t="shared" si="336"/>
        <v>#N/A</v>
      </c>
      <c r="AB377" t="e">
        <f t="shared" si="337"/>
        <v>#N/A</v>
      </c>
      <c r="AC377" t="e">
        <f t="shared" si="338"/>
        <v>#N/A</v>
      </c>
      <c r="AD377" t="e">
        <f t="shared" si="339"/>
        <v>#N/A</v>
      </c>
      <c r="AE377" t="e">
        <f t="shared" si="340"/>
        <v>#N/A</v>
      </c>
      <c r="AF377" t="e">
        <f t="shared" si="341"/>
        <v>#N/A</v>
      </c>
      <c r="AG377" t="e">
        <f t="shared" si="342"/>
        <v>#N/A</v>
      </c>
      <c r="AH377" t="e">
        <f t="shared" si="343"/>
        <v>#N/A</v>
      </c>
      <c r="AI377" t="e">
        <f t="shared" si="344"/>
        <v>#N/A</v>
      </c>
      <c r="AJ377" t="e">
        <f t="shared" si="345"/>
        <v>#N/A</v>
      </c>
      <c r="AK377" t="e">
        <f t="shared" si="346"/>
        <v>#N/A</v>
      </c>
      <c r="AL377" t="e">
        <f t="shared" si="347"/>
        <v>#N/A</v>
      </c>
      <c r="AM377" t="e">
        <f t="shared" si="348"/>
        <v>#N/A</v>
      </c>
      <c r="AN377" t="e">
        <f t="shared" si="349"/>
        <v>#N/A</v>
      </c>
      <c r="AO377" t="e">
        <f t="shared" si="350"/>
        <v>#N/A</v>
      </c>
      <c r="AP377" t="e">
        <f t="shared" si="351"/>
        <v>#N/A</v>
      </c>
      <c r="AQ377" t="e">
        <f t="shared" si="352"/>
        <v>#N/A</v>
      </c>
      <c r="AR377" t="e">
        <f t="shared" si="353"/>
        <v>#N/A</v>
      </c>
      <c r="AS377" t="e">
        <f t="shared" si="354"/>
        <v>#N/A</v>
      </c>
      <c r="AT377" t="e">
        <f t="shared" si="355"/>
        <v>#N/A</v>
      </c>
      <c r="AU377" t="e">
        <f t="shared" si="356"/>
        <v>#N/A</v>
      </c>
      <c r="AV377" t="e">
        <f t="shared" si="357"/>
        <v>#N/A</v>
      </c>
      <c r="AW377" t="e">
        <f t="shared" si="358"/>
        <v>#N/A</v>
      </c>
      <c r="AX377" t="e">
        <f t="shared" si="359"/>
        <v>#N/A</v>
      </c>
      <c r="AY377" t="e">
        <f t="shared" si="360"/>
        <v>#N/A</v>
      </c>
      <c r="BE377" t="e">
        <f>IF(Z377=1,IF(INDEX($C$7:$C$126,V377)&gt;=Gantt!$BF$6,NA(),MATCH(INDEX($C$7:$C$126,V377),Gantt!$J$6:$BE$6,1)),NA())</f>
        <v>#N/A</v>
      </c>
      <c r="BF377" t="e">
        <f>IF(Z377=1,IF((INDEX($D$7:$D$126,AA377)-1)&gt;=Gantt!$BF$6,NA(),IF((INDEX($D$7:$D$126,AA377)-1)&lt;Gantt!$J$6,0,MATCH((INDEX($D$7:$D$126,AA377)-1),Gantt!$J$6:$BE$6,1))),NA())</f>
        <v>#N/A</v>
      </c>
      <c r="BG377" t="e">
        <f t="shared" si="361"/>
        <v>#N/A</v>
      </c>
      <c r="BH377" t="e">
        <f t="shared" si="362"/>
        <v>#N/A</v>
      </c>
      <c r="BI377" t="e">
        <f t="shared" si="363"/>
        <v>#N/A</v>
      </c>
      <c r="BJ377" t="e">
        <f t="shared" si="364"/>
        <v>#N/A</v>
      </c>
      <c r="BK377" t="e">
        <f t="shared" si="365"/>
        <v>#N/A</v>
      </c>
      <c r="BL377" t="e">
        <f t="shared" si="366"/>
        <v>#N/A</v>
      </c>
      <c r="BM377" t="e">
        <f t="shared" si="367"/>
        <v>#N/A</v>
      </c>
      <c r="BN377" t="e">
        <f t="shared" si="368"/>
        <v>#N/A</v>
      </c>
      <c r="BO377" t="e">
        <f t="shared" si="369"/>
        <v>#N/A</v>
      </c>
      <c r="BP377" t="e">
        <f t="shared" si="370"/>
        <v>#N/A</v>
      </c>
      <c r="BQ377" t="e">
        <f t="shared" si="371"/>
        <v>#N/A</v>
      </c>
      <c r="BR377" t="e">
        <f t="shared" si="372"/>
        <v>#N/A</v>
      </c>
      <c r="BS377" t="e">
        <f t="shared" si="373"/>
        <v>#N/A</v>
      </c>
      <c r="BT377" t="e">
        <f t="shared" si="374"/>
        <v>#N/A</v>
      </c>
      <c r="BU377" t="e">
        <f t="shared" si="375"/>
        <v>#N/A</v>
      </c>
      <c r="BV377" t="e">
        <f t="shared" si="376"/>
        <v>#N/A</v>
      </c>
      <c r="BW377" t="e">
        <f t="shared" si="377"/>
        <v>#N/A</v>
      </c>
      <c r="BX377" t="e">
        <f t="shared" si="378"/>
        <v>#N/A</v>
      </c>
      <c r="BY377" t="e">
        <f t="shared" si="379"/>
        <v>#N/A</v>
      </c>
      <c r="BZ377" t="e">
        <f t="shared" si="380"/>
        <v>#N/A</v>
      </c>
      <c r="CA377" t="e">
        <f t="shared" si="381"/>
        <v>#N/A</v>
      </c>
      <c r="CB377" t="e">
        <f t="shared" si="382"/>
        <v>#N/A</v>
      </c>
      <c r="CC377" t="e">
        <f t="shared" si="383"/>
        <v>#N/A</v>
      </c>
      <c r="CD377" t="e">
        <f t="shared" si="384"/>
        <v>#N/A</v>
      </c>
      <c r="CE377" t="e">
        <f t="shared" si="385"/>
        <v>#N/A</v>
      </c>
      <c r="CF377" t="e">
        <f t="shared" si="386"/>
        <v>#N/A</v>
      </c>
      <c r="CG377" t="e">
        <f t="shared" si="387"/>
        <v>#N/A</v>
      </c>
      <c r="CI377" t="e">
        <f>AP130</f>
        <v>#N/A</v>
      </c>
      <c r="CJ377" t="e">
        <f>AQ130</f>
        <v>#N/A</v>
      </c>
      <c r="CK377">
        <f>IF(ISNUMBER(CI377),IFERROR(MAX(0,AR130-CI377),0),0)</f>
        <v>0</v>
      </c>
      <c r="CL377">
        <f>IF(ISNUMBER(CI377),IFERROR(MAX(0,CI377-AR130),0),0)</f>
        <v>0</v>
      </c>
      <c r="CM377">
        <f>IF(ISNUMBER(CJ377),IFERROR(MAX(0,AS130-CJ377),0),0)</f>
        <v>0</v>
      </c>
      <c r="CN377">
        <f>IF(ISNUMBER(CJ377),IFERROR(MAX(0,CJ377-AS130),0),0)</f>
        <v>0</v>
      </c>
      <c r="CP377" t="e">
        <f>BX130</f>
        <v>#N/A</v>
      </c>
      <c r="CQ377" t="e">
        <f>BY130</f>
        <v>#N/A</v>
      </c>
      <c r="CR377">
        <f>IF(ISNUMBER(CP377),IFERROR(MAX(0,BZ130-CP377),0),0)</f>
        <v>0</v>
      </c>
      <c r="CS377">
        <f>IF(ISNUMBER(CP377),IFERROR(MAX(0,CP377-BZ130),0),0)</f>
        <v>0</v>
      </c>
      <c r="CT377">
        <f>IF(ISNUMBER(CQ377),IFERROR(MAX(0,CA130-CQ377),0),0)</f>
        <v>0</v>
      </c>
      <c r="CU377">
        <f>IF(ISNUMBER(CQ377),IFERROR(MAX(0,CQ377-CA130),0),0)</f>
        <v>0</v>
      </c>
    </row>
    <row r="378" spans="21:99" x14ac:dyDescent="0.3">
      <c r="U378">
        <v>372</v>
      </c>
      <c r="V378">
        <f t="shared" si="332"/>
        <v>93</v>
      </c>
      <c r="W378">
        <f t="shared" si="333"/>
        <v>4</v>
      </c>
      <c r="X378">
        <f t="shared" si="334"/>
        <v>0</v>
      </c>
      <c r="Y378">
        <f>IF(X378&lt;&gt;1,9999,CHOOSE(W378,INDEX(Gantt!$BQ$7:$BQ$119,V378),INDEX(Gantt!$BR$7:$BR$119,V378),INDEX(Gantt!$BT$7:$BT$119,V378),INDEX(Gantt!$BU$7:$BU$119,V378)))</f>
        <v>9999</v>
      </c>
      <c r="Z378">
        <f t="shared" si="335"/>
        <v>0</v>
      </c>
      <c r="AA378" t="e">
        <f t="shared" si="336"/>
        <v>#N/A</v>
      </c>
      <c r="AB378" t="e">
        <f t="shared" si="337"/>
        <v>#N/A</v>
      </c>
      <c r="AC378" t="e">
        <f t="shared" si="338"/>
        <v>#N/A</v>
      </c>
      <c r="AD378" t="e">
        <f t="shared" si="339"/>
        <v>#N/A</v>
      </c>
      <c r="AE378" t="e">
        <f t="shared" si="340"/>
        <v>#N/A</v>
      </c>
      <c r="AF378" t="e">
        <f t="shared" si="341"/>
        <v>#N/A</v>
      </c>
      <c r="AG378" t="e">
        <f t="shared" si="342"/>
        <v>#N/A</v>
      </c>
      <c r="AH378" t="e">
        <f t="shared" si="343"/>
        <v>#N/A</v>
      </c>
      <c r="AI378" t="e">
        <f t="shared" si="344"/>
        <v>#N/A</v>
      </c>
      <c r="AJ378" t="e">
        <f t="shared" si="345"/>
        <v>#N/A</v>
      </c>
      <c r="AK378" t="e">
        <f t="shared" si="346"/>
        <v>#N/A</v>
      </c>
      <c r="AL378" t="e">
        <f t="shared" si="347"/>
        <v>#N/A</v>
      </c>
      <c r="AM378" t="e">
        <f t="shared" si="348"/>
        <v>#N/A</v>
      </c>
      <c r="AN378" t="e">
        <f t="shared" si="349"/>
        <v>#N/A</v>
      </c>
      <c r="AO378" t="e">
        <f t="shared" si="350"/>
        <v>#N/A</v>
      </c>
      <c r="AP378" t="e">
        <f t="shared" si="351"/>
        <v>#N/A</v>
      </c>
      <c r="AQ378" t="e">
        <f t="shared" si="352"/>
        <v>#N/A</v>
      </c>
      <c r="AR378" t="e">
        <f t="shared" si="353"/>
        <v>#N/A</v>
      </c>
      <c r="AS378" t="e">
        <f t="shared" si="354"/>
        <v>#N/A</v>
      </c>
      <c r="AT378" t="e">
        <f t="shared" si="355"/>
        <v>#N/A</v>
      </c>
      <c r="AU378" t="e">
        <f t="shared" si="356"/>
        <v>#N/A</v>
      </c>
      <c r="AV378" t="e">
        <f t="shared" si="357"/>
        <v>#N/A</v>
      </c>
      <c r="AW378" t="e">
        <f t="shared" si="358"/>
        <v>#N/A</v>
      </c>
      <c r="AX378" t="e">
        <f t="shared" si="359"/>
        <v>#N/A</v>
      </c>
      <c r="AY378" t="e">
        <f t="shared" si="360"/>
        <v>#N/A</v>
      </c>
      <c r="BE378" t="e">
        <f>IF(Z378=1,IF(INDEX($C$7:$C$126,V378)&gt;=Gantt!$BF$6,NA(),MATCH(INDEX($C$7:$C$126,V378),Gantt!$J$6:$BE$6,1)),NA())</f>
        <v>#N/A</v>
      </c>
      <c r="BF378" t="e">
        <f>IF(Z378=1,IF((INDEX($D$7:$D$126,AA378)-1)&gt;=Gantt!$BF$6,NA(),IF((INDEX($D$7:$D$126,AA378)-1)&lt;Gantt!$J$6,0,MATCH((INDEX($D$7:$D$126,AA378)-1),Gantt!$J$6:$BE$6,1))),NA())</f>
        <v>#N/A</v>
      </c>
      <c r="BG378" t="e">
        <f t="shared" si="361"/>
        <v>#N/A</v>
      </c>
      <c r="BH378" t="e">
        <f t="shared" si="362"/>
        <v>#N/A</v>
      </c>
      <c r="BI378" t="e">
        <f t="shared" si="363"/>
        <v>#N/A</v>
      </c>
      <c r="BJ378" t="e">
        <f t="shared" si="364"/>
        <v>#N/A</v>
      </c>
      <c r="BK378" t="e">
        <f t="shared" si="365"/>
        <v>#N/A</v>
      </c>
      <c r="BL378" t="e">
        <f t="shared" si="366"/>
        <v>#N/A</v>
      </c>
      <c r="BM378" t="e">
        <f t="shared" si="367"/>
        <v>#N/A</v>
      </c>
      <c r="BN378" t="e">
        <f t="shared" si="368"/>
        <v>#N/A</v>
      </c>
      <c r="BO378" t="e">
        <f t="shared" si="369"/>
        <v>#N/A</v>
      </c>
      <c r="BP378" t="e">
        <f t="shared" si="370"/>
        <v>#N/A</v>
      </c>
      <c r="BQ378" t="e">
        <f t="shared" si="371"/>
        <v>#N/A</v>
      </c>
      <c r="BR378" t="e">
        <f t="shared" si="372"/>
        <v>#N/A</v>
      </c>
      <c r="BS378" t="e">
        <f t="shared" si="373"/>
        <v>#N/A</v>
      </c>
      <c r="BT378" t="e">
        <f t="shared" si="374"/>
        <v>#N/A</v>
      </c>
      <c r="BU378" t="e">
        <f t="shared" si="375"/>
        <v>#N/A</v>
      </c>
      <c r="BV378" t="e">
        <f t="shared" si="376"/>
        <v>#N/A</v>
      </c>
      <c r="BW378" t="e">
        <f t="shared" si="377"/>
        <v>#N/A</v>
      </c>
      <c r="BX378" t="e">
        <f t="shared" si="378"/>
        <v>#N/A</v>
      </c>
      <c r="BY378" t="e">
        <f t="shared" si="379"/>
        <v>#N/A</v>
      </c>
      <c r="BZ378" t="e">
        <f t="shared" si="380"/>
        <v>#N/A</v>
      </c>
      <c r="CA378" t="e">
        <f t="shared" si="381"/>
        <v>#N/A</v>
      </c>
      <c r="CB378" t="e">
        <f t="shared" si="382"/>
        <v>#N/A</v>
      </c>
      <c r="CC378" t="e">
        <f t="shared" si="383"/>
        <v>#N/A</v>
      </c>
      <c r="CD378" t="e">
        <f t="shared" si="384"/>
        <v>#N/A</v>
      </c>
      <c r="CE378" t="e">
        <f t="shared" si="385"/>
        <v>#N/A</v>
      </c>
      <c r="CF378" t="e">
        <f t="shared" si="386"/>
        <v>#N/A</v>
      </c>
      <c r="CG378" t="e">
        <f t="shared" si="387"/>
        <v>#N/A</v>
      </c>
      <c r="CI378" t="e">
        <f>AT130</f>
        <v>#N/A</v>
      </c>
      <c r="CJ378" t="e">
        <f>AU130</f>
        <v>#N/A</v>
      </c>
      <c r="CK378">
        <f>IF(ISNUMBER(CI378),IFERROR(MAX(0,AV130-CI378),0),0)</f>
        <v>0</v>
      </c>
      <c r="CL378">
        <f>IF(ISNUMBER(CI378),IFERROR(MAX(0,CI378-AV130),0),0)</f>
        <v>0</v>
      </c>
      <c r="CM378">
        <f>IF(ISNUMBER(CJ378),IFERROR(MAX(0,AW130-CJ378),0),0)</f>
        <v>0</v>
      </c>
      <c r="CN378">
        <f>IF(ISNUMBER(CJ378),IFERROR(MAX(0,CJ378-AW130),0),0)</f>
        <v>0</v>
      </c>
      <c r="CP378" t="e">
        <f>CB130</f>
        <v>#N/A</v>
      </c>
      <c r="CQ378" t="e">
        <f>CC130</f>
        <v>#N/A</v>
      </c>
      <c r="CR378">
        <f>IF(ISNUMBER(CP378),IFERROR(MAX(0,CD130-CP378),0),0)</f>
        <v>0</v>
      </c>
      <c r="CS378">
        <f>IF(ISNUMBER(CP378),IFERROR(MAX(0,CP378-CD130),0),0)</f>
        <v>0</v>
      </c>
      <c r="CT378">
        <f>IF(ISNUMBER(CQ378),IFERROR(MAX(0,CE130-CQ378),0),0)</f>
        <v>0</v>
      </c>
      <c r="CU378">
        <f>IF(ISNUMBER(CQ378),IFERROR(MAX(0,CQ378-CE130),0),0)</f>
        <v>0</v>
      </c>
    </row>
    <row r="379" spans="21:99" x14ac:dyDescent="0.3">
      <c r="U379">
        <v>373</v>
      </c>
      <c r="V379">
        <f t="shared" si="332"/>
        <v>94</v>
      </c>
      <c r="W379">
        <f t="shared" si="333"/>
        <v>1</v>
      </c>
      <c r="X379">
        <f t="shared" si="334"/>
        <v>0</v>
      </c>
      <c r="Y379">
        <f>IF(X379&lt;&gt;1,9999,CHOOSE(W379,INDEX(Gantt!$BQ$7:$BQ$119,V379),INDEX(Gantt!$BR$7:$BR$119,V379),INDEX(Gantt!$BT$7:$BT$119,V379),INDEX(Gantt!$BU$7:$BU$119,V379)))</f>
        <v>9999</v>
      </c>
      <c r="Z379">
        <f t="shared" si="335"/>
        <v>0</v>
      </c>
      <c r="AA379" t="e">
        <f t="shared" si="336"/>
        <v>#N/A</v>
      </c>
      <c r="AB379" t="e">
        <f t="shared" si="337"/>
        <v>#N/A</v>
      </c>
      <c r="AC379" t="e">
        <f t="shared" si="338"/>
        <v>#N/A</v>
      </c>
      <c r="AD379" t="e">
        <f t="shared" si="339"/>
        <v>#N/A</v>
      </c>
      <c r="AE379" t="e">
        <f t="shared" si="340"/>
        <v>#N/A</v>
      </c>
      <c r="AF379" t="e">
        <f t="shared" si="341"/>
        <v>#N/A</v>
      </c>
      <c r="AG379" t="e">
        <f t="shared" si="342"/>
        <v>#N/A</v>
      </c>
      <c r="AH379" t="e">
        <f t="shared" si="343"/>
        <v>#N/A</v>
      </c>
      <c r="AI379" t="e">
        <f t="shared" si="344"/>
        <v>#N/A</v>
      </c>
      <c r="AJ379" t="e">
        <f t="shared" si="345"/>
        <v>#N/A</v>
      </c>
      <c r="AK379" t="e">
        <f t="shared" si="346"/>
        <v>#N/A</v>
      </c>
      <c r="AL379" t="e">
        <f t="shared" si="347"/>
        <v>#N/A</v>
      </c>
      <c r="AM379" t="e">
        <f t="shared" si="348"/>
        <v>#N/A</v>
      </c>
      <c r="AN379" t="e">
        <f t="shared" si="349"/>
        <v>#N/A</v>
      </c>
      <c r="AO379" t="e">
        <f t="shared" si="350"/>
        <v>#N/A</v>
      </c>
      <c r="AP379" t="e">
        <f t="shared" si="351"/>
        <v>#N/A</v>
      </c>
      <c r="AQ379" t="e">
        <f t="shared" si="352"/>
        <v>#N/A</v>
      </c>
      <c r="AR379" t="e">
        <f t="shared" si="353"/>
        <v>#N/A</v>
      </c>
      <c r="AS379" t="e">
        <f t="shared" si="354"/>
        <v>#N/A</v>
      </c>
      <c r="AT379" t="e">
        <f t="shared" si="355"/>
        <v>#N/A</v>
      </c>
      <c r="AU379" t="e">
        <f t="shared" si="356"/>
        <v>#N/A</v>
      </c>
      <c r="AV379" t="e">
        <f t="shared" si="357"/>
        <v>#N/A</v>
      </c>
      <c r="AW379" t="e">
        <f t="shared" si="358"/>
        <v>#N/A</v>
      </c>
      <c r="AX379" t="e">
        <f t="shared" si="359"/>
        <v>#N/A</v>
      </c>
      <c r="AY379" t="e">
        <f t="shared" si="360"/>
        <v>#N/A</v>
      </c>
      <c r="BE379" t="e">
        <f>IF(Z379=1,IF(INDEX($C$7:$C$126,V379)&gt;=Gantt!$BF$6,NA(),MATCH(INDEX($C$7:$C$126,V379),Gantt!$J$6:$BE$6,1)),NA())</f>
        <v>#N/A</v>
      </c>
      <c r="BF379" t="e">
        <f>IF(Z379=1,IF((INDEX($D$7:$D$126,AA379)-1)&gt;=Gantt!$BF$6,NA(),IF((INDEX($D$7:$D$126,AA379)-1)&lt;Gantt!$J$6,0,MATCH((INDEX($D$7:$D$126,AA379)-1),Gantt!$J$6:$BE$6,1))),NA())</f>
        <v>#N/A</v>
      </c>
      <c r="BG379" t="e">
        <f t="shared" si="361"/>
        <v>#N/A</v>
      </c>
      <c r="BH379" t="e">
        <f t="shared" si="362"/>
        <v>#N/A</v>
      </c>
      <c r="BI379" t="e">
        <f t="shared" si="363"/>
        <v>#N/A</v>
      </c>
      <c r="BJ379" t="e">
        <f t="shared" si="364"/>
        <v>#N/A</v>
      </c>
      <c r="BK379" t="e">
        <f t="shared" si="365"/>
        <v>#N/A</v>
      </c>
      <c r="BL379" t="e">
        <f t="shared" si="366"/>
        <v>#N/A</v>
      </c>
      <c r="BM379" t="e">
        <f t="shared" si="367"/>
        <v>#N/A</v>
      </c>
      <c r="BN379" t="e">
        <f t="shared" si="368"/>
        <v>#N/A</v>
      </c>
      <c r="BO379" t="e">
        <f t="shared" si="369"/>
        <v>#N/A</v>
      </c>
      <c r="BP379" t="e">
        <f t="shared" si="370"/>
        <v>#N/A</v>
      </c>
      <c r="BQ379" t="e">
        <f t="shared" si="371"/>
        <v>#N/A</v>
      </c>
      <c r="BR379" t="e">
        <f t="shared" si="372"/>
        <v>#N/A</v>
      </c>
      <c r="BS379" t="e">
        <f t="shared" si="373"/>
        <v>#N/A</v>
      </c>
      <c r="BT379" t="e">
        <f t="shared" si="374"/>
        <v>#N/A</v>
      </c>
      <c r="BU379" t="e">
        <f t="shared" si="375"/>
        <v>#N/A</v>
      </c>
      <c r="BV379" t="e">
        <f t="shared" si="376"/>
        <v>#N/A</v>
      </c>
      <c r="BW379" t="e">
        <f t="shared" si="377"/>
        <v>#N/A</v>
      </c>
      <c r="BX379" t="e">
        <f t="shared" si="378"/>
        <v>#N/A</v>
      </c>
      <c r="BY379" t="e">
        <f t="shared" si="379"/>
        <v>#N/A</v>
      </c>
      <c r="BZ379" t="e">
        <f t="shared" si="380"/>
        <v>#N/A</v>
      </c>
      <c r="CA379" t="e">
        <f t="shared" si="381"/>
        <v>#N/A</v>
      </c>
      <c r="CB379" t="e">
        <f t="shared" si="382"/>
        <v>#N/A</v>
      </c>
      <c r="CC379" t="e">
        <f t="shared" si="383"/>
        <v>#N/A</v>
      </c>
      <c r="CD379" t="e">
        <f t="shared" si="384"/>
        <v>#N/A</v>
      </c>
      <c r="CE379" t="e">
        <f t="shared" si="385"/>
        <v>#N/A</v>
      </c>
      <c r="CF379" t="e">
        <f t="shared" si="386"/>
        <v>#N/A</v>
      </c>
      <c r="CG379" t="e">
        <f t="shared" si="387"/>
        <v>#N/A</v>
      </c>
      <c r="CI379" t="e">
        <f>AL131</f>
        <v>#N/A</v>
      </c>
      <c r="CJ379" t="e">
        <f>AM131</f>
        <v>#N/A</v>
      </c>
      <c r="CK379">
        <f>IF(ISNUMBER(CI379),IFERROR(MAX(0,AN131-CI379),0),0)</f>
        <v>0</v>
      </c>
      <c r="CL379">
        <f>IF(ISNUMBER(CI379),IFERROR(MAX(0,CI379-AN131),0),0)</f>
        <v>0</v>
      </c>
      <c r="CM379">
        <f>IF(ISNUMBER(CJ379),IFERROR(MAX(0,AO131-CJ379),0),0)</f>
        <v>0</v>
      </c>
      <c r="CN379">
        <f>IF(ISNUMBER(CJ379),IFERROR(MAX(0,CJ379-AO131),0),0)</f>
        <v>0</v>
      </c>
      <c r="CP379" t="e">
        <f>BT131</f>
        <v>#N/A</v>
      </c>
      <c r="CQ379" t="e">
        <f>BU131</f>
        <v>#N/A</v>
      </c>
      <c r="CR379">
        <f>IF(ISNUMBER(CP379),IFERROR(MAX(0,BV131-CP379),0),0)</f>
        <v>0</v>
      </c>
      <c r="CS379">
        <f>IF(ISNUMBER(CP379),IFERROR(MAX(0,CP379-BV131),0),0)</f>
        <v>0</v>
      </c>
      <c r="CT379">
        <f>IF(ISNUMBER(CQ379),IFERROR(MAX(0,BW131-CQ379),0),0)</f>
        <v>0</v>
      </c>
      <c r="CU379">
        <f>IF(ISNUMBER(CQ379),IFERROR(MAX(0,CQ379-BW131),0),0)</f>
        <v>0</v>
      </c>
    </row>
    <row r="380" spans="21:99" x14ac:dyDescent="0.3">
      <c r="U380">
        <v>374</v>
      </c>
      <c r="V380">
        <f t="shared" si="332"/>
        <v>94</v>
      </c>
      <c r="W380">
        <f t="shared" si="333"/>
        <v>2</v>
      </c>
      <c r="X380">
        <f t="shared" si="334"/>
        <v>0</v>
      </c>
      <c r="Y380">
        <f>IF(X380&lt;&gt;1,9999,CHOOSE(W380,INDEX(Gantt!$BQ$7:$BQ$119,V380),INDEX(Gantt!$BR$7:$BR$119,V380),INDEX(Gantt!$BT$7:$BT$119,V380),INDEX(Gantt!$BU$7:$BU$119,V380)))</f>
        <v>9999</v>
      </c>
      <c r="Z380">
        <f t="shared" si="335"/>
        <v>0</v>
      </c>
      <c r="AA380" t="e">
        <f t="shared" si="336"/>
        <v>#N/A</v>
      </c>
      <c r="AB380" t="e">
        <f t="shared" si="337"/>
        <v>#N/A</v>
      </c>
      <c r="AC380" t="e">
        <f t="shared" si="338"/>
        <v>#N/A</v>
      </c>
      <c r="AD380" t="e">
        <f t="shared" si="339"/>
        <v>#N/A</v>
      </c>
      <c r="AE380" t="e">
        <f t="shared" si="340"/>
        <v>#N/A</v>
      </c>
      <c r="AF380" t="e">
        <f t="shared" si="341"/>
        <v>#N/A</v>
      </c>
      <c r="AG380" t="e">
        <f t="shared" si="342"/>
        <v>#N/A</v>
      </c>
      <c r="AH380" t="e">
        <f t="shared" si="343"/>
        <v>#N/A</v>
      </c>
      <c r="AI380" t="e">
        <f t="shared" si="344"/>
        <v>#N/A</v>
      </c>
      <c r="AJ380" t="e">
        <f t="shared" si="345"/>
        <v>#N/A</v>
      </c>
      <c r="AK380" t="e">
        <f t="shared" si="346"/>
        <v>#N/A</v>
      </c>
      <c r="AL380" t="e">
        <f t="shared" si="347"/>
        <v>#N/A</v>
      </c>
      <c r="AM380" t="e">
        <f t="shared" si="348"/>
        <v>#N/A</v>
      </c>
      <c r="AN380" t="e">
        <f t="shared" si="349"/>
        <v>#N/A</v>
      </c>
      <c r="AO380" t="e">
        <f t="shared" si="350"/>
        <v>#N/A</v>
      </c>
      <c r="AP380" t="e">
        <f t="shared" si="351"/>
        <v>#N/A</v>
      </c>
      <c r="AQ380" t="e">
        <f t="shared" si="352"/>
        <v>#N/A</v>
      </c>
      <c r="AR380" t="e">
        <f t="shared" si="353"/>
        <v>#N/A</v>
      </c>
      <c r="AS380" t="e">
        <f t="shared" si="354"/>
        <v>#N/A</v>
      </c>
      <c r="AT380" t="e">
        <f t="shared" si="355"/>
        <v>#N/A</v>
      </c>
      <c r="AU380" t="e">
        <f t="shared" si="356"/>
        <v>#N/A</v>
      </c>
      <c r="AV380" t="e">
        <f t="shared" si="357"/>
        <v>#N/A</v>
      </c>
      <c r="AW380" t="e">
        <f t="shared" si="358"/>
        <v>#N/A</v>
      </c>
      <c r="AX380" t="e">
        <f t="shared" si="359"/>
        <v>#N/A</v>
      </c>
      <c r="AY380" t="e">
        <f t="shared" si="360"/>
        <v>#N/A</v>
      </c>
      <c r="BE380" t="e">
        <f>IF(Z380=1,IF(INDEX($C$7:$C$126,V380)&gt;=Gantt!$BF$6,NA(),MATCH(INDEX($C$7:$C$126,V380),Gantt!$J$6:$BE$6,1)),NA())</f>
        <v>#N/A</v>
      </c>
      <c r="BF380" t="e">
        <f>IF(Z380=1,IF((INDEX($D$7:$D$126,AA380)-1)&gt;=Gantt!$BF$6,NA(),IF((INDEX($D$7:$D$126,AA380)-1)&lt;Gantt!$J$6,0,MATCH((INDEX($D$7:$D$126,AA380)-1),Gantt!$J$6:$BE$6,1))),NA())</f>
        <v>#N/A</v>
      </c>
      <c r="BG380" t="e">
        <f t="shared" si="361"/>
        <v>#N/A</v>
      </c>
      <c r="BH380" t="e">
        <f t="shared" si="362"/>
        <v>#N/A</v>
      </c>
      <c r="BI380" t="e">
        <f t="shared" si="363"/>
        <v>#N/A</v>
      </c>
      <c r="BJ380" t="e">
        <f t="shared" si="364"/>
        <v>#N/A</v>
      </c>
      <c r="BK380" t="e">
        <f t="shared" si="365"/>
        <v>#N/A</v>
      </c>
      <c r="BL380" t="e">
        <f t="shared" si="366"/>
        <v>#N/A</v>
      </c>
      <c r="BM380" t="e">
        <f t="shared" si="367"/>
        <v>#N/A</v>
      </c>
      <c r="BN380" t="e">
        <f t="shared" si="368"/>
        <v>#N/A</v>
      </c>
      <c r="BO380" t="e">
        <f t="shared" si="369"/>
        <v>#N/A</v>
      </c>
      <c r="BP380" t="e">
        <f t="shared" si="370"/>
        <v>#N/A</v>
      </c>
      <c r="BQ380" t="e">
        <f t="shared" si="371"/>
        <v>#N/A</v>
      </c>
      <c r="BR380" t="e">
        <f t="shared" si="372"/>
        <v>#N/A</v>
      </c>
      <c r="BS380" t="e">
        <f t="shared" si="373"/>
        <v>#N/A</v>
      </c>
      <c r="BT380" t="e">
        <f t="shared" si="374"/>
        <v>#N/A</v>
      </c>
      <c r="BU380" t="e">
        <f t="shared" si="375"/>
        <v>#N/A</v>
      </c>
      <c r="BV380" t="e">
        <f t="shared" si="376"/>
        <v>#N/A</v>
      </c>
      <c r="BW380" t="e">
        <f t="shared" si="377"/>
        <v>#N/A</v>
      </c>
      <c r="BX380" t="e">
        <f t="shared" si="378"/>
        <v>#N/A</v>
      </c>
      <c r="BY380" t="e">
        <f t="shared" si="379"/>
        <v>#N/A</v>
      </c>
      <c r="BZ380" t="e">
        <f t="shared" si="380"/>
        <v>#N/A</v>
      </c>
      <c r="CA380" t="e">
        <f t="shared" si="381"/>
        <v>#N/A</v>
      </c>
      <c r="CB380" t="e">
        <f t="shared" si="382"/>
        <v>#N/A</v>
      </c>
      <c r="CC380" t="e">
        <f t="shared" si="383"/>
        <v>#N/A</v>
      </c>
      <c r="CD380" t="e">
        <f t="shared" si="384"/>
        <v>#N/A</v>
      </c>
      <c r="CE380" t="e">
        <f t="shared" si="385"/>
        <v>#N/A</v>
      </c>
      <c r="CF380" t="e">
        <f t="shared" si="386"/>
        <v>#N/A</v>
      </c>
      <c r="CG380" t="e">
        <f t="shared" si="387"/>
        <v>#N/A</v>
      </c>
      <c r="CI380" t="e">
        <f>AP131</f>
        <v>#N/A</v>
      </c>
      <c r="CJ380" t="e">
        <f>AQ131</f>
        <v>#N/A</v>
      </c>
      <c r="CK380">
        <f>IF(ISNUMBER(CI380),IFERROR(MAX(0,AR131-CI380),0),0)</f>
        <v>0</v>
      </c>
      <c r="CL380">
        <f>IF(ISNUMBER(CI380),IFERROR(MAX(0,CI380-AR131),0),0)</f>
        <v>0</v>
      </c>
      <c r="CM380">
        <f>IF(ISNUMBER(CJ380),IFERROR(MAX(0,AS131-CJ380),0),0)</f>
        <v>0</v>
      </c>
      <c r="CN380">
        <f>IF(ISNUMBER(CJ380),IFERROR(MAX(0,CJ380-AS131),0),0)</f>
        <v>0</v>
      </c>
      <c r="CP380" t="e">
        <f>BX131</f>
        <v>#N/A</v>
      </c>
      <c r="CQ380" t="e">
        <f>BY131</f>
        <v>#N/A</v>
      </c>
      <c r="CR380">
        <f>IF(ISNUMBER(CP380),IFERROR(MAX(0,BZ131-CP380),0),0)</f>
        <v>0</v>
      </c>
      <c r="CS380">
        <f>IF(ISNUMBER(CP380),IFERROR(MAX(0,CP380-BZ131),0),0)</f>
        <v>0</v>
      </c>
      <c r="CT380">
        <f>IF(ISNUMBER(CQ380),IFERROR(MAX(0,CA131-CQ380),0),0)</f>
        <v>0</v>
      </c>
      <c r="CU380">
        <f>IF(ISNUMBER(CQ380),IFERROR(MAX(0,CQ380-CA131),0),0)</f>
        <v>0</v>
      </c>
    </row>
    <row r="381" spans="21:99" x14ac:dyDescent="0.3">
      <c r="U381">
        <v>375</v>
      </c>
      <c r="V381">
        <f t="shared" si="332"/>
        <v>94</v>
      </c>
      <c r="W381">
        <f t="shared" si="333"/>
        <v>3</v>
      </c>
      <c r="X381">
        <f t="shared" si="334"/>
        <v>0</v>
      </c>
      <c r="Y381">
        <f>IF(X381&lt;&gt;1,9999,CHOOSE(W381,INDEX(Gantt!$BQ$7:$BQ$119,V381),INDEX(Gantt!$BR$7:$BR$119,V381),INDEX(Gantt!$BT$7:$BT$119,V381),INDEX(Gantt!$BU$7:$BU$119,V381)))</f>
        <v>9999</v>
      </c>
      <c r="Z381">
        <f t="shared" si="335"/>
        <v>0</v>
      </c>
      <c r="AA381" t="e">
        <f t="shared" si="336"/>
        <v>#N/A</v>
      </c>
      <c r="AB381" t="e">
        <f t="shared" si="337"/>
        <v>#N/A</v>
      </c>
      <c r="AC381" t="e">
        <f t="shared" si="338"/>
        <v>#N/A</v>
      </c>
      <c r="AD381" t="e">
        <f t="shared" si="339"/>
        <v>#N/A</v>
      </c>
      <c r="AE381" t="e">
        <f t="shared" si="340"/>
        <v>#N/A</v>
      </c>
      <c r="AF381" t="e">
        <f t="shared" si="341"/>
        <v>#N/A</v>
      </c>
      <c r="AG381" t="e">
        <f t="shared" si="342"/>
        <v>#N/A</v>
      </c>
      <c r="AH381" t="e">
        <f t="shared" si="343"/>
        <v>#N/A</v>
      </c>
      <c r="AI381" t="e">
        <f t="shared" si="344"/>
        <v>#N/A</v>
      </c>
      <c r="AJ381" t="e">
        <f t="shared" si="345"/>
        <v>#N/A</v>
      </c>
      <c r="AK381" t="e">
        <f t="shared" si="346"/>
        <v>#N/A</v>
      </c>
      <c r="AL381" t="e">
        <f t="shared" si="347"/>
        <v>#N/A</v>
      </c>
      <c r="AM381" t="e">
        <f t="shared" si="348"/>
        <v>#N/A</v>
      </c>
      <c r="AN381" t="e">
        <f t="shared" si="349"/>
        <v>#N/A</v>
      </c>
      <c r="AO381" t="e">
        <f t="shared" si="350"/>
        <v>#N/A</v>
      </c>
      <c r="AP381" t="e">
        <f t="shared" si="351"/>
        <v>#N/A</v>
      </c>
      <c r="AQ381" t="e">
        <f t="shared" si="352"/>
        <v>#N/A</v>
      </c>
      <c r="AR381" t="e">
        <f t="shared" si="353"/>
        <v>#N/A</v>
      </c>
      <c r="AS381" t="e">
        <f t="shared" si="354"/>
        <v>#N/A</v>
      </c>
      <c r="AT381" t="e">
        <f t="shared" si="355"/>
        <v>#N/A</v>
      </c>
      <c r="AU381" t="e">
        <f t="shared" si="356"/>
        <v>#N/A</v>
      </c>
      <c r="AV381" t="e">
        <f t="shared" si="357"/>
        <v>#N/A</v>
      </c>
      <c r="AW381" t="e">
        <f t="shared" si="358"/>
        <v>#N/A</v>
      </c>
      <c r="AX381" t="e">
        <f t="shared" si="359"/>
        <v>#N/A</v>
      </c>
      <c r="AY381" t="e">
        <f t="shared" si="360"/>
        <v>#N/A</v>
      </c>
      <c r="BE381" t="e">
        <f>IF(Z381=1,IF(INDEX($C$7:$C$126,V381)&gt;=Gantt!$BF$6,NA(),MATCH(INDEX($C$7:$C$126,V381),Gantt!$J$6:$BE$6,1)),NA())</f>
        <v>#N/A</v>
      </c>
      <c r="BF381" t="e">
        <f>IF(Z381=1,IF((INDEX($D$7:$D$126,AA381)-1)&gt;=Gantt!$BF$6,NA(),IF((INDEX($D$7:$D$126,AA381)-1)&lt;Gantt!$J$6,0,MATCH((INDEX($D$7:$D$126,AA381)-1),Gantt!$J$6:$BE$6,1))),NA())</f>
        <v>#N/A</v>
      </c>
      <c r="BG381" t="e">
        <f t="shared" si="361"/>
        <v>#N/A</v>
      </c>
      <c r="BH381" t="e">
        <f t="shared" si="362"/>
        <v>#N/A</v>
      </c>
      <c r="BI381" t="e">
        <f t="shared" si="363"/>
        <v>#N/A</v>
      </c>
      <c r="BJ381" t="e">
        <f t="shared" si="364"/>
        <v>#N/A</v>
      </c>
      <c r="BK381" t="e">
        <f t="shared" si="365"/>
        <v>#N/A</v>
      </c>
      <c r="BL381" t="e">
        <f t="shared" si="366"/>
        <v>#N/A</v>
      </c>
      <c r="BM381" t="e">
        <f t="shared" si="367"/>
        <v>#N/A</v>
      </c>
      <c r="BN381" t="e">
        <f t="shared" si="368"/>
        <v>#N/A</v>
      </c>
      <c r="BO381" t="e">
        <f t="shared" si="369"/>
        <v>#N/A</v>
      </c>
      <c r="BP381" t="e">
        <f t="shared" si="370"/>
        <v>#N/A</v>
      </c>
      <c r="BQ381" t="e">
        <f t="shared" si="371"/>
        <v>#N/A</v>
      </c>
      <c r="BR381" t="e">
        <f t="shared" si="372"/>
        <v>#N/A</v>
      </c>
      <c r="BS381" t="e">
        <f t="shared" si="373"/>
        <v>#N/A</v>
      </c>
      <c r="BT381" t="e">
        <f t="shared" si="374"/>
        <v>#N/A</v>
      </c>
      <c r="BU381" t="e">
        <f t="shared" si="375"/>
        <v>#N/A</v>
      </c>
      <c r="BV381" t="e">
        <f t="shared" si="376"/>
        <v>#N/A</v>
      </c>
      <c r="BW381" t="e">
        <f t="shared" si="377"/>
        <v>#N/A</v>
      </c>
      <c r="BX381" t="e">
        <f t="shared" si="378"/>
        <v>#N/A</v>
      </c>
      <c r="BY381" t="e">
        <f t="shared" si="379"/>
        <v>#N/A</v>
      </c>
      <c r="BZ381" t="e">
        <f t="shared" si="380"/>
        <v>#N/A</v>
      </c>
      <c r="CA381" t="e">
        <f t="shared" si="381"/>
        <v>#N/A</v>
      </c>
      <c r="CB381" t="e">
        <f t="shared" si="382"/>
        <v>#N/A</v>
      </c>
      <c r="CC381" t="e">
        <f t="shared" si="383"/>
        <v>#N/A</v>
      </c>
      <c r="CD381" t="e">
        <f t="shared" si="384"/>
        <v>#N/A</v>
      </c>
      <c r="CE381" t="e">
        <f t="shared" si="385"/>
        <v>#N/A</v>
      </c>
      <c r="CF381" t="e">
        <f t="shared" si="386"/>
        <v>#N/A</v>
      </c>
      <c r="CG381" t="e">
        <f t="shared" si="387"/>
        <v>#N/A</v>
      </c>
      <c r="CI381" t="e">
        <f>AT131</f>
        <v>#N/A</v>
      </c>
      <c r="CJ381" t="e">
        <f>AU131</f>
        <v>#N/A</v>
      </c>
      <c r="CK381">
        <f>IF(ISNUMBER(CI381),IFERROR(MAX(0,AV131-CI381),0),0)</f>
        <v>0</v>
      </c>
      <c r="CL381">
        <f>IF(ISNUMBER(CI381),IFERROR(MAX(0,CI381-AV131),0),0)</f>
        <v>0</v>
      </c>
      <c r="CM381">
        <f>IF(ISNUMBER(CJ381),IFERROR(MAX(0,AW131-CJ381),0),0)</f>
        <v>0</v>
      </c>
      <c r="CN381">
        <f>IF(ISNUMBER(CJ381),IFERROR(MAX(0,CJ381-AW131),0),0)</f>
        <v>0</v>
      </c>
      <c r="CP381" t="e">
        <f>CB131</f>
        <v>#N/A</v>
      </c>
      <c r="CQ381" t="e">
        <f>CC131</f>
        <v>#N/A</v>
      </c>
      <c r="CR381">
        <f>IF(ISNUMBER(CP381),IFERROR(MAX(0,CD131-CP381),0),0)</f>
        <v>0</v>
      </c>
      <c r="CS381">
        <f>IF(ISNUMBER(CP381),IFERROR(MAX(0,CP381-CD131),0),0)</f>
        <v>0</v>
      </c>
      <c r="CT381">
        <f>IF(ISNUMBER(CQ381),IFERROR(MAX(0,CE131-CQ381),0),0)</f>
        <v>0</v>
      </c>
      <c r="CU381">
        <f>IF(ISNUMBER(CQ381),IFERROR(MAX(0,CQ381-CE131),0),0)</f>
        <v>0</v>
      </c>
    </row>
    <row r="382" spans="21:99" x14ac:dyDescent="0.3">
      <c r="U382">
        <v>376</v>
      </c>
      <c r="V382">
        <f t="shared" si="332"/>
        <v>94</v>
      </c>
      <c r="W382">
        <f t="shared" si="333"/>
        <v>4</v>
      </c>
      <c r="X382">
        <f t="shared" si="334"/>
        <v>0</v>
      </c>
      <c r="Y382">
        <f>IF(X382&lt;&gt;1,9999,CHOOSE(W382,INDEX(Gantt!$BQ$7:$BQ$119,V382),INDEX(Gantt!$BR$7:$BR$119,V382),INDEX(Gantt!$BT$7:$BT$119,V382),INDEX(Gantt!$BU$7:$BU$119,V382)))</f>
        <v>9999</v>
      </c>
      <c r="Z382">
        <f t="shared" si="335"/>
        <v>0</v>
      </c>
      <c r="AA382" t="e">
        <f t="shared" si="336"/>
        <v>#N/A</v>
      </c>
      <c r="AB382" t="e">
        <f t="shared" si="337"/>
        <v>#N/A</v>
      </c>
      <c r="AC382" t="e">
        <f t="shared" si="338"/>
        <v>#N/A</v>
      </c>
      <c r="AD382" t="e">
        <f t="shared" si="339"/>
        <v>#N/A</v>
      </c>
      <c r="AE382" t="e">
        <f t="shared" si="340"/>
        <v>#N/A</v>
      </c>
      <c r="AF382" t="e">
        <f t="shared" si="341"/>
        <v>#N/A</v>
      </c>
      <c r="AG382" t="e">
        <f t="shared" si="342"/>
        <v>#N/A</v>
      </c>
      <c r="AH382" t="e">
        <f t="shared" si="343"/>
        <v>#N/A</v>
      </c>
      <c r="AI382" t="e">
        <f t="shared" si="344"/>
        <v>#N/A</v>
      </c>
      <c r="AJ382" t="e">
        <f t="shared" si="345"/>
        <v>#N/A</v>
      </c>
      <c r="AK382" t="e">
        <f t="shared" si="346"/>
        <v>#N/A</v>
      </c>
      <c r="AL382" t="e">
        <f t="shared" si="347"/>
        <v>#N/A</v>
      </c>
      <c r="AM382" t="e">
        <f t="shared" si="348"/>
        <v>#N/A</v>
      </c>
      <c r="AN382" t="e">
        <f t="shared" si="349"/>
        <v>#N/A</v>
      </c>
      <c r="AO382" t="e">
        <f t="shared" si="350"/>
        <v>#N/A</v>
      </c>
      <c r="AP382" t="e">
        <f t="shared" si="351"/>
        <v>#N/A</v>
      </c>
      <c r="AQ382" t="e">
        <f t="shared" si="352"/>
        <v>#N/A</v>
      </c>
      <c r="AR382" t="e">
        <f t="shared" si="353"/>
        <v>#N/A</v>
      </c>
      <c r="AS382" t="e">
        <f t="shared" si="354"/>
        <v>#N/A</v>
      </c>
      <c r="AT382" t="e">
        <f t="shared" si="355"/>
        <v>#N/A</v>
      </c>
      <c r="AU382" t="e">
        <f t="shared" si="356"/>
        <v>#N/A</v>
      </c>
      <c r="AV382" t="e">
        <f t="shared" si="357"/>
        <v>#N/A</v>
      </c>
      <c r="AW382" t="e">
        <f t="shared" si="358"/>
        <v>#N/A</v>
      </c>
      <c r="AX382" t="e">
        <f t="shared" si="359"/>
        <v>#N/A</v>
      </c>
      <c r="AY382" t="e">
        <f t="shared" si="360"/>
        <v>#N/A</v>
      </c>
      <c r="BE382" t="e">
        <f>IF(Z382=1,IF(INDEX($C$7:$C$126,V382)&gt;=Gantt!$BF$6,NA(),MATCH(INDEX($C$7:$C$126,V382),Gantt!$J$6:$BE$6,1)),NA())</f>
        <v>#N/A</v>
      </c>
      <c r="BF382" t="e">
        <f>IF(Z382=1,IF((INDEX($D$7:$D$126,AA382)-1)&gt;=Gantt!$BF$6,NA(),IF((INDEX($D$7:$D$126,AA382)-1)&lt;Gantt!$J$6,0,MATCH((INDEX($D$7:$D$126,AA382)-1),Gantt!$J$6:$BE$6,1))),NA())</f>
        <v>#N/A</v>
      </c>
      <c r="BG382" t="e">
        <f t="shared" si="361"/>
        <v>#N/A</v>
      </c>
      <c r="BH382" t="e">
        <f t="shared" si="362"/>
        <v>#N/A</v>
      </c>
      <c r="BI382" t="e">
        <f t="shared" si="363"/>
        <v>#N/A</v>
      </c>
      <c r="BJ382" t="e">
        <f t="shared" si="364"/>
        <v>#N/A</v>
      </c>
      <c r="BK382" t="e">
        <f t="shared" si="365"/>
        <v>#N/A</v>
      </c>
      <c r="BL382" t="e">
        <f t="shared" si="366"/>
        <v>#N/A</v>
      </c>
      <c r="BM382" t="e">
        <f t="shared" si="367"/>
        <v>#N/A</v>
      </c>
      <c r="BN382" t="e">
        <f t="shared" si="368"/>
        <v>#N/A</v>
      </c>
      <c r="BO382" t="e">
        <f t="shared" si="369"/>
        <v>#N/A</v>
      </c>
      <c r="BP382" t="e">
        <f t="shared" si="370"/>
        <v>#N/A</v>
      </c>
      <c r="BQ382" t="e">
        <f t="shared" si="371"/>
        <v>#N/A</v>
      </c>
      <c r="BR382" t="e">
        <f t="shared" si="372"/>
        <v>#N/A</v>
      </c>
      <c r="BS382" t="e">
        <f t="shared" si="373"/>
        <v>#N/A</v>
      </c>
      <c r="BT382" t="e">
        <f t="shared" si="374"/>
        <v>#N/A</v>
      </c>
      <c r="BU382" t="e">
        <f t="shared" si="375"/>
        <v>#N/A</v>
      </c>
      <c r="BV382" t="e">
        <f t="shared" si="376"/>
        <v>#N/A</v>
      </c>
      <c r="BW382" t="e">
        <f t="shared" si="377"/>
        <v>#N/A</v>
      </c>
      <c r="BX382" t="e">
        <f t="shared" si="378"/>
        <v>#N/A</v>
      </c>
      <c r="BY382" t="e">
        <f t="shared" si="379"/>
        <v>#N/A</v>
      </c>
      <c r="BZ382" t="e">
        <f t="shared" si="380"/>
        <v>#N/A</v>
      </c>
      <c r="CA382" t="e">
        <f t="shared" si="381"/>
        <v>#N/A</v>
      </c>
      <c r="CB382" t="e">
        <f t="shared" si="382"/>
        <v>#N/A</v>
      </c>
      <c r="CC382" t="e">
        <f t="shared" si="383"/>
        <v>#N/A</v>
      </c>
      <c r="CD382" t="e">
        <f t="shared" si="384"/>
        <v>#N/A</v>
      </c>
      <c r="CE382" t="e">
        <f t="shared" si="385"/>
        <v>#N/A</v>
      </c>
      <c r="CF382" t="e">
        <f t="shared" si="386"/>
        <v>#N/A</v>
      </c>
      <c r="CG382" t="e">
        <f t="shared" si="387"/>
        <v>#N/A</v>
      </c>
      <c r="CI382" t="e">
        <f>AL132</f>
        <v>#N/A</v>
      </c>
      <c r="CJ382" t="e">
        <f>AM132</f>
        <v>#N/A</v>
      </c>
      <c r="CK382">
        <f>IF(ISNUMBER(CI382),IFERROR(MAX(0,AN132-CI382),0),0)</f>
        <v>0</v>
      </c>
      <c r="CL382">
        <f>IF(ISNUMBER(CI382),IFERROR(MAX(0,CI382-AN132),0),0)</f>
        <v>0</v>
      </c>
      <c r="CM382">
        <f>IF(ISNUMBER(CJ382),IFERROR(MAX(0,AO132-CJ382),0),0)</f>
        <v>0</v>
      </c>
      <c r="CN382">
        <f>IF(ISNUMBER(CJ382),IFERROR(MAX(0,CJ382-AO132),0),0)</f>
        <v>0</v>
      </c>
      <c r="CP382" t="e">
        <f>BT132</f>
        <v>#N/A</v>
      </c>
      <c r="CQ382" t="e">
        <f>BU132</f>
        <v>#N/A</v>
      </c>
      <c r="CR382">
        <f>IF(ISNUMBER(CP382),IFERROR(MAX(0,BV132-CP382),0),0)</f>
        <v>0</v>
      </c>
      <c r="CS382">
        <f>IF(ISNUMBER(CP382),IFERROR(MAX(0,CP382-BV132),0),0)</f>
        <v>0</v>
      </c>
      <c r="CT382">
        <f>IF(ISNUMBER(CQ382),IFERROR(MAX(0,BW132-CQ382),0),0)</f>
        <v>0</v>
      </c>
      <c r="CU382">
        <f>IF(ISNUMBER(CQ382),IFERROR(MAX(0,CQ382-BW132),0),0)</f>
        <v>0</v>
      </c>
    </row>
    <row r="383" spans="21:99" x14ac:dyDescent="0.3">
      <c r="U383">
        <v>377</v>
      </c>
      <c r="V383">
        <f t="shared" si="332"/>
        <v>95</v>
      </c>
      <c r="W383">
        <f t="shared" si="333"/>
        <v>1</v>
      </c>
      <c r="X383">
        <f t="shared" si="334"/>
        <v>0</v>
      </c>
      <c r="Y383">
        <f>IF(X383&lt;&gt;1,9999,CHOOSE(W383,INDEX(Gantt!$BQ$7:$BQ$119,V383),INDEX(Gantt!$BR$7:$BR$119,V383),INDEX(Gantt!$BT$7:$BT$119,V383),INDEX(Gantt!$BU$7:$BU$119,V383)))</f>
        <v>9999</v>
      </c>
      <c r="Z383">
        <f t="shared" si="335"/>
        <v>0</v>
      </c>
      <c r="AA383" t="e">
        <f t="shared" si="336"/>
        <v>#N/A</v>
      </c>
      <c r="AB383" t="e">
        <f t="shared" si="337"/>
        <v>#N/A</v>
      </c>
      <c r="AC383" t="e">
        <f t="shared" si="338"/>
        <v>#N/A</v>
      </c>
      <c r="AD383" t="e">
        <f t="shared" si="339"/>
        <v>#N/A</v>
      </c>
      <c r="AE383" t="e">
        <f t="shared" si="340"/>
        <v>#N/A</v>
      </c>
      <c r="AF383" t="e">
        <f t="shared" si="341"/>
        <v>#N/A</v>
      </c>
      <c r="AG383" t="e">
        <f t="shared" si="342"/>
        <v>#N/A</v>
      </c>
      <c r="AH383" t="e">
        <f t="shared" si="343"/>
        <v>#N/A</v>
      </c>
      <c r="AI383" t="e">
        <f t="shared" si="344"/>
        <v>#N/A</v>
      </c>
      <c r="AJ383" t="e">
        <f t="shared" si="345"/>
        <v>#N/A</v>
      </c>
      <c r="AK383" t="e">
        <f t="shared" si="346"/>
        <v>#N/A</v>
      </c>
      <c r="AL383" t="e">
        <f t="shared" si="347"/>
        <v>#N/A</v>
      </c>
      <c r="AM383" t="e">
        <f t="shared" si="348"/>
        <v>#N/A</v>
      </c>
      <c r="AN383" t="e">
        <f t="shared" si="349"/>
        <v>#N/A</v>
      </c>
      <c r="AO383" t="e">
        <f t="shared" si="350"/>
        <v>#N/A</v>
      </c>
      <c r="AP383" t="e">
        <f t="shared" si="351"/>
        <v>#N/A</v>
      </c>
      <c r="AQ383" t="e">
        <f t="shared" si="352"/>
        <v>#N/A</v>
      </c>
      <c r="AR383" t="e">
        <f t="shared" si="353"/>
        <v>#N/A</v>
      </c>
      <c r="AS383" t="e">
        <f t="shared" si="354"/>
        <v>#N/A</v>
      </c>
      <c r="AT383" t="e">
        <f t="shared" si="355"/>
        <v>#N/A</v>
      </c>
      <c r="AU383" t="e">
        <f t="shared" si="356"/>
        <v>#N/A</v>
      </c>
      <c r="AV383" t="e">
        <f t="shared" si="357"/>
        <v>#N/A</v>
      </c>
      <c r="AW383" t="e">
        <f t="shared" si="358"/>
        <v>#N/A</v>
      </c>
      <c r="AX383" t="e">
        <f t="shared" si="359"/>
        <v>#N/A</v>
      </c>
      <c r="AY383" t="e">
        <f t="shared" si="360"/>
        <v>#N/A</v>
      </c>
      <c r="BE383" t="e">
        <f>IF(Z383=1,IF(INDEX($C$7:$C$126,V383)&gt;=Gantt!$BF$6,NA(),MATCH(INDEX($C$7:$C$126,V383),Gantt!$J$6:$BE$6,1)),NA())</f>
        <v>#N/A</v>
      </c>
      <c r="BF383" t="e">
        <f>IF(Z383=1,IF((INDEX($D$7:$D$126,AA383)-1)&gt;=Gantt!$BF$6,NA(),IF((INDEX($D$7:$D$126,AA383)-1)&lt;Gantt!$J$6,0,MATCH((INDEX($D$7:$D$126,AA383)-1),Gantt!$J$6:$BE$6,1))),NA())</f>
        <v>#N/A</v>
      </c>
      <c r="BG383" t="e">
        <f t="shared" si="361"/>
        <v>#N/A</v>
      </c>
      <c r="BH383" t="e">
        <f t="shared" si="362"/>
        <v>#N/A</v>
      </c>
      <c r="BI383" t="e">
        <f t="shared" si="363"/>
        <v>#N/A</v>
      </c>
      <c r="BJ383" t="e">
        <f t="shared" si="364"/>
        <v>#N/A</v>
      </c>
      <c r="BK383" t="e">
        <f t="shared" si="365"/>
        <v>#N/A</v>
      </c>
      <c r="BL383" t="e">
        <f t="shared" si="366"/>
        <v>#N/A</v>
      </c>
      <c r="BM383" t="e">
        <f t="shared" si="367"/>
        <v>#N/A</v>
      </c>
      <c r="BN383" t="e">
        <f t="shared" si="368"/>
        <v>#N/A</v>
      </c>
      <c r="BO383" t="e">
        <f t="shared" si="369"/>
        <v>#N/A</v>
      </c>
      <c r="BP383" t="e">
        <f t="shared" si="370"/>
        <v>#N/A</v>
      </c>
      <c r="BQ383" t="e">
        <f t="shared" si="371"/>
        <v>#N/A</v>
      </c>
      <c r="BR383" t="e">
        <f t="shared" si="372"/>
        <v>#N/A</v>
      </c>
      <c r="BS383" t="e">
        <f t="shared" si="373"/>
        <v>#N/A</v>
      </c>
      <c r="BT383" t="e">
        <f t="shared" si="374"/>
        <v>#N/A</v>
      </c>
      <c r="BU383" t="e">
        <f t="shared" si="375"/>
        <v>#N/A</v>
      </c>
      <c r="BV383" t="e">
        <f t="shared" si="376"/>
        <v>#N/A</v>
      </c>
      <c r="BW383" t="e">
        <f t="shared" si="377"/>
        <v>#N/A</v>
      </c>
      <c r="BX383" t="e">
        <f t="shared" si="378"/>
        <v>#N/A</v>
      </c>
      <c r="BY383" t="e">
        <f t="shared" si="379"/>
        <v>#N/A</v>
      </c>
      <c r="BZ383" t="e">
        <f t="shared" si="380"/>
        <v>#N/A</v>
      </c>
      <c r="CA383" t="e">
        <f t="shared" si="381"/>
        <v>#N/A</v>
      </c>
      <c r="CB383" t="e">
        <f t="shared" si="382"/>
        <v>#N/A</v>
      </c>
      <c r="CC383" t="e">
        <f t="shared" si="383"/>
        <v>#N/A</v>
      </c>
      <c r="CD383" t="e">
        <f t="shared" si="384"/>
        <v>#N/A</v>
      </c>
      <c r="CE383" t="e">
        <f t="shared" si="385"/>
        <v>#N/A</v>
      </c>
      <c r="CF383" t="e">
        <f t="shared" si="386"/>
        <v>#N/A</v>
      </c>
      <c r="CG383" t="e">
        <f t="shared" si="387"/>
        <v>#N/A</v>
      </c>
      <c r="CI383" t="e">
        <f>AP132</f>
        <v>#N/A</v>
      </c>
      <c r="CJ383" t="e">
        <f>AQ132</f>
        <v>#N/A</v>
      </c>
      <c r="CK383">
        <f>IF(ISNUMBER(CI383),IFERROR(MAX(0,AR132-CI383),0),0)</f>
        <v>0</v>
      </c>
      <c r="CL383">
        <f>IF(ISNUMBER(CI383),IFERROR(MAX(0,CI383-AR132),0),0)</f>
        <v>0</v>
      </c>
      <c r="CM383">
        <f>IF(ISNUMBER(CJ383),IFERROR(MAX(0,AS132-CJ383),0),0)</f>
        <v>0</v>
      </c>
      <c r="CN383">
        <f>IF(ISNUMBER(CJ383),IFERROR(MAX(0,CJ383-AS132),0),0)</f>
        <v>0</v>
      </c>
      <c r="CP383" t="e">
        <f>BX132</f>
        <v>#N/A</v>
      </c>
      <c r="CQ383" t="e">
        <f>BY132</f>
        <v>#N/A</v>
      </c>
      <c r="CR383">
        <f>IF(ISNUMBER(CP383),IFERROR(MAX(0,BZ132-CP383),0),0)</f>
        <v>0</v>
      </c>
      <c r="CS383">
        <f>IF(ISNUMBER(CP383),IFERROR(MAX(0,CP383-BZ132),0),0)</f>
        <v>0</v>
      </c>
      <c r="CT383">
        <f>IF(ISNUMBER(CQ383),IFERROR(MAX(0,CA132-CQ383),0),0)</f>
        <v>0</v>
      </c>
      <c r="CU383">
        <f>IF(ISNUMBER(CQ383),IFERROR(MAX(0,CQ383-CA132),0),0)</f>
        <v>0</v>
      </c>
    </row>
    <row r="384" spans="21:99" x14ac:dyDescent="0.3">
      <c r="U384">
        <v>378</v>
      </c>
      <c r="V384">
        <f t="shared" si="332"/>
        <v>95</v>
      </c>
      <c r="W384">
        <f t="shared" si="333"/>
        <v>2</v>
      </c>
      <c r="X384">
        <f t="shared" si="334"/>
        <v>0</v>
      </c>
      <c r="Y384">
        <f>IF(X384&lt;&gt;1,9999,CHOOSE(W384,INDEX(Gantt!$BQ$7:$BQ$119,V384),INDEX(Gantt!$BR$7:$BR$119,V384),INDEX(Gantt!$BT$7:$BT$119,V384),INDEX(Gantt!$BU$7:$BU$119,V384)))</f>
        <v>9999</v>
      </c>
      <c r="Z384">
        <f t="shared" si="335"/>
        <v>0</v>
      </c>
      <c r="AA384" t="e">
        <f t="shared" si="336"/>
        <v>#N/A</v>
      </c>
      <c r="AB384" t="e">
        <f t="shared" si="337"/>
        <v>#N/A</v>
      </c>
      <c r="AC384" t="e">
        <f t="shared" si="338"/>
        <v>#N/A</v>
      </c>
      <c r="AD384" t="e">
        <f t="shared" si="339"/>
        <v>#N/A</v>
      </c>
      <c r="AE384" t="e">
        <f t="shared" si="340"/>
        <v>#N/A</v>
      </c>
      <c r="AF384" t="e">
        <f t="shared" si="341"/>
        <v>#N/A</v>
      </c>
      <c r="AG384" t="e">
        <f t="shared" si="342"/>
        <v>#N/A</v>
      </c>
      <c r="AH384" t="e">
        <f t="shared" si="343"/>
        <v>#N/A</v>
      </c>
      <c r="AI384" t="e">
        <f t="shared" si="344"/>
        <v>#N/A</v>
      </c>
      <c r="AJ384" t="e">
        <f t="shared" si="345"/>
        <v>#N/A</v>
      </c>
      <c r="AK384" t="e">
        <f t="shared" si="346"/>
        <v>#N/A</v>
      </c>
      <c r="AL384" t="e">
        <f t="shared" si="347"/>
        <v>#N/A</v>
      </c>
      <c r="AM384" t="e">
        <f t="shared" si="348"/>
        <v>#N/A</v>
      </c>
      <c r="AN384" t="e">
        <f t="shared" si="349"/>
        <v>#N/A</v>
      </c>
      <c r="AO384" t="e">
        <f t="shared" si="350"/>
        <v>#N/A</v>
      </c>
      <c r="AP384" t="e">
        <f t="shared" si="351"/>
        <v>#N/A</v>
      </c>
      <c r="AQ384" t="e">
        <f t="shared" si="352"/>
        <v>#N/A</v>
      </c>
      <c r="AR384" t="e">
        <f t="shared" si="353"/>
        <v>#N/A</v>
      </c>
      <c r="AS384" t="e">
        <f t="shared" si="354"/>
        <v>#N/A</v>
      </c>
      <c r="AT384" t="e">
        <f t="shared" si="355"/>
        <v>#N/A</v>
      </c>
      <c r="AU384" t="e">
        <f t="shared" si="356"/>
        <v>#N/A</v>
      </c>
      <c r="AV384" t="e">
        <f t="shared" si="357"/>
        <v>#N/A</v>
      </c>
      <c r="AW384" t="e">
        <f t="shared" si="358"/>
        <v>#N/A</v>
      </c>
      <c r="AX384" t="e">
        <f t="shared" si="359"/>
        <v>#N/A</v>
      </c>
      <c r="AY384" t="e">
        <f t="shared" si="360"/>
        <v>#N/A</v>
      </c>
      <c r="BE384" t="e">
        <f>IF(Z384=1,IF(INDEX($C$7:$C$126,V384)&gt;=Gantt!$BF$6,NA(),MATCH(INDEX($C$7:$C$126,V384),Gantt!$J$6:$BE$6,1)),NA())</f>
        <v>#N/A</v>
      </c>
      <c r="BF384" t="e">
        <f>IF(Z384=1,IF((INDEX($D$7:$D$126,AA384)-1)&gt;=Gantt!$BF$6,NA(),IF((INDEX($D$7:$D$126,AA384)-1)&lt;Gantt!$J$6,0,MATCH((INDEX($D$7:$D$126,AA384)-1),Gantt!$J$6:$BE$6,1))),NA())</f>
        <v>#N/A</v>
      </c>
      <c r="BG384" t="e">
        <f t="shared" si="361"/>
        <v>#N/A</v>
      </c>
      <c r="BH384" t="e">
        <f t="shared" si="362"/>
        <v>#N/A</v>
      </c>
      <c r="BI384" t="e">
        <f t="shared" si="363"/>
        <v>#N/A</v>
      </c>
      <c r="BJ384" t="e">
        <f t="shared" si="364"/>
        <v>#N/A</v>
      </c>
      <c r="BK384" t="e">
        <f t="shared" si="365"/>
        <v>#N/A</v>
      </c>
      <c r="BL384" t="e">
        <f t="shared" si="366"/>
        <v>#N/A</v>
      </c>
      <c r="BM384" t="e">
        <f t="shared" si="367"/>
        <v>#N/A</v>
      </c>
      <c r="BN384" t="e">
        <f t="shared" si="368"/>
        <v>#N/A</v>
      </c>
      <c r="BO384" t="e">
        <f t="shared" si="369"/>
        <v>#N/A</v>
      </c>
      <c r="BP384" t="e">
        <f t="shared" si="370"/>
        <v>#N/A</v>
      </c>
      <c r="BQ384" t="e">
        <f t="shared" si="371"/>
        <v>#N/A</v>
      </c>
      <c r="BR384" t="e">
        <f t="shared" si="372"/>
        <v>#N/A</v>
      </c>
      <c r="BS384" t="e">
        <f t="shared" si="373"/>
        <v>#N/A</v>
      </c>
      <c r="BT384" t="e">
        <f t="shared" si="374"/>
        <v>#N/A</v>
      </c>
      <c r="BU384" t="e">
        <f t="shared" si="375"/>
        <v>#N/A</v>
      </c>
      <c r="BV384" t="e">
        <f t="shared" si="376"/>
        <v>#N/A</v>
      </c>
      <c r="BW384" t="e">
        <f t="shared" si="377"/>
        <v>#N/A</v>
      </c>
      <c r="BX384" t="e">
        <f t="shared" si="378"/>
        <v>#N/A</v>
      </c>
      <c r="BY384" t="e">
        <f t="shared" si="379"/>
        <v>#N/A</v>
      </c>
      <c r="BZ384" t="e">
        <f t="shared" si="380"/>
        <v>#N/A</v>
      </c>
      <c r="CA384" t="e">
        <f t="shared" si="381"/>
        <v>#N/A</v>
      </c>
      <c r="CB384" t="e">
        <f t="shared" si="382"/>
        <v>#N/A</v>
      </c>
      <c r="CC384" t="e">
        <f t="shared" si="383"/>
        <v>#N/A</v>
      </c>
      <c r="CD384" t="e">
        <f t="shared" si="384"/>
        <v>#N/A</v>
      </c>
      <c r="CE384" t="e">
        <f t="shared" si="385"/>
        <v>#N/A</v>
      </c>
      <c r="CF384" t="e">
        <f t="shared" si="386"/>
        <v>#N/A</v>
      </c>
      <c r="CG384" t="e">
        <f t="shared" si="387"/>
        <v>#N/A</v>
      </c>
      <c r="CI384" t="e">
        <f>AT132</f>
        <v>#N/A</v>
      </c>
      <c r="CJ384" t="e">
        <f>AU132</f>
        <v>#N/A</v>
      </c>
      <c r="CK384">
        <f>IF(ISNUMBER(CI384),IFERROR(MAX(0,AV132-CI384),0),0)</f>
        <v>0</v>
      </c>
      <c r="CL384">
        <f>IF(ISNUMBER(CI384),IFERROR(MAX(0,CI384-AV132),0),0)</f>
        <v>0</v>
      </c>
      <c r="CM384">
        <f>IF(ISNUMBER(CJ384),IFERROR(MAX(0,AW132-CJ384),0),0)</f>
        <v>0</v>
      </c>
      <c r="CN384">
        <f>IF(ISNUMBER(CJ384),IFERROR(MAX(0,CJ384-AW132),0),0)</f>
        <v>0</v>
      </c>
      <c r="CP384" t="e">
        <f>CB132</f>
        <v>#N/A</v>
      </c>
      <c r="CQ384" t="e">
        <f>CC132</f>
        <v>#N/A</v>
      </c>
      <c r="CR384">
        <f>IF(ISNUMBER(CP384),IFERROR(MAX(0,CD132-CP384),0),0)</f>
        <v>0</v>
      </c>
      <c r="CS384">
        <f>IF(ISNUMBER(CP384),IFERROR(MAX(0,CP384-CD132),0),0)</f>
        <v>0</v>
      </c>
      <c r="CT384">
        <f>IF(ISNUMBER(CQ384),IFERROR(MAX(0,CE132-CQ384),0),0)</f>
        <v>0</v>
      </c>
      <c r="CU384">
        <f>IF(ISNUMBER(CQ384),IFERROR(MAX(0,CQ384-CE132),0),0)</f>
        <v>0</v>
      </c>
    </row>
    <row r="385" spans="21:99" x14ac:dyDescent="0.3">
      <c r="U385">
        <v>379</v>
      </c>
      <c r="V385">
        <f t="shared" si="332"/>
        <v>95</v>
      </c>
      <c r="W385">
        <f t="shared" si="333"/>
        <v>3</v>
      </c>
      <c r="X385">
        <f t="shared" si="334"/>
        <v>0</v>
      </c>
      <c r="Y385">
        <f>IF(X385&lt;&gt;1,9999,CHOOSE(W385,INDEX(Gantt!$BQ$7:$BQ$119,V385),INDEX(Gantt!$BR$7:$BR$119,V385),INDEX(Gantt!$BT$7:$BT$119,V385),INDEX(Gantt!$BU$7:$BU$119,V385)))</f>
        <v>9999</v>
      </c>
      <c r="Z385">
        <f t="shared" si="335"/>
        <v>0</v>
      </c>
      <c r="AA385" t="e">
        <f t="shared" si="336"/>
        <v>#N/A</v>
      </c>
      <c r="AB385" t="e">
        <f t="shared" si="337"/>
        <v>#N/A</v>
      </c>
      <c r="AC385" t="e">
        <f t="shared" si="338"/>
        <v>#N/A</v>
      </c>
      <c r="AD385" t="e">
        <f t="shared" si="339"/>
        <v>#N/A</v>
      </c>
      <c r="AE385" t="e">
        <f t="shared" si="340"/>
        <v>#N/A</v>
      </c>
      <c r="AF385" t="e">
        <f t="shared" si="341"/>
        <v>#N/A</v>
      </c>
      <c r="AG385" t="e">
        <f t="shared" si="342"/>
        <v>#N/A</v>
      </c>
      <c r="AH385" t="e">
        <f t="shared" si="343"/>
        <v>#N/A</v>
      </c>
      <c r="AI385" t="e">
        <f t="shared" si="344"/>
        <v>#N/A</v>
      </c>
      <c r="AJ385" t="e">
        <f t="shared" si="345"/>
        <v>#N/A</v>
      </c>
      <c r="AK385" t="e">
        <f t="shared" si="346"/>
        <v>#N/A</v>
      </c>
      <c r="AL385" t="e">
        <f t="shared" si="347"/>
        <v>#N/A</v>
      </c>
      <c r="AM385" t="e">
        <f t="shared" si="348"/>
        <v>#N/A</v>
      </c>
      <c r="AN385" t="e">
        <f t="shared" si="349"/>
        <v>#N/A</v>
      </c>
      <c r="AO385" t="e">
        <f t="shared" si="350"/>
        <v>#N/A</v>
      </c>
      <c r="AP385" t="e">
        <f t="shared" si="351"/>
        <v>#N/A</v>
      </c>
      <c r="AQ385" t="e">
        <f t="shared" si="352"/>
        <v>#N/A</v>
      </c>
      <c r="AR385" t="e">
        <f t="shared" si="353"/>
        <v>#N/A</v>
      </c>
      <c r="AS385" t="e">
        <f t="shared" si="354"/>
        <v>#N/A</v>
      </c>
      <c r="AT385" t="e">
        <f t="shared" si="355"/>
        <v>#N/A</v>
      </c>
      <c r="AU385" t="e">
        <f t="shared" si="356"/>
        <v>#N/A</v>
      </c>
      <c r="AV385" t="e">
        <f t="shared" si="357"/>
        <v>#N/A</v>
      </c>
      <c r="AW385" t="e">
        <f t="shared" si="358"/>
        <v>#N/A</v>
      </c>
      <c r="AX385" t="e">
        <f t="shared" si="359"/>
        <v>#N/A</v>
      </c>
      <c r="AY385" t="e">
        <f t="shared" si="360"/>
        <v>#N/A</v>
      </c>
      <c r="BE385" t="e">
        <f>IF(Z385=1,IF(INDEX($C$7:$C$126,V385)&gt;=Gantt!$BF$6,NA(),MATCH(INDEX($C$7:$C$126,V385),Gantt!$J$6:$BE$6,1)),NA())</f>
        <v>#N/A</v>
      </c>
      <c r="BF385" t="e">
        <f>IF(Z385=1,IF((INDEX($D$7:$D$126,AA385)-1)&gt;=Gantt!$BF$6,NA(),IF((INDEX($D$7:$D$126,AA385)-1)&lt;Gantt!$J$6,0,MATCH((INDEX($D$7:$D$126,AA385)-1),Gantt!$J$6:$BE$6,1))),NA())</f>
        <v>#N/A</v>
      </c>
      <c r="BG385" t="e">
        <f t="shared" si="361"/>
        <v>#N/A</v>
      </c>
      <c r="BH385" t="e">
        <f t="shared" si="362"/>
        <v>#N/A</v>
      </c>
      <c r="BI385" t="e">
        <f t="shared" si="363"/>
        <v>#N/A</v>
      </c>
      <c r="BJ385" t="e">
        <f t="shared" si="364"/>
        <v>#N/A</v>
      </c>
      <c r="BK385" t="e">
        <f t="shared" si="365"/>
        <v>#N/A</v>
      </c>
      <c r="BL385" t="e">
        <f t="shared" si="366"/>
        <v>#N/A</v>
      </c>
      <c r="BM385" t="e">
        <f t="shared" si="367"/>
        <v>#N/A</v>
      </c>
      <c r="BN385" t="e">
        <f t="shared" si="368"/>
        <v>#N/A</v>
      </c>
      <c r="BO385" t="e">
        <f t="shared" si="369"/>
        <v>#N/A</v>
      </c>
      <c r="BP385" t="e">
        <f t="shared" si="370"/>
        <v>#N/A</v>
      </c>
      <c r="BQ385" t="e">
        <f t="shared" si="371"/>
        <v>#N/A</v>
      </c>
      <c r="BR385" t="e">
        <f t="shared" si="372"/>
        <v>#N/A</v>
      </c>
      <c r="BS385" t="e">
        <f t="shared" si="373"/>
        <v>#N/A</v>
      </c>
      <c r="BT385" t="e">
        <f t="shared" si="374"/>
        <v>#N/A</v>
      </c>
      <c r="BU385" t="e">
        <f t="shared" si="375"/>
        <v>#N/A</v>
      </c>
      <c r="BV385" t="e">
        <f t="shared" si="376"/>
        <v>#N/A</v>
      </c>
      <c r="BW385" t="e">
        <f t="shared" si="377"/>
        <v>#N/A</v>
      </c>
      <c r="BX385" t="e">
        <f t="shared" si="378"/>
        <v>#N/A</v>
      </c>
      <c r="BY385" t="e">
        <f t="shared" si="379"/>
        <v>#N/A</v>
      </c>
      <c r="BZ385" t="e">
        <f t="shared" si="380"/>
        <v>#N/A</v>
      </c>
      <c r="CA385" t="e">
        <f t="shared" si="381"/>
        <v>#N/A</v>
      </c>
      <c r="CB385" t="e">
        <f t="shared" si="382"/>
        <v>#N/A</v>
      </c>
      <c r="CC385" t="e">
        <f t="shared" si="383"/>
        <v>#N/A</v>
      </c>
      <c r="CD385" t="e">
        <f t="shared" si="384"/>
        <v>#N/A</v>
      </c>
      <c r="CE385" t="e">
        <f t="shared" si="385"/>
        <v>#N/A</v>
      </c>
      <c r="CF385" t="e">
        <f t="shared" si="386"/>
        <v>#N/A</v>
      </c>
      <c r="CG385" t="e">
        <f t="shared" si="387"/>
        <v>#N/A</v>
      </c>
      <c r="CI385" t="e">
        <f>AL133</f>
        <v>#N/A</v>
      </c>
      <c r="CJ385" t="e">
        <f>AM133</f>
        <v>#N/A</v>
      </c>
      <c r="CK385">
        <f>IF(ISNUMBER(CI385),IFERROR(MAX(0,AN133-CI385),0),0)</f>
        <v>0</v>
      </c>
      <c r="CL385">
        <f>IF(ISNUMBER(CI385),IFERROR(MAX(0,CI385-AN133),0),0)</f>
        <v>0</v>
      </c>
      <c r="CM385">
        <f>IF(ISNUMBER(CJ385),IFERROR(MAX(0,AO133-CJ385),0),0)</f>
        <v>0</v>
      </c>
      <c r="CN385">
        <f>IF(ISNUMBER(CJ385),IFERROR(MAX(0,CJ385-AO133),0),0)</f>
        <v>0</v>
      </c>
      <c r="CP385" t="e">
        <f>BT133</f>
        <v>#N/A</v>
      </c>
      <c r="CQ385" t="e">
        <f>BU133</f>
        <v>#N/A</v>
      </c>
      <c r="CR385">
        <f>IF(ISNUMBER(CP385),IFERROR(MAX(0,BV133-CP385),0),0)</f>
        <v>0</v>
      </c>
      <c r="CS385">
        <f>IF(ISNUMBER(CP385),IFERROR(MAX(0,CP385-BV133),0),0)</f>
        <v>0</v>
      </c>
      <c r="CT385">
        <f>IF(ISNUMBER(CQ385),IFERROR(MAX(0,BW133-CQ385),0),0)</f>
        <v>0</v>
      </c>
      <c r="CU385">
        <f>IF(ISNUMBER(CQ385),IFERROR(MAX(0,CQ385-BW133),0),0)</f>
        <v>0</v>
      </c>
    </row>
    <row r="386" spans="21:99" x14ac:dyDescent="0.3">
      <c r="U386">
        <v>380</v>
      </c>
      <c r="V386">
        <f t="shared" si="332"/>
        <v>95</v>
      </c>
      <c r="W386">
        <f t="shared" si="333"/>
        <v>4</v>
      </c>
      <c r="X386">
        <f t="shared" si="334"/>
        <v>0</v>
      </c>
      <c r="Y386">
        <f>IF(X386&lt;&gt;1,9999,CHOOSE(W386,INDEX(Gantt!$BQ$7:$BQ$119,V386),INDEX(Gantt!$BR$7:$BR$119,V386),INDEX(Gantt!$BT$7:$BT$119,V386),INDEX(Gantt!$BU$7:$BU$119,V386)))</f>
        <v>9999</v>
      </c>
      <c r="Z386">
        <f t="shared" si="335"/>
        <v>0</v>
      </c>
      <c r="AA386" t="e">
        <f t="shared" si="336"/>
        <v>#N/A</v>
      </c>
      <c r="AB386" t="e">
        <f t="shared" si="337"/>
        <v>#N/A</v>
      </c>
      <c r="AC386" t="e">
        <f t="shared" si="338"/>
        <v>#N/A</v>
      </c>
      <c r="AD386" t="e">
        <f t="shared" si="339"/>
        <v>#N/A</v>
      </c>
      <c r="AE386" t="e">
        <f t="shared" si="340"/>
        <v>#N/A</v>
      </c>
      <c r="AF386" t="e">
        <f t="shared" si="341"/>
        <v>#N/A</v>
      </c>
      <c r="AG386" t="e">
        <f t="shared" si="342"/>
        <v>#N/A</v>
      </c>
      <c r="AH386" t="e">
        <f t="shared" si="343"/>
        <v>#N/A</v>
      </c>
      <c r="AI386" t="e">
        <f t="shared" si="344"/>
        <v>#N/A</v>
      </c>
      <c r="AJ386" t="e">
        <f t="shared" si="345"/>
        <v>#N/A</v>
      </c>
      <c r="AK386" t="e">
        <f t="shared" si="346"/>
        <v>#N/A</v>
      </c>
      <c r="AL386" t="e">
        <f t="shared" si="347"/>
        <v>#N/A</v>
      </c>
      <c r="AM386" t="e">
        <f t="shared" si="348"/>
        <v>#N/A</v>
      </c>
      <c r="AN386" t="e">
        <f t="shared" si="349"/>
        <v>#N/A</v>
      </c>
      <c r="AO386" t="e">
        <f t="shared" si="350"/>
        <v>#N/A</v>
      </c>
      <c r="AP386" t="e">
        <f t="shared" si="351"/>
        <v>#N/A</v>
      </c>
      <c r="AQ386" t="e">
        <f t="shared" si="352"/>
        <v>#N/A</v>
      </c>
      <c r="AR386" t="e">
        <f t="shared" si="353"/>
        <v>#N/A</v>
      </c>
      <c r="AS386" t="e">
        <f t="shared" si="354"/>
        <v>#N/A</v>
      </c>
      <c r="AT386" t="e">
        <f t="shared" si="355"/>
        <v>#N/A</v>
      </c>
      <c r="AU386" t="e">
        <f t="shared" si="356"/>
        <v>#N/A</v>
      </c>
      <c r="AV386" t="e">
        <f t="shared" si="357"/>
        <v>#N/A</v>
      </c>
      <c r="AW386" t="e">
        <f t="shared" si="358"/>
        <v>#N/A</v>
      </c>
      <c r="AX386" t="e">
        <f t="shared" si="359"/>
        <v>#N/A</v>
      </c>
      <c r="AY386" t="e">
        <f t="shared" si="360"/>
        <v>#N/A</v>
      </c>
      <c r="BE386" t="e">
        <f>IF(Z386=1,IF(INDEX($C$7:$C$126,V386)&gt;=Gantt!$BF$6,NA(),MATCH(INDEX($C$7:$C$126,V386),Gantt!$J$6:$BE$6,1)),NA())</f>
        <v>#N/A</v>
      </c>
      <c r="BF386" t="e">
        <f>IF(Z386=1,IF((INDEX($D$7:$D$126,AA386)-1)&gt;=Gantt!$BF$6,NA(),IF((INDEX($D$7:$D$126,AA386)-1)&lt;Gantt!$J$6,0,MATCH((INDEX($D$7:$D$126,AA386)-1),Gantt!$J$6:$BE$6,1))),NA())</f>
        <v>#N/A</v>
      </c>
      <c r="BG386" t="e">
        <f t="shared" si="361"/>
        <v>#N/A</v>
      </c>
      <c r="BH386" t="e">
        <f t="shared" si="362"/>
        <v>#N/A</v>
      </c>
      <c r="BI386" t="e">
        <f t="shared" si="363"/>
        <v>#N/A</v>
      </c>
      <c r="BJ386" t="e">
        <f t="shared" si="364"/>
        <v>#N/A</v>
      </c>
      <c r="BK386" t="e">
        <f t="shared" si="365"/>
        <v>#N/A</v>
      </c>
      <c r="BL386" t="e">
        <f t="shared" si="366"/>
        <v>#N/A</v>
      </c>
      <c r="BM386" t="e">
        <f t="shared" si="367"/>
        <v>#N/A</v>
      </c>
      <c r="BN386" t="e">
        <f t="shared" si="368"/>
        <v>#N/A</v>
      </c>
      <c r="BO386" t="e">
        <f t="shared" si="369"/>
        <v>#N/A</v>
      </c>
      <c r="BP386" t="e">
        <f t="shared" si="370"/>
        <v>#N/A</v>
      </c>
      <c r="BQ386" t="e">
        <f t="shared" si="371"/>
        <v>#N/A</v>
      </c>
      <c r="BR386" t="e">
        <f t="shared" si="372"/>
        <v>#N/A</v>
      </c>
      <c r="BS386" t="e">
        <f t="shared" si="373"/>
        <v>#N/A</v>
      </c>
      <c r="BT386" t="e">
        <f t="shared" si="374"/>
        <v>#N/A</v>
      </c>
      <c r="BU386" t="e">
        <f t="shared" si="375"/>
        <v>#N/A</v>
      </c>
      <c r="BV386" t="e">
        <f t="shared" si="376"/>
        <v>#N/A</v>
      </c>
      <c r="BW386" t="e">
        <f t="shared" si="377"/>
        <v>#N/A</v>
      </c>
      <c r="BX386" t="e">
        <f t="shared" si="378"/>
        <v>#N/A</v>
      </c>
      <c r="BY386" t="e">
        <f t="shared" si="379"/>
        <v>#N/A</v>
      </c>
      <c r="BZ386" t="e">
        <f t="shared" si="380"/>
        <v>#N/A</v>
      </c>
      <c r="CA386" t="e">
        <f t="shared" si="381"/>
        <v>#N/A</v>
      </c>
      <c r="CB386" t="e">
        <f t="shared" si="382"/>
        <v>#N/A</v>
      </c>
      <c r="CC386" t="e">
        <f t="shared" si="383"/>
        <v>#N/A</v>
      </c>
      <c r="CD386" t="e">
        <f t="shared" si="384"/>
        <v>#N/A</v>
      </c>
      <c r="CE386" t="e">
        <f t="shared" si="385"/>
        <v>#N/A</v>
      </c>
      <c r="CF386" t="e">
        <f t="shared" si="386"/>
        <v>#N/A</v>
      </c>
      <c r="CG386" t="e">
        <f t="shared" si="387"/>
        <v>#N/A</v>
      </c>
      <c r="CI386" t="e">
        <f>AP133</f>
        <v>#N/A</v>
      </c>
      <c r="CJ386" t="e">
        <f>AQ133</f>
        <v>#N/A</v>
      </c>
      <c r="CK386">
        <f>IF(ISNUMBER(CI386),IFERROR(MAX(0,AR133-CI386),0),0)</f>
        <v>0</v>
      </c>
      <c r="CL386">
        <f>IF(ISNUMBER(CI386),IFERROR(MAX(0,CI386-AR133),0),0)</f>
        <v>0</v>
      </c>
      <c r="CM386">
        <f>IF(ISNUMBER(CJ386),IFERROR(MAX(0,AS133-CJ386),0),0)</f>
        <v>0</v>
      </c>
      <c r="CN386">
        <f>IF(ISNUMBER(CJ386),IFERROR(MAX(0,CJ386-AS133),0),0)</f>
        <v>0</v>
      </c>
      <c r="CP386" t="e">
        <f>BX133</f>
        <v>#N/A</v>
      </c>
      <c r="CQ386" t="e">
        <f>BY133</f>
        <v>#N/A</v>
      </c>
      <c r="CR386">
        <f>IF(ISNUMBER(CP386),IFERROR(MAX(0,BZ133-CP386),0),0)</f>
        <v>0</v>
      </c>
      <c r="CS386">
        <f>IF(ISNUMBER(CP386),IFERROR(MAX(0,CP386-BZ133),0),0)</f>
        <v>0</v>
      </c>
      <c r="CT386">
        <f>IF(ISNUMBER(CQ386),IFERROR(MAX(0,CA133-CQ386),0),0)</f>
        <v>0</v>
      </c>
      <c r="CU386">
        <f>IF(ISNUMBER(CQ386),IFERROR(MAX(0,CQ386-CA133),0),0)</f>
        <v>0</v>
      </c>
    </row>
    <row r="387" spans="21:99" x14ac:dyDescent="0.3">
      <c r="U387">
        <v>381</v>
      </c>
      <c r="V387">
        <f t="shared" si="332"/>
        <v>96</v>
      </c>
      <c r="W387">
        <f t="shared" si="333"/>
        <v>1</v>
      </c>
      <c r="X387">
        <f t="shared" si="334"/>
        <v>0</v>
      </c>
      <c r="Y387">
        <f>IF(X387&lt;&gt;1,9999,CHOOSE(W387,INDEX(Gantt!$BQ$7:$BQ$119,V387),INDEX(Gantt!$BR$7:$BR$119,V387),INDEX(Gantt!$BT$7:$BT$119,V387),INDEX(Gantt!$BU$7:$BU$119,V387)))</f>
        <v>9999</v>
      </c>
      <c r="Z387">
        <f t="shared" si="335"/>
        <v>0</v>
      </c>
      <c r="AA387" t="e">
        <f t="shared" si="336"/>
        <v>#N/A</v>
      </c>
      <c r="AB387" t="e">
        <f t="shared" si="337"/>
        <v>#N/A</v>
      </c>
      <c r="AC387" t="e">
        <f t="shared" si="338"/>
        <v>#N/A</v>
      </c>
      <c r="AD387" t="e">
        <f t="shared" si="339"/>
        <v>#N/A</v>
      </c>
      <c r="AE387" t="e">
        <f t="shared" si="340"/>
        <v>#N/A</v>
      </c>
      <c r="AF387" t="e">
        <f t="shared" si="341"/>
        <v>#N/A</v>
      </c>
      <c r="AG387" t="e">
        <f t="shared" si="342"/>
        <v>#N/A</v>
      </c>
      <c r="AH387" t="e">
        <f t="shared" si="343"/>
        <v>#N/A</v>
      </c>
      <c r="AI387" t="e">
        <f t="shared" si="344"/>
        <v>#N/A</v>
      </c>
      <c r="AJ387" t="e">
        <f t="shared" si="345"/>
        <v>#N/A</v>
      </c>
      <c r="AK387" t="e">
        <f t="shared" si="346"/>
        <v>#N/A</v>
      </c>
      <c r="AL387" t="e">
        <f t="shared" si="347"/>
        <v>#N/A</v>
      </c>
      <c r="AM387" t="e">
        <f t="shared" si="348"/>
        <v>#N/A</v>
      </c>
      <c r="AN387" t="e">
        <f t="shared" si="349"/>
        <v>#N/A</v>
      </c>
      <c r="AO387" t="e">
        <f t="shared" si="350"/>
        <v>#N/A</v>
      </c>
      <c r="AP387" t="e">
        <f t="shared" si="351"/>
        <v>#N/A</v>
      </c>
      <c r="AQ387" t="e">
        <f t="shared" si="352"/>
        <v>#N/A</v>
      </c>
      <c r="AR387" t="e">
        <f t="shared" si="353"/>
        <v>#N/A</v>
      </c>
      <c r="AS387" t="e">
        <f t="shared" si="354"/>
        <v>#N/A</v>
      </c>
      <c r="AT387" t="e">
        <f t="shared" si="355"/>
        <v>#N/A</v>
      </c>
      <c r="AU387" t="e">
        <f t="shared" si="356"/>
        <v>#N/A</v>
      </c>
      <c r="AV387" t="e">
        <f t="shared" si="357"/>
        <v>#N/A</v>
      </c>
      <c r="AW387" t="e">
        <f t="shared" si="358"/>
        <v>#N/A</v>
      </c>
      <c r="AX387" t="e">
        <f t="shared" si="359"/>
        <v>#N/A</v>
      </c>
      <c r="AY387" t="e">
        <f t="shared" si="360"/>
        <v>#N/A</v>
      </c>
      <c r="BE387" t="e">
        <f>IF(Z387=1,IF(INDEX($C$7:$C$126,V387)&gt;=Gantt!$BF$6,NA(),MATCH(INDEX($C$7:$C$126,V387),Gantt!$J$6:$BE$6,1)),NA())</f>
        <v>#N/A</v>
      </c>
      <c r="BF387" t="e">
        <f>IF(Z387=1,IF((INDEX($D$7:$D$126,AA387)-1)&gt;=Gantt!$BF$6,NA(),IF((INDEX($D$7:$D$126,AA387)-1)&lt;Gantt!$J$6,0,MATCH((INDEX($D$7:$D$126,AA387)-1),Gantt!$J$6:$BE$6,1))),NA())</f>
        <v>#N/A</v>
      </c>
      <c r="BG387" t="e">
        <f t="shared" si="361"/>
        <v>#N/A</v>
      </c>
      <c r="BH387" t="e">
        <f t="shared" si="362"/>
        <v>#N/A</v>
      </c>
      <c r="BI387" t="e">
        <f t="shared" si="363"/>
        <v>#N/A</v>
      </c>
      <c r="BJ387" t="e">
        <f t="shared" si="364"/>
        <v>#N/A</v>
      </c>
      <c r="BK387" t="e">
        <f t="shared" si="365"/>
        <v>#N/A</v>
      </c>
      <c r="BL387" t="e">
        <f t="shared" si="366"/>
        <v>#N/A</v>
      </c>
      <c r="BM387" t="e">
        <f t="shared" si="367"/>
        <v>#N/A</v>
      </c>
      <c r="BN387" t="e">
        <f t="shared" si="368"/>
        <v>#N/A</v>
      </c>
      <c r="BO387" t="e">
        <f t="shared" si="369"/>
        <v>#N/A</v>
      </c>
      <c r="BP387" t="e">
        <f t="shared" si="370"/>
        <v>#N/A</v>
      </c>
      <c r="BQ387" t="e">
        <f t="shared" si="371"/>
        <v>#N/A</v>
      </c>
      <c r="BR387" t="e">
        <f t="shared" si="372"/>
        <v>#N/A</v>
      </c>
      <c r="BS387" t="e">
        <f t="shared" si="373"/>
        <v>#N/A</v>
      </c>
      <c r="BT387" t="e">
        <f t="shared" si="374"/>
        <v>#N/A</v>
      </c>
      <c r="BU387" t="e">
        <f t="shared" si="375"/>
        <v>#N/A</v>
      </c>
      <c r="BV387" t="e">
        <f t="shared" si="376"/>
        <v>#N/A</v>
      </c>
      <c r="BW387" t="e">
        <f t="shared" si="377"/>
        <v>#N/A</v>
      </c>
      <c r="BX387" t="e">
        <f t="shared" si="378"/>
        <v>#N/A</v>
      </c>
      <c r="BY387" t="e">
        <f t="shared" si="379"/>
        <v>#N/A</v>
      </c>
      <c r="BZ387" t="e">
        <f t="shared" si="380"/>
        <v>#N/A</v>
      </c>
      <c r="CA387" t="e">
        <f t="shared" si="381"/>
        <v>#N/A</v>
      </c>
      <c r="CB387" t="e">
        <f t="shared" si="382"/>
        <v>#N/A</v>
      </c>
      <c r="CC387" t="e">
        <f t="shared" si="383"/>
        <v>#N/A</v>
      </c>
      <c r="CD387" t="e">
        <f t="shared" si="384"/>
        <v>#N/A</v>
      </c>
      <c r="CE387" t="e">
        <f t="shared" si="385"/>
        <v>#N/A</v>
      </c>
      <c r="CF387" t="e">
        <f t="shared" si="386"/>
        <v>#N/A</v>
      </c>
      <c r="CG387" t="e">
        <f t="shared" si="387"/>
        <v>#N/A</v>
      </c>
      <c r="CI387" t="e">
        <f>AT133</f>
        <v>#N/A</v>
      </c>
      <c r="CJ387" t="e">
        <f>AU133</f>
        <v>#N/A</v>
      </c>
      <c r="CK387">
        <f>IF(ISNUMBER(CI387),IFERROR(MAX(0,AV133-CI387),0),0)</f>
        <v>0</v>
      </c>
      <c r="CL387">
        <f>IF(ISNUMBER(CI387),IFERROR(MAX(0,CI387-AV133),0),0)</f>
        <v>0</v>
      </c>
      <c r="CM387">
        <f>IF(ISNUMBER(CJ387),IFERROR(MAX(0,AW133-CJ387),0),0)</f>
        <v>0</v>
      </c>
      <c r="CN387">
        <f>IF(ISNUMBER(CJ387),IFERROR(MAX(0,CJ387-AW133),0),0)</f>
        <v>0</v>
      </c>
      <c r="CP387" t="e">
        <f>CB133</f>
        <v>#N/A</v>
      </c>
      <c r="CQ387" t="e">
        <f>CC133</f>
        <v>#N/A</v>
      </c>
      <c r="CR387">
        <f>IF(ISNUMBER(CP387),IFERROR(MAX(0,CD133-CP387),0),0)</f>
        <v>0</v>
      </c>
      <c r="CS387">
        <f>IF(ISNUMBER(CP387),IFERROR(MAX(0,CP387-CD133),0),0)</f>
        <v>0</v>
      </c>
      <c r="CT387">
        <f>IF(ISNUMBER(CQ387),IFERROR(MAX(0,CE133-CQ387),0),0)</f>
        <v>0</v>
      </c>
      <c r="CU387">
        <f>IF(ISNUMBER(CQ387),IFERROR(MAX(0,CQ387-CE133),0),0)</f>
        <v>0</v>
      </c>
    </row>
    <row r="388" spans="21:99" x14ac:dyDescent="0.3">
      <c r="U388">
        <v>382</v>
      </c>
      <c r="V388">
        <f t="shared" si="332"/>
        <v>96</v>
      </c>
      <c r="W388">
        <f t="shared" si="333"/>
        <v>2</v>
      </c>
      <c r="X388">
        <f t="shared" si="334"/>
        <v>0</v>
      </c>
      <c r="Y388">
        <f>IF(X388&lt;&gt;1,9999,CHOOSE(W388,INDEX(Gantt!$BQ$7:$BQ$119,V388),INDEX(Gantt!$BR$7:$BR$119,V388),INDEX(Gantt!$BT$7:$BT$119,V388),INDEX(Gantt!$BU$7:$BU$119,V388)))</f>
        <v>9999</v>
      </c>
      <c r="Z388">
        <f t="shared" si="335"/>
        <v>0</v>
      </c>
      <c r="AA388" t="e">
        <f t="shared" si="336"/>
        <v>#N/A</v>
      </c>
      <c r="AB388" t="e">
        <f t="shared" si="337"/>
        <v>#N/A</v>
      </c>
      <c r="AC388" t="e">
        <f t="shared" si="338"/>
        <v>#N/A</v>
      </c>
      <c r="AD388" t="e">
        <f t="shared" si="339"/>
        <v>#N/A</v>
      </c>
      <c r="AE388" t="e">
        <f t="shared" si="340"/>
        <v>#N/A</v>
      </c>
      <c r="AF388" t="e">
        <f t="shared" si="341"/>
        <v>#N/A</v>
      </c>
      <c r="AG388" t="e">
        <f t="shared" si="342"/>
        <v>#N/A</v>
      </c>
      <c r="AH388" t="e">
        <f t="shared" si="343"/>
        <v>#N/A</v>
      </c>
      <c r="AI388" t="e">
        <f t="shared" si="344"/>
        <v>#N/A</v>
      </c>
      <c r="AJ388" t="e">
        <f t="shared" si="345"/>
        <v>#N/A</v>
      </c>
      <c r="AK388" t="e">
        <f t="shared" si="346"/>
        <v>#N/A</v>
      </c>
      <c r="AL388" t="e">
        <f t="shared" si="347"/>
        <v>#N/A</v>
      </c>
      <c r="AM388" t="e">
        <f t="shared" si="348"/>
        <v>#N/A</v>
      </c>
      <c r="AN388" t="e">
        <f t="shared" si="349"/>
        <v>#N/A</v>
      </c>
      <c r="AO388" t="e">
        <f t="shared" si="350"/>
        <v>#N/A</v>
      </c>
      <c r="AP388" t="e">
        <f t="shared" si="351"/>
        <v>#N/A</v>
      </c>
      <c r="AQ388" t="e">
        <f t="shared" si="352"/>
        <v>#N/A</v>
      </c>
      <c r="AR388" t="e">
        <f t="shared" si="353"/>
        <v>#N/A</v>
      </c>
      <c r="AS388" t="e">
        <f t="shared" si="354"/>
        <v>#N/A</v>
      </c>
      <c r="AT388" t="e">
        <f t="shared" si="355"/>
        <v>#N/A</v>
      </c>
      <c r="AU388" t="e">
        <f t="shared" si="356"/>
        <v>#N/A</v>
      </c>
      <c r="AV388" t="e">
        <f t="shared" si="357"/>
        <v>#N/A</v>
      </c>
      <c r="AW388" t="e">
        <f t="shared" si="358"/>
        <v>#N/A</v>
      </c>
      <c r="AX388" t="e">
        <f t="shared" si="359"/>
        <v>#N/A</v>
      </c>
      <c r="AY388" t="e">
        <f t="shared" si="360"/>
        <v>#N/A</v>
      </c>
      <c r="BE388" t="e">
        <f>IF(Z388=1,IF(INDEX($C$7:$C$126,V388)&gt;=Gantt!$BF$6,NA(),MATCH(INDEX($C$7:$C$126,V388),Gantt!$J$6:$BE$6,1)),NA())</f>
        <v>#N/A</v>
      </c>
      <c r="BF388" t="e">
        <f>IF(Z388=1,IF((INDEX($D$7:$D$126,AA388)-1)&gt;=Gantt!$BF$6,NA(),IF((INDEX($D$7:$D$126,AA388)-1)&lt;Gantt!$J$6,0,MATCH((INDEX($D$7:$D$126,AA388)-1),Gantt!$J$6:$BE$6,1))),NA())</f>
        <v>#N/A</v>
      </c>
      <c r="BG388" t="e">
        <f t="shared" si="361"/>
        <v>#N/A</v>
      </c>
      <c r="BH388" t="e">
        <f t="shared" si="362"/>
        <v>#N/A</v>
      </c>
      <c r="BI388" t="e">
        <f t="shared" si="363"/>
        <v>#N/A</v>
      </c>
      <c r="BJ388" t="e">
        <f t="shared" si="364"/>
        <v>#N/A</v>
      </c>
      <c r="BK388" t="e">
        <f t="shared" si="365"/>
        <v>#N/A</v>
      </c>
      <c r="BL388" t="e">
        <f t="shared" si="366"/>
        <v>#N/A</v>
      </c>
      <c r="BM388" t="e">
        <f t="shared" si="367"/>
        <v>#N/A</v>
      </c>
      <c r="BN388" t="e">
        <f t="shared" si="368"/>
        <v>#N/A</v>
      </c>
      <c r="BO388" t="e">
        <f t="shared" si="369"/>
        <v>#N/A</v>
      </c>
      <c r="BP388" t="e">
        <f t="shared" si="370"/>
        <v>#N/A</v>
      </c>
      <c r="BQ388" t="e">
        <f t="shared" si="371"/>
        <v>#N/A</v>
      </c>
      <c r="BR388" t="e">
        <f t="shared" si="372"/>
        <v>#N/A</v>
      </c>
      <c r="BS388" t="e">
        <f t="shared" si="373"/>
        <v>#N/A</v>
      </c>
      <c r="BT388" t="e">
        <f t="shared" si="374"/>
        <v>#N/A</v>
      </c>
      <c r="BU388" t="e">
        <f t="shared" si="375"/>
        <v>#N/A</v>
      </c>
      <c r="BV388" t="e">
        <f t="shared" si="376"/>
        <v>#N/A</v>
      </c>
      <c r="BW388" t="e">
        <f t="shared" si="377"/>
        <v>#N/A</v>
      </c>
      <c r="BX388" t="e">
        <f t="shared" si="378"/>
        <v>#N/A</v>
      </c>
      <c r="BY388" t="e">
        <f t="shared" si="379"/>
        <v>#N/A</v>
      </c>
      <c r="BZ388" t="e">
        <f t="shared" si="380"/>
        <v>#N/A</v>
      </c>
      <c r="CA388" t="e">
        <f t="shared" si="381"/>
        <v>#N/A</v>
      </c>
      <c r="CB388" t="e">
        <f t="shared" si="382"/>
        <v>#N/A</v>
      </c>
      <c r="CC388" t="e">
        <f t="shared" si="383"/>
        <v>#N/A</v>
      </c>
      <c r="CD388" t="e">
        <f t="shared" si="384"/>
        <v>#N/A</v>
      </c>
      <c r="CE388" t="e">
        <f t="shared" si="385"/>
        <v>#N/A</v>
      </c>
      <c r="CF388" t="e">
        <f t="shared" si="386"/>
        <v>#N/A</v>
      </c>
      <c r="CG388" t="e">
        <f t="shared" si="387"/>
        <v>#N/A</v>
      </c>
      <c r="CI388" t="e">
        <f>AL134</f>
        <v>#N/A</v>
      </c>
      <c r="CJ388" t="e">
        <f>AM134</f>
        <v>#N/A</v>
      </c>
      <c r="CK388">
        <f>IF(ISNUMBER(CI388),IFERROR(MAX(0,AN134-CI388),0),0)</f>
        <v>0</v>
      </c>
      <c r="CL388">
        <f>IF(ISNUMBER(CI388),IFERROR(MAX(0,CI388-AN134),0),0)</f>
        <v>0</v>
      </c>
      <c r="CM388">
        <f>IF(ISNUMBER(CJ388),IFERROR(MAX(0,AO134-CJ388),0),0)</f>
        <v>0</v>
      </c>
      <c r="CN388">
        <f>IF(ISNUMBER(CJ388),IFERROR(MAX(0,CJ388-AO134),0),0)</f>
        <v>0</v>
      </c>
      <c r="CP388" t="e">
        <f>BT134</f>
        <v>#N/A</v>
      </c>
      <c r="CQ388" t="e">
        <f>BU134</f>
        <v>#N/A</v>
      </c>
      <c r="CR388">
        <f>IF(ISNUMBER(CP388),IFERROR(MAX(0,BV134-CP388),0),0)</f>
        <v>0</v>
      </c>
      <c r="CS388">
        <f>IF(ISNUMBER(CP388),IFERROR(MAX(0,CP388-BV134),0),0)</f>
        <v>0</v>
      </c>
      <c r="CT388">
        <f>IF(ISNUMBER(CQ388),IFERROR(MAX(0,BW134-CQ388),0),0)</f>
        <v>0</v>
      </c>
      <c r="CU388">
        <f>IF(ISNUMBER(CQ388),IFERROR(MAX(0,CQ388-BW134),0),0)</f>
        <v>0</v>
      </c>
    </row>
    <row r="389" spans="21:99" x14ac:dyDescent="0.3">
      <c r="U389">
        <v>383</v>
      </c>
      <c r="V389">
        <f t="shared" si="332"/>
        <v>96</v>
      </c>
      <c r="W389">
        <f t="shared" si="333"/>
        <v>3</v>
      </c>
      <c r="X389">
        <f t="shared" si="334"/>
        <v>0</v>
      </c>
      <c r="Y389">
        <f>IF(X389&lt;&gt;1,9999,CHOOSE(W389,INDEX(Gantt!$BQ$7:$BQ$119,V389),INDEX(Gantt!$BR$7:$BR$119,V389),INDEX(Gantt!$BT$7:$BT$119,V389),INDEX(Gantt!$BU$7:$BU$119,V389)))</f>
        <v>9999</v>
      </c>
      <c r="Z389">
        <f t="shared" si="335"/>
        <v>0</v>
      </c>
      <c r="AA389" t="e">
        <f t="shared" si="336"/>
        <v>#N/A</v>
      </c>
      <c r="AB389" t="e">
        <f t="shared" si="337"/>
        <v>#N/A</v>
      </c>
      <c r="AC389" t="e">
        <f t="shared" si="338"/>
        <v>#N/A</v>
      </c>
      <c r="AD389" t="e">
        <f t="shared" si="339"/>
        <v>#N/A</v>
      </c>
      <c r="AE389" t="e">
        <f t="shared" si="340"/>
        <v>#N/A</v>
      </c>
      <c r="AF389" t="e">
        <f t="shared" si="341"/>
        <v>#N/A</v>
      </c>
      <c r="AG389" t="e">
        <f t="shared" si="342"/>
        <v>#N/A</v>
      </c>
      <c r="AH389" t="e">
        <f t="shared" si="343"/>
        <v>#N/A</v>
      </c>
      <c r="AI389" t="e">
        <f t="shared" si="344"/>
        <v>#N/A</v>
      </c>
      <c r="AJ389" t="e">
        <f t="shared" si="345"/>
        <v>#N/A</v>
      </c>
      <c r="AK389" t="e">
        <f t="shared" si="346"/>
        <v>#N/A</v>
      </c>
      <c r="AL389" t="e">
        <f t="shared" si="347"/>
        <v>#N/A</v>
      </c>
      <c r="AM389" t="e">
        <f t="shared" si="348"/>
        <v>#N/A</v>
      </c>
      <c r="AN389" t="e">
        <f t="shared" si="349"/>
        <v>#N/A</v>
      </c>
      <c r="AO389" t="e">
        <f t="shared" si="350"/>
        <v>#N/A</v>
      </c>
      <c r="AP389" t="e">
        <f t="shared" si="351"/>
        <v>#N/A</v>
      </c>
      <c r="AQ389" t="e">
        <f t="shared" si="352"/>
        <v>#N/A</v>
      </c>
      <c r="AR389" t="e">
        <f t="shared" si="353"/>
        <v>#N/A</v>
      </c>
      <c r="AS389" t="e">
        <f t="shared" si="354"/>
        <v>#N/A</v>
      </c>
      <c r="AT389" t="e">
        <f t="shared" si="355"/>
        <v>#N/A</v>
      </c>
      <c r="AU389" t="e">
        <f t="shared" si="356"/>
        <v>#N/A</v>
      </c>
      <c r="AV389" t="e">
        <f t="shared" si="357"/>
        <v>#N/A</v>
      </c>
      <c r="AW389" t="e">
        <f t="shared" si="358"/>
        <v>#N/A</v>
      </c>
      <c r="AX389" t="e">
        <f t="shared" si="359"/>
        <v>#N/A</v>
      </c>
      <c r="AY389" t="e">
        <f t="shared" si="360"/>
        <v>#N/A</v>
      </c>
      <c r="BE389" t="e">
        <f>IF(Z389=1,IF(INDEX($C$7:$C$126,V389)&gt;=Gantt!$BF$6,NA(),MATCH(INDEX($C$7:$C$126,V389),Gantt!$J$6:$BE$6,1)),NA())</f>
        <v>#N/A</v>
      </c>
      <c r="BF389" t="e">
        <f>IF(Z389=1,IF((INDEX($D$7:$D$126,AA389)-1)&gt;=Gantt!$BF$6,NA(),IF((INDEX($D$7:$D$126,AA389)-1)&lt;Gantt!$J$6,0,MATCH((INDEX($D$7:$D$126,AA389)-1),Gantt!$J$6:$BE$6,1))),NA())</f>
        <v>#N/A</v>
      </c>
      <c r="BG389" t="e">
        <f t="shared" si="361"/>
        <v>#N/A</v>
      </c>
      <c r="BH389" t="e">
        <f t="shared" si="362"/>
        <v>#N/A</v>
      </c>
      <c r="BI389" t="e">
        <f t="shared" si="363"/>
        <v>#N/A</v>
      </c>
      <c r="BJ389" t="e">
        <f t="shared" si="364"/>
        <v>#N/A</v>
      </c>
      <c r="BK389" t="e">
        <f t="shared" si="365"/>
        <v>#N/A</v>
      </c>
      <c r="BL389" t="e">
        <f t="shared" si="366"/>
        <v>#N/A</v>
      </c>
      <c r="BM389" t="e">
        <f t="shared" si="367"/>
        <v>#N/A</v>
      </c>
      <c r="BN389" t="e">
        <f t="shared" si="368"/>
        <v>#N/A</v>
      </c>
      <c r="BO389" t="e">
        <f t="shared" si="369"/>
        <v>#N/A</v>
      </c>
      <c r="BP389" t="e">
        <f t="shared" si="370"/>
        <v>#N/A</v>
      </c>
      <c r="BQ389" t="e">
        <f t="shared" si="371"/>
        <v>#N/A</v>
      </c>
      <c r="BR389" t="e">
        <f t="shared" si="372"/>
        <v>#N/A</v>
      </c>
      <c r="BS389" t="e">
        <f t="shared" si="373"/>
        <v>#N/A</v>
      </c>
      <c r="BT389" t="e">
        <f t="shared" si="374"/>
        <v>#N/A</v>
      </c>
      <c r="BU389" t="e">
        <f t="shared" si="375"/>
        <v>#N/A</v>
      </c>
      <c r="BV389" t="e">
        <f t="shared" si="376"/>
        <v>#N/A</v>
      </c>
      <c r="BW389" t="e">
        <f t="shared" si="377"/>
        <v>#N/A</v>
      </c>
      <c r="BX389" t="e">
        <f t="shared" si="378"/>
        <v>#N/A</v>
      </c>
      <c r="BY389" t="e">
        <f t="shared" si="379"/>
        <v>#N/A</v>
      </c>
      <c r="BZ389" t="e">
        <f t="shared" si="380"/>
        <v>#N/A</v>
      </c>
      <c r="CA389" t="e">
        <f t="shared" si="381"/>
        <v>#N/A</v>
      </c>
      <c r="CB389" t="e">
        <f t="shared" si="382"/>
        <v>#N/A</v>
      </c>
      <c r="CC389" t="e">
        <f t="shared" si="383"/>
        <v>#N/A</v>
      </c>
      <c r="CD389" t="e">
        <f t="shared" si="384"/>
        <v>#N/A</v>
      </c>
      <c r="CE389" t="e">
        <f t="shared" si="385"/>
        <v>#N/A</v>
      </c>
      <c r="CF389" t="e">
        <f t="shared" si="386"/>
        <v>#N/A</v>
      </c>
      <c r="CG389" t="e">
        <f t="shared" si="387"/>
        <v>#N/A</v>
      </c>
      <c r="CI389" t="e">
        <f>AP134</f>
        <v>#N/A</v>
      </c>
      <c r="CJ389" t="e">
        <f>AQ134</f>
        <v>#N/A</v>
      </c>
      <c r="CK389">
        <f>IF(ISNUMBER(CI389),IFERROR(MAX(0,AR134-CI389),0),0)</f>
        <v>0</v>
      </c>
      <c r="CL389">
        <f>IF(ISNUMBER(CI389),IFERROR(MAX(0,CI389-AR134),0),0)</f>
        <v>0</v>
      </c>
      <c r="CM389">
        <f>IF(ISNUMBER(CJ389),IFERROR(MAX(0,AS134-CJ389),0),0)</f>
        <v>0</v>
      </c>
      <c r="CN389">
        <f>IF(ISNUMBER(CJ389),IFERROR(MAX(0,CJ389-AS134),0),0)</f>
        <v>0</v>
      </c>
      <c r="CP389" t="e">
        <f>BX134</f>
        <v>#N/A</v>
      </c>
      <c r="CQ389" t="e">
        <f>BY134</f>
        <v>#N/A</v>
      </c>
      <c r="CR389">
        <f>IF(ISNUMBER(CP389),IFERROR(MAX(0,BZ134-CP389),0),0)</f>
        <v>0</v>
      </c>
      <c r="CS389">
        <f>IF(ISNUMBER(CP389),IFERROR(MAX(0,CP389-BZ134),0),0)</f>
        <v>0</v>
      </c>
      <c r="CT389">
        <f>IF(ISNUMBER(CQ389),IFERROR(MAX(0,CA134-CQ389),0),0)</f>
        <v>0</v>
      </c>
      <c r="CU389">
        <f>IF(ISNUMBER(CQ389),IFERROR(MAX(0,CQ389-CA134),0),0)</f>
        <v>0</v>
      </c>
    </row>
    <row r="390" spans="21:99" x14ac:dyDescent="0.3">
      <c r="U390">
        <v>384</v>
      </c>
      <c r="V390">
        <f t="shared" si="332"/>
        <v>96</v>
      </c>
      <c r="W390">
        <f t="shared" si="333"/>
        <v>4</v>
      </c>
      <c r="X390">
        <f t="shared" si="334"/>
        <v>0</v>
      </c>
      <c r="Y390">
        <f>IF(X390&lt;&gt;1,9999,CHOOSE(W390,INDEX(Gantt!$BQ$7:$BQ$119,V390),INDEX(Gantt!$BR$7:$BR$119,V390),INDEX(Gantt!$BT$7:$BT$119,V390),INDEX(Gantt!$BU$7:$BU$119,V390)))</f>
        <v>9999</v>
      </c>
      <c r="Z390">
        <f t="shared" si="335"/>
        <v>0</v>
      </c>
      <c r="AA390" t="e">
        <f t="shared" si="336"/>
        <v>#N/A</v>
      </c>
      <c r="AB390" t="e">
        <f t="shared" si="337"/>
        <v>#N/A</v>
      </c>
      <c r="AC390" t="e">
        <f t="shared" si="338"/>
        <v>#N/A</v>
      </c>
      <c r="AD390" t="e">
        <f t="shared" si="339"/>
        <v>#N/A</v>
      </c>
      <c r="AE390" t="e">
        <f t="shared" si="340"/>
        <v>#N/A</v>
      </c>
      <c r="AF390" t="e">
        <f t="shared" si="341"/>
        <v>#N/A</v>
      </c>
      <c r="AG390" t="e">
        <f t="shared" si="342"/>
        <v>#N/A</v>
      </c>
      <c r="AH390" t="e">
        <f t="shared" si="343"/>
        <v>#N/A</v>
      </c>
      <c r="AI390" t="e">
        <f t="shared" si="344"/>
        <v>#N/A</v>
      </c>
      <c r="AJ390" t="e">
        <f t="shared" si="345"/>
        <v>#N/A</v>
      </c>
      <c r="AK390" t="e">
        <f t="shared" si="346"/>
        <v>#N/A</v>
      </c>
      <c r="AL390" t="e">
        <f t="shared" si="347"/>
        <v>#N/A</v>
      </c>
      <c r="AM390" t="e">
        <f t="shared" si="348"/>
        <v>#N/A</v>
      </c>
      <c r="AN390" t="e">
        <f t="shared" si="349"/>
        <v>#N/A</v>
      </c>
      <c r="AO390" t="e">
        <f t="shared" si="350"/>
        <v>#N/A</v>
      </c>
      <c r="AP390" t="e">
        <f t="shared" si="351"/>
        <v>#N/A</v>
      </c>
      <c r="AQ390" t="e">
        <f t="shared" si="352"/>
        <v>#N/A</v>
      </c>
      <c r="AR390" t="e">
        <f t="shared" si="353"/>
        <v>#N/A</v>
      </c>
      <c r="AS390" t="e">
        <f t="shared" si="354"/>
        <v>#N/A</v>
      </c>
      <c r="AT390" t="e">
        <f t="shared" si="355"/>
        <v>#N/A</v>
      </c>
      <c r="AU390" t="e">
        <f t="shared" si="356"/>
        <v>#N/A</v>
      </c>
      <c r="AV390" t="e">
        <f t="shared" si="357"/>
        <v>#N/A</v>
      </c>
      <c r="AW390" t="e">
        <f t="shared" si="358"/>
        <v>#N/A</v>
      </c>
      <c r="AX390" t="e">
        <f t="shared" si="359"/>
        <v>#N/A</v>
      </c>
      <c r="AY390" t="e">
        <f t="shared" si="360"/>
        <v>#N/A</v>
      </c>
      <c r="BE390" t="e">
        <f>IF(Z390=1,IF(INDEX($C$7:$C$126,V390)&gt;=Gantt!$BF$6,NA(),MATCH(INDEX($C$7:$C$126,V390),Gantt!$J$6:$BE$6,1)),NA())</f>
        <v>#N/A</v>
      </c>
      <c r="BF390" t="e">
        <f>IF(Z390=1,IF((INDEX($D$7:$D$126,AA390)-1)&gt;=Gantt!$BF$6,NA(),IF((INDEX($D$7:$D$126,AA390)-1)&lt;Gantt!$J$6,0,MATCH((INDEX($D$7:$D$126,AA390)-1),Gantt!$J$6:$BE$6,1))),NA())</f>
        <v>#N/A</v>
      </c>
      <c r="BG390" t="e">
        <f t="shared" si="361"/>
        <v>#N/A</v>
      </c>
      <c r="BH390" t="e">
        <f t="shared" si="362"/>
        <v>#N/A</v>
      </c>
      <c r="BI390" t="e">
        <f t="shared" si="363"/>
        <v>#N/A</v>
      </c>
      <c r="BJ390" t="e">
        <f t="shared" si="364"/>
        <v>#N/A</v>
      </c>
      <c r="BK390" t="e">
        <f t="shared" si="365"/>
        <v>#N/A</v>
      </c>
      <c r="BL390" t="e">
        <f t="shared" si="366"/>
        <v>#N/A</v>
      </c>
      <c r="BM390" t="e">
        <f t="shared" si="367"/>
        <v>#N/A</v>
      </c>
      <c r="BN390" t="e">
        <f t="shared" si="368"/>
        <v>#N/A</v>
      </c>
      <c r="BO390" t="e">
        <f t="shared" si="369"/>
        <v>#N/A</v>
      </c>
      <c r="BP390" t="e">
        <f t="shared" si="370"/>
        <v>#N/A</v>
      </c>
      <c r="BQ390" t="e">
        <f t="shared" si="371"/>
        <v>#N/A</v>
      </c>
      <c r="BR390" t="e">
        <f t="shared" si="372"/>
        <v>#N/A</v>
      </c>
      <c r="BS390" t="e">
        <f t="shared" si="373"/>
        <v>#N/A</v>
      </c>
      <c r="BT390" t="e">
        <f t="shared" si="374"/>
        <v>#N/A</v>
      </c>
      <c r="BU390" t="e">
        <f t="shared" si="375"/>
        <v>#N/A</v>
      </c>
      <c r="BV390" t="e">
        <f t="shared" si="376"/>
        <v>#N/A</v>
      </c>
      <c r="BW390" t="e">
        <f t="shared" si="377"/>
        <v>#N/A</v>
      </c>
      <c r="BX390" t="e">
        <f t="shared" si="378"/>
        <v>#N/A</v>
      </c>
      <c r="BY390" t="e">
        <f t="shared" si="379"/>
        <v>#N/A</v>
      </c>
      <c r="BZ390" t="e">
        <f t="shared" si="380"/>
        <v>#N/A</v>
      </c>
      <c r="CA390" t="e">
        <f t="shared" si="381"/>
        <v>#N/A</v>
      </c>
      <c r="CB390" t="e">
        <f t="shared" si="382"/>
        <v>#N/A</v>
      </c>
      <c r="CC390" t="e">
        <f t="shared" si="383"/>
        <v>#N/A</v>
      </c>
      <c r="CD390" t="e">
        <f t="shared" si="384"/>
        <v>#N/A</v>
      </c>
      <c r="CE390" t="e">
        <f t="shared" si="385"/>
        <v>#N/A</v>
      </c>
      <c r="CF390" t="e">
        <f t="shared" si="386"/>
        <v>#N/A</v>
      </c>
      <c r="CG390" t="e">
        <f t="shared" si="387"/>
        <v>#N/A</v>
      </c>
      <c r="CI390" t="e">
        <f>AT134</f>
        <v>#N/A</v>
      </c>
      <c r="CJ390" t="e">
        <f>AU134</f>
        <v>#N/A</v>
      </c>
      <c r="CK390">
        <f>IF(ISNUMBER(CI390),IFERROR(MAX(0,AV134-CI390),0),0)</f>
        <v>0</v>
      </c>
      <c r="CL390">
        <f>IF(ISNUMBER(CI390),IFERROR(MAX(0,CI390-AV134),0),0)</f>
        <v>0</v>
      </c>
      <c r="CM390">
        <f>IF(ISNUMBER(CJ390),IFERROR(MAX(0,AW134-CJ390),0),0)</f>
        <v>0</v>
      </c>
      <c r="CN390">
        <f>IF(ISNUMBER(CJ390),IFERROR(MAX(0,CJ390-AW134),0),0)</f>
        <v>0</v>
      </c>
      <c r="CP390" t="e">
        <f>CB134</f>
        <v>#N/A</v>
      </c>
      <c r="CQ390" t="e">
        <f>CC134</f>
        <v>#N/A</v>
      </c>
      <c r="CR390">
        <f>IF(ISNUMBER(CP390),IFERROR(MAX(0,CD134-CP390),0),0)</f>
        <v>0</v>
      </c>
      <c r="CS390">
        <f>IF(ISNUMBER(CP390),IFERROR(MAX(0,CP390-CD134),0),0)</f>
        <v>0</v>
      </c>
      <c r="CT390">
        <f>IF(ISNUMBER(CQ390),IFERROR(MAX(0,CE134-CQ390),0),0)</f>
        <v>0</v>
      </c>
      <c r="CU390">
        <f>IF(ISNUMBER(CQ390),IFERROR(MAX(0,CQ390-CE134),0),0)</f>
        <v>0</v>
      </c>
    </row>
    <row r="391" spans="21:99" x14ac:dyDescent="0.3">
      <c r="U391">
        <v>385</v>
      </c>
      <c r="V391">
        <f t="shared" ref="V391:V454" si="388">INT((U391-1)/4)+1</f>
        <v>97</v>
      </c>
      <c r="W391">
        <f t="shared" ref="W391:W454" si="389">MOD(U391-1,4)+1</f>
        <v>1</v>
      </c>
      <c r="X391">
        <f t="shared" ref="X391:X454" si="390">INDEX($B$7:$B$126,V391)</f>
        <v>0</v>
      </c>
      <c r="Y391">
        <f>IF(X391&lt;&gt;1,9999,CHOOSE(W391,INDEX(Gantt!$BQ$7:$BQ$119,V391),INDEX(Gantt!$BR$7:$BR$119,V391),INDEX(Gantt!$BT$7:$BT$119,V391),INDEX(Gantt!$BU$7:$BU$119,V391)))</f>
        <v>9999</v>
      </c>
      <c r="Z391">
        <f t="shared" ref="Z391:Z454" si="391">IF(AND(Y391&gt;$B$3,Y391&lt;=$B$3+MIN($B$2,120),Y391&lt;&gt;$B$3+V391),1,0)</f>
        <v>0</v>
      </c>
      <c r="AA391" t="e">
        <f t="shared" ref="AA391:AA454" si="392">IF(Z391=1,Y391-$B$3,NA())</f>
        <v>#N/A</v>
      </c>
      <c r="AB391" t="e">
        <f t="shared" ref="AB391:AB454" si="393">IF(Z391=1,INDEX($H$7:$H$126,V391)-IF(INDEX($G$7:$G$126,V391)=1,1,0),NA())</f>
        <v>#N/A</v>
      </c>
      <c r="AC391" t="e">
        <f t="shared" ref="AC391:AC454" si="394">IF(Z391=1,IF(AD391=1,INDEX($H$7:$H$126,AA391)+2,INDEX($D$7:$D$126,AA391)-$B$1),NA())</f>
        <v>#N/A</v>
      </c>
      <c r="AD391" t="e">
        <f t="shared" ref="AD391:AD454" si="395">IF(Z391=1,INDEX($G$7:$G$126,AA391),NA())</f>
        <v>#N/A</v>
      </c>
      <c r="AE391" t="e">
        <f t="shared" ref="AE391:AE454" si="396">IF(Z391=1,IF(AA391&lt;V391,1,-1),NA())</f>
        <v>#N/A</v>
      </c>
      <c r="AF391" t="e">
        <f t="shared" ref="AF391:AF454" si="397">IF(Z391=1,IF(AB391&gt;=AC391,1,2),NA())</f>
        <v>#N/A</v>
      </c>
      <c r="AG391" t="e">
        <f t="shared" ref="AG391:AG454" si="398">IF(Z391=1,IF(AD391=1,INDEX($H$7:$H$126,AA391)+0.5,AC391-MIN(1.5,INDEX($I$7:$I$126,AA391)/2)),NA())</f>
        <v>#N/A</v>
      </c>
      <c r="AH391" t="e">
        <f t="shared" ref="AH391:AH454" si="399">IF(Z391=1,AA391+AE391*IF(AD391=1,0.3,0.22),NA())</f>
        <v>#N/A</v>
      </c>
      <c r="AI391" t="e">
        <f t="shared" ref="AI391:AI454" si="400">IF(Z391=1,AC391+2,NA())</f>
        <v>#N/A</v>
      </c>
      <c r="AJ391" t="e">
        <f t="shared" ref="AJ391:AJ454" si="401">IF(Z391=1,V391-0.5*AE391,NA())</f>
        <v>#N/A</v>
      </c>
      <c r="AK391" t="e">
        <f t="shared" ref="AK391:AK454" si="402">IF(Z391=1,AB391-3,NA())</f>
        <v>#N/A</v>
      </c>
      <c r="AL391" t="e">
        <f t="shared" ref="AL391:AL454" si="403">IF(Z391=1,CHOOSE(AF391+1,0,AG391,AC391),NA())</f>
        <v>#N/A</v>
      </c>
      <c r="AM391" t="e">
        <f t="shared" ref="AM391:AM454" si="404">IF(Z391=1,CHOOSE(AF391+1,V391,V391,AA391),NA())</f>
        <v>#N/A</v>
      </c>
      <c r="AN391" t="e">
        <f t="shared" ref="AN391:AN454" si="405">IF(Z391=1,CHOOSE(AF391+1,AB391-2.5,AB391-2.5,AI391),NA())</f>
        <v>#N/A</v>
      </c>
      <c r="AO391" t="e">
        <f t="shared" ref="AO391:AO454" si="406">IF(Z391=1,CHOOSE(AF391+1,V391,AH391,AA391),NA())</f>
        <v>#N/A</v>
      </c>
      <c r="AP391" t="e">
        <f t="shared" ref="AP391:AP454" si="407">IF(Z391=1,IF(AF391=2,AI391,NA()),NA())</f>
        <v>#N/A</v>
      </c>
      <c r="AQ391" t="e">
        <f t="shared" ref="AQ391:AQ454" si="408">IF(Z391=1,IF(AF391=2,AJ391,NA()),NA())</f>
        <v>#N/A</v>
      </c>
      <c r="AR391" t="e">
        <f t="shared" ref="AR391:AR454" si="409">IF(Z391=1,AK391,NA())</f>
        <v>#N/A</v>
      </c>
      <c r="AS391" t="e">
        <f t="shared" ref="AS391:AS454" si="410">IF(Z391=1,AA391,NA())</f>
        <v>#N/A</v>
      </c>
      <c r="AT391" t="e">
        <f t="shared" ref="AT391:AT454" si="411">IF(Z391=1,IF(AF391=2,AK391,NA()),NA())</f>
        <v>#N/A</v>
      </c>
      <c r="AU391" t="e">
        <f t="shared" ref="AU391:AU454" si="412">IF(Z391=1,IF(AF391=2,V391,NA()),NA())</f>
        <v>#N/A</v>
      </c>
      <c r="AV391" t="e">
        <f t="shared" ref="AV391:AV454" si="413">IF(Z391=1,AB391-2.5,NA())</f>
        <v>#N/A</v>
      </c>
      <c r="AW391" t="e">
        <f t="shared" ref="AW391:AW454" si="414">IF(Z391=1,AJ391,NA())</f>
        <v>#N/A</v>
      </c>
      <c r="AX391" t="e">
        <f t="shared" ref="AX391:AX454" si="415">IF(Z391=1,IF(ISNUMBER(AF391),AB391-3,NA()),NA())</f>
        <v>#N/A</v>
      </c>
      <c r="AY391" t="e">
        <f t="shared" ref="AY391:AY454" si="416">IF(Z391=1,IF(ISNUMBER(AF391),V391,NA()),NA())</f>
        <v>#N/A</v>
      </c>
      <c r="BE391" t="e">
        <f>IF(Z391=1,IF(INDEX($C$7:$C$126,V391)&gt;=Gantt!$BF$6,NA(),MATCH(INDEX($C$7:$C$126,V391),Gantt!$J$6:$BE$6,1)),NA())</f>
        <v>#N/A</v>
      </c>
      <c r="BF391" t="e">
        <f>IF(Z391=1,IF((INDEX($D$7:$D$126,AA391)-1)&gt;=Gantt!$BF$6,NA(),IF((INDEX($D$7:$D$126,AA391)-1)&lt;Gantt!$J$6,0,MATCH((INDEX($D$7:$D$126,AA391)-1),Gantt!$J$6:$BE$6,1))),NA())</f>
        <v>#N/A</v>
      </c>
      <c r="BG391" t="e">
        <f t="shared" ref="BG391:BG454" si="417">IF(Z391=1,INDEX($G$7:$G$126,AA391),NA())</f>
        <v>#N/A</v>
      </c>
      <c r="BH391" t="e">
        <f t="shared" ref="BH391:BH454" si="418">IF(Z391=1,INDEX($G$7:$G$126,V391),NA())</f>
        <v>#N/A</v>
      </c>
      <c r="BI391" t="e">
        <f t="shared" ref="BI391:BI454" si="419">IF(Z391=1,(V391-0.5)/$B$2,NA())</f>
        <v>#N/A</v>
      </c>
      <c r="BJ391" t="e">
        <f t="shared" ref="BJ391:BJ454" si="420">IF(Z391=1,(AA391-0.5)/$B$2,NA())</f>
        <v>#N/A</v>
      </c>
      <c r="BK391" t="e">
        <f t="shared" ref="BK391:BK454" si="421">IF(Z391=1,IF(AA391&lt;V391,1,-1),NA())</f>
        <v>#N/A</v>
      </c>
      <c r="BL391" t="e">
        <f t="shared" ref="BL391:BL454" si="422">IF(Z391=1,IF(BH391=1,(BE391-1)*7+1.5,(BE391-1)*7),NA())</f>
        <v>#N/A</v>
      </c>
      <c r="BM391" t="e">
        <f t="shared" ref="BM391:BM454" si="423">IF(Z391=1,IF(BF391=0,0,IF(BG391=1,(BF391-1)*7+5.5,BF391*7)),NA())</f>
        <v>#N/A</v>
      </c>
      <c r="BN391" t="e">
        <f t="shared" ref="BN391:BN454" si="424">IF(Z391=1,BL391*0+IF(BF391=0,0,IF(BL391&gt;=BM391,1,2)),NA())</f>
        <v>#N/A</v>
      </c>
      <c r="BO391" t="e">
        <f t="shared" ref="BO391:BO454" si="425">IF(Z391=1,IF(BG391=1,(BF391-1)*7+3.5,BM391-3.5),NA())</f>
        <v>#N/A</v>
      </c>
      <c r="BP391" t="e">
        <f t="shared" ref="BP391:BP454" si="426">IF(Z391=1,IF(BG391=1,BJ391+BK391*0.25/$B$2,IF(BK391=1,AA391/$B$2,(AA391-1)/$B$2)),NA())</f>
        <v>#N/A</v>
      </c>
      <c r="BQ391" t="e">
        <f t="shared" ref="BQ391:BQ454" si="427">IF(Z391=1,BM391+2,NA())</f>
        <v>#N/A</v>
      </c>
      <c r="BR391" t="e">
        <f t="shared" ref="BR391:BR454" si="428">IF(Z391=1,IF(BK391=1,(V391-1)/$B$2,V391/$B$2),NA())</f>
        <v>#N/A</v>
      </c>
      <c r="BS391" t="e">
        <f t="shared" ref="BS391:BS454" si="429">IF(Z391=1,BL391-3,NA())</f>
        <v>#N/A</v>
      </c>
      <c r="BT391" t="e">
        <f t="shared" ref="BT391:BT454" si="430">IF(Z391=1,CHOOSE(BN391+1,0,BO391,BM391),NA())</f>
        <v>#N/A</v>
      </c>
      <c r="BU391" t="e">
        <f t="shared" ref="BU391:BU454" si="431">IF(Z391=1,CHOOSE(BN391+1,BI391,BI391,BJ391),NA())</f>
        <v>#N/A</v>
      </c>
      <c r="BV391" t="e">
        <f t="shared" ref="BV391:BV454" si="432">IF(Z391=1,CHOOSE(BN391+1,BL391-2,BL391-2,BQ391),NA())</f>
        <v>#N/A</v>
      </c>
      <c r="BW391" t="e">
        <f t="shared" ref="BW391:BW454" si="433">IF(Z391=1,CHOOSE(BN391+1,BI391,BP391,BJ391),NA())</f>
        <v>#N/A</v>
      </c>
      <c r="BX391" t="e">
        <f t="shared" ref="BX391:BX454" si="434">IF(Z391=1,IF(BN391=2,BQ391,NA()),NA())</f>
        <v>#N/A</v>
      </c>
      <c r="BY391" t="e">
        <f t="shared" ref="BY391:BY454" si="435">IF(Z391=1,IF(BN391=2,BR391,NA()),NA())</f>
        <v>#N/A</v>
      </c>
      <c r="BZ391" t="e">
        <f t="shared" ref="BZ391:BZ454" si="436">IF(Z391=1,BS391,NA())</f>
        <v>#N/A</v>
      </c>
      <c r="CA391" t="e">
        <f t="shared" ref="CA391:CA454" si="437">IF(Z391=1,BJ391,NA())</f>
        <v>#N/A</v>
      </c>
      <c r="CB391" t="e">
        <f t="shared" ref="CB391:CB454" si="438">IF(Z391=1,IF(BN391=2,BS391,NA()),NA())</f>
        <v>#N/A</v>
      </c>
      <c r="CC391" t="e">
        <f t="shared" ref="CC391:CC454" si="439">IF(Z391=1,IF(BN391=2,BI391,NA()),NA())</f>
        <v>#N/A</v>
      </c>
      <c r="CD391" t="e">
        <f t="shared" ref="CD391:CD454" si="440">IF(Z391=1,BL391-2,NA())</f>
        <v>#N/A</v>
      </c>
      <c r="CE391" t="e">
        <f t="shared" ref="CE391:CE454" si="441">IF(Z391=1,BR391,NA())</f>
        <v>#N/A</v>
      </c>
      <c r="CF391" t="e">
        <f t="shared" ref="CF391:CF454" si="442">IF(Z391=1,IF(ISNUMBER(BN391),BL391-2.5,NA()),NA())</f>
        <v>#N/A</v>
      </c>
      <c r="CG391" t="e">
        <f t="shared" ref="CG391:CG454" si="443">IF(Z391=1,IF(ISNUMBER(BN391),BI391,NA()),NA())</f>
        <v>#N/A</v>
      </c>
      <c r="CI391" t="e">
        <f>AL135</f>
        <v>#N/A</v>
      </c>
      <c r="CJ391" t="e">
        <f>AM135</f>
        <v>#N/A</v>
      </c>
      <c r="CK391">
        <f>IF(ISNUMBER(CI391),IFERROR(MAX(0,AN135-CI391),0),0)</f>
        <v>0</v>
      </c>
      <c r="CL391">
        <f>IF(ISNUMBER(CI391),IFERROR(MAX(0,CI391-AN135),0),0)</f>
        <v>0</v>
      </c>
      <c r="CM391">
        <f>IF(ISNUMBER(CJ391),IFERROR(MAX(0,AO135-CJ391),0),0)</f>
        <v>0</v>
      </c>
      <c r="CN391">
        <f>IF(ISNUMBER(CJ391),IFERROR(MAX(0,CJ391-AO135),0),0)</f>
        <v>0</v>
      </c>
      <c r="CP391" t="e">
        <f>BT135</f>
        <v>#N/A</v>
      </c>
      <c r="CQ391" t="e">
        <f>BU135</f>
        <v>#N/A</v>
      </c>
      <c r="CR391">
        <f>IF(ISNUMBER(CP391),IFERROR(MAX(0,BV135-CP391),0),0)</f>
        <v>0</v>
      </c>
      <c r="CS391">
        <f>IF(ISNUMBER(CP391),IFERROR(MAX(0,CP391-BV135),0),0)</f>
        <v>0</v>
      </c>
      <c r="CT391">
        <f>IF(ISNUMBER(CQ391),IFERROR(MAX(0,BW135-CQ391),0),0)</f>
        <v>0</v>
      </c>
      <c r="CU391">
        <f>IF(ISNUMBER(CQ391),IFERROR(MAX(0,CQ391-BW135),0),0)</f>
        <v>0</v>
      </c>
    </row>
    <row r="392" spans="21:99" x14ac:dyDescent="0.3">
      <c r="U392">
        <v>386</v>
      </c>
      <c r="V392">
        <f t="shared" si="388"/>
        <v>97</v>
      </c>
      <c r="W392">
        <f t="shared" si="389"/>
        <v>2</v>
      </c>
      <c r="X392">
        <f t="shared" si="390"/>
        <v>0</v>
      </c>
      <c r="Y392">
        <f>IF(X392&lt;&gt;1,9999,CHOOSE(W392,INDEX(Gantt!$BQ$7:$BQ$119,V392),INDEX(Gantt!$BR$7:$BR$119,V392),INDEX(Gantt!$BT$7:$BT$119,V392),INDEX(Gantt!$BU$7:$BU$119,V392)))</f>
        <v>9999</v>
      </c>
      <c r="Z392">
        <f t="shared" si="391"/>
        <v>0</v>
      </c>
      <c r="AA392" t="e">
        <f t="shared" si="392"/>
        <v>#N/A</v>
      </c>
      <c r="AB392" t="e">
        <f t="shared" si="393"/>
        <v>#N/A</v>
      </c>
      <c r="AC392" t="e">
        <f t="shared" si="394"/>
        <v>#N/A</v>
      </c>
      <c r="AD392" t="e">
        <f t="shared" si="395"/>
        <v>#N/A</v>
      </c>
      <c r="AE392" t="e">
        <f t="shared" si="396"/>
        <v>#N/A</v>
      </c>
      <c r="AF392" t="e">
        <f t="shared" si="397"/>
        <v>#N/A</v>
      </c>
      <c r="AG392" t="e">
        <f t="shared" si="398"/>
        <v>#N/A</v>
      </c>
      <c r="AH392" t="e">
        <f t="shared" si="399"/>
        <v>#N/A</v>
      </c>
      <c r="AI392" t="e">
        <f t="shared" si="400"/>
        <v>#N/A</v>
      </c>
      <c r="AJ392" t="e">
        <f t="shared" si="401"/>
        <v>#N/A</v>
      </c>
      <c r="AK392" t="e">
        <f t="shared" si="402"/>
        <v>#N/A</v>
      </c>
      <c r="AL392" t="e">
        <f t="shared" si="403"/>
        <v>#N/A</v>
      </c>
      <c r="AM392" t="e">
        <f t="shared" si="404"/>
        <v>#N/A</v>
      </c>
      <c r="AN392" t="e">
        <f t="shared" si="405"/>
        <v>#N/A</v>
      </c>
      <c r="AO392" t="e">
        <f t="shared" si="406"/>
        <v>#N/A</v>
      </c>
      <c r="AP392" t="e">
        <f t="shared" si="407"/>
        <v>#N/A</v>
      </c>
      <c r="AQ392" t="e">
        <f t="shared" si="408"/>
        <v>#N/A</v>
      </c>
      <c r="AR392" t="e">
        <f t="shared" si="409"/>
        <v>#N/A</v>
      </c>
      <c r="AS392" t="e">
        <f t="shared" si="410"/>
        <v>#N/A</v>
      </c>
      <c r="AT392" t="e">
        <f t="shared" si="411"/>
        <v>#N/A</v>
      </c>
      <c r="AU392" t="e">
        <f t="shared" si="412"/>
        <v>#N/A</v>
      </c>
      <c r="AV392" t="e">
        <f t="shared" si="413"/>
        <v>#N/A</v>
      </c>
      <c r="AW392" t="e">
        <f t="shared" si="414"/>
        <v>#N/A</v>
      </c>
      <c r="AX392" t="e">
        <f t="shared" si="415"/>
        <v>#N/A</v>
      </c>
      <c r="AY392" t="e">
        <f t="shared" si="416"/>
        <v>#N/A</v>
      </c>
      <c r="BE392" t="e">
        <f>IF(Z392=1,IF(INDEX($C$7:$C$126,V392)&gt;=Gantt!$BF$6,NA(),MATCH(INDEX($C$7:$C$126,V392),Gantt!$J$6:$BE$6,1)),NA())</f>
        <v>#N/A</v>
      </c>
      <c r="BF392" t="e">
        <f>IF(Z392=1,IF((INDEX($D$7:$D$126,AA392)-1)&gt;=Gantt!$BF$6,NA(),IF((INDEX($D$7:$D$126,AA392)-1)&lt;Gantt!$J$6,0,MATCH((INDEX($D$7:$D$126,AA392)-1),Gantt!$J$6:$BE$6,1))),NA())</f>
        <v>#N/A</v>
      </c>
      <c r="BG392" t="e">
        <f t="shared" si="417"/>
        <v>#N/A</v>
      </c>
      <c r="BH392" t="e">
        <f t="shared" si="418"/>
        <v>#N/A</v>
      </c>
      <c r="BI392" t="e">
        <f t="shared" si="419"/>
        <v>#N/A</v>
      </c>
      <c r="BJ392" t="e">
        <f t="shared" si="420"/>
        <v>#N/A</v>
      </c>
      <c r="BK392" t="e">
        <f t="shared" si="421"/>
        <v>#N/A</v>
      </c>
      <c r="BL392" t="e">
        <f t="shared" si="422"/>
        <v>#N/A</v>
      </c>
      <c r="BM392" t="e">
        <f t="shared" si="423"/>
        <v>#N/A</v>
      </c>
      <c r="BN392" t="e">
        <f t="shared" si="424"/>
        <v>#N/A</v>
      </c>
      <c r="BO392" t="e">
        <f t="shared" si="425"/>
        <v>#N/A</v>
      </c>
      <c r="BP392" t="e">
        <f t="shared" si="426"/>
        <v>#N/A</v>
      </c>
      <c r="BQ392" t="e">
        <f t="shared" si="427"/>
        <v>#N/A</v>
      </c>
      <c r="BR392" t="e">
        <f t="shared" si="428"/>
        <v>#N/A</v>
      </c>
      <c r="BS392" t="e">
        <f t="shared" si="429"/>
        <v>#N/A</v>
      </c>
      <c r="BT392" t="e">
        <f t="shared" si="430"/>
        <v>#N/A</v>
      </c>
      <c r="BU392" t="e">
        <f t="shared" si="431"/>
        <v>#N/A</v>
      </c>
      <c r="BV392" t="e">
        <f t="shared" si="432"/>
        <v>#N/A</v>
      </c>
      <c r="BW392" t="e">
        <f t="shared" si="433"/>
        <v>#N/A</v>
      </c>
      <c r="BX392" t="e">
        <f t="shared" si="434"/>
        <v>#N/A</v>
      </c>
      <c r="BY392" t="e">
        <f t="shared" si="435"/>
        <v>#N/A</v>
      </c>
      <c r="BZ392" t="e">
        <f t="shared" si="436"/>
        <v>#N/A</v>
      </c>
      <c r="CA392" t="e">
        <f t="shared" si="437"/>
        <v>#N/A</v>
      </c>
      <c r="CB392" t="e">
        <f t="shared" si="438"/>
        <v>#N/A</v>
      </c>
      <c r="CC392" t="e">
        <f t="shared" si="439"/>
        <v>#N/A</v>
      </c>
      <c r="CD392" t="e">
        <f t="shared" si="440"/>
        <v>#N/A</v>
      </c>
      <c r="CE392" t="e">
        <f t="shared" si="441"/>
        <v>#N/A</v>
      </c>
      <c r="CF392" t="e">
        <f t="shared" si="442"/>
        <v>#N/A</v>
      </c>
      <c r="CG392" t="e">
        <f t="shared" si="443"/>
        <v>#N/A</v>
      </c>
      <c r="CI392" t="e">
        <f>AP135</f>
        <v>#N/A</v>
      </c>
      <c r="CJ392" t="e">
        <f>AQ135</f>
        <v>#N/A</v>
      </c>
      <c r="CK392">
        <f>IF(ISNUMBER(CI392),IFERROR(MAX(0,AR135-CI392),0),0)</f>
        <v>0</v>
      </c>
      <c r="CL392">
        <f>IF(ISNUMBER(CI392),IFERROR(MAX(0,CI392-AR135),0),0)</f>
        <v>0</v>
      </c>
      <c r="CM392">
        <f>IF(ISNUMBER(CJ392),IFERROR(MAX(0,AS135-CJ392),0),0)</f>
        <v>0</v>
      </c>
      <c r="CN392">
        <f>IF(ISNUMBER(CJ392),IFERROR(MAX(0,CJ392-AS135),0),0)</f>
        <v>0</v>
      </c>
      <c r="CP392" t="e">
        <f>BX135</f>
        <v>#N/A</v>
      </c>
      <c r="CQ392" t="e">
        <f>BY135</f>
        <v>#N/A</v>
      </c>
      <c r="CR392">
        <f>IF(ISNUMBER(CP392),IFERROR(MAX(0,BZ135-CP392),0),0)</f>
        <v>0</v>
      </c>
      <c r="CS392">
        <f>IF(ISNUMBER(CP392),IFERROR(MAX(0,CP392-BZ135),0),0)</f>
        <v>0</v>
      </c>
      <c r="CT392">
        <f>IF(ISNUMBER(CQ392),IFERROR(MAX(0,CA135-CQ392),0),0)</f>
        <v>0</v>
      </c>
      <c r="CU392">
        <f>IF(ISNUMBER(CQ392),IFERROR(MAX(0,CQ392-CA135),0),0)</f>
        <v>0</v>
      </c>
    </row>
    <row r="393" spans="21:99" x14ac:dyDescent="0.3">
      <c r="U393">
        <v>387</v>
      </c>
      <c r="V393">
        <f t="shared" si="388"/>
        <v>97</v>
      </c>
      <c r="W393">
        <f t="shared" si="389"/>
        <v>3</v>
      </c>
      <c r="X393">
        <f t="shared" si="390"/>
        <v>0</v>
      </c>
      <c r="Y393">
        <f>IF(X393&lt;&gt;1,9999,CHOOSE(W393,INDEX(Gantt!$BQ$7:$BQ$119,V393),INDEX(Gantt!$BR$7:$BR$119,V393),INDEX(Gantt!$BT$7:$BT$119,V393),INDEX(Gantt!$BU$7:$BU$119,V393)))</f>
        <v>9999</v>
      </c>
      <c r="Z393">
        <f t="shared" si="391"/>
        <v>0</v>
      </c>
      <c r="AA393" t="e">
        <f t="shared" si="392"/>
        <v>#N/A</v>
      </c>
      <c r="AB393" t="e">
        <f t="shared" si="393"/>
        <v>#N/A</v>
      </c>
      <c r="AC393" t="e">
        <f t="shared" si="394"/>
        <v>#N/A</v>
      </c>
      <c r="AD393" t="e">
        <f t="shared" si="395"/>
        <v>#N/A</v>
      </c>
      <c r="AE393" t="e">
        <f t="shared" si="396"/>
        <v>#N/A</v>
      </c>
      <c r="AF393" t="e">
        <f t="shared" si="397"/>
        <v>#N/A</v>
      </c>
      <c r="AG393" t="e">
        <f t="shared" si="398"/>
        <v>#N/A</v>
      </c>
      <c r="AH393" t="e">
        <f t="shared" si="399"/>
        <v>#N/A</v>
      </c>
      <c r="AI393" t="e">
        <f t="shared" si="400"/>
        <v>#N/A</v>
      </c>
      <c r="AJ393" t="e">
        <f t="shared" si="401"/>
        <v>#N/A</v>
      </c>
      <c r="AK393" t="e">
        <f t="shared" si="402"/>
        <v>#N/A</v>
      </c>
      <c r="AL393" t="e">
        <f t="shared" si="403"/>
        <v>#N/A</v>
      </c>
      <c r="AM393" t="e">
        <f t="shared" si="404"/>
        <v>#N/A</v>
      </c>
      <c r="AN393" t="e">
        <f t="shared" si="405"/>
        <v>#N/A</v>
      </c>
      <c r="AO393" t="e">
        <f t="shared" si="406"/>
        <v>#N/A</v>
      </c>
      <c r="AP393" t="e">
        <f t="shared" si="407"/>
        <v>#N/A</v>
      </c>
      <c r="AQ393" t="e">
        <f t="shared" si="408"/>
        <v>#N/A</v>
      </c>
      <c r="AR393" t="e">
        <f t="shared" si="409"/>
        <v>#N/A</v>
      </c>
      <c r="AS393" t="e">
        <f t="shared" si="410"/>
        <v>#N/A</v>
      </c>
      <c r="AT393" t="e">
        <f t="shared" si="411"/>
        <v>#N/A</v>
      </c>
      <c r="AU393" t="e">
        <f t="shared" si="412"/>
        <v>#N/A</v>
      </c>
      <c r="AV393" t="e">
        <f t="shared" si="413"/>
        <v>#N/A</v>
      </c>
      <c r="AW393" t="e">
        <f t="shared" si="414"/>
        <v>#N/A</v>
      </c>
      <c r="AX393" t="e">
        <f t="shared" si="415"/>
        <v>#N/A</v>
      </c>
      <c r="AY393" t="e">
        <f t="shared" si="416"/>
        <v>#N/A</v>
      </c>
      <c r="BE393" t="e">
        <f>IF(Z393=1,IF(INDEX($C$7:$C$126,V393)&gt;=Gantt!$BF$6,NA(),MATCH(INDEX($C$7:$C$126,V393),Gantt!$J$6:$BE$6,1)),NA())</f>
        <v>#N/A</v>
      </c>
      <c r="BF393" t="e">
        <f>IF(Z393=1,IF((INDEX($D$7:$D$126,AA393)-1)&gt;=Gantt!$BF$6,NA(),IF((INDEX($D$7:$D$126,AA393)-1)&lt;Gantt!$J$6,0,MATCH((INDEX($D$7:$D$126,AA393)-1),Gantt!$J$6:$BE$6,1))),NA())</f>
        <v>#N/A</v>
      </c>
      <c r="BG393" t="e">
        <f t="shared" si="417"/>
        <v>#N/A</v>
      </c>
      <c r="BH393" t="e">
        <f t="shared" si="418"/>
        <v>#N/A</v>
      </c>
      <c r="BI393" t="e">
        <f t="shared" si="419"/>
        <v>#N/A</v>
      </c>
      <c r="BJ393" t="e">
        <f t="shared" si="420"/>
        <v>#N/A</v>
      </c>
      <c r="BK393" t="e">
        <f t="shared" si="421"/>
        <v>#N/A</v>
      </c>
      <c r="BL393" t="e">
        <f t="shared" si="422"/>
        <v>#N/A</v>
      </c>
      <c r="BM393" t="e">
        <f t="shared" si="423"/>
        <v>#N/A</v>
      </c>
      <c r="BN393" t="e">
        <f t="shared" si="424"/>
        <v>#N/A</v>
      </c>
      <c r="BO393" t="e">
        <f t="shared" si="425"/>
        <v>#N/A</v>
      </c>
      <c r="BP393" t="e">
        <f t="shared" si="426"/>
        <v>#N/A</v>
      </c>
      <c r="BQ393" t="e">
        <f t="shared" si="427"/>
        <v>#N/A</v>
      </c>
      <c r="BR393" t="e">
        <f t="shared" si="428"/>
        <v>#N/A</v>
      </c>
      <c r="BS393" t="e">
        <f t="shared" si="429"/>
        <v>#N/A</v>
      </c>
      <c r="BT393" t="e">
        <f t="shared" si="430"/>
        <v>#N/A</v>
      </c>
      <c r="BU393" t="e">
        <f t="shared" si="431"/>
        <v>#N/A</v>
      </c>
      <c r="BV393" t="e">
        <f t="shared" si="432"/>
        <v>#N/A</v>
      </c>
      <c r="BW393" t="e">
        <f t="shared" si="433"/>
        <v>#N/A</v>
      </c>
      <c r="BX393" t="e">
        <f t="shared" si="434"/>
        <v>#N/A</v>
      </c>
      <c r="BY393" t="e">
        <f t="shared" si="435"/>
        <v>#N/A</v>
      </c>
      <c r="BZ393" t="e">
        <f t="shared" si="436"/>
        <v>#N/A</v>
      </c>
      <c r="CA393" t="e">
        <f t="shared" si="437"/>
        <v>#N/A</v>
      </c>
      <c r="CB393" t="e">
        <f t="shared" si="438"/>
        <v>#N/A</v>
      </c>
      <c r="CC393" t="e">
        <f t="shared" si="439"/>
        <v>#N/A</v>
      </c>
      <c r="CD393" t="e">
        <f t="shared" si="440"/>
        <v>#N/A</v>
      </c>
      <c r="CE393" t="e">
        <f t="shared" si="441"/>
        <v>#N/A</v>
      </c>
      <c r="CF393" t="e">
        <f t="shared" si="442"/>
        <v>#N/A</v>
      </c>
      <c r="CG393" t="e">
        <f t="shared" si="443"/>
        <v>#N/A</v>
      </c>
      <c r="CI393" t="e">
        <f>AT135</f>
        <v>#N/A</v>
      </c>
      <c r="CJ393" t="e">
        <f>AU135</f>
        <v>#N/A</v>
      </c>
      <c r="CK393">
        <f>IF(ISNUMBER(CI393),IFERROR(MAX(0,AV135-CI393),0),0)</f>
        <v>0</v>
      </c>
      <c r="CL393">
        <f>IF(ISNUMBER(CI393),IFERROR(MAX(0,CI393-AV135),0),0)</f>
        <v>0</v>
      </c>
      <c r="CM393">
        <f>IF(ISNUMBER(CJ393),IFERROR(MAX(0,AW135-CJ393),0),0)</f>
        <v>0</v>
      </c>
      <c r="CN393">
        <f>IF(ISNUMBER(CJ393),IFERROR(MAX(0,CJ393-AW135),0),0)</f>
        <v>0</v>
      </c>
      <c r="CP393" t="e">
        <f>CB135</f>
        <v>#N/A</v>
      </c>
      <c r="CQ393" t="e">
        <f>CC135</f>
        <v>#N/A</v>
      </c>
      <c r="CR393">
        <f>IF(ISNUMBER(CP393),IFERROR(MAX(0,CD135-CP393),0),0)</f>
        <v>0</v>
      </c>
      <c r="CS393">
        <f>IF(ISNUMBER(CP393),IFERROR(MAX(0,CP393-CD135),0),0)</f>
        <v>0</v>
      </c>
      <c r="CT393">
        <f>IF(ISNUMBER(CQ393),IFERROR(MAX(0,CE135-CQ393),0),0)</f>
        <v>0</v>
      </c>
      <c r="CU393">
        <f>IF(ISNUMBER(CQ393),IFERROR(MAX(0,CQ393-CE135),0),0)</f>
        <v>0</v>
      </c>
    </row>
    <row r="394" spans="21:99" x14ac:dyDescent="0.3">
      <c r="U394">
        <v>388</v>
      </c>
      <c r="V394">
        <f t="shared" si="388"/>
        <v>97</v>
      </c>
      <c r="W394">
        <f t="shared" si="389"/>
        <v>4</v>
      </c>
      <c r="X394">
        <f t="shared" si="390"/>
        <v>0</v>
      </c>
      <c r="Y394">
        <f>IF(X394&lt;&gt;1,9999,CHOOSE(W394,INDEX(Gantt!$BQ$7:$BQ$119,V394),INDEX(Gantt!$BR$7:$BR$119,V394),INDEX(Gantt!$BT$7:$BT$119,V394),INDEX(Gantt!$BU$7:$BU$119,V394)))</f>
        <v>9999</v>
      </c>
      <c r="Z394">
        <f t="shared" si="391"/>
        <v>0</v>
      </c>
      <c r="AA394" t="e">
        <f t="shared" si="392"/>
        <v>#N/A</v>
      </c>
      <c r="AB394" t="e">
        <f t="shared" si="393"/>
        <v>#N/A</v>
      </c>
      <c r="AC394" t="e">
        <f t="shared" si="394"/>
        <v>#N/A</v>
      </c>
      <c r="AD394" t="e">
        <f t="shared" si="395"/>
        <v>#N/A</v>
      </c>
      <c r="AE394" t="e">
        <f t="shared" si="396"/>
        <v>#N/A</v>
      </c>
      <c r="AF394" t="e">
        <f t="shared" si="397"/>
        <v>#N/A</v>
      </c>
      <c r="AG394" t="e">
        <f t="shared" si="398"/>
        <v>#N/A</v>
      </c>
      <c r="AH394" t="e">
        <f t="shared" si="399"/>
        <v>#N/A</v>
      </c>
      <c r="AI394" t="e">
        <f t="shared" si="400"/>
        <v>#N/A</v>
      </c>
      <c r="AJ394" t="e">
        <f t="shared" si="401"/>
        <v>#N/A</v>
      </c>
      <c r="AK394" t="e">
        <f t="shared" si="402"/>
        <v>#N/A</v>
      </c>
      <c r="AL394" t="e">
        <f t="shared" si="403"/>
        <v>#N/A</v>
      </c>
      <c r="AM394" t="e">
        <f t="shared" si="404"/>
        <v>#N/A</v>
      </c>
      <c r="AN394" t="e">
        <f t="shared" si="405"/>
        <v>#N/A</v>
      </c>
      <c r="AO394" t="e">
        <f t="shared" si="406"/>
        <v>#N/A</v>
      </c>
      <c r="AP394" t="e">
        <f t="shared" si="407"/>
        <v>#N/A</v>
      </c>
      <c r="AQ394" t="e">
        <f t="shared" si="408"/>
        <v>#N/A</v>
      </c>
      <c r="AR394" t="e">
        <f t="shared" si="409"/>
        <v>#N/A</v>
      </c>
      <c r="AS394" t="e">
        <f t="shared" si="410"/>
        <v>#N/A</v>
      </c>
      <c r="AT394" t="e">
        <f t="shared" si="411"/>
        <v>#N/A</v>
      </c>
      <c r="AU394" t="e">
        <f t="shared" si="412"/>
        <v>#N/A</v>
      </c>
      <c r="AV394" t="e">
        <f t="shared" si="413"/>
        <v>#N/A</v>
      </c>
      <c r="AW394" t="e">
        <f t="shared" si="414"/>
        <v>#N/A</v>
      </c>
      <c r="AX394" t="e">
        <f t="shared" si="415"/>
        <v>#N/A</v>
      </c>
      <c r="AY394" t="e">
        <f t="shared" si="416"/>
        <v>#N/A</v>
      </c>
      <c r="BE394" t="e">
        <f>IF(Z394=1,IF(INDEX($C$7:$C$126,V394)&gt;=Gantt!$BF$6,NA(),MATCH(INDEX($C$7:$C$126,V394),Gantt!$J$6:$BE$6,1)),NA())</f>
        <v>#N/A</v>
      </c>
      <c r="BF394" t="e">
        <f>IF(Z394=1,IF((INDEX($D$7:$D$126,AA394)-1)&gt;=Gantt!$BF$6,NA(),IF((INDEX($D$7:$D$126,AA394)-1)&lt;Gantt!$J$6,0,MATCH((INDEX($D$7:$D$126,AA394)-1),Gantt!$J$6:$BE$6,1))),NA())</f>
        <v>#N/A</v>
      </c>
      <c r="BG394" t="e">
        <f t="shared" si="417"/>
        <v>#N/A</v>
      </c>
      <c r="BH394" t="e">
        <f t="shared" si="418"/>
        <v>#N/A</v>
      </c>
      <c r="BI394" t="e">
        <f t="shared" si="419"/>
        <v>#N/A</v>
      </c>
      <c r="BJ394" t="e">
        <f t="shared" si="420"/>
        <v>#N/A</v>
      </c>
      <c r="BK394" t="e">
        <f t="shared" si="421"/>
        <v>#N/A</v>
      </c>
      <c r="BL394" t="e">
        <f t="shared" si="422"/>
        <v>#N/A</v>
      </c>
      <c r="BM394" t="e">
        <f t="shared" si="423"/>
        <v>#N/A</v>
      </c>
      <c r="BN394" t="e">
        <f t="shared" si="424"/>
        <v>#N/A</v>
      </c>
      <c r="BO394" t="e">
        <f t="shared" si="425"/>
        <v>#N/A</v>
      </c>
      <c r="BP394" t="e">
        <f t="shared" si="426"/>
        <v>#N/A</v>
      </c>
      <c r="BQ394" t="e">
        <f t="shared" si="427"/>
        <v>#N/A</v>
      </c>
      <c r="BR394" t="e">
        <f t="shared" si="428"/>
        <v>#N/A</v>
      </c>
      <c r="BS394" t="e">
        <f t="shared" si="429"/>
        <v>#N/A</v>
      </c>
      <c r="BT394" t="e">
        <f t="shared" si="430"/>
        <v>#N/A</v>
      </c>
      <c r="BU394" t="e">
        <f t="shared" si="431"/>
        <v>#N/A</v>
      </c>
      <c r="BV394" t="e">
        <f t="shared" si="432"/>
        <v>#N/A</v>
      </c>
      <c r="BW394" t="e">
        <f t="shared" si="433"/>
        <v>#N/A</v>
      </c>
      <c r="BX394" t="e">
        <f t="shared" si="434"/>
        <v>#N/A</v>
      </c>
      <c r="BY394" t="e">
        <f t="shared" si="435"/>
        <v>#N/A</v>
      </c>
      <c r="BZ394" t="e">
        <f t="shared" si="436"/>
        <v>#N/A</v>
      </c>
      <c r="CA394" t="e">
        <f t="shared" si="437"/>
        <v>#N/A</v>
      </c>
      <c r="CB394" t="e">
        <f t="shared" si="438"/>
        <v>#N/A</v>
      </c>
      <c r="CC394" t="e">
        <f t="shared" si="439"/>
        <v>#N/A</v>
      </c>
      <c r="CD394" t="e">
        <f t="shared" si="440"/>
        <v>#N/A</v>
      </c>
      <c r="CE394" t="e">
        <f t="shared" si="441"/>
        <v>#N/A</v>
      </c>
      <c r="CF394" t="e">
        <f t="shared" si="442"/>
        <v>#N/A</v>
      </c>
      <c r="CG394" t="e">
        <f t="shared" si="443"/>
        <v>#N/A</v>
      </c>
      <c r="CI394" t="e">
        <f>AL136</f>
        <v>#N/A</v>
      </c>
      <c r="CJ394" t="e">
        <f>AM136</f>
        <v>#N/A</v>
      </c>
      <c r="CK394">
        <f>IF(ISNUMBER(CI394),IFERROR(MAX(0,AN136-CI394),0),0)</f>
        <v>0</v>
      </c>
      <c r="CL394">
        <f>IF(ISNUMBER(CI394),IFERROR(MAX(0,CI394-AN136),0),0)</f>
        <v>0</v>
      </c>
      <c r="CM394">
        <f>IF(ISNUMBER(CJ394),IFERROR(MAX(0,AO136-CJ394),0),0)</f>
        <v>0</v>
      </c>
      <c r="CN394">
        <f>IF(ISNUMBER(CJ394),IFERROR(MAX(0,CJ394-AO136),0),0)</f>
        <v>0</v>
      </c>
      <c r="CP394" t="e">
        <f>BT136</f>
        <v>#N/A</v>
      </c>
      <c r="CQ394" t="e">
        <f>BU136</f>
        <v>#N/A</v>
      </c>
      <c r="CR394">
        <f>IF(ISNUMBER(CP394),IFERROR(MAX(0,BV136-CP394),0),0)</f>
        <v>0</v>
      </c>
      <c r="CS394">
        <f>IF(ISNUMBER(CP394),IFERROR(MAX(0,CP394-BV136),0),0)</f>
        <v>0</v>
      </c>
      <c r="CT394">
        <f>IF(ISNUMBER(CQ394),IFERROR(MAX(0,BW136-CQ394),0),0)</f>
        <v>0</v>
      </c>
      <c r="CU394">
        <f>IF(ISNUMBER(CQ394),IFERROR(MAX(0,CQ394-BW136),0),0)</f>
        <v>0</v>
      </c>
    </row>
    <row r="395" spans="21:99" x14ac:dyDescent="0.3">
      <c r="U395">
        <v>389</v>
      </c>
      <c r="V395">
        <f t="shared" si="388"/>
        <v>98</v>
      </c>
      <c r="W395">
        <f t="shared" si="389"/>
        <v>1</v>
      </c>
      <c r="X395">
        <f t="shared" si="390"/>
        <v>0</v>
      </c>
      <c r="Y395">
        <f>IF(X395&lt;&gt;1,9999,CHOOSE(W395,INDEX(Gantt!$BQ$7:$BQ$119,V395),INDEX(Gantt!$BR$7:$BR$119,V395),INDEX(Gantt!$BT$7:$BT$119,V395),INDEX(Gantt!$BU$7:$BU$119,V395)))</f>
        <v>9999</v>
      </c>
      <c r="Z395">
        <f t="shared" si="391"/>
        <v>0</v>
      </c>
      <c r="AA395" t="e">
        <f t="shared" si="392"/>
        <v>#N/A</v>
      </c>
      <c r="AB395" t="e">
        <f t="shared" si="393"/>
        <v>#N/A</v>
      </c>
      <c r="AC395" t="e">
        <f t="shared" si="394"/>
        <v>#N/A</v>
      </c>
      <c r="AD395" t="e">
        <f t="shared" si="395"/>
        <v>#N/A</v>
      </c>
      <c r="AE395" t="e">
        <f t="shared" si="396"/>
        <v>#N/A</v>
      </c>
      <c r="AF395" t="e">
        <f t="shared" si="397"/>
        <v>#N/A</v>
      </c>
      <c r="AG395" t="e">
        <f t="shared" si="398"/>
        <v>#N/A</v>
      </c>
      <c r="AH395" t="e">
        <f t="shared" si="399"/>
        <v>#N/A</v>
      </c>
      <c r="AI395" t="e">
        <f t="shared" si="400"/>
        <v>#N/A</v>
      </c>
      <c r="AJ395" t="e">
        <f t="shared" si="401"/>
        <v>#N/A</v>
      </c>
      <c r="AK395" t="e">
        <f t="shared" si="402"/>
        <v>#N/A</v>
      </c>
      <c r="AL395" t="e">
        <f t="shared" si="403"/>
        <v>#N/A</v>
      </c>
      <c r="AM395" t="e">
        <f t="shared" si="404"/>
        <v>#N/A</v>
      </c>
      <c r="AN395" t="e">
        <f t="shared" si="405"/>
        <v>#N/A</v>
      </c>
      <c r="AO395" t="e">
        <f t="shared" si="406"/>
        <v>#N/A</v>
      </c>
      <c r="AP395" t="e">
        <f t="shared" si="407"/>
        <v>#N/A</v>
      </c>
      <c r="AQ395" t="e">
        <f t="shared" si="408"/>
        <v>#N/A</v>
      </c>
      <c r="AR395" t="e">
        <f t="shared" si="409"/>
        <v>#N/A</v>
      </c>
      <c r="AS395" t="e">
        <f t="shared" si="410"/>
        <v>#N/A</v>
      </c>
      <c r="AT395" t="e">
        <f t="shared" si="411"/>
        <v>#N/A</v>
      </c>
      <c r="AU395" t="e">
        <f t="shared" si="412"/>
        <v>#N/A</v>
      </c>
      <c r="AV395" t="e">
        <f t="shared" si="413"/>
        <v>#N/A</v>
      </c>
      <c r="AW395" t="e">
        <f t="shared" si="414"/>
        <v>#N/A</v>
      </c>
      <c r="AX395" t="e">
        <f t="shared" si="415"/>
        <v>#N/A</v>
      </c>
      <c r="AY395" t="e">
        <f t="shared" si="416"/>
        <v>#N/A</v>
      </c>
      <c r="BE395" t="e">
        <f>IF(Z395=1,IF(INDEX($C$7:$C$126,V395)&gt;=Gantt!$BF$6,NA(),MATCH(INDEX($C$7:$C$126,V395),Gantt!$J$6:$BE$6,1)),NA())</f>
        <v>#N/A</v>
      </c>
      <c r="BF395" t="e">
        <f>IF(Z395=1,IF((INDEX($D$7:$D$126,AA395)-1)&gt;=Gantt!$BF$6,NA(),IF((INDEX($D$7:$D$126,AA395)-1)&lt;Gantt!$J$6,0,MATCH((INDEX($D$7:$D$126,AA395)-1),Gantt!$J$6:$BE$6,1))),NA())</f>
        <v>#N/A</v>
      </c>
      <c r="BG395" t="e">
        <f t="shared" si="417"/>
        <v>#N/A</v>
      </c>
      <c r="BH395" t="e">
        <f t="shared" si="418"/>
        <v>#N/A</v>
      </c>
      <c r="BI395" t="e">
        <f t="shared" si="419"/>
        <v>#N/A</v>
      </c>
      <c r="BJ395" t="e">
        <f t="shared" si="420"/>
        <v>#N/A</v>
      </c>
      <c r="BK395" t="e">
        <f t="shared" si="421"/>
        <v>#N/A</v>
      </c>
      <c r="BL395" t="e">
        <f t="shared" si="422"/>
        <v>#N/A</v>
      </c>
      <c r="BM395" t="e">
        <f t="shared" si="423"/>
        <v>#N/A</v>
      </c>
      <c r="BN395" t="e">
        <f t="shared" si="424"/>
        <v>#N/A</v>
      </c>
      <c r="BO395" t="e">
        <f t="shared" si="425"/>
        <v>#N/A</v>
      </c>
      <c r="BP395" t="e">
        <f t="shared" si="426"/>
        <v>#N/A</v>
      </c>
      <c r="BQ395" t="e">
        <f t="shared" si="427"/>
        <v>#N/A</v>
      </c>
      <c r="BR395" t="e">
        <f t="shared" si="428"/>
        <v>#N/A</v>
      </c>
      <c r="BS395" t="e">
        <f t="shared" si="429"/>
        <v>#N/A</v>
      </c>
      <c r="BT395" t="e">
        <f t="shared" si="430"/>
        <v>#N/A</v>
      </c>
      <c r="BU395" t="e">
        <f t="shared" si="431"/>
        <v>#N/A</v>
      </c>
      <c r="BV395" t="e">
        <f t="shared" si="432"/>
        <v>#N/A</v>
      </c>
      <c r="BW395" t="e">
        <f t="shared" si="433"/>
        <v>#N/A</v>
      </c>
      <c r="BX395" t="e">
        <f t="shared" si="434"/>
        <v>#N/A</v>
      </c>
      <c r="BY395" t="e">
        <f t="shared" si="435"/>
        <v>#N/A</v>
      </c>
      <c r="BZ395" t="e">
        <f t="shared" si="436"/>
        <v>#N/A</v>
      </c>
      <c r="CA395" t="e">
        <f t="shared" si="437"/>
        <v>#N/A</v>
      </c>
      <c r="CB395" t="e">
        <f t="shared" si="438"/>
        <v>#N/A</v>
      </c>
      <c r="CC395" t="e">
        <f t="shared" si="439"/>
        <v>#N/A</v>
      </c>
      <c r="CD395" t="e">
        <f t="shared" si="440"/>
        <v>#N/A</v>
      </c>
      <c r="CE395" t="e">
        <f t="shared" si="441"/>
        <v>#N/A</v>
      </c>
      <c r="CF395" t="e">
        <f t="shared" si="442"/>
        <v>#N/A</v>
      </c>
      <c r="CG395" t="e">
        <f t="shared" si="443"/>
        <v>#N/A</v>
      </c>
      <c r="CI395" t="e">
        <f>AP136</f>
        <v>#N/A</v>
      </c>
      <c r="CJ395" t="e">
        <f>AQ136</f>
        <v>#N/A</v>
      </c>
      <c r="CK395">
        <f>IF(ISNUMBER(CI395),IFERROR(MAX(0,AR136-CI395),0),0)</f>
        <v>0</v>
      </c>
      <c r="CL395">
        <f>IF(ISNUMBER(CI395),IFERROR(MAX(0,CI395-AR136),0),0)</f>
        <v>0</v>
      </c>
      <c r="CM395">
        <f>IF(ISNUMBER(CJ395),IFERROR(MAX(0,AS136-CJ395),0),0)</f>
        <v>0</v>
      </c>
      <c r="CN395">
        <f>IF(ISNUMBER(CJ395),IFERROR(MAX(0,CJ395-AS136),0),0)</f>
        <v>0</v>
      </c>
      <c r="CP395" t="e">
        <f>BX136</f>
        <v>#N/A</v>
      </c>
      <c r="CQ395" t="e">
        <f>BY136</f>
        <v>#N/A</v>
      </c>
      <c r="CR395">
        <f>IF(ISNUMBER(CP395),IFERROR(MAX(0,BZ136-CP395),0),0)</f>
        <v>0</v>
      </c>
      <c r="CS395">
        <f>IF(ISNUMBER(CP395),IFERROR(MAX(0,CP395-BZ136),0),0)</f>
        <v>0</v>
      </c>
      <c r="CT395">
        <f>IF(ISNUMBER(CQ395),IFERROR(MAX(0,CA136-CQ395),0),0)</f>
        <v>0</v>
      </c>
      <c r="CU395">
        <f>IF(ISNUMBER(CQ395),IFERROR(MAX(0,CQ395-CA136),0),0)</f>
        <v>0</v>
      </c>
    </row>
    <row r="396" spans="21:99" x14ac:dyDescent="0.3">
      <c r="U396">
        <v>390</v>
      </c>
      <c r="V396">
        <f t="shared" si="388"/>
        <v>98</v>
      </c>
      <c r="W396">
        <f t="shared" si="389"/>
        <v>2</v>
      </c>
      <c r="X396">
        <f t="shared" si="390"/>
        <v>0</v>
      </c>
      <c r="Y396">
        <f>IF(X396&lt;&gt;1,9999,CHOOSE(W396,INDEX(Gantt!$BQ$7:$BQ$119,V396),INDEX(Gantt!$BR$7:$BR$119,V396),INDEX(Gantt!$BT$7:$BT$119,V396),INDEX(Gantt!$BU$7:$BU$119,V396)))</f>
        <v>9999</v>
      </c>
      <c r="Z396">
        <f t="shared" si="391"/>
        <v>0</v>
      </c>
      <c r="AA396" t="e">
        <f t="shared" si="392"/>
        <v>#N/A</v>
      </c>
      <c r="AB396" t="e">
        <f t="shared" si="393"/>
        <v>#N/A</v>
      </c>
      <c r="AC396" t="e">
        <f t="shared" si="394"/>
        <v>#N/A</v>
      </c>
      <c r="AD396" t="e">
        <f t="shared" si="395"/>
        <v>#N/A</v>
      </c>
      <c r="AE396" t="e">
        <f t="shared" si="396"/>
        <v>#N/A</v>
      </c>
      <c r="AF396" t="e">
        <f t="shared" si="397"/>
        <v>#N/A</v>
      </c>
      <c r="AG396" t="e">
        <f t="shared" si="398"/>
        <v>#N/A</v>
      </c>
      <c r="AH396" t="e">
        <f t="shared" si="399"/>
        <v>#N/A</v>
      </c>
      <c r="AI396" t="e">
        <f t="shared" si="400"/>
        <v>#N/A</v>
      </c>
      <c r="AJ396" t="e">
        <f t="shared" si="401"/>
        <v>#N/A</v>
      </c>
      <c r="AK396" t="e">
        <f t="shared" si="402"/>
        <v>#N/A</v>
      </c>
      <c r="AL396" t="e">
        <f t="shared" si="403"/>
        <v>#N/A</v>
      </c>
      <c r="AM396" t="e">
        <f t="shared" si="404"/>
        <v>#N/A</v>
      </c>
      <c r="AN396" t="e">
        <f t="shared" si="405"/>
        <v>#N/A</v>
      </c>
      <c r="AO396" t="e">
        <f t="shared" si="406"/>
        <v>#N/A</v>
      </c>
      <c r="AP396" t="e">
        <f t="shared" si="407"/>
        <v>#N/A</v>
      </c>
      <c r="AQ396" t="e">
        <f t="shared" si="408"/>
        <v>#N/A</v>
      </c>
      <c r="AR396" t="e">
        <f t="shared" si="409"/>
        <v>#N/A</v>
      </c>
      <c r="AS396" t="e">
        <f t="shared" si="410"/>
        <v>#N/A</v>
      </c>
      <c r="AT396" t="e">
        <f t="shared" si="411"/>
        <v>#N/A</v>
      </c>
      <c r="AU396" t="e">
        <f t="shared" si="412"/>
        <v>#N/A</v>
      </c>
      <c r="AV396" t="e">
        <f t="shared" si="413"/>
        <v>#N/A</v>
      </c>
      <c r="AW396" t="e">
        <f t="shared" si="414"/>
        <v>#N/A</v>
      </c>
      <c r="AX396" t="e">
        <f t="shared" si="415"/>
        <v>#N/A</v>
      </c>
      <c r="AY396" t="e">
        <f t="shared" si="416"/>
        <v>#N/A</v>
      </c>
      <c r="BE396" t="e">
        <f>IF(Z396=1,IF(INDEX($C$7:$C$126,V396)&gt;=Gantt!$BF$6,NA(),MATCH(INDEX($C$7:$C$126,V396),Gantt!$J$6:$BE$6,1)),NA())</f>
        <v>#N/A</v>
      </c>
      <c r="BF396" t="e">
        <f>IF(Z396=1,IF((INDEX($D$7:$D$126,AA396)-1)&gt;=Gantt!$BF$6,NA(),IF((INDEX($D$7:$D$126,AA396)-1)&lt;Gantt!$J$6,0,MATCH((INDEX($D$7:$D$126,AA396)-1),Gantt!$J$6:$BE$6,1))),NA())</f>
        <v>#N/A</v>
      </c>
      <c r="BG396" t="e">
        <f t="shared" si="417"/>
        <v>#N/A</v>
      </c>
      <c r="BH396" t="e">
        <f t="shared" si="418"/>
        <v>#N/A</v>
      </c>
      <c r="BI396" t="e">
        <f t="shared" si="419"/>
        <v>#N/A</v>
      </c>
      <c r="BJ396" t="e">
        <f t="shared" si="420"/>
        <v>#N/A</v>
      </c>
      <c r="BK396" t="e">
        <f t="shared" si="421"/>
        <v>#N/A</v>
      </c>
      <c r="BL396" t="e">
        <f t="shared" si="422"/>
        <v>#N/A</v>
      </c>
      <c r="BM396" t="e">
        <f t="shared" si="423"/>
        <v>#N/A</v>
      </c>
      <c r="BN396" t="e">
        <f t="shared" si="424"/>
        <v>#N/A</v>
      </c>
      <c r="BO396" t="e">
        <f t="shared" si="425"/>
        <v>#N/A</v>
      </c>
      <c r="BP396" t="e">
        <f t="shared" si="426"/>
        <v>#N/A</v>
      </c>
      <c r="BQ396" t="e">
        <f t="shared" si="427"/>
        <v>#N/A</v>
      </c>
      <c r="BR396" t="e">
        <f t="shared" si="428"/>
        <v>#N/A</v>
      </c>
      <c r="BS396" t="e">
        <f t="shared" si="429"/>
        <v>#N/A</v>
      </c>
      <c r="BT396" t="e">
        <f t="shared" si="430"/>
        <v>#N/A</v>
      </c>
      <c r="BU396" t="e">
        <f t="shared" si="431"/>
        <v>#N/A</v>
      </c>
      <c r="BV396" t="e">
        <f t="shared" si="432"/>
        <v>#N/A</v>
      </c>
      <c r="BW396" t="e">
        <f t="shared" si="433"/>
        <v>#N/A</v>
      </c>
      <c r="BX396" t="e">
        <f t="shared" si="434"/>
        <v>#N/A</v>
      </c>
      <c r="BY396" t="e">
        <f t="shared" si="435"/>
        <v>#N/A</v>
      </c>
      <c r="BZ396" t="e">
        <f t="shared" si="436"/>
        <v>#N/A</v>
      </c>
      <c r="CA396" t="e">
        <f t="shared" si="437"/>
        <v>#N/A</v>
      </c>
      <c r="CB396" t="e">
        <f t="shared" si="438"/>
        <v>#N/A</v>
      </c>
      <c r="CC396" t="e">
        <f t="shared" si="439"/>
        <v>#N/A</v>
      </c>
      <c r="CD396" t="e">
        <f t="shared" si="440"/>
        <v>#N/A</v>
      </c>
      <c r="CE396" t="e">
        <f t="shared" si="441"/>
        <v>#N/A</v>
      </c>
      <c r="CF396" t="e">
        <f t="shared" si="442"/>
        <v>#N/A</v>
      </c>
      <c r="CG396" t="e">
        <f t="shared" si="443"/>
        <v>#N/A</v>
      </c>
      <c r="CI396" t="e">
        <f>AT136</f>
        <v>#N/A</v>
      </c>
      <c r="CJ396" t="e">
        <f>AU136</f>
        <v>#N/A</v>
      </c>
      <c r="CK396">
        <f>IF(ISNUMBER(CI396),IFERROR(MAX(0,AV136-CI396),0),0)</f>
        <v>0</v>
      </c>
      <c r="CL396">
        <f>IF(ISNUMBER(CI396),IFERROR(MAX(0,CI396-AV136),0),0)</f>
        <v>0</v>
      </c>
      <c r="CM396">
        <f>IF(ISNUMBER(CJ396),IFERROR(MAX(0,AW136-CJ396),0),0)</f>
        <v>0</v>
      </c>
      <c r="CN396">
        <f>IF(ISNUMBER(CJ396),IFERROR(MAX(0,CJ396-AW136),0),0)</f>
        <v>0</v>
      </c>
      <c r="CP396" t="e">
        <f>CB136</f>
        <v>#N/A</v>
      </c>
      <c r="CQ396" t="e">
        <f>CC136</f>
        <v>#N/A</v>
      </c>
      <c r="CR396">
        <f>IF(ISNUMBER(CP396),IFERROR(MAX(0,CD136-CP396),0),0)</f>
        <v>0</v>
      </c>
      <c r="CS396">
        <f>IF(ISNUMBER(CP396),IFERROR(MAX(0,CP396-CD136),0),0)</f>
        <v>0</v>
      </c>
      <c r="CT396">
        <f>IF(ISNUMBER(CQ396),IFERROR(MAX(0,CE136-CQ396),0),0)</f>
        <v>0</v>
      </c>
      <c r="CU396">
        <f>IF(ISNUMBER(CQ396),IFERROR(MAX(0,CQ396-CE136),0),0)</f>
        <v>0</v>
      </c>
    </row>
    <row r="397" spans="21:99" x14ac:dyDescent="0.3">
      <c r="U397">
        <v>391</v>
      </c>
      <c r="V397">
        <f t="shared" si="388"/>
        <v>98</v>
      </c>
      <c r="W397">
        <f t="shared" si="389"/>
        <v>3</v>
      </c>
      <c r="X397">
        <f t="shared" si="390"/>
        <v>0</v>
      </c>
      <c r="Y397">
        <f>IF(X397&lt;&gt;1,9999,CHOOSE(W397,INDEX(Gantt!$BQ$7:$BQ$119,V397),INDEX(Gantt!$BR$7:$BR$119,V397),INDEX(Gantt!$BT$7:$BT$119,V397),INDEX(Gantt!$BU$7:$BU$119,V397)))</f>
        <v>9999</v>
      </c>
      <c r="Z397">
        <f t="shared" si="391"/>
        <v>0</v>
      </c>
      <c r="AA397" t="e">
        <f t="shared" si="392"/>
        <v>#N/A</v>
      </c>
      <c r="AB397" t="e">
        <f t="shared" si="393"/>
        <v>#N/A</v>
      </c>
      <c r="AC397" t="e">
        <f t="shared" si="394"/>
        <v>#N/A</v>
      </c>
      <c r="AD397" t="e">
        <f t="shared" si="395"/>
        <v>#N/A</v>
      </c>
      <c r="AE397" t="e">
        <f t="shared" si="396"/>
        <v>#N/A</v>
      </c>
      <c r="AF397" t="e">
        <f t="shared" si="397"/>
        <v>#N/A</v>
      </c>
      <c r="AG397" t="e">
        <f t="shared" si="398"/>
        <v>#N/A</v>
      </c>
      <c r="AH397" t="e">
        <f t="shared" si="399"/>
        <v>#N/A</v>
      </c>
      <c r="AI397" t="e">
        <f t="shared" si="400"/>
        <v>#N/A</v>
      </c>
      <c r="AJ397" t="e">
        <f t="shared" si="401"/>
        <v>#N/A</v>
      </c>
      <c r="AK397" t="e">
        <f t="shared" si="402"/>
        <v>#N/A</v>
      </c>
      <c r="AL397" t="e">
        <f t="shared" si="403"/>
        <v>#N/A</v>
      </c>
      <c r="AM397" t="e">
        <f t="shared" si="404"/>
        <v>#N/A</v>
      </c>
      <c r="AN397" t="e">
        <f t="shared" si="405"/>
        <v>#N/A</v>
      </c>
      <c r="AO397" t="e">
        <f t="shared" si="406"/>
        <v>#N/A</v>
      </c>
      <c r="AP397" t="e">
        <f t="shared" si="407"/>
        <v>#N/A</v>
      </c>
      <c r="AQ397" t="e">
        <f t="shared" si="408"/>
        <v>#N/A</v>
      </c>
      <c r="AR397" t="e">
        <f t="shared" si="409"/>
        <v>#N/A</v>
      </c>
      <c r="AS397" t="e">
        <f t="shared" si="410"/>
        <v>#N/A</v>
      </c>
      <c r="AT397" t="e">
        <f t="shared" si="411"/>
        <v>#N/A</v>
      </c>
      <c r="AU397" t="e">
        <f t="shared" si="412"/>
        <v>#N/A</v>
      </c>
      <c r="AV397" t="e">
        <f t="shared" si="413"/>
        <v>#N/A</v>
      </c>
      <c r="AW397" t="e">
        <f t="shared" si="414"/>
        <v>#N/A</v>
      </c>
      <c r="AX397" t="e">
        <f t="shared" si="415"/>
        <v>#N/A</v>
      </c>
      <c r="AY397" t="e">
        <f t="shared" si="416"/>
        <v>#N/A</v>
      </c>
      <c r="BE397" t="e">
        <f>IF(Z397=1,IF(INDEX($C$7:$C$126,V397)&gt;=Gantt!$BF$6,NA(),MATCH(INDEX($C$7:$C$126,V397),Gantt!$J$6:$BE$6,1)),NA())</f>
        <v>#N/A</v>
      </c>
      <c r="BF397" t="e">
        <f>IF(Z397=1,IF((INDEX($D$7:$D$126,AA397)-1)&gt;=Gantt!$BF$6,NA(),IF((INDEX($D$7:$D$126,AA397)-1)&lt;Gantt!$J$6,0,MATCH((INDEX($D$7:$D$126,AA397)-1),Gantt!$J$6:$BE$6,1))),NA())</f>
        <v>#N/A</v>
      </c>
      <c r="BG397" t="e">
        <f t="shared" si="417"/>
        <v>#N/A</v>
      </c>
      <c r="BH397" t="e">
        <f t="shared" si="418"/>
        <v>#N/A</v>
      </c>
      <c r="BI397" t="e">
        <f t="shared" si="419"/>
        <v>#N/A</v>
      </c>
      <c r="BJ397" t="e">
        <f t="shared" si="420"/>
        <v>#N/A</v>
      </c>
      <c r="BK397" t="e">
        <f t="shared" si="421"/>
        <v>#N/A</v>
      </c>
      <c r="BL397" t="e">
        <f t="shared" si="422"/>
        <v>#N/A</v>
      </c>
      <c r="BM397" t="e">
        <f t="shared" si="423"/>
        <v>#N/A</v>
      </c>
      <c r="BN397" t="e">
        <f t="shared" si="424"/>
        <v>#N/A</v>
      </c>
      <c r="BO397" t="e">
        <f t="shared" si="425"/>
        <v>#N/A</v>
      </c>
      <c r="BP397" t="e">
        <f t="shared" si="426"/>
        <v>#N/A</v>
      </c>
      <c r="BQ397" t="e">
        <f t="shared" si="427"/>
        <v>#N/A</v>
      </c>
      <c r="BR397" t="e">
        <f t="shared" si="428"/>
        <v>#N/A</v>
      </c>
      <c r="BS397" t="e">
        <f t="shared" si="429"/>
        <v>#N/A</v>
      </c>
      <c r="BT397" t="e">
        <f t="shared" si="430"/>
        <v>#N/A</v>
      </c>
      <c r="BU397" t="e">
        <f t="shared" si="431"/>
        <v>#N/A</v>
      </c>
      <c r="BV397" t="e">
        <f t="shared" si="432"/>
        <v>#N/A</v>
      </c>
      <c r="BW397" t="e">
        <f t="shared" si="433"/>
        <v>#N/A</v>
      </c>
      <c r="BX397" t="e">
        <f t="shared" si="434"/>
        <v>#N/A</v>
      </c>
      <c r="BY397" t="e">
        <f t="shared" si="435"/>
        <v>#N/A</v>
      </c>
      <c r="BZ397" t="e">
        <f t="shared" si="436"/>
        <v>#N/A</v>
      </c>
      <c r="CA397" t="e">
        <f t="shared" si="437"/>
        <v>#N/A</v>
      </c>
      <c r="CB397" t="e">
        <f t="shared" si="438"/>
        <v>#N/A</v>
      </c>
      <c r="CC397" t="e">
        <f t="shared" si="439"/>
        <v>#N/A</v>
      </c>
      <c r="CD397" t="e">
        <f t="shared" si="440"/>
        <v>#N/A</v>
      </c>
      <c r="CE397" t="e">
        <f t="shared" si="441"/>
        <v>#N/A</v>
      </c>
      <c r="CF397" t="e">
        <f t="shared" si="442"/>
        <v>#N/A</v>
      </c>
      <c r="CG397" t="e">
        <f t="shared" si="443"/>
        <v>#N/A</v>
      </c>
      <c r="CI397" t="e">
        <f>AL137</f>
        <v>#N/A</v>
      </c>
      <c r="CJ397" t="e">
        <f>AM137</f>
        <v>#N/A</v>
      </c>
      <c r="CK397">
        <f>IF(ISNUMBER(CI397),IFERROR(MAX(0,AN137-CI397),0),0)</f>
        <v>0</v>
      </c>
      <c r="CL397">
        <f>IF(ISNUMBER(CI397),IFERROR(MAX(0,CI397-AN137),0),0)</f>
        <v>0</v>
      </c>
      <c r="CM397">
        <f>IF(ISNUMBER(CJ397),IFERROR(MAX(0,AO137-CJ397),0),0)</f>
        <v>0</v>
      </c>
      <c r="CN397">
        <f>IF(ISNUMBER(CJ397),IFERROR(MAX(0,CJ397-AO137),0),0)</f>
        <v>0</v>
      </c>
      <c r="CP397" t="e">
        <f>BT137</f>
        <v>#N/A</v>
      </c>
      <c r="CQ397" t="e">
        <f>BU137</f>
        <v>#N/A</v>
      </c>
      <c r="CR397">
        <f>IF(ISNUMBER(CP397),IFERROR(MAX(0,BV137-CP397),0),0)</f>
        <v>0</v>
      </c>
      <c r="CS397">
        <f>IF(ISNUMBER(CP397),IFERROR(MAX(0,CP397-BV137),0),0)</f>
        <v>0</v>
      </c>
      <c r="CT397">
        <f>IF(ISNUMBER(CQ397),IFERROR(MAX(0,BW137-CQ397),0),0)</f>
        <v>0</v>
      </c>
      <c r="CU397">
        <f>IF(ISNUMBER(CQ397),IFERROR(MAX(0,CQ397-BW137),0),0)</f>
        <v>0</v>
      </c>
    </row>
    <row r="398" spans="21:99" x14ac:dyDescent="0.3">
      <c r="U398">
        <v>392</v>
      </c>
      <c r="V398">
        <f t="shared" si="388"/>
        <v>98</v>
      </c>
      <c r="W398">
        <f t="shared" si="389"/>
        <v>4</v>
      </c>
      <c r="X398">
        <f t="shared" si="390"/>
        <v>0</v>
      </c>
      <c r="Y398">
        <f>IF(X398&lt;&gt;1,9999,CHOOSE(W398,INDEX(Gantt!$BQ$7:$BQ$119,V398),INDEX(Gantt!$BR$7:$BR$119,V398),INDEX(Gantt!$BT$7:$BT$119,V398),INDEX(Gantt!$BU$7:$BU$119,V398)))</f>
        <v>9999</v>
      </c>
      <c r="Z398">
        <f t="shared" si="391"/>
        <v>0</v>
      </c>
      <c r="AA398" t="e">
        <f t="shared" si="392"/>
        <v>#N/A</v>
      </c>
      <c r="AB398" t="e">
        <f t="shared" si="393"/>
        <v>#N/A</v>
      </c>
      <c r="AC398" t="e">
        <f t="shared" si="394"/>
        <v>#N/A</v>
      </c>
      <c r="AD398" t="e">
        <f t="shared" si="395"/>
        <v>#N/A</v>
      </c>
      <c r="AE398" t="e">
        <f t="shared" si="396"/>
        <v>#N/A</v>
      </c>
      <c r="AF398" t="e">
        <f t="shared" si="397"/>
        <v>#N/A</v>
      </c>
      <c r="AG398" t="e">
        <f t="shared" si="398"/>
        <v>#N/A</v>
      </c>
      <c r="AH398" t="e">
        <f t="shared" si="399"/>
        <v>#N/A</v>
      </c>
      <c r="AI398" t="e">
        <f t="shared" si="400"/>
        <v>#N/A</v>
      </c>
      <c r="AJ398" t="e">
        <f t="shared" si="401"/>
        <v>#N/A</v>
      </c>
      <c r="AK398" t="e">
        <f t="shared" si="402"/>
        <v>#N/A</v>
      </c>
      <c r="AL398" t="e">
        <f t="shared" si="403"/>
        <v>#N/A</v>
      </c>
      <c r="AM398" t="e">
        <f t="shared" si="404"/>
        <v>#N/A</v>
      </c>
      <c r="AN398" t="e">
        <f t="shared" si="405"/>
        <v>#N/A</v>
      </c>
      <c r="AO398" t="e">
        <f t="shared" si="406"/>
        <v>#N/A</v>
      </c>
      <c r="AP398" t="e">
        <f t="shared" si="407"/>
        <v>#N/A</v>
      </c>
      <c r="AQ398" t="e">
        <f t="shared" si="408"/>
        <v>#N/A</v>
      </c>
      <c r="AR398" t="e">
        <f t="shared" si="409"/>
        <v>#N/A</v>
      </c>
      <c r="AS398" t="e">
        <f t="shared" si="410"/>
        <v>#N/A</v>
      </c>
      <c r="AT398" t="e">
        <f t="shared" si="411"/>
        <v>#N/A</v>
      </c>
      <c r="AU398" t="e">
        <f t="shared" si="412"/>
        <v>#N/A</v>
      </c>
      <c r="AV398" t="e">
        <f t="shared" si="413"/>
        <v>#N/A</v>
      </c>
      <c r="AW398" t="e">
        <f t="shared" si="414"/>
        <v>#N/A</v>
      </c>
      <c r="AX398" t="e">
        <f t="shared" si="415"/>
        <v>#N/A</v>
      </c>
      <c r="AY398" t="e">
        <f t="shared" si="416"/>
        <v>#N/A</v>
      </c>
      <c r="BE398" t="e">
        <f>IF(Z398=1,IF(INDEX($C$7:$C$126,V398)&gt;=Gantt!$BF$6,NA(),MATCH(INDEX($C$7:$C$126,V398),Gantt!$J$6:$BE$6,1)),NA())</f>
        <v>#N/A</v>
      </c>
      <c r="BF398" t="e">
        <f>IF(Z398=1,IF((INDEX($D$7:$D$126,AA398)-1)&gt;=Gantt!$BF$6,NA(),IF((INDEX($D$7:$D$126,AA398)-1)&lt;Gantt!$J$6,0,MATCH((INDEX($D$7:$D$126,AA398)-1),Gantt!$J$6:$BE$6,1))),NA())</f>
        <v>#N/A</v>
      </c>
      <c r="BG398" t="e">
        <f t="shared" si="417"/>
        <v>#N/A</v>
      </c>
      <c r="BH398" t="e">
        <f t="shared" si="418"/>
        <v>#N/A</v>
      </c>
      <c r="BI398" t="e">
        <f t="shared" si="419"/>
        <v>#N/A</v>
      </c>
      <c r="BJ398" t="e">
        <f t="shared" si="420"/>
        <v>#N/A</v>
      </c>
      <c r="BK398" t="e">
        <f t="shared" si="421"/>
        <v>#N/A</v>
      </c>
      <c r="BL398" t="e">
        <f t="shared" si="422"/>
        <v>#N/A</v>
      </c>
      <c r="BM398" t="e">
        <f t="shared" si="423"/>
        <v>#N/A</v>
      </c>
      <c r="BN398" t="e">
        <f t="shared" si="424"/>
        <v>#N/A</v>
      </c>
      <c r="BO398" t="e">
        <f t="shared" si="425"/>
        <v>#N/A</v>
      </c>
      <c r="BP398" t="e">
        <f t="shared" si="426"/>
        <v>#N/A</v>
      </c>
      <c r="BQ398" t="e">
        <f t="shared" si="427"/>
        <v>#N/A</v>
      </c>
      <c r="BR398" t="e">
        <f t="shared" si="428"/>
        <v>#N/A</v>
      </c>
      <c r="BS398" t="e">
        <f t="shared" si="429"/>
        <v>#N/A</v>
      </c>
      <c r="BT398" t="e">
        <f t="shared" si="430"/>
        <v>#N/A</v>
      </c>
      <c r="BU398" t="e">
        <f t="shared" si="431"/>
        <v>#N/A</v>
      </c>
      <c r="BV398" t="e">
        <f t="shared" si="432"/>
        <v>#N/A</v>
      </c>
      <c r="BW398" t="e">
        <f t="shared" si="433"/>
        <v>#N/A</v>
      </c>
      <c r="BX398" t="e">
        <f t="shared" si="434"/>
        <v>#N/A</v>
      </c>
      <c r="BY398" t="e">
        <f t="shared" si="435"/>
        <v>#N/A</v>
      </c>
      <c r="BZ398" t="e">
        <f t="shared" si="436"/>
        <v>#N/A</v>
      </c>
      <c r="CA398" t="e">
        <f t="shared" si="437"/>
        <v>#N/A</v>
      </c>
      <c r="CB398" t="e">
        <f t="shared" si="438"/>
        <v>#N/A</v>
      </c>
      <c r="CC398" t="e">
        <f t="shared" si="439"/>
        <v>#N/A</v>
      </c>
      <c r="CD398" t="e">
        <f t="shared" si="440"/>
        <v>#N/A</v>
      </c>
      <c r="CE398" t="e">
        <f t="shared" si="441"/>
        <v>#N/A</v>
      </c>
      <c r="CF398" t="e">
        <f t="shared" si="442"/>
        <v>#N/A</v>
      </c>
      <c r="CG398" t="e">
        <f t="shared" si="443"/>
        <v>#N/A</v>
      </c>
      <c r="CI398" t="e">
        <f>AP137</f>
        <v>#N/A</v>
      </c>
      <c r="CJ398" t="e">
        <f>AQ137</f>
        <v>#N/A</v>
      </c>
      <c r="CK398">
        <f>IF(ISNUMBER(CI398),IFERROR(MAX(0,AR137-CI398),0),0)</f>
        <v>0</v>
      </c>
      <c r="CL398">
        <f>IF(ISNUMBER(CI398),IFERROR(MAX(0,CI398-AR137),0),0)</f>
        <v>0</v>
      </c>
      <c r="CM398">
        <f>IF(ISNUMBER(CJ398),IFERROR(MAX(0,AS137-CJ398),0),0)</f>
        <v>0</v>
      </c>
      <c r="CN398">
        <f>IF(ISNUMBER(CJ398),IFERROR(MAX(0,CJ398-AS137),0),0)</f>
        <v>0</v>
      </c>
      <c r="CP398" t="e">
        <f>BX137</f>
        <v>#N/A</v>
      </c>
      <c r="CQ398" t="e">
        <f>BY137</f>
        <v>#N/A</v>
      </c>
      <c r="CR398">
        <f>IF(ISNUMBER(CP398),IFERROR(MAX(0,BZ137-CP398),0),0)</f>
        <v>0</v>
      </c>
      <c r="CS398">
        <f>IF(ISNUMBER(CP398),IFERROR(MAX(0,CP398-BZ137),0),0)</f>
        <v>0</v>
      </c>
      <c r="CT398">
        <f>IF(ISNUMBER(CQ398),IFERROR(MAX(0,CA137-CQ398),0),0)</f>
        <v>0</v>
      </c>
      <c r="CU398">
        <f>IF(ISNUMBER(CQ398),IFERROR(MAX(0,CQ398-CA137),0),0)</f>
        <v>0</v>
      </c>
    </row>
    <row r="399" spans="21:99" x14ac:dyDescent="0.3">
      <c r="U399">
        <v>393</v>
      </c>
      <c r="V399">
        <f t="shared" si="388"/>
        <v>99</v>
      </c>
      <c r="W399">
        <f t="shared" si="389"/>
        <v>1</v>
      </c>
      <c r="X399">
        <f t="shared" si="390"/>
        <v>0</v>
      </c>
      <c r="Y399">
        <f>IF(X399&lt;&gt;1,9999,CHOOSE(W399,INDEX(Gantt!$BQ$7:$BQ$119,V399),INDEX(Gantt!$BR$7:$BR$119,V399),INDEX(Gantt!$BT$7:$BT$119,V399),INDEX(Gantt!$BU$7:$BU$119,V399)))</f>
        <v>9999</v>
      </c>
      <c r="Z399">
        <f t="shared" si="391"/>
        <v>0</v>
      </c>
      <c r="AA399" t="e">
        <f t="shared" si="392"/>
        <v>#N/A</v>
      </c>
      <c r="AB399" t="e">
        <f t="shared" si="393"/>
        <v>#N/A</v>
      </c>
      <c r="AC399" t="e">
        <f t="shared" si="394"/>
        <v>#N/A</v>
      </c>
      <c r="AD399" t="e">
        <f t="shared" si="395"/>
        <v>#N/A</v>
      </c>
      <c r="AE399" t="e">
        <f t="shared" si="396"/>
        <v>#N/A</v>
      </c>
      <c r="AF399" t="e">
        <f t="shared" si="397"/>
        <v>#N/A</v>
      </c>
      <c r="AG399" t="e">
        <f t="shared" si="398"/>
        <v>#N/A</v>
      </c>
      <c r="AH399" t="e">
        <f t="shared" si="399"/>
        <v>#N/A</v>
      </c>
      <c r="AI399" t="e">
        <f t="shared" si="400"/>
        <v>#N/A</v>
      </c>
      <c r="AJ399" t="e">
        <f t="shared" si="401"/>
        <v>#N/A</v>
      </c>
      <c r="AK399" t="e">
        <f t="shared" si="402"/>
        <v>#N/A</v>
      </c>
      <c r="AL399" t="e">
        <f t="shared" si="403"/>
        <v>#N/A</v>
      </c>
      <c r="AM399" t="e">
        <f t="shared" si="404"/>
        <v>#N/A</v>
      </c>
      <c r="AN399" t="e">
        <f t="shared" si="405"/>
        <v>#N/A</v>
      </c>
      <c r="AO399" t="e">
        <f t="shared" si="406"/>
        <v>#N/A</v>
      </c>
      <c r="AP399" t="e">
        <f t="shared" si="407"/>
        <v>#N/A</v>
      </c>
      <c r="AQ399" t="e">
        <f t="shared" si="408"/>
        <v>#N/A</v>
      </c>
      <c r="AR399" t="e">
        <f t="shared" si="409"/>
        <v>#N/A</v>
      </c>
      <c r="AS399" t="e">
        <f t="shared" si="410"/>
        <v>#N/A</v>
      </c>
      <c r="AT399" t="e">
        <f t="shared" si="411"/>
        <v>#N/A</v>
      </c>
      <c r="AU399" t="e">
        <f t="shared" si="412"/>
        <v>#N/A</v>
      </c>
      <c r="AV399" t="e">
        <f t="shared" si="413"/>
        <v>#N/A</v>
      </c>
      <c r="AW399" t="e">
        <f t="shared" si="414"/>
        <v>#N/A</v>
      </c>
      <c r="AX399" t="e">
        <f t="shared" si="415"/>
        <v>#N/A</v>
      </c>
      <c r="AY399" t="e">
        <f t="shared" si="416"/>
        <v>#N/A</v>
      </c>
      <c r="BE399" t="e">
        <f>IF(Z399=1,IF(INDEX($C$7:$C$126,V399)&gt;=Gantt!$BF$6,NA(),MATCH(INDEX($C$7:$C$126,V399),Gantt!$J$6:$BE$6,1)),NA())</f>
        <v>#N/A</v>
      </c>
      <c r="BF399" t="e">
        <f>IF(Z399=1,IF((INDEX($D$7:$D$126,AA399)-1)&gt;=Gantt!$BF$6,NA(),IF((INDEX($D$7:$D$126,AA399)-1)&lt;Gantt!$J$6,0,MATCH((INDEX($D$7:$D$126,AA399)-1),Gantt!$J$6:$BE$6,1))),NA())</f>
        <v>#N/A</v>
      </c>
      <c r="BG399" t="e">
        <f t="shared" si="417"/>
        <v>#N/A</v>
      </c>
      <c r="BH399" t="e">
        <f t="shared" si="418"/>
        <v>#N/A</v>
      </c>
      <c r="BI399" t="e">
        <f t="shared" si="419"/>
        <v>#N/A</v>
      </c>
      <c r="BJ399" t="e">
        <f t="shared" si="420"/>
        <v>#N/A</v>
      </c>
      <c r="BK399" t="e">
        <f t="shared" si="421"/>
        <v>#N/A</v>
      </c>
      <c r="BL399" t="e">
        <f t="shared" si="422"/>
        <v>#N/A</v>
      </c>
      <c r="BM399" t="e">
        <f t="shared" si="423"/>
        <v>#N/A</v>
      </c>
      <c r="BN399" t="e">
        <f t="shared" si="424"/>
        <v>#N/A</v>
      </c>
      <c r="BO399" t="e">
        <f t="shared" si="425"/>
        <v>#N/A</v>
      </c>
      <c r="BP399" t="e">
        <f t="shared" si="426"/>
        <v>#N/A</v>
      </c>
      <c r="BQ399" t="e">
        <f t="shared" si="427"/>
        <v>#N/A</v>
      </c>
      <c r="BR399" t="e">
        <f t="shared" si="428"/>
        <v>#N/A</v>
      </c>
      <c r="BS399" t="e">
        <f t="shared" si="429"/>
        <v>#N/A</v>
      </c>
      <c r="BT399" t="e">
        <f t="shared" si="430"/>
        <v>#N/A</v>
      </c>
      <c r="BU399" t="e">
        <f t="shared" si="431"/>
        <v>#N/A</v>
      </c>
      <c r="BV399" t="e">
        <f t="shared" si="432"/>
        <v>#N/A</v>
      </c>
      <c r="BW399" t="e">
        <f t="shared" si="433"/>
        <v>#N/A</v>
      </c>
      <c r="BX399" t="e">
        <f t="shared" si="434"/>
        <v>#N/A</v>
      </c>
      <c r="BY399" t="e">
        <f t="shared" si="435"/>
        <v>#N/A</v>
      </c>
      <c r="BZ399" t="e">
        <f t="shared" si="436"/>
        <v>#N/A</v>
      </c>
      <c r="CA399" t="e">
        <f t="shared" si="437"/>
        <v>#N/A</v>
      </c>
      <c r="CB399" t="e">
        <f t="shared" si="438"/>
        <v>#N/A</v>
      </c>
      <c r="CC399" t="e">
        <f t="shared" si="439"/>
        <v>#N/A</v>
      </c>
      <c r="CD399" t="e">
        <f t="shared" si="440"/>
        <v>#N/A</v>
      </c>
      <c r="CE399" t="e">
        <f t="shared" si="441"/>
        <v>#N/A</v>
      </c>
      <c r="CF399" t="e">
        <f t="shared" si="442"/>
        <v>#N/A</v>
      </c>
      <c r="CG399" t="e">
        <f t="shared" si="443"/>
        <v>#N/A</v>
      </c>
      <c r="CI399" t="e">
        <f>AT137</f>
        <v>#N/A</v>
      </c>
      <c r="CJ399" t="e">
        <f>AU137</f>
        <v>#N/A</v>
      </c>
      <c r="CK399">
        <f>IF(ISNUMBER(CI399),IFERROR(MAX(0,AV137-CI399),0),0)</f>
        <v>0</v>
      </c>
      <c r="CL399">
        <f>IF(ISNUMBER(CI399),IFERROR(MAX(0,CI399-AV137),0),0)</f>
        <v>0</v>
      </c>
      <c r="CM399">
        <f>IF(ISNUMBER(CJ399),IFERROR(MAX(0,AW137-CJ399),0),0)</f>
        <v>0</v>
      </c>
      <c r="CN399">
        <f>IF(ISNUMBER(CJ399),IFERROR(MAX(0,CJ399-AW137),0),0)</f>
        <v>0</v>
      </c>
      <c r="CP399" t="e">
        <f>CB137</f>
        <v>#N/A</v>
      </c>
      <c r="CQ399" t="e">
        <f>CC137</f>
        <v>#N/A</v>
      </c>
      <c r="CR399">
        <f>IF(ISNUMBER(CP399),IFERROR(MAX(0,CD137-CP399),0),0)</f>
        <v>0</v>
      </c>
      <c r="CS399">
        <f>IF(ISNUMBER(CP399),IFERROR(MAX(0,CP399-CD137),0),0)</f>
        <v>0</v>
      </c>
      <c r="CT399">
        <f>IF(ISNUMBER(CQ399),IFERROR(MAX(0,CE137-CQ399),0),0)</f>
        <v>0</v>
      </c>
      <c r="CU399">
        <f>IF(ISNUMBER(CQ399),IFERROR(MAX(0,CQ399-CE137),0),0)</f>
        <v>0</v>
      </c>
    </row>
    <row r="400" spans="21:99" x14ac:dyDescent="0.3">
      <c r="U400">
        <v>394</v>
      </c>
      <c r="V400">
        <f t="shared" si="388"/>
        <v>99</v>
      </c>
      <c r="W400">
        <f t="shared" si="389"/>
        <v>2</v>
      </c>
      <c r="X400">
        <f t="shared" si="390"/>
        <v>0</v>
      </c>
      <c r="Y400">
        <f>IF(X400&lt;&gt;1,9999,CHOOSE(W400,INDEX(Gantt!$BQ$7:$BQ$119,V400),INDEX(Gantt!$BR$7:$BR$119,V400),INDEX(Gantt!$BT$7:$BT$119,V400),INDEX(Gantt!$BU$7:$BU$119,V400)))</f>
        <v>9999</v>
      </c>
      <c r="Z400">
        <f t="shared" si="391"/>
        <v>0</v>
      </c>
      <c r="AA400" t="e">
        <f t="shared" si="392"/>
        <v>#N/A</v>
      </c>
      <c r="AB400" t="e">
        <f t="shared" si="393"/>
        <v>#N/A</v>
      </c>
      <c r="AC400" t="e">
        <f t="shared" si="394"/>
        <v>#N/A</v>
      </c>
      <c r="AD400" t="e">
        <f t="shared" si="395"/>
        <v>#N/A</v>
      </c>
      <c r="AE400" t="e">
        <f t="shared" si="396"/>
        <v>#N/A</v>
      </c>
      <c r="AF400" t="e">
        <f t="shared" si="397"/>
        <v>#N/A</v>
      </c>
      <c r="AG400" t="e">
        <f t="shared" si="398"/>
        <v>#N/A</v>
      </c>
      <c r="AH400" t="e">
        <f t="shared" si="399"/>
        <v>#N/A</v>
      </c>
      <c r="AI400" t="e">
        <f t="shared" si="400"/>
        <v>#N/A</v>
      </c>
      <c r="AJ400" t="e">
        <f t="shared" si="401"/>
        <v>#N/A</v>
      </c>
      <c r="AK400" t="e">
        <f t="shared" si="402"/>
        <v>#N/A</v>
      </c>
      <c r="AL400" t="e">
        <f t="shared" si="403"/>
        <v>#N/A</v>
      </c>
      <c r="AM400" t="e">
        <f t="shared" si="404"/>
        <v>#N/A</v>
      </c>
      <c r="AN400" t="e">
        <f t="shared" si="405"/>
        <v>#N/A</v>
      </c>
      <c r="AO400" t="e">
        <f t="shared" si="406"/>
        <v>#N/A</v>
      </c>
      <c r="AP400" t="e">
        <f t="shared" si="407"/>
        <v>#N/A</v>
      </c>
      <c r="AQ400" t="e">
        <f t="shared" si="408"/>
        <v>#N/A</v>
      </c>
      <c r="AR400" t="e">
        <f t="shared" si="409"/>
        <v>#N/A</v>
      </c>
      <c r="AS400" t="e">
        <f t="shared" si="410"/>
        <v>#N/A</v>
      </c>
      <c r="AT400" t="e">
        <f t="shared" si="411"/>
        <v>#N/A</v>
      </c>
      <c r="AU400" t="e">
        <f t="shared" si="412"/>
        <v>#N/A</v>
      </c>
      <c r="AV400" t="e">
        <f t="shared" si="413"/>
        <v>#N/A</v>
      </c>
      <c r="AW400" t="e">
        <f t="shared" si="414"/>
        <v>#N/A</v>
      </c>
      <c r="AX400" t="e">
        <f t="shared" si="415"/>
        <v>#N/A</v>
      </c>
      <c r="AY400" t="e">
        <f t="shared" si="416"/>
        <v>#N/A</v>
      </c>
      <c r="BE400" t="e">
        <f>IF(Z400=1,IF(INDEX($C$7:$C$126,V400)&gt;=Gantt!$BF$6,NA(),MATCH(INDEX($C$7:$C$126,V400),Gantt!$J$6:$BE$6,1)),NA())</f>
        <v>#N/A</v>
      </c>
      <c r="BF400" t="e">
        <f>IF(Z400=1,IF((INDEX($D$7:$D$126,AA400)-1)&gt;=Gantt!$BF$6,NA(),IF((INDEX($D$7:$D$126,AA400)-1)&lt;Gantt!$J$6,0,MATCH((INDEX($D$7:$D$126,AA400)-1),Gantt!$J$6:$BE$6,1))),NA())</f>
        <v>#N/A</v>
      </c>
      <c r="BG400" t="e">
        <f t="shared" si="417"/>
        <v>#N/A</v>
      </c>
      <c r="BH400" t="e">
        <f t="shared" si="418"/>
        <v>#N/A</v>
      </c>
      <c r="BI400" t="e">
        <f t="shared" si="419"/>
        <v>#N/A</v>
      </c>
      <c r="BJ400" t="e">
        <f t="shared" si="420"/>
        <v>#N/A</v>
      </c>
      <c r="BK400" t="e">
        <f t="shared" si="421"/>
        <v>#N/A</v>
      </c>
      <c r="BL400" t="e">
        <f t="shared" si="422"/>
        <v>#N/A</v>
      </c>
      <c r="BM400" t="e">
        <f t="shared" si="423"/>
        <v>#N/A</v>
      </c>
      <c r="BN400" t="e">
        <f t="shared" si="424"/>
        <v>#N/A</v>
      </c>
      <c r="BO400" t="e">
        <f t="shared" si="425"/>
        <v>#N/A</v>
      </c>
      <c r="BP400" t="e">
        <f t="shared" si="426"/>
        <v>#N/A</v>
      </c>
      <c r="BQ400" t="e">
        <f t="shared" si="427"/>
        <v>#N/A</v>
      </c>
      <c r="BR400" t="e">
        <f t="shared" si="428"/>
        <v>#N/A</v>
      </c>
      <c r="BS400" t="e">
        <f t="shared" si="429"/>
        <v>#N/A</v>
      </c>
      <c r="BT400" t="e">
        <f t="shared" si="430"/>
        <v>#N/A</v>
      </c>
      <c r="BU400" t="e">
        <f t="shared" si="431"/>
        <v>#N/A</v>
      </c>
      <c r="BV400" t="e">
        <f t="shared" si="432"/>
        <v>#N/A</v>
      </c>
      <c r="BW400" t="e">
        <f t="shared" si="433"/>
        <v>#N/A</v>
      </c>
      <c r="BX400" t="e">
        <f t="shared" si="434"/>
        <v>#N/A</v>
      </c>
      <c r="BY400" t="e">
        <f t="shared" si="435"/>
        <v>#N/A</v>
      </c>
      <c r="BZ400" t="e">
        <f t="shared" si="436"/>
        <v>#N/A</v>
      </c>
      <c r="CA400" t="e">
        <f t="shared" si="437"/>
        <v>#N/A</v>
      </c>
      <c r="CB400" t="e">
        <f t="shared" si="438"/>
        <v>#N/A</v>
      </c>
      <c r="CC400" t="e">
        <f t="shared" si="439"/>
        <v>#N/A</v>
      </c>
      <c r="CD400" t="e">
        <f t="shared" si="440"/>
        <v>#N/A</v>
      </c>
      <c r="CE400" t="e">
        <f t="shared" si="441"/>
        <v>#N/A</v>
      </c>
      <c r="CF400" t="e">
        <f t="shared" si="442"/>
        <v>#N/A</v>
      </c>
      <c r="CG400" t="e">
        <f t="shared" si="443"/>
        <v>#N/A</v>
      </c>
      <c r="CI400" t="e">
        <f>AL138</f>
        <v>#N/A</v>
      </c>
      <c r="CJ400" t="e">
        <f>AM138</f>
        <v>#N/A</v>
      </c>
      <c r="CK400">
        <f>IF(ISNUMBER(CI400),IFERROR(MAX(0,AN138-CI400),0),0)</f>
        <v>0</v>
      </c>
      <c r="CL400">
        <f>IF(ISNUMBER(CI400),IFERROR(MAX(0,CI400-AN138),0),0)</f>
        <v>0</v>
      </c>
      <c r="CM400">
        <f>IF(ISNUMBER(CJ400),IFERROR(MAX(0,AO138-CJ400),0),0)</f>
        <v>0</v>
      </c>
      <c r="CN400">
        <f>IF(ISNUMBER(CJ400),IFERROR(MAX(0,CJ400-AO138),0),0)</f>
        <v>0</v>
      </c>
      <c r="CP400" t="e">
        <f>BT138</f>
        <v>#N/A</v>
      </c>
      <c r="CQ400" t="e">
        <f>BU138</f>
        <v>#N/A</v>
      </c>
      <c r="CR400">
        <f>IF(ISNUMBER(CP400),IFERROR(MAX(0,BV138-CP400),0),0)</f>
        <v>0</v>
      </c>
      <c r="CS400">
        <f>IF(ISNUMBER(CP400),IFERROR(MAX(0,CP400-BV138),0),0)</f>
        <v>0</v>
      </c>
      <c r="CT400">
        <f>IF(ISNUMBER(CQ400),IFERROR(MAX(0,BW138-CQ400),0),0)</f>
        <v>0</v>
      </c>
      <c r="CU400">
        <f>IF(ISNUMBER(CQ400),IFERROR(MAX(0,CQ400-BW138),0),0)</f>
        <v>0</v>
      </c>
    </row>
    <row r="401" spans="21:99" x14ac:dyDescent="0.3">
      <c r="U401">
        <v>395</v>
      </c>
      <c r="V401">
        <f t="shared" si="388"/>
        <v>99</v>
      </c>
      <c r="W401">
        <f t="shared" si="389"/>
        <v>3</v>
      </c>
      <c r="X401">
        <f t="shared" si="390"/>
        <v>0</v>
      </c>
      <c r="Y401">
        <f>IF(X401&lt;&gt;1,9999,CHOOSE(W401,INDEX(Gantt!$BQ$7:$BQ$119,V401),INDEX(Gantt!$BR$7:$BR$119,V401),INDEX(Gantt!$BT$7:$BT$119,V401),INDEX(Gantt!$BU$7:$BU$119,V401)))</f>
        <v>9999</v>
      </c>
      <c r="Z401">
        <f t="shared" si="391"/>
        <v>0</v>
      </c>
      <c r="AA401" t="e">
        <f t="shared" si="392"/>
        <v>#N/A</v>
      </c>
      <c r="AB401" t="e">
        <f t="shared" si="393"/>
        <v>#N/A</v>
      </c>
      <c r="AC401" t="e">
        <f t="shared" si="394"/>
        <v>#N/A</v>
      </c>
      <c r="AD401" t="e">
        <f t="shared" si="395"/>
        <v>#N/A</v>
      </c>
      <c r="AE401" t="e">
        <f t="shared" si="396"/>
        <v>#N/A</v>
      </c>
      <c r="AF401" t="e">
        <f t="shared" si="397"/>
        <v>#N/A</v>
      </c>
      <c r="AG401" t="e">
        <f t="shared" si="398"/>
        <v>#N/A</v>
      </c>
      <c r="AH401" t="e">
        <f t="shared" si="399"/>
        <v>#N/A</v>
      </c>
      <c r="AI401" t="e">
        <f t="shared" si="400"/>
        <v>#N/A</v>
      </c>
      <c r="AJ401" t="e">
        <f t="shared" si="401"/>
        <v>#N/A</v>
      </c>
      <c r="AK401" t="e">
        <f t="shared" si="402"/>
        <v>#N/A</v>
      </c>
      <c r="AL401" t="e">
        <f t="shared" si="403"/>
        <v>#N/A</v>
      </c>
      <c r="AM401" t="e">
        <f t="shared" si="404"/>
        <v>#N/A</v>
      </c>
      <c r="AN401" t="e">
        <f t="shared" si="405"/>
        <v>#N/A</v>
      </c>
      <c r="AO401" t="e">
        <f t="shared" si="406"/>
        <v>#N/A</v>
      </c>
      <c r="AP401" t="e">
        <f t="shared" si="407"/>
        <v>#N/A</v>
      </c>
      <c r="AQ401" t="e">
        <f t="shared" si="408"/>
        <v>#N/A</v>
      </c>
      <c r="AR401" t="e">
        <f t="shared" si="409"/>
        <v>#N/A</v>
      </c>
      <c r="AS401" t="e">
        <f t="shared" si="410"/>
        <v>#N/A</v>
      </c>
      <c r="AT401" t="e">
        <f t="shared" si="411"/>
        <v>#N/A</v>
      </c>
      <c r="AU401" t="e">
        <f t="shared" si="412"/>
        <v>#N/A</v>
      </c>
      <c r="AV401" t="e">
        <f t="shared" si="413"/>
        <v>#N/A</v>
      </c>
      <c r="AW401" t="e">
        <f t="shared" si="414"/>
        <v>#N/A</v>
      </c>
      <c r="AX401" t="e">
        <f t="shared" si="415"/>
        <v>#N/A</v>
      </c>
      <c r="AY401" t="e">
        <f t="shared" si="416"/>
        <v>#N/A</v>
      </c>
      <c r="BE401" t="e">
        <f>IF(Z401=1,IF(INDEX($C$7:$C$126,V401)&gt;=Gantt!$BF$6,NA(),MATCH(INDEX($C$7:$C$126,V401),Gantt!$J$6:$BE$6,1)),NA())</f>
        <v>#N/A</v>
      </c>
      <c r="BF401" t="e">
        <f>IF(Z401=1,IF((INDEX($D$7:$D$126,AA401)-1)&gt;=Gantt!$BF$6,NA(),IF((INDEX($D$7:$D$126,AA401)-1)&lt;Gantt!$J$6,0,MATCH((INDEX($D$7:$D$126,AA401)-1),Gantt!$J$6:$BE$6,1))),NA())</f>
        <v>#N/A</v>
      </c>
      <c r="BG401" t="e">
        <f t="shared" si="417"/>
        <v>#N/A</v>
      </c>
      <c r="BH401" t="e">
        <f t="shared" si="418"/>
        <v>#N/A</v>
      </c>
      <c r="BI401" t="e">
        <f t="shared" si="419"/>
        <v>#N/A</v>
      </c>
      <c r="BJ401" t="e">
        <f t="shared" si="420"/>
        <v>#N/A</v>
      </c>
      <c r="BK401" t="e">
        <f t="shared" si="421"/>
        <v>#N/A</v>
      </c>
      <c r="BL401" t="e">
        <f t="shared" si="422"/>
        <v>#N/A</v>
      </c>
      <c r="BM401" t="e">
        <f t="shared" si="423"/>
        <v>#N/A</v>
      </c>
      <c r="BN401" t="e">
        <f t="shared" si="424"/>
        <v>#N/A</v>
      </c>
      <c r="BO401" t="e">
        <f t="shared" si="425"/>
        <v>#N/A</v>
      </c>
      <c r="BP401" t="e">
        <f t="shared" si="426"/>
        <v>#N/A</v>
      </c>
      <c r="BQ401" t="e">
        <f t="shared" si="427"/>
        <v>#N/A</v>
      </c>
      <c r="BR401" t="e">
        <f t="shared" si="428"/>
        <v>#N/A</v>
      </c>
      <c r="BS401" t="e">
        <f t="shared" si="429"/>
        <v>#N/A</v>
      </c>
      <c r="BT401" t="e">
        <f t="shared" si="430"/>
        <v>#N/A</v>
      </c>
      <c r="BU401" t="e">
        <f t="shared" si="431"/>
        <v>#N/A</v>
      </c>
      <c r="BV401" t="e">
        <f t="shared" si="432"/>
        <v>#N/A</v>
      </c>
      <c r="BW401" t="e">
        <f t="shared" si="433"/>
        <v>#N/A</v>
      </c>
      <c r="BX401" t="e">
        <f t="shared" si="434"/>
        <v>#N/A</v>
      </c>
      <c r="BY401" t="e">
        <f t="shared" si="435"/>
        <v>#N/A</v>
      </c>
      <c r="BZ401" t="e">
        <f t="shared" si="436"/>
        <v>#N/A</v>
      </c>
      <c r="CA401" t="e">
        <f t="shared" si="437"/>
        <v>#N/A</v>
      </c>
      <c r="CB401" t="e">
        <f t="shared" si="438"/>
        <v>#N/A</v>
      </c>
      <c r="CC401" t="e">
        <f t="shared" si="439"/>
        <v>#N/A</v>
      </c>
      <c r="CD401" t="e">
        <f t="shared" si="440"/>
        <v>#N/A</v>
      </c>
      <c r="CE401" t="e">
        <f t="shared" si="441"/>
        <v>#N/A</v>
      </c>
      <c r="CF401" t="e">
        <f t="shared" si="442"/>
        <v>#N/A</v>
      </c>
      <c r="CG401" t="e">
        <f t="shared" si="443"/>
        <v>#N/A</v>
      </c>
      <c r="CI401" t="e">
        <f>AP138</f>
        <v>#N/A</v>
      </c>
      <c r="CJ401" t="e">
        <f>AQ138</f>
        <v>#N/A</v>
      </c>
      <c r="CK401">
        <f>IF(ISNUMBER(CI401),IFERROR(MAX(0,AR138-CI401),0),0)</f>
        <v>0</v>
      </c>
      <c r="CL401">
        <f>IF(ISNUMBER(CI401),IFERROR(MAX(0,CI401-AR138),0),0)</f>
        <v>0</v>
      </c>
      <c r="CM401">
        <f>IF(ISNUMBER(CJ401),IFERROR(MAX(0,AS138-CJ401),0),0)</f>
        <v>0</v>
      </c>
      <c r="CN401">
        <f>IF(ISNUMBER(CJ401),IFERROR(MAX(0,CJ401-AS138),0),0)</f>
        <v>0</v>
      </c>
      <c r="CP401" t="e">
        <f>BX138</f>
        <v>#N/A</v>
      </c>
      <c r="CQ401" t="e">
        <f>BY138</f>
        <v>#N/A</v>
      </c>
      <c r="CR401">
        <f>IF(ISNUMBER(CP401),IFERROR(MAX(0,BZ138-CP401),0),0)</f>
        <v>0</v>
      </c>
      <c r="CS401">
        <f>IF(ISNUMBER(CP401),IFERROR(MAX(0,CP401-BZ138),0),0)</f>
        <v>0</v>
      </c>
      <c r="CT401">
        <f>IF(ISNUMBER(CQ401),IFERROR(MAX(0,CA138-CQ401),0),0)</f>
        <v>0</v>
      </c>
      <c r="CU401">
        <f>IF(ISNUMBER(CQ401),IFERROR(MAX(0,CQ401-CA138),0),0)</f>
        <v>0</v>
      </c>
    </row>
    <row r="402" spans="21:99" x14ac:dyDescent="0.3">
      <c r="U402">
        <v>396</v>
      </c>
      <c r="V402">
        <f t="shared" si="388"/>
        <v>99</v>
      </c>
      <c r="W402">
        <f t="shared" si="389"/>
        <v>4</v>
      </c>
      <c r="X402">
        <f t="shared" si="390"/>
        <v>0</v>
      </c>
      <c r="Y402">
        <f>IF(X402&lt;&gt;1,9999,CHOOSE(W402,INDEX(Gantt!$BQ$7:$BQ$119,V402),INDEX(Gantt!$BR$7:$BR$119,V402),INDEX(Gantt!$BT$7:$BT$119,V402),INDEX(Gantt!$BU$7:$BU$119,V402)))</f>
        <v>9999</v>
      </c>
      <c r="Z402">
        <f t="shared" si="391"/>
        <v>0</v>
      </c>
      <c r="AA402" t="e">
        <f t="shared" si="392"/>
        <v>#N/A</v>
      </c>
      <c r="AB402" t="e">
        <f t="shared" si="393"/>
        <v>#N/A</v>
      </c>
      <c r="AC402" t="e">
        <f t="shared" si="394"/>
        <v>#N/A</v>
      </c>
      <c r="AD402" t="e">
        <f t="shared" si="395"/>
        <v>#N/A</v>
      </c>
      <c r="AE402" t="e">
        <f t="shared" si="396"/>
        <v>#N/A</v>
      </c>
      <c r="AF402" t="e">
        <f t="shared" si="397"/>
        <v>#N/A</v>
      </c>
      <c r="AG402" t="e">
        <f t="shared" si="398"/>
        <v>#N/A</v>
      </c>
      <c r="AH402" t="e">
        <f t="shared" si="399"/>
        <v>#N/A</v>
      </c>
      <c r="AI402" t="e">
        <f t="shared" si="400"/>
        <v>#N/A</v>
      </c>
      <c r="AJ402" t="e">
        <f t="shared" si="401"/>
        <v>#N/A</v>
      </c>
      <c r="AK402" t="e">
        <f t="shared" si="402"/>
        <v>#N/A</v>
      </c>
      <c r="AL402" t="e">
        <f t="shared" si="403"/>
        <v>#N/A</v>
      </c>
      <c r="AM402" t="e">
        <f t="shared" si="404"/>
        <v>#N/A</v>
      </c>
      <c r="AN402" t="e">
        <f t="shared" si="405"/>
        <v>#N/A</v>
      </c>
      <c r="AO402" t="e">
        <f t="shared" si="406"/>
        <v>#N/A</v>
      </c>
      <c r="AP402" t="e">
        <f t="shared" si="407"/>
        <v>#N/A</v>
      </c>
      <c r="AQ402" t="e">
        <f t="shared" si="408"/>
        <v>#N/A</v>
      </c>
      <c r="AR402" t="e">
        <f t="shared" si="409"/>
        <v>#N/A</v>
      </c>
      <c r="AS402" t="e">
        <f t="shared" si="410"/>
        <v>#N/A</v>
      </c>
      <c r="AT402" t="e">
        <f t="shared" si="411"/>
        <v>#N/A</v>
      </c>
      <c r="AU402" t="e">
        <f t="shared" si="412"/>
        <v>#N/A</v>
      </c>
      <c r="AV402" t="e">
        <f t="shared" si="413"/>
        <v>#N/A</v>
      </c>
      <c r="AW402" t="e">
        <f t="shared" si="414"/>
        <v>#N/A</v>
      </c>
      <c r="AX402" t="e">
        <f t="shared" si="415"/>
        <v>#N/A</v>
      </c>
      <c r="AY402" t="e">
        <f t="shared" si="416"/>
        <v>#N/A</v>
      </c>
      <c r="BE402" t="e">
        <f>IF(Z402=1,IF(INDEX($C$7:$C$126,V402)&gt;=Gantt!$BF$6,NA(),MATCH(INDEX($C$7:$C$126,V402),Gantt!$J$6:$BE$6,1)),NA())</f>
        <v>#N/A</v>
      </c>
      <c r="BF402" t="e">
        <f>IF(Z402=1,IF((INDEX($D$7:$D$126,AA402)-1)&gt;=Gantt!$BF$6,NA(),IF((INDEX($D$7:$D$126,AA402)-1)&lt;Gantt!$J$6,0,MATCH((INDEX($D$7:$D$126,AA402)-1),Gantt!$J$6:$BE$6,1))),NA())</f>
        <v>#N/A</v>
      </c>
      <c r="BG402" t="e">
        <f t="shared" si="417"/>
        <v>#N/A</v>
      </c>
      <c r="BH402" t="e">
        <f t="shared" si="418"/>
        <v>#N/A</v>
      </c>
      <c r="BI402" t="e">
        <f t="shared" si="419"/>
        <v>#N/A</v>
      </c>
      <c r="BJ402" t="e">
        <f t="shared" si="420"/>
        <v>#N/A</v>
      </c>
      <c r="BK402" t="e">
        <f t="shared" si="421"/>
        <v>#N/A</v>
      </c>
      <c r="BL402" t="e">
        <f t="shared" si="422"/>
        <v>#N/A</v>
      </c>
      <c r="BM402" t="e">
        <f t="shared" si="423"/>
        <v>#N/A</v>
      </c>
      <c r="BN402" t="e">
        <f t="shared" si="424"/>
        <v>#N/A</v>
      </c>
      <c r="BO402" t="e">
        <f t="shared" si="425"/>
        <v>#N/A</v>
      </c>
      <c r="BP402" t="e">
        <f t="shared" si="426"/>
        <v>#N/A</v>
      </c>
      <c r="BQ402" t="e">
        <f t="shared" si="427"/>
        <v>#N/A</v>
      </c>
      <c r="BR402" t="e">
        <f t="shared" si="428"/>
        <v>#N/A</v>
      </c>
      <c r="BS402" t="e">
        <f t="shared" si="429"/>
        <v>#N/A</v>
      </c>
      <c r="BT402" t="e">
        <f t="shared" si="430"/>
        <v>#N/A</v>
      </c>
      <c r="BU402" t="e">
        <f t="shared" si="431"/>
        <v>#N/A</v>
      </c>
      <c r="BV402" t="e">
        <f t="shared" si="432"/>
        <v>#N/A</v>
      </c>
      <c r="BW402" t="e">
        <f t="shared" si="433"/>
        <v>#N/A</v>
      </c>
      <c r="BX402" t="e">
        <f t="shared" si="434"/>
        <v>#N/A</v>
      </c>
      <c r="BY402" t="e">
        <f t="shared" si="435"/>
        <v>#N/A</v>
      </c>
      <c r="BZ402" t="e">
        <f t="shared" si="436"/>
        <v>#N/A</v>
      </c>
      <c r="CA402" t="e">
        <f t="shared" si="437"/>
        <v>#N/A</v>
      </c>
      <c r="CB402" t="e">
        <f t="shared" si="438"/>
        <v>#N/A</v>
      </c>
      <c r="CC402" t="e">
        <f t="shared" si="439"/>
        <v>#N/A</v>
      </c>
      <c r="CD402" t="e">
        <f t="shared" si="440"/>
        <v>#N/A</v>
      </c>
      <c r="CE402" t="e">
        <f t="shared" si="441"/>
        <v>#N/A</v>
      </c>
      <c r="CF402" t="e">
        <f t="shared" si="442"/>
        <v>#N/A</v>
      </c>
      <c r="CG402" t="e">
        <f t="shared" si="443"/>
        <v>#N/A</v>
      </c>
      <c r="CI402" t="e">
        <f>AT138</f>
        <v>#N/A</v>
      </c>
      <c r="CJ402" t="e">
        <f>AU138</f>
        <v>#N/A</v>
      </c>
      <c r="CK402">
        <f>IF(ISNUMBER(CI402),IFERROR(MAX(0,AV138-CI402),0),0)</f>
        <v>0</v>
      </c>
      <c r="CL402">
        <f>IF(ISNUMBER(CI402),IFERROR(MAX(0,CI402-AV138),0),0)</f>
        <v>0</v>
      </c>
      <c r="CM402">
        <f>IF(ISNUMBER(CJ402),IFERROR(MAX(0,AW138-CJ402),0),0)</f>
        <v>0</v>
      </c>
      <c r="CN402">
        <f>IF(ISNUMBER(CJ402),IFERROR(MAX(0,CJ402-AW138),0),0)</f>
        <v>0</v>
      </c>
      <c r="CP402" t="e">
        <f>CB138</f>
        <v>#N/A</v>
      </c>
      <c r="CQ402" t="e">
        <f>CC138</f>
        <v>#N/A</v>
      </c>
      <c r="CR402">
        <f>IF(ISNUMBER(CP402),IFERROR(MAX(0,CD138-CP402),0),0)</f>
        <v>0</v>
      </c>
      <c r="CS402">
        <f>IF(ISNUMBER(CP402),IFERROR(MAX(0,CP402-CD138),0),0)</f>
        <v>0</v>
      </c>
      <c r="CT402">
        <f>IF(ISNUMBER(CQ402),IFERROR(MAX(0,CE138-CQ402),0),0)</f>
        <v>0</v>
      </c>
      <c r="CU402">
        <f>IF(ISNUMBER(CQ402),IFERROR(MAX(0,CQ402-CE138),0),0)</f>
        <v>0</v>
      </c>
    </row>
    <row r="403" spans="21:99" x14ac:dyDescent="0.3">
      <c r="U403">
        <v>397</v>
      </c>
      <c r="V403">
        <f t="shared" si="388"/>
        <v>100</v>
      </c>
      <c r="W403">
        <f t="shared" si="389"/>
        <v>1</v>
      </c>
      <c r="X403">
        <f t="shared" si="390"/>
        <v>0</v>
      </c>
      <c r="Y403">
        <f>IF(X403&lt;&gt;1,9999,CHOOSE(W403,INDEX(Gantt!$BQ$7:$BQ$119,V403),INDEX(Gantt!$BR$7:$BR$119,V403),INDEX(Gantt!$BT$7:$BT$119,V403),INDEX(Gantt!$BU$7:$BU$119,V403)))</f>
        <v>9999</v>
      </c>
      <c r="Z403">
        <f t="shared" si="391"/>
        <v>0</v>
      </c>
      <c r="AA403" t="e">
        <f t="shared" si="392"/>
        <v>#N/A</v>
      </c>
      <c r="AB403" t="e">
        <f t="shared" si="393"/>
        <v>#N/A</v>
      </c>
      <c r="AC403" t="e">
        <f t="shared" si="394"/>
        <v>#N/A</v>
      </c>
      <c r="AD403" t="e">
        <f t="shared" si="395"/>
        <v>#N/A</v>
      </c>
      <c r="AE403" t="e">
        <f t="shared" si="396"/>
        <v>#N/A</v>
      </c>
      <c r="AF403" t="e">
        <f t="shared" si="397"/>
        <v>#N/A</v>
      </c>
      <c r="AG403" t="e">
        <f t="shared" si="398"/>
        <v>#N/A</v>
      </c>
      <c r="AH403" t="e">
        <f t="shared" si="399"/>
        <v>#N/A</v>
      </c>
      <c r="AI403" t="e">
        <f t="shared" si="400"/>
        <v>#N/A</v>
      </c>
      <c r="AJ403" t="e">
        <f t="shared" si="401"/>
        <v>#N/A</v>
      </c>
      <c r="AK403" t="e">
        <f t="shared" si="402"/>
        <v>#N/A</v>
      </c>
      <c r="AL403" t="e">
        <f t="shared" si="403"/>
        <v>#N/A</v>
      </c>
      <c r="AM403" t="e">
        <f t="shared" si="404"/>
        <v>#N/A</v>
      </c>
      <c r="AN403" t="e">
        <f t="shared" si="405"/>
        <v>#N/A</v>
      </c>
      <c r="AO403" t="e">
        <f t="shared" si="406"/>
        <v>#N/A</v>
      </c>
      <c r="AP403" t="e">
        <f t="shared" si="407"/>
        <v>#N/A</v>
      </c>
      <c r="AQ403" t="e">
        <f t="shared" si="408"/>
        <v>#N/A</v>
      </c>
      <c r="AR403" t="e">
        <f t="shared" si="409"/>
        <v>#N/A</v>
      </c>
      <c r="AS403" t="e">
        <f t="shared" si="410"/>
        <v>#N/A</v>
      </c>
      <c r="AT403" t="e">
        <f t="shared" si="411"/>
        <v>#N/A</v>
      </c>
      <c r="AU403" t="e">
        <f t="shared" si="412"/>
        <v>#N/A</v>
      </c>
      <c r="AV403" t="e">
        <f t="shared" si="413"/>
        <v>#N/A</v>
      </c>
      <c r="AW403" t="e">
        <f t="shared" si="414"/>
        <v>#N/A</v>
      </c>
      <c r="AX403" t="e">
        <f t="shared" si="415"/>
        <v>#N/A</v>
      </c>
      <c r="AY403" t="e">
        <f t="shared" si="416"/>
        <v>#N/A</v>
      </c>
      <c r="BE403" t="e">
        <f>IF(Z403=1,IF(INDEX($C$7:$C$126,V403)&gt;=Gantt!$BF$6,NA(),MATCH(INDEX($C$7:$C$126,V403),Gantt!$J$6:$BE$6,1)),NA())</f>
        <v>#N/A</v>
      </c>
      <c r="BF403" t="e">
        <f>IF(Z403=1,IF((INDEX($D$7:$D$126,AA403)-1)&gt;=Gantt!$BF$6,NA(),IF((INDEX($D$7:$D$126,AA403)-1)&lt;Gantt!$J$6,0,MATCH((INDEX($D$7:$D$126,AA403)-1),Gantt!$J$6:$BE$6,1))),NA())</f>
        <v>#N/A</v>
      </c>
      <c r="BG403" t="e">
        <f t="shared" si="417"/>
        <v>#N/A</v>
      </c>
      <c r="BH403" t="e">
        <f t="shared" si="418"/>
        <v>#N/A</v>
      </c>
      <c r="BI403" t="e">
        <f t="shared" si="419"/>
        <v>#N/A</v>
      </c>
      <c r="BJ403" t="e">
        <f t="shared" si="420"/>
        <v>#N/A</v>
      </c>
      <c r="BK403" t="e">
        <f t="shared" si="421"/>
        <v>#N/A</v>
      </c>
      <c r="BL403" t="e">
        <f t="shared" si="422"/>
        <v>#N/A</v>
      </c>
      <c r="BM403" t="e">
        <f t="shared" si="423"/>
        <v>#N/A</v>
      </c>
      <c r="BN403" t="e">
        <f t="shared" si="424"/>
        <v>#N/A</v>
      </c>
      <c r="BO403" t="e">
        <f t="shared" si="425"/>
        <v>#N/A</v>
      </c>
      <c r="BP403" t="e">
        <f t="shared" si="426"/>
        <v>#N/A</v>
      </c>
      <c r="BQ403" t="e">
        <f t="shared" si="427"/>
        <v>#N/A</v>
      </c>
      <c r="BR403" t="e">
        <f t="shared" si="428"/>
        <v>#N/A</v>
      </c>
      <c r="BS403" t="e">
        <f t="shared" si="429"/>
        <v>#N/A</v>
      </c>
      <c r="BT403" t="e">
        <f t="shared" si="430"/>
        <v>#N/A</v>
      </c>
      <c r="BU403" t="e">
        <f t="shared" si="431"/>
        <v>#N/A</v>
      </c>
      <c r="BV403" t="e">
        <f t="shared" si="432"/>
        <v>#N/A</v>
      </c>
      <c r="BW403" t="e">
        <f t="shared" si="433"/>
        <v>#N/A</v>
      </c>
      <c r="BX403" t="e">
        <f t="shared" si="434"/>
        <v>#N/A</v>
      </c>
      <c r="BY403" t="e">
        <f t="shared" si="435"/>
        <v>#N/A</v>
      </c>
      <c r="BZ403" t="e">
        <f t="shared" si="436"/>
        <v>#N/A</v>
      </c>
      <c r="CA403" t="e">
        <f t="shared" si="437"/>
        <v>#N/A</v>
      </c>
      <c r="CB403" t="e">
        <f t="shared" si="438"/>
        <v>#N/A</v>
      </c>
      <c r="CC403" t="e">
        <f t="shared" si="439"/>
        <v>#N/A</v>
      </c>
      <c r="CD403" t="e">
        <f t="shared" si="440"/>
        <v>#N/A</v>
      </c>
      <c r="CE403" t="e">
        <f t="shared" si="441"/>
        <v>#N/A</v>
      </c>
      <c r="CF403" t="e">
        <f t="shared" si="442"/>
        <v>#N/A</v>
      </c>
      <c r="CG403" t="e">
        <f t="shared" si="443"/>
        <v>#N/A</v>
      </c>
      <c r="CI403" t="e">
        <f>AL139</f>
        <v>#N/A</v>
      </c>
      <c r="CJ403" t="e">
        <f>AM139</f>
        <v>#N/A</v>
      </c>
      <c r="CK403">
        <f>IF(ISNUMBER(CI403),IFERROR(MAX(0,AN139-CI403),0),0)</f>
        <v>0</v>
      </c>
      <c r="CL403">
        <f>IF(ISNUMBER(CI403),IFERROR(MAX(0,CI403-AN139),0),0)</f>
        <v>0</v>
      </c>
      <c r="CM403">
        <f>IF(ISNUMBER(CJ403),IFERROR(MAX(0,AO139-CJ403),0),0)</f>
        <v>0</v>
      </c>
      <c r="CN403">
        <f>IF(ISNUMBER(CJ403),IFERROR(MAX(0,CJ403-AO139),0),0)</f>
        <v>0</v>
      </c>
      <c r="CP403" t="e">
        <f>BT139</f>
        <v>#N/A</v>
      </c>
      <c r="CQ403" t="e">
        <f>BU139</f>
        <v>#N/A</v>
      </c>
      <c r="CR403">
        <f>IF(ISNUMBER(CP403),IFERROR(MAX(0,BV139-CP403),0),0)</f>
        <v>0</v>
      </c>
      <c r="CS403">
        <f>IF(ISNUMBER(CP403),IFERROR(MAX(0,CP403-BV139),0),0)</f>
        <v>0</v>
      </c>
      <c r="CT403">
        <f>IF(ISNUMBER(CQ403),IFERROR(MAX(0,BW139-CQ403),0),0)</f>
        <v>0</v>
      </c>
      <c r="CU403">
        <f>IF(ISNUMBER(CQ403),IFERROR(MAX(0,CQ403-BW139),0),0)</f>
        <v>0</v>
      </c>
    </row>
    <row r="404" spans="21:99" x14ac:dyDescent="0.3">
      <c r="U404">
        <v>398</v>
      </c>
      <c r="V404">
        <f t="shared" si="388"/>
        <v>100</v>
      </c>
      <c r="W404">
        <f t="shared" si="389"/>
        <v>2</v>
      </c>
      <c r="X404">
        <f t="shared" si="390"/>
        <v>0</v>
      </c>
      <c r="Y404">
        <f>IF(X404&lt;&gt;1,9999,CHOOSE(W404,INDEX(Gantt!$BQ$7:$BQ$119,V404),INDEX(Gantt!$BR$7:$BR$119,V404),INDEX(Gantt!$BT$7:$BT$119,V404),INDEX(Gantt!$BU$7:$BU$119,V404)))</f>
        <v>9999</v>
      </c>
      <c r="Z404">
        <f t="shared" si="391"/>
        <v>0</v>
      </c>
      <c r="AA404" t="e">
        <f t="shared" si="392"/>
        <v>#N/A</v>
      </c>
      <c r="AB404" t="e">
        <f t="shared" si="393"/>
        <v>#N/A</v>
      </c>
      <c r="AC404" t="e">
        <f t="shared" si="394"/>
        <v>#N/A</v>
      </c>
      <c r="AD404" t="e">
        <f t="shared" si="395"/>
        <v>#N/A</v>
      </c>
      <c r="AE404" t="e">
        <f t="shared" si="396"/>
        <v>#N/A</v>
      </c>
      <c r="AF404" t="e">
        <f t="shared" si="397"/>
        <v>#N/A</v>
      </c>
      <c r="AG404" t="e">
        <f t="shared" si="398"/>
        <v>#N/A</v>
      </c>
      <c r="AH404" t="e">
        <f t="shared" si="399"/>
        <v>#N/A</v>
      </c>
      <c r="AI404" t="e">
        <f t="shared" si="400"/>
        <v>#N/A</v>
      </c>
      <c r="AJ404" t="e">
        <f t="shared" si="401"/>
        <v>#N/A</v>
      </c>
      <c r="AK404" t="e">
        <f t="shared" si="402"/>
        <v>#N/A</v>
      </c>
      <c r="AL404" t="e">
        <f t="shared" si="403"/>
        <v>#N/A</v>
      </c>
      <c r="AM404" t="e">
        <f t="shared" si="404"/>
        <v>#N/A</v>
      </c>
      <c r="AN404" t="e">
        <f t="shared" si="405"/>
        <v>#N/A</v>
      </c>
      <c r="AO404" t="e">
        <f t="shared" si="406"/>
        <v>#N/A</v>
      </c>
      <c r="AP404" t="e">
        <f t="shared" si="407"/>
        <v>#N/A</v>
      </c>
      <c r="AQ404" t="e">
        <f t="shared" si="408"/>
        <v>#N/A</v>
      </c>
      <c r="AR404" t="e">
        <f t="shared" si="409"/>
        <v>#N/A</v>
      </c>
      <c r="AS404" t="e">
        <f t="shared" si="410"/>
        <v>#N/A</v>
      </c>
      <c r="AT404" t="e">
        <f t="shared" si="411"/>
        <v>#N/A</v>
      </c>
      <c r="AU404" t="e">
        <f t="shared" si="412"/>
        <v>#N/A</v>
      </c>
      <c r="AV404" t="e">
        <f t="shared" si="413"/>
        <v>#N/A</v>
      </c>
      <c r="AW404" t="e">
        <f t="shared" si="414"/>
        <v>#N/A</v>
      </c>
      <c r="AX404" t="e">
        <f t="shared" si="415"/>
        <v>#N/A</v>
      </c>
      <c r="AY404" t="e">
        <f t="shared" si="416"/>
        <v>#N/A</v>
      </c>
      <c r="BE404" t="e">
        <f>IF(Z404=1,IF(INDEX($C$7:$C$126,V404)&gt;=Gantt!$BF$6,NA(),MATCH(INDEX($C$7:$C$126,V404),Gantt!$J$6:$BE$6,1)),NA())</f>
        <v>#N/A</v>
      </c>
      <c r="BF404" t="e">
        <f>IF(Z404=1,IF((INDEX($D$7:$D$126,AA404)-1)&gt;=Gantt!$BF$6,NA(),IF((INDEX($D$7:$D$126,AA404)-1)&lt;Gantt!$J$6,0,MATCH((INDEX($D$7:$D$126,AA404)-1),Gantt!$J$6:$BE$6,1))),NA())</f>
        <v>#N/A</v>
      </c>
      <c r="BG404" t="e">
        <f t="shared" si="417"/>
        <v>#N/A</v>
      </c>
      <c r="BH404" t="e">
        <f t="shared" si="418"/>
        <v>#N/A</v>
      </c>
      <c r="BI404" t="e">
        <f t="shared" si="419"/>
        <v>#N/A</v>
      </c>
      <c r="BJ404" t="e">
        <f t="shared" si="420"/>
        <v>#N/A</v>
      </c>
      <c r="BK404" t="e">
        <f t="shared" si="421"/>
        <v>#N/A</v>
      </c>
      <c r="BL404" t="e">
        <f t="shared" si="422"/>
        <v>#N/A</v>
      </c>
      <c r="BM404" t="e">
        <f t="shared" si="423"/>
        <v>#N/A</v>
      </c>
      <c r="BN404" t="e">
        <f t="shared" si="424"/>
        <v>#N/A</v>
      </c>
      <c r="BO404" t="e">
        <f t="shared" si="425"/>
        <v>#N/A</v>
      </c>
      <c r="BP404" t="e">
        <f t="shared" si="426"/>
        <v>#N/A</v>
      </c>
      <c r="BQ404" t="e">
        <f t="shared" si="427"/>
        <v>#N/A</v>
      </c>
      <c r="BR404" t="e">
        <f t="shared" si="428"/>
        <v>#N/A</v>
      </c>
      <c r="BS404" t="e">
        <f t="shared" si="429"/>
        <v>#N/A</v>
      </c>
      <c r="BT404" t="e">
        <f t="shared" si="430"/>
        <v>#N/A</v>
      </c>
      <c r="BU404" t="e">
        <f t="shared" si="431"/>
        <v>#N/A</v>
      </c>
      <c r="BV404" t="e">
        <f t="shared" si="432"/>
        <v>#N/A</v>
      </c>
      <c r="BW404" t="e">
        <f t="shared" si="433"/>
        <v>#N/A</v>
      </c>
      <c r="BX404" t="e">
        <f t="shared" si="434"/>
        <v>#N/A</v>
      </c>
      <c r="BY404" t="e">
        <f t="shared" si="435"/>
        <v>#N/A</v>
      </c>
      <c r="BZ404" t="e">
        <f t="shared" si="436"/>
        <v>#N/A</v>
      </c>
      <c r="CA404" t="e">
        <f t="shared" si="437"/>
        <v>#N/A</v>
      </c>
      <c r="CB404" t="e">
        <f t="shared" si="438"/>
        <v>#N/A</v>
      </c>
      <c r="CC404" t="e">
        <f t="shared" si="439"/>
        <v>#N/A</v>
      </c>
      <c r="CD404" t="e">
        <f t="shared" si="440"/>
        <v>#N/A</v>
      </c>
      <c r="CE404" t="e">
        <f t="shared" si="441"/>
        <v>#N/A</v>
      </c>
      <c r="CF404" t="e">
        <f t="shared" si="442"/>
        <v>#N/A</v>
      </c>
      <c r="CG404" t="e">
        <f t="shared" si="443"/>
        <v>#N/A</v>
      </c>
      <c r="CI404" t="e">
        <f>AP139</f>
        <v>#N/A</v>
      </c>
      <c r="CJ404" t="e">
        <f>AQ139</f>
        <v>#N/A</v>
      </c>
      <c r="CK404">
        <f>IF(ISNUMBER(CI404),IFERROR(MAX(0,AR139-CI404),0),0)</f>
        <v>0</v>
      </c>
      <c r="CL404">
        <f>IF(ISNUMBER(CI404),IFERROR(MAX(0,CI404-AR139),0),0)</f>
        <v>0</v>
      </c>
      <c r="CM404">
        <f>IF(ISNUMBER(CJ404),IFERROR(MAX(0,AS139-CJ404),0),0)</f>
        <v>0</v>
      </c>
      <c r="CN404">
        <f>IF(ISNUMBER(CJ404),IFERROR(MAX(0,CJ404-AS139),0),0)</f>
        <v>0</v>
      </c>
      <c r="CP404" t="e">
        <f>BX139</f>
        <v>#N/A</v>
      </c>
      <c r="CQ404" t="e">
        <f>BY139</f>
        <v>#N/A</v>
      </c>
      <c r="CR404">
        <f>IF(ISNUMBER(CP404),IFERROR(MAX(0,BZ139-CP404),0),0)</f>
        <v>0</v>
      </c>
      <c r="CS404">
        <f>IF(ISNUMBER(CP404),IFERROR(MAX(0,CP404-BZ139),0),0)</f>
        <v>0</v>
      </c>
      <c r="CT404">
        <f>IF(ISNUMBER(CQ404),IFERROR(MAX(0,CA139-CQ404),0),0)</f>
        <v>0</v>
      </c>
      <c r="CU404">
        <f>IF(ISNUMBER(CQ404),IFERROR(MAX(0,CQ404-CA139),0),0)</f>
        <v>0</v>
      </c>
    </row>
    <row r="405" spans="21:99" x14ac:dyDescent="0.3">
      <c r="U405">
        <v>399</v>
      </c>
      <c r="V405">
        <f t="shared" si="388"/>
        <v>100</v>
      </c>
      <c r="W405">
        <f t="shared" si="389"/>
        <v>3</v>
      </c>
      <c r="X405">
        <f t="shared" si="390"/>
        <v>0</v>
      </c>
      <c r="Y405">
        <f>IF(X405&lt;&gt;1,9999,CHOOSE(W405,INDEX(Gantt!$BQ$7:$BQ$119,V405),INDEX(Gantt!$BR$7:$BR$119,V405),INDEX(Gantt!$BT$7:$BT$119,V405),INDEX(Gantt!$BU$7:$BU$119,V405)))</f>
        <v>9999</v>
      </c>
      <c r="Z405">
        <f t="shared" si="391"/>
        <v>0</v>
      </c>
      <c r="AA405" t="e">
        <f t="shared" si="392"/>
        <v>#N/A</v>
      </c>
      <c r="AB405" t="e">
        <f t="shared" si="393"/>
        <v>#N/A</v>
      </c>
      <c r="AC405" t="e">
        <f t="shared" si="394"/>
        <v>#N/A</v>
      </c>
      <c r="AD405" t="e">
        <f t="shared" si="395"/>
        <v>#N/A</v>
      </c>
      <c r="AE405" t="e">
        <f t="shared" si="396"/>
        <v>#N/A</v>
      </c>
      <c r="AF405" t="e">
        <f t="shared" si="397"/>
        <v>#N/A</v>
      </c>
      <c r="AG405" t="e">
        <f t="shared" si="398"/>
        <v>#N/A</v>
      </c>
      <c r="AH405" t="e">
        <f t="shared" si="399"/>
        <v>#N/A</v>
      </c>
      <c r="AI405" t="e">
        <f t="shared" si="400"/>
        <v>#N/A</v>
      </c>
      <c r="AJ405" t="e">
        <f t="shared" si="401"/>
        <v>#N/A</v>
      </c>
      <c r="AK405" t="e">
        <f t="shared" si="402"/>
        <v>#N/A</v>
      </c>
      <c r="AL405" t="e">
        <f t="shared" si="403"/>
        <v>#N/A</v>
      </c>
      <c r="AM405" t="e">
        <f t="shared" si="404"/>
        <v>#N/A</v>
      </c>
      <c r="AN405" t="e">
        <f t="shared" si="405"/>
        <v>#N/A</v>
      </c>
      <c r="AO405" t="e">
        <f t="shared" si="406"/>
        <v>#N/A</v>
      </c>
      <c r="AP405" t="e">
        <f t="shared" si="407"/>
        <v>#N/A</v>
      </c>
      <c r="AQ405" t="e">
        <f t="shared" si="408"/>
        <v>#N/A</v>
      </c>
      <c r="AR405" t="e">
        <f t="shared" si="409"/>
        <v>#N/A</v>
      </c>
      <c r="AS405" t="e">
        <f t="shared" si="410"/>
        <v>#N/A</v>
      </c>
      <c r="AT405" t="e">
        <f t="shared" si="411"/>
        <v>#N/A</v>
      </c>
      <c r="AU405" t="e">
        <f t="shared" si="412"/>
        <v>#N/A</v>
      </c>
      <c r="AV405" t="e">
        <f t="shared" si="413"/>
        <v>#N/A</v>
      </c>
      <c r="AW405" t="e">
        <f t="shared" si="414"/>
        <v>#N/A</v>
      </c>
      <c r="AX405" t="e">
        <f t="shared" si="415"/>
        <v>#N/A</v>
      </c>
      <c r="AY405" t="e">
        <f t="shared" si="416"/>
        <v>#N/A</v>
      </c>
      <c r="BE405" t="e">
        <f>IF(Z405=1,IF(INDEX($C$7:$C$126,V405)&gt;=Gantt!$BF$6,NA(),MATCH(INDEX($C$7:$C$126,V405),Gantt!$J$6:$BE$6,1)),NA())</f>
        <v>#N/A</v>
      </c>
      <c r="BF405" t="e">
        <f>IF(Z405=1,IF((INDEX($D$7:$D$126,AA405)-1)&gt;=Gantt!$BF$6,NA(),IF((INDEX($D$7:$D$126,AA405)-1)&lt;Gantt!$J$6,0,MATCH((INDEX($D$7:$D$126,AA405)-1),Gantt!$J$6:$BE$6,1))),NA())</f>
        <v>#N/A</v>
      </c>
      <c r="BG405" t="e">
        <f t="shared" si="417"/>
        <v>#N/A</v>
      </c>
      <c r="BH405" t="e">
        <f t="shared" si="418"/>
        <v>#N/A</v>
      </c>
      <c r="BI405" t="e">
        <f t="shared" si="419"/>
        <v>#N/A</v>
      </c>
      <c r="BJ405" t="e">
        <f t="shared" si="420"/>
        <v>#N/A</v>
      </c>
      <c r="BK405" t="e">
        <f t="shared" si="421"/>
        <v>#N/A</v>
      </c>
      <c r="BL405" t="e">
        <f t="shared" si="422"/>
        <v>#N/A</v>
      </c>
      <c r="BM405" t="e">
        <f t="shared" si="423"/>
        <v>#N/A</v>
      </c>
      <c r="BN405" t="e">
        <f t="shared" si="424"/>
        <v>#N/A</v>
      </c>
      <c r="BO405" t="e">
        <f t="shared" si="425"/>
        <v>#N/A</v>
      </c>
      <c r="BP405" t="e">
        <f t="shared" si="426"/>
        <v>#N/A</v>
      </c>
      <c r="BQ405" t="e">
        <f t="shared" si="427"/>
        <v>#N/A</v>
      </c>
      <c r="BR405" t="e">
        <f t="shared" si="428"/>
        <v>#N/A</v>
      </c>
      <c r="BS405" t="e">
        <f t="shared" si="429"/>
        <v>#N/A</v>
      </c>
      <c r="BT405" t="e">
        <f t="shared" si="430"/>
        <v>#N/A</v>
      </c>
      <c r="BU405" t="e">
        <f t="shared" si="431"/>
        <v>#N/A</v>
      </c>
      <c r="BV405" t="e">
        <f t="shared" si="432"/>
        <v>#N/A</v>
      </c>
      <c r="BW405" t="e">
        <f t="shared" si="433"/>
        <v>#N/A</v>
      </c>
      <c r="BX405" t="e">
        <f t="shared" si="434"/>
        <v>#N/A</v>
      </c>
      <c r="BY405" t="e">
        <f t="shared" si="435"/>
        <v>#N/A</v>
      </c>
      <c r="BZ405" t="e">
        <f t="shared" si="436"/>
        <v>#N/A</v>
      </c>
      <c r="CA405" t="e">
        <f t="shared" si="437"/>
        <v>#N/A</v>
      </c>
      <c r="CB405" t="e">
        <f t="shared" si="438"/>
        <v>#N/A</v>
      </c>
      <c r="CC405" t="e">
        <f t="shared" si="439"/>
        <v>#N/A</v>
      </c>
      <c r="CD405" t="e">
        <f t="shared" si="440"/>
        <v>#N/A</v>
      </c>
      <c r="CE405" t="e">
        <f t="shared" si="441"/>
        <v>#N/A</v>
      </c>
      <c r="CF405" t="e">
        <f t="shared" si="442"/>
        <v>#N/A</v>
      </c>
      <c r="CG405" t="e">
        <f t="shared" si="443"/>
        <v>#N/A</v>
      </c>
      <c r="CI405" t="e">
        <f>AT139</f>
        <v>#N/A</v>
      </c>
      <c r="CJ405" t="e">
        <f>AU139</f>
        <v>#N/A</v>
      </c>
      <c r="CK405">
        <f>IF(ISNUMBER(CI405),IFERROR(MAX(0,AV139-CI405),0),0)</f>
        <v>0</v>
      </c>
      <c r="CL405">
        <f>IF(ISNUMBER(CI405),IFERROR(MAX(0,CI405-AV139),0),0)</f>
        <v>0</v>
      </c>
      <c r="CM405">
        <f>IF(ISNUMBER(CJ405),IFERROR(MAX(0,AW139-CJ405),0),0)</f>
        <v>0</v>
      </c>
      <c r="CN405">
        <f>IF(ISNUMBER(CJ405),IFERROR(MAX(0,CJ405-AW139),0),0)</f>
        <v>0</v>
      </c>
      <c r="CP405" t="e">
        <f>CB139</f>
        <v>#N/A</v>
      </c>
      <c r="CQ405" t="e">
        <f>CC139</f>
        <v>#N/A</v>
      </c>
      <c r="CR405">
        <f>IF(ISNUMBER(CP405),IFERROR(MAX(0,CD139-CP405),0),0)</f>
        <v>0</v>
      </c>
      <c r="CS405">
        <f>IF(ISNUMBER(CP405),IFERROR(MAX(0,CP405-CD139),0),0)</f>
        <v>0</v>
      </c>
      <c r="CT405">
        <f>IF(ISNUMBER(CQ405),IFERROR(MAX(0,CE139-CQ405),0),0)</f>
        <v>0</v>
      </c>
      <c r="CU405">
        <f>IF(ISNUMBER(CQ405),IFERROR(MAX(0,CQ405-CE139),0),0)</f>
        <v>0</v>
      </c>
    </row>
    <row r="406" spans="21:99" x14ac:dyDescent="0.3">
      <c r="U406">
        <v>400</v>
      </c>
      <c r="V406">
        <f t="shared" si="388"/>
        <v>100</v>
      </c>
      <c r="W406">
        <f t="shared" si="389"/>
        <v>4</v>
      </c>
      <c r="X406">
        <f t="shared" si="390"/>
        <v>0</v>
      </c>
      <c r="Y406">
        <f>IF(X406&lt;&gt;1,9999,CHOOSE(W406,INDEX(Gantt!$BQ$7:$BQ$119,V406),INDEX(Gantt!$BR$7:$BR$119,V406),INDEX(Gantt!$BT$7:$BT$119,V406),INDEX(Gantt!$BU$7:$BU$119,V406)))</f>
        <v>9999</v>
      </c>
      <c r="Z406">
        <f t="shared" si="391"/>
        <v>0</v>
      </c>
      <c r="AA406" t="e">
        <f t="shared" si="392"/>
        <v>#N/A</v>
      </c>
      <c r="AB406" t="e">
        <f t="shared" si="393"/>
        <v>#N/A</v>
      </c>
      <c r="AC406" t="e">
        <f t="shared" si="394"/>
        <v>#N/A</v>
      </c>
      <c r="AD406" t="e">
        <f t="shared" si="395"/>
        <v>#N/A</v>
      </c>
      <c r="AE406" t="e">
        <f t="shared" si="396"/>
        <v>#N/A</v>
      </c>
      <c r="AF406" t="e">
        <f t="shared" si="397"/>
        <v>#N/A</v>
      </c>
      <c r="AG406" t="e">
        <f t="shared" si="398"/>
        <v>#N/A</v>
      </c>
      <c r="AH406" t="e">
        <f t="shared" si="399"/>
        <v>#N/A</v>
      </c>
      <c r="AI406" t="e">
        <f t="shared" si="400"/>
        <v>#N/A</v>
      </c>
      <c r="AJ406" t="e">
        <f t="shared" si="401"/>
        <v>#N/A</v>
      </c>
      <c r="AK406" t="e">
        <f t="shared" si="402"/>
        <v>#N/A</v>
      </c>
      <c r="AL406" t="e">
        <f t="shared" si="403"/>
        <v>#N/A</v>
      </c>
      <c r="AM406" t="e">
        <f t="shared" si="404"/>
        <v>#N/A</v>
      </c>
      <c r="AN406" t="e">
        <f t="shared" si="405"/>
        <v>#N/A</v>
      </c>
      <c r="AO406" t="e">
        <f t="shared" si="406"/>
        <v>#N/A</v>
      </c>
      <c r="AP406" t="e">
        <f t="shared" si="407"/>
        <v>#N/A</v>
      </c>
      <c r="AQ406" t="e">
        <f t="shared" si="408"/>
        <v>#N/A</v>
      </c>
      <c r="AR406" t="e">
        <f t="shared" si="409"/>
        <v>#N/A</v>
      </c>
      <c r="AS406" t="e">
        <f t="shared" si="410"/>
        <v>#N/A</v>
      </c>
      <c r="AT406" t="e">
        <f t="shared" si="411"/>
        <v>#N/A</v>
      </c>
      <c r="AU406" t="e">
        <f t="shared" si="412"/>
        <v>#N/A</v>
      </c>
      <c r="AV406" t="e">
        <f t="shared" si="413"/>
        <v>#N/A</v>
      </c>
      <c r="AW406" t="e">
        <f t="shared" si="414"/>
        <v>#N/A</v>
      </c>
      <c r="AX406" t="e">
        <f t="shared" si="415"/>
        <v>#N/A</v>
      </c>
      <c r="AY406" t="e">
        <f t="shared" si="416"/>
        <v>#N/A</v>
      </c>
      <c r="BE406" t="e">
        <f>IF(Z406=1,IF(INDEX($C$7:$C$126,V406)&gt;=Gantt!$BF$6,NA(),MATCH(INDEX($C$7:$C$126,V406),Gantt!$J$6:$BE$6,1)),NA())</f>
        <v>#N/A</v>
      </c>
      <c r="BF406" t="e">
        <f>IF(Z406=1,IF((INDEX($D$7:$D$126,AA406)-1)&gt;=Gantt!$BF$6,NA(),IF((INDEX($D$7:$D$126,AA406)-1)&lt;Gantt!$J$6,0,MATCH((INDEX($D$7:$D$126,AA406)-1),Gantt!$J$6:$BE$6,1))),NA())</f>
        <v>#N/A</v>
      </c>
      <c r="BG406" t="e">
        <f t="shared" si="417"/>
        <v>#N/A</v>
      </c>
      <c r="BH406" t="e">
        <f t="shared" si="418"/>
        <v>#N/A</v>
      </c>
      <c r="BI406" t="e">
        <f t="shared" si="419"/>
        <v>#N/A</v>
      </c>
      <c r="BJ406" t="e">
        <f t="shared" si="420"/>
        <v>#N/A</v>
      </c>
      <c r="BK406" t="e">
        <f t="shared" si="421"/>
        <v>#N/A</v>
      </c>
      <c r="BL406" t="e">
        <f t="shared" si="422"/>
        <v>#N/A</v>
      </c>
      <c r="BM406" t="e">
        <f t="shared" si="423"/>
        <v>#N/A</v>
      </c>
      <c r="BN406" t="e">
        <f t="shared" si="424"/>
        <v>#N/A</v>
      </c>
      <c r="BO406" t="e">
        <f t="shared" si="425"/>
        <v>#N/A</v>
      </c>
      <c r="BP406" t="e">
        <f t="shared" si="426"/>
        <v>#N/A</v>
      </c>
      <c r="BQ406" t="e">
        <f t="shared" si="427"/>
        <v>#N/A</v>
      </c>
      <c r="BR406" t="e">
        <f t="shared" si="428"/>
        <v>#N/A</v>
      </c>
      <c r="BS406" t="e">
        <f t="shared" si="429"/>
        <v>#N/A</v>
      </c>
      <c r="BT406" t="e">
        <f t="shared" si="430"/>
        <v>#N/A</v>
      </c>
      <c r="BU406" t="e">
        <f t="shared" si="431"/>
        <v>#N/A</v>
      </c>
      <c r="BV406" t="e">
        <f t="shared" si="432"/>
        <v>#N/A</v>
      </c>
      <c r="BW406" t="e">
        <f t="shared" si="433"/>
        <v>#N/A</v>
      </c>
      <c r="BX406" t="e">
        <f t="shared" si="434"/>
        <v>#N/A</v>
      </c>
      <c r="BY406" t="e">
        <f t="shared" si="435"/>
        <v>#N/A</v>
      </c>
      <c r="BZ406" t="e">
        <f t="shared" si="436"/>
        <v>#N/A</v>
      </c>
      <c r="CA406" t="e">
        <f t="shared" si="437"/>
        <v>#N/A</v>
      </c>
      <c r="CB406" t="e">
        <f t="shared" si="438"/>
        <v>#N/A</v>
      </c>
      <c r="CC406" t="e">
        <f t="shared" si="439"/>
        <v>#N/A</v>
      </c>
      <c r="CD406" t="e">
        <f t="shared" si="440"/>
        <v>#N/A</v>
      </c>
      <c r="CE406" t="e">
        <f t="shared" si="441"/>
        <v>#N/A</v>
      </c>
      <c r="CF406" t="e">
        <f t="shared" si="442"/>
        <v>#N/A</v>
      </c>
      <c r="CG406" t="e">
        <f t="shared" si="443"/>
        <v>#N/A</v>
      </c>
      <c r="CI406" t="e">
        <f>AL140</f>
        <v>#N/A</v>
      </c>
      <c r="CJ406" t="e">
        <f>AM140</f>
        <v>#N/A</v>
      </c>
      <c r="CK406">
        <f>IF(ISNUMBER(CI406),IFERROR(MAX(0,AN140-CI406),0),0)</f>
        <v>0</v>
      </c>
      <c r="CL406">
        <f>IF(ISNUMBER(CI406),IFERROR(MAX(0,CI406-AN140),0),0)</f>
        <v>0</v>
      </c>
      <c r="CM406">
        <f>IF(ISNUMBER(CJ406),IFERROR(MAX(0,AO140-CJ406),0),0)</f>
        <v>0</v>
      </c>
      <c r="CN406">
        <f>IF(ISNUMBER(CJ406),IFERROR(MAX(0,CJ406-AO140),0),0)</f>
        <v>0</v>
      </c>
      <c r="CP406" t="e">
        <f>BT140</f>
        <v>#N/A</v>
      </c>
      <c r="CQ406" t="e">
        <f>BU140</f>
        <v>#N/A</v>
      </c>
      <c r="CR406">
        <f>IF(ISNUMBER(CP406),IFERROR(MAX(0,BV140-CP406),0),0)</f>
        <v>0</v>
      </c>
      <c r="CS406">
        <f>IF(ISNUMBER(CP406),IFERROR(MAX(0,CP406-BV140),0),0)</f>
        <v>0</v>
      </c>
      <c r="CT406">
        <f>IF(ISNUMBER(CQ406),IFERROR(MAX(0,BW140-CQ406),0),0)</f>
        <v>0</v>
      </c>
      <c r="CU406">
        <f>IF(ISNUMBER(CQ406),IFERROR(MAX(0,CQ406-BW140),0),0)</f>
        <v>0</v>
      </c>
    </row>
    <row r="407" spans="21:99" x14ac:dyDescent="0.3">
      <c r="U407">
        <v>401</v>
      </c>
      <c r="V407">
        <f t="shared" si="388"/>
        <v>101</v>
      </c>
      <c r="W407">
        <f t="shared" si="389"/>
        <v>1</v>
      </c>
      <c r="X407">
        <f t="shared" si="390"/>
        <v>0</v>
      </c>
      <c r="Y407">
        <f>IF(X407&lt;&gt;1,9999,CHOOSE(W407,INDEX(Gantt!$BQ$7:$BQ$119,V407),INDEX(Gantt!$BR$7:$BR$119,V407),INDEX(Gantt!$BT$7:$BT$119,V407),INDEX(Gantt!$BU$7:$BU$119,V407)))</f>
        <v>9999</v>
      </c>
      <c r="Z407">
        <f t="shared" si="391"/>
        <v>0</v>
      </c>
      <c r="AA407" t="e">
        <f t="shared" si="392"/>
        <v>#N/A</v>
      </c>
      <c r="AB407" t="e">
        <f t="shared" si="393"/>
        <v>#N/A</v>
      </c>
      <c r="AC407" t="e">
        <f t="shared" si="394"/>
        <v>#N/A</v>
      </c>
      <c r="AD407" t="e">
        <f t="shared" si="395"/>
        <v>#N/A</v>
      </c>
      <c r="AE407" t="e">
        <f t="shared" si="396"/>
        <v>#N/A</v>
      </c>
      <c r="AF407" t="e">
        <f t="shared" si="397"/>
        <v>#N/A</v>
      </c>
      <c r="AG407" t="e">
        <f t="shared" si="398"/>
        <v>#N/A</v>
      </c>
      <c r="AH407" t="e">
        <f t="shared" si="399"/>
        <v>#N/A</v>
      </c>
      <c r="AI407" t="e">
        <f t="shared" si="400"/>
        <v>#N/A</v>
      </c>
      <c r="AJ407" t="e">
        <f t="shared" si="401"/>
        <v>#N/A</v>
      </c>
      <c r="AK407" t="e">
        <f t="shared" si="402"/>
        <v>#N/A</v>
      </c>
      <c r="AL407" t="e">
        <f t="shared" si="403"/>
        <v>#N/A</v>
      </c>
      <c r="AM407" t="e">
        <f t="shared" si="404"/>
        <v>#N/A</v>
      </c>
      <c r="AN407" t="e">
        <f t="shared" si="405"/>
        <v>#N/A</v>
      </c>
      <c r="AO407" t="e">
        <f t="shared" si="406"/>
        <v>#N/A</v>
      </c>
      <c r="AP407" t="e">
        <f t="shared" si="407"/>
        <v>#N/A</v>
      </c>
      <c r="AQ407" t="e">
        <f t="shared" si="408"/>
        <v>#N/A</v>
      </c>
      <c r="AR407" t="e">
        <f t="shared" si="409"/>
        <v>#N/A</v>
      </c>
      <c r="AS407" t="e">
        <f t="shared" si="410"/>
        <v>#N/A</v>
      </c>
      <c r="AT407" t="e">
        <f t="shared" si="411"/>
        <v>#N/A</v>
      </c>
      <c r="AU407" t="e">
        <f t="shared" si="412"/>
        <v>#N/A</v>
      </c>
      <c r="AV407" t="e">
        <f t="shared" si="413"/>
        <v>#N/A</v>
      </c>
      <c r="AW407" t="e">
        <f t="shared" si="414"/>
        <v>#N/A</v>
      </c>
      <c r="AX407" t="e">
        <f t="shared" si="415"/>
        <v>#N/A</v>
      </c>
      <c r="AY407" t="e">
        <f t="shared" si="416"/>
        <v>#N/A</v>
      </c>
      <c r="BE407" t="e">
        <f>IF(Z407=1,IF(INDEX($C$7:$C$126,V407)&gt;=Gantt!$BF$6,NA(),MATCH(INDEX($C$7:$C$126,V407),Gantt!$J$6:$BE$6,1)),NA())</f>
        <v>#N/A</v>
      </c>
      <c r="BF407" t="e">
        <f>IF(Z407=1,IF((INDEX($D$7:$D$126,AA407)-1)&gt;=Gantt!$BF$6,NA(),IF((INDEX($D$7:$D$126,AA407)-1)&lt;Gantt!$J$6,0,MATCH((INDEX($D$7:$D$126,AA407)-1),Gantt!$J$6:$BE$6,1))),NA())</f>
        <v>#N/A</v>
      </c>
      <c r="BG407" t="e">
        <f t="shared" si="417"/>
        <v>#N/A</v>
      </c>
      <c r="BH407" t="e">
        <f t="shared" si="418"/>
        <v>#N/A</v>
      </c>
      <c r="BI407" t="e">
        <f t="shared" si="419"/>
        <v>#N/A</v>
      </c>
      <c r="BJ407" t="e">
        <f t="shared" si="420"/>
        <v>#N/A</v>
      </c>
      <c r="BK407" t="e">
        <f t="shared" si="421"/>
        <v>#N/A</v>
      </c>
      <c r="BL407" t="e">
        <f t="shared" si="422"/>
        <v>#N/A</v>
      </c>
      <c r="BM407" t="e">
        <f t="shared" si="423"/>
        <v>#N/A</v>
      </c>
      <c r="BN407" t="e">
        <f t="shared" si="424"/>
        <v>#N/A</v>
      </c>
      <c r="BO407" t="e">
        <f t="shared" si="425"/>
        <v>#N/A</v>
      </c>
      <c r="BP407" t="e">
        <f t="shared" si="426"/>
        <v>#N/A</v>
      </c>
      <c r="BQ407" t="e">
        <f t="shared" si="427"/>
        <v>#N/A</v>
      </c>
      <c r="BR407" t="e">
        <f t="shared" si="428"/>
        <v>#N/A</v>
      </c>
      <c r="BS407" t="e">
        <f t="shared" si="429"/>
        <v>#N/A</v>
      </c>
      <c r="BT407" t="e">
        <f t="shared" si="430"/>
        <v>#N/A</v>
      </c>
      <c r="BU407" t="e">
        <f t="shared" si="431"/>
        <v>#N/A</v>
      </c>
      <c r="BV407" t="e">
        <f t="shared" si="432"/>
        <v>#N/A</v>
      </c>
      <c r="BW407" t="e">
        <f t="shared" si="433"/>
        <v>#N/A</v>
      </c>
      <c r="BX407" t="e">
        <f t="shared" si="434"/>
        <v>#N/A</v>
      </c>
      <c r="BY407" t="e">
        <f t="shared" si="435"/>
        <v>#N/A</v>
      </c>
      <c r="BZ407" t="e">
        <f t="shared" si="436"/>
        <v>#N/A</v>
      </c>
      <c r="CA407" t="e">
        <f t="shared" si="437"/>
        <v>#N/A</v>
      </c>
      <c r="CB407" t="e">
        <f t="shared" si="438"/>
        <v>#N/A</v>
      </c>
      <c r="CC407" t="e">
        <f t="shared" si="439"/>
        <v>#N/A</v>
      </c>
      <c r="CD407" t="e">
        <f t="shared" si="440"/>
        <v>#N/A</v>
      </c>
      <c r="CE407" t="e">
        <f t="shared" si="441"/>
        <v>#N/A</v>
      </c>
      <c r="CF407" t="e">
        <f t="shared" si="442"/>
        <v>#N/A</v>
      </c>
      <c r="CG407" t="e">
        <f t="shared" si="443"/>
        <v>#N/A</v>
      </c>
      <c r="CI407" t="e">
        <f>AP140</f>
        <v>#N/A</v>
      </c>
      <c r="CJ407" t="e">
        <f>AQ140</f>
        <v>#N/A</v>
      </c>
      <c r="CK407">
        <f>IF(ISNUMBER(CI407),IFERROR(MAX(0,AR140-CI407),0),0)</f>
        <v>0</v>
      </c>
      <c r="CL407">
        <f>IF(ISNUMBER(CI407),IFERROR(MAX(0,CI407-AR140),0),0)</f>
        <v>0</v>
      </c>
      <c r="CM407">
        <f>IF(ISNUMBER(CJ407),IFERROR(MAX(0,AS140-CJ407),0),0)</f>
        <v>0</v>
      </c>
      <c r="CN407">
        <f>IF(ISNUMBER(CJ407),IFERROR(MAX(0,CJ407-AS140),0),0)</f>
        <v>0</v>
      </c>
      <c r="CP407" t="e">
        <f>BX140</f>
        <v>#N/A</v>
      </c>
      <c r="CQ407" t="e">
        <f>BY140</f>
        <v>#N/A</v>
      </c>
      <c r="CR407">
        <f>IF(ISNUMBER(CP407),IFERROR(MAX(0,BZ140-CP407),0),0)</f>
        <v>0</v>
      </c>
      <c r="CS407">
        <f>IF(ISNUMBER(CP407),IFERROR(MAX(0,CP407-BZ140),0),0)</f>
        <v>0</v>
      </c>
      <c r="CT407">
        <f>IF(ISNUMBER(CQ407),IFERROR(MAX(0,CA140-CQ407),0),0)</f>
        <v>0</v>
      </c>
      <c r="CU407">
        <f>IF(ISNUMBER(CQ407),IFERROR(MAX(0,CQ407-CA140),0),0)</f>
        <v>0</v>
      </c>
    </row>
    <row r="408" spans="21:99" x14ac:dyDescent="0.3">
      <c r="U408">
        <v>402</v>
      </c>
      <c r="V408">
        <f t="shared" si="388"/>
        <v>101</v>
      </c>
      <c r="W408">
        <f t="shared" si="389"/>
        <v>2</v>
      </c>
      <c r="X408">
        <f t="shared" si="390"/>
        <v>0</v>
      </c>
      <c r="Y408">
        <f>IF(X408&lt;&gt;1,9999,CHOOSE(W408,INDEX(Gantt!$BQ$7:$BQ$119,V408),INDEX(Gantt!$BR$7:$BR$119,V408),INDEX(Gantt!$BT$7:$BT$119,V408),INDEX(Gantt!$BU$7:$BU$119,V408)))</f>
        <v>9999</v>
      </c>
      <c r="Z408">
        <f t="shared" si="391"/>
        <v>0</v>
      </c>
      <c r="AA408" t="e">
        <f t="shared" si="392"/>
        <v>#N/A</v>
      </c>
      <c r="AB408" t="e">
        <f t="shared" si="393"/>
        <v>#N/A</v>
      </c>
      <c r="AC408" t="e">
        <f t="shared" si="394"/>
        <v>#N/A</v>
      </c>
      <c r="AD408" t="e">
        <f t="shared" si="395"/>
        <v>#N/A</v>
      </c>
      <c r="AE408" t="e">
        <f t="shared" si="396"/>
        <v>#N/A</v>
      </c>
      <c r="AF408" t="e">
        <f t="shared" si="397"/>
        <v>#N/A</v>
      </c>
      <c r="AG408" t="e">
        <f t="shared" si="398"/>
        <v>#N/A</v>
      </c>
      <c r="AH408" t="e">
        <f t="shared" si="399"/>
        <v>#N/A</v>
      </c>
      <c r="AI408" t="e">
        <f t="shared" si="400"/>
        <v>#N/A</v>
      </c>
      <c r="AJ408" t="e">
        <f t="shared" si="401"/>
        <v>#N/A</v>
      </c>
      <c r="AK408" t="e">
        <f t="shared" si="402"/>
        <v>#N/A</v>
      </c>
      <c r="AL408" t="e">
        <f t="shared" si="403"/>
        <v>#N/A</v>
      </c>
      <c r="AM408" t="e">
        <f t="shared" si="404"/>
        <v>#N/A</v>
      </c>
      <c r="AN408" t="e">
        <f t="shared" si="405"/>
        <v>#N/A</v>
      </c>
      <c r="AO408" t="e">
        <f t="shared" si="406"/>
        <v>#N/A</v>
      </c>
      <c r="AP408" t="e">
        <f t="shared" si="407"/>
        <v>#N/A</v>
      </c>
      <c r="AQ408" t="e">
        <f t="shared" si="408"/>
        <v>#N/A</v>
      </c>
      <c r="AR408" t="e">
        <f t="shared" si="409"/>
        <v>#N/A</v>
      </c>
      <c r="AS408" t="e">
        <f t="shared" si="410"/>
        <v>#N/A</v>
      </c>
      <c r="AT408" t="e">
        <f t="shared" si="411"/>
        <v>#N/A</v>
      </c>
      <c r="AU408" t="e">
        <f t="shared" si="412"/>
        <v>#N/A</v>
      </c>
      <c r="AV408" t="e">
        <f t="shared" si="413"/>
        <v>#N/A</v>
      </c>
      <c r="AW408" t="e">
        <f t="shared" si="414"/>
        <v>#N/A</v>
      </c>
      <c r="AX408" t="e">
        <f t="shared" si="415"/>
        <v>#N/A</v>
      </c>
      <c r="AY408" t="e">
        <f t="shared" si="416"/>
        <v>#N/A</v>
      </c>
      <c r="BE408" t="e">
        <f>IF(Z408=1,IF(INDEX($C$7:$C$126,V408)&gt;=Gantt!$BF$6,NA(),MATCH(INDEX($C$7:$C$126,V408),Gantt!$J$6:$BE$6,1)),NA())</f>
        <v>#N/A</v>
      </c>
      <c r="BF408" t="e">
        <f>IF(Z408=1,IF((INDEX($D$7:$D$126,AA408)-1)&gt;=Gantt!$BF$6,NA(),IF((INDEX($D$7:$D$126,AA408)-1)&lt;Gantt!$J$6,0,MATCH((INDEX($D$7:$D$126,AA408)-1),Gantt!$J$6:$BE$6,1))),NA())</f>
        <v>#N/A</v>
      </c>
      <c r="BG408" t="e">
        <f t="shared" si="417"/>
        <v>#N/A</v>
      </c>
      <c r="BH408" t="e">
        <f t="shared" si="418"/>
        <v>#N/A</v>
      </c>
      <c r="BI408" t="e">
        <f t="shared" si="419"/>
        <v>#N/A</v>
      </c>
      <c r="BJ408" t="e">
        <f t="shared" si="420"/>
        <v>#N/A</v>
      </c>
      <c r="BK408" t="e">
        <f t="shared" si="421"/>
        <v>#N/A</v>
      </c>
      <c r="BL408" t="e">
        <f t="shared" si="422"/>
        <v>#N/A</v>
      </c>
      <c r="BM408" t="e">
        <f t="shared" si="423"/>
        <v>#N/A</v>
      </c>
      <c r="BN408" t="e">
        <f t="shared" si="424"/>
        <v>#N/A</v>
      </c>
      <c r="BO408" t="e">
        <f t="shared" si="425"/>
        <v>#N/A</v>
      </c>
      <c r="BP408" t="e">
        <f t="shared" si="426"/>
        <v>#N/A</v>
      </c>
      <c r="BQ408" t="e">
        <f t="shared" si="427"/>
        <v>#N/A</v>
      </c>
      <c r="BR408" t="e">
        <f t="shared" si="428"/>
        <v>#N/A</v>
      </c>
      <c r="BS408" t="e">
        <f t="shared" si="429"/>
        <v>#N/A</v>
      </c>
      <c r="BT408" t="e">
        <f t="shared" si="430"/>
        <v>#N/A</v>
      </c>
      <c r="BU408" t="e">
        <f t="shared" si="431"/>
        <v>#N/A</v>
      </c>
      <c r="BV408" t="e">
        <f t="shared" si="432"/>
        <v>#N/A</v>
      </c>
      <c r="BW408" t="e">
        <f t="shared" si="433"/>
        <v>#N/A</v>
      </c>
      <c r="BX408" t="e">
        <f t="shared" si="434"/>
        <v>#N/A</v>
      </c>
      <c r="BY408" t="e">
        <f t="shared" si="435"/>
        <v>#N/A</v>
      </c>
      <c r="BZ408" t="e">
        <f t="shared" si="436"/>
        <v>#N/A</v>
      </c>
      <c r="CA408" t="e">
        <f t="shared" si="437"/>
        <v>#N/A</v>
      </c>
      <c r="CB408" t="e">
        <f t="shared" si="438"/>
        <v>#N/A</v>
      </c>
      <c r="CC408" t="e">
        <f t="shared" si="439"/>
        <v>#N/A</v>
      </c>
      <c r="CD408" t="e">
        <f t="shared" si="440"/>
        <v>#N/A</v>
      </c>
      <c r="CE408" t="e">
        <f t="shared" si="441"/>
        <v>#N/A</v>
      </c>
      <c r="CF408" t="e">
        <f t="shared" si="442"/>
        <v>#N/A</v>
      </c>
      <c r="CG408" t="e">
        <f t="shared" si="443"/>
        <v>#N/A</v>
      </c>
      <c r="CI408" t="e">
        <f>AT140</f>
        <v>#N/A</v>
      </c>
      <c r="CJ408" t="e">
        <f>AU140</f>
        <v>#N/A</v>
      </c>
      <c r="CK408">
        <f>IF(ISNUMBER(CI408),IFERROR(MAX(0,AV140-CI408),0),0)</f>
        <v>0</v>
      </c>
      <c r="CL408">
        <f>IF(ISNUMBER(CI408),IFERROR(MAX(0,CI408-AV140),0),0)</f>
        <v>0</v>
      </c>
      <c r="CM408">
        <f>IF(ISNUMBER(CJ408),IFERROR(MAX(0,AW140-CJ408),0),0)</f>
        <v>0</v>
      </c>
      <c r="CN408">
        <f>IF(ISNUMBER(CJ408),IFERROR(MAX(0,CJ408-AW140),0),0)</f>
        <v>0</v>
      </c>
      <c r="CP408" t="e">
        <f>CB140</f>
        <v>#N/A</v>
      </c>
      <c r="CQ408" t="e">
        <f>CC140</f>
        <v>#N/A</v>
      </c>
      <c r="CR408">
        <f>IF(ISNUMBER(CP408),IFERROR(MAX(0,CD140-CP408),0),0)</f>
        <v>0</v>
      </c>
      <c r="CS408">
        <f>IF(ISNUMBER(CP408),IFERROR(MAX(0,CP408-CD140),0),0)</f>
        <v>0</v>
      </c>
      <c r="CT408">
        <f>IF(ISNUMBER(CQ408),IFERROR(MAX(0,CE140-CQ408),0),0)</f>
        <v>0</v>
      </c>
      <c r="CU408">
        <f>IF(ISNUMBER(CQ408),IFERROR(MAX(0,CQ408-CE140),0),0)</f>
        <v>0</v>
      </c>
    </row>
    <row r="409" spans="21:99" x14ac:dyDescent="0.3">
      <c r="U409">
        <v>403</v>
      </c>
      <c r="V409">
        <f t="shared" si="388"/>
        <v>101</v>
      </c>
      <c r="W409">
        <f t="shared" si="389"/>
        <v>3</v>
      </c>
      <c r="X409">
        <f t="shared" si="390"/>
        <v>0</v>
      </c>
      <c r="Y409">
        <f>IF(X409&lt;&gt;1,9999,CHOOSE(W409,INDEX(Gantt!$BQ$7:$BQ$119,V409),INDEX(Gantt!$BR$7:$BR$119,V409),INDEX(Gantt!$BT$7:$BT$119,V409),INDEX(Gantt!$BU$7:$BU$119,V409)))</f>
        <v>9999</v>
      </c>
      <c r="Z409">
        <f t="shared" si="391"/>
        <v>0</v>
      </c>
      <c r="AA409" t="e">
        <f t="shared" si="392"/>
        <v>#N/A</v>
      </c>
      <c r="AB409" t="e">
        <f t="shared" si="393"/>
        <v>#N/A</v>
      </c>
      <c r="AC409" t="e">
        <f t="shared" si="394"/>
        <v>#N/A</v>
      </c>
      <c r="AD409" t="e">
        <f t="shared" si="395"/>
        <v>#N/A</v>
      </c>
      <c r="AE409" t="e">
        <f t="shared" si="396"/>
        <v>#N/A</v>
      </c>
      <c r="AF409" t="e">
        <f t="shared" si="397"/>
        <v>#N/A</v>
      </c>
      <c r="AG409" t="e">
        <f t="shared" si="398"/>
        <v>#N/A</v>
      </c>
      <c r="AH409" t="e">
        <f t="shared" si="399"/>
        <v>#N/A</v>
      </c>
      <c r="AI409" t="e">
        <f t="shared" si="400"/>
        <v>#N/A</v>
      </c>
      <c r="AJ409" t="e">
        <f t="shared" si="401"/>
        <v>#N/A</v>
      </c>
      <c r="AK409" t="e">
        <f t="shared" si="402"/>
        <v>#N/A</v>
      </c>
      <c r="AL409" t="e">
        <f t="shared" si="403"/>
        <v>#N/A</v>
      </c>
      <c r="AM409" t="e">
        <f t="shared" si="404"/>
        <v>#N/A</v>
      </c>
      <c r="AN409" t="e">
        <f t="shared" si="405"/>
        <v>#N/A</v>
      </c>
      <c r="AO409" t="e">
        <f t="shared" si="406"/>
        <v>#N/A</v>
      </c>
      <c r="AP409" t="e">
        <f t="shared" si="407"/>
        <v>#N/A</v>
      </c>
      <c r="AQ409" t="e">
        <f t="shared" si="408"/>
        <v>#N/A</v>
      </c>
      <c r="AR409" t="e">
        <f t="shared" si="409"/>
        <v>#N/A</v>
      </c>
      <c r="AS409" t="e">
        <f t="shared" si="410"/>
        <v>#N/A</v>
      </c>
      <c r="AT409" t="e">
        <f t="shared" si="411"/>
        <v>#N/A</v>
      </c>
      <c r="AU409" t="e">
        <f t="shared" si="412"/>
        <v>#N/A</v>
      </c>
      <c r="AV409" t="e">
        <f t="shared" si="413"/>
        <v>#N/A</v>
      </c>
      <c r="AW409" t="e">
        <f t="shared" si="414"/>
        <v>#N/A</v>
      </c>
      <c r="AX409" t="e">
        <f t="shared" si="415"/>
        <v>#N/A</v>
      </c>
      <c r="AY409" t="e">
        <f t="shared" si="416"/>
        <v>#N/A</v>
      </c>
      <c r="BE409" t="e">
        <f>IF(Z409=1,IF(INDEX($C$7:$C$126,V409)&gt;=Gantt!$BF$6,NA(),MATCH(INDEX($C$7:$C$126,V409),Gantt!$J$6:$BE$6,1)),NA())</f>
        <v>#N/A</v>
      </c>
      <c r="BF409" t="e">
        <f>IF(Z409=1,IF((INDEX($D$7:$D$126,AA409)-1)&gt;=Gantt!$BF$6,NA(),IF((INDEX($D$7:$D$126,AA409)-1)&lt;Gantt!$J$6,0,MATCH((INDEX($D$7:$D$126,AA409)-1),Gantt!$J$6:$BE$6,1))),NA())</f>
        <v>#N/A</v>
      </c>
      <c r="BG409" t="e">
        <f t="shared" si="417"/>
        <v>#N/A</v>
      </c>
      <c r="BH409" t="e">
        <f t="shared" si="418"/>
        <v>#N/A</v>
      </c>
      <c r="BI409" t="e">
        <f t="shared" si="419"/>
        <v>#N/A</v>
      </c>
      <c r="BJ409" t="e">
        <f t="shared" si="420"/>
        <v>#N/A</v>
      </c>
      <c r="BK409" t="e">
        <f t="shared" si="421"/>
        <v>#N/A</v>
      </c>
      <c r="BL409" t="e">
        <f t="shared" si="422"/>
        <v>#N/A</v>
      </c>
      <c r="BM409" t="e">
        <f t="shared" si="423"/>
        <v>#N/A</v>
      </c>
      <c r="BN409" t="e">
        <f t="shared" si="424"/>
        <v>#N/A</v>
      </c>
      <c r="BO409" t="e">
        <f t="shared" si="425"/>
        <v>#N/A</v>
      </c>
      <c r="BP409" t="e">
        <f t="shared" si="426"/>
        <v>#N/A</v>
      </c>
      <c r="BQ409" t="e">
        <f t="shared" si="427"/>
        <v>#N/A</v>
      </c>
      <c r="BR409" t="e">
        <f t="shared" si="428"/>
        <v>#N/A</v>
      </c>
      <c r="BS409" t="e">
        <f t="shared" si="429"/>
        <v>#N/A</v>
      </c>
      <c r="BT409" t="e">
        <f t="shared" si="430"/>
        <v>#N/A</v>
      </c>
      <c r="BU409" t="e">
        <f t="shared" si="431"/>
        <v>#N/A</v>
      </c>
      <c r="BV409" t="e">
        <f t="shared" si="432"/>
        <v>#N/A</v>
      </c>
      <c r="BW409" t="e">
        <f t="shared" si="433"/>
        <v>#N/A</v>
      </c>
      <c r="BX409" t="e">
        <f t="shared" si="434"/>
        <v>#N/A</v>
      </c>
      <c r="BY409" t="e">
        <f t="shared" si="435"/>
        <v>#N/A</v>
      </c>
      <c r="BZ409" t="e">
        <f t="shared" si="436"/>
        <v>#N/A</v>
      </c>
      <c r="CA409" t="e">
        <f t="shared" si="437"/>
        <v>#N/A</v>
      </c>
      <c r="CB409" t="e">
        <f t="shared" si="438"/>
        <v>#N/A</v>
      </c>
      <c r="CC409" t="e">
        <f t="shared" si="439"/>
        <v>#N/A</v>
      </c>
      <c r="CD409" t="e">
        <f t="shared" si="440"/>
        <v>#N/A</v>
      </c>
      <c r="CE409" t="e">
        <f t="shared" si="441"/>
        <v>#N/A</v>
      </c>
      <c r="CF409" t="e">
        <f t="shared" si="442"/>
        <v>#N/A</v>
      </c>
      <c r="CG409" t="e">
        <f t="shared" si="443"/>
        <v>#N/A</v>
      </c>
      <c r="CI409" t="e">
        <f>AL141</f>
        <v>#N/A</v>
      </c>
      <c r="CJ409" t="e">
        <f>AM141</f>
        <v>#N/A</v>
      </c>
      <c r="CK409">
        <f>IF(ISNUMBER(CI409),IFERROR(MAX(0,AN141-CI409),0),0)</f>
        <v>0</v>
      </c>
      <c r="CL409">
        <f>IF(ISNUMBER(CI409),IFERROR(MAX(0,CI409-AN141),0),0)</f>
        <v>0</v>
      </c>
      <c r="CM409">
        <f>IF(ISNUMBER(CJ409),IFERROR(MAX(0,AO141-CJ409),0),0)</f>
        <v>0</v>
      </c>
      <c r="CN409">
        <f>IF(ISNUMBER(CJ409),IFERROR(MAX(0,CJ409-AO141),0),0)</f>
        <v>0</v>
      </c>
      <c r="CP409" t="e">
        <f>BT141</f>
        <v>#N/A</v>
      </c>
      <c r="CQ409" t="e">
        <f>BU141</f>
        <v>#N/A</v>
      </c>
      <c r="CR409">
        <f>IF(ISNUMBER(CP409),IFERROR(MAX(0,BV141-CP409),0),0)</f>
        <v>0</v>
      </c>
      <c r="CS409">
        <f>IF(ISNUMBER(CP409),IFERROR(MAX(0,CP409-BV141),0),0)</f>
        <v>0</v>
      </c>
      <c r="CT409">
        <f>IF(ISNUMBER(CQ409),IFERROR(MAX(0,BW141-CQ409),0),0)</f>
        <v>0</v>
      </c>
      <c r="CU409">
        <f>IF(ISNUMBER(CQ409),IFERROR(MAX(0,CQ409-BW141),0),0)</f>
        <v>0</v>
      </c>
    </row>
    <row r="410" spans="21:99" x14ac:dyDescent="0.3">
      <c r="U410">
        <v>404</v>
      </c>
      <c r="V410">
        <f t="shared" si="388"/>
        <v>101</v>
      </c>
      <c r="W410">
        <f t="shared" si="389"/>
        <v>4</v>
      </c>
      <c r="X410">
        <f t="shared" si="390"/>
        <v>0</v>
      </c>
      <c r="Y410">
        <f>IF(X410&lt;&gt;1,9999,CHOOSE(W410,INDEX(Gantt!$BQ$7:$BQ$119,V410),INDEX(Gantt!$BR$7:$BR$119,V410),INDEX(Gantt!$BT$7:$BT$119,V410),INDEX(Gantt!$BU$7:$BU$119,V410)))</f>
        <v>9999</v>
      </c>
      <c r="Z410">
        <f t="shared" si="391"/>
        <v>0</v>
      </c>
      <c r="AA410" t="e">
        <f t="shared" si="392"/>
        <v>#N/A</v>
      </c>
      <c r="AB410" t="e">
        <f t="shared" si="393"/>
        <v>#N/A</v>
      </c>
      <c r="AC410" t="e">
        <f t="shared" si="394"/>
        <v>#N/A</v>
      </c>
      <c r="AD410" t="e">
        <f t="shared" si="395"/>
        <v>#N/A</v>
      </c>
      <c r="AE410" t="e">
        <f t="shared" si="396"/>
        <v>#N/A</v>
      </c>
      <c r="AF410" t="e">
        <f t="shared" si="397"/>
        <v>#N/A</v>
      </c>
      <c r="AG410" t="e">
        <f t="shared" si="398"/>
        <v>#N/A</v>
      </c>
      <c r="AH410" t="e">
        <f t="shared" si="399"/>
        <v>#N/A</v>
      </c>
      <c r="AI410" t="e">
        <f t="shared" si="400"/>
        <v>#N/A</v>
      </c>
      <c r="AJ410" t="e">
        <f t="shared" si="401"/>
        <v>#N/A</v>
      </c>
      <c r="AK410" t="e">
        <f t="shared" si="402"/>
        <v>#N/A</v>
      </c>
      <c r="AL410" t="e">
        <f t="shared" si="403"/>
        <v>#N/A</v>
      </c>
      <c r="AM410" t="e">
        <f t="shared" si="404"/>
        <v>#N/A</v>
      </c>
      <c r="AN410" t="e">
        <f t="shared" si="405"/>
        <v>#N/A</v>
      </c>
      <c r="AO410" t="e">
        <f t="shared" si="406"/>
        <v>#N/A</v>
      </c>
      <c r="AP410" t="e">
        <f t="shared" si="407"/>
        <v>#N/A</v>
      </c>
      <c r="AQ410" t="e">
        <f t="shared" si="408"/>
        <v>#N/A</v>
      </c>
      <c r="AR410" t="e">
        <f t="shared" si="409"/>
        <v>#N/A</v>
      </c>
      <c r="AS410" t="e">
        <f t="shared" si="410"/>
        <v>#N/A</v>
      </c>
      <c r="AT410" t="e">
        <f t="shared" si="411"/>
        <v>#N/A</v>
      </c>
      <c r="AU410" t="e">
        <f t="shared" si="412"/>
        <v>#N/A</v>
      </c>
      <c r="AV410" t="e">
        <f t="shared" si="413"/>
        <v>#N/A</v>
      </c>
      <c r="AW410" t="e">
        <f t="shared" si="414"/>
        <v>#N/A</v>
      </c>
      <c r="AX410" t="e">
        <f t="shared" si="415"/>
        <v>#N/A</v>
      </c>
      <c r="AY410" t="e">
        <f t="shared" si="416"/>
        <v>#N/A</v>
      </c>
      <c r="BE410" t="e">
        <f>IF(Z410=1,IF(INDEX($C$7:$C$126,V410)&gt;=Gantt!$BF$6,NA(),MATCH(INDEX($C$7:$C$126,V410),Gantt!$J$6:$BE$6,1)),NA())</f>
        <v>#N/A</v>
      </c>
      <c r="BF410" t="e">
        <f>IF(Z410=1,IF((INDEX($D$7:$D$126,AA410)-1)&gt;=Gantt!$BF$6,NA(),IF((INDEX($D$7:$D$126,AA410)-1)&lt;Gantt!$J$6,0,MATCH((INDEX($D$7:$D$126,AA410)-1),Gantt!$J$6:$BE$6,1))),NA())</f>
        <v>#N/A</v>
      </c>
      <c r="BG410" t="e">
        <f t="shared" si="417"/>
        <v>#N/A</v>
      </c>
      <c r="BH410" t="e">
        <f t="shared" si="418"/>
        <v>#N/A</v>
      </c>
      <c r="BI410" t="e">
        <f t="shared" si="419"/>
        <v>#N/A</v>
      </c>
      <c r="BJ410" t="e">
        <f t="shared" si="420"/>
        <v>#N/A</v>
      </c>
      <c r="BK410" t="e">
        <f t="shared" si="421"/>
        <v>#N/A</v>
      </c>
      <c r="BL410" t="e">
        <f t="shared" si="422"/>
        <v>#N/A</v>
      </c>
      <c r="BM410" t="e">
        <f t="shared" si="423"/>
        <v>#N/A</v>
      </c>
      <c r="BN410" t="e">
        <f t="shared" si="424"/>
        <v>#N/A</v>
      </c>
      <c r="BO410" t="e">
        <f t="shared" si="425"/>
        <v>#N/A</v>
      </c>
      <c r="BP410" t="e">
        <f t="shared" si="426"/>
        <v>#N/A</v>
      </c>
      <c r="BQ410" t="e">
        <f t="shared" si="427"/>
        <v>#N/A</v>
      </c>
      <c r="BR410" t="e">
        <f t="shared" si="428"/>
        <v>#N/A</v>
      </c>
      <c r="BS410" t="e">
        <f t="shared" si="429"/>
        <v>#N/A</v>
      </c>
      <c r="BT410" t="e">
        <f t="shared" si="430"/>
        <v>#N/A</v>
      </c>
      <c r="BU410" t="e">
        <f t="shared" si="431"/>
        <v>#N/A</v>
      </c>
      <c r="BV410" t="e">
        <f t="shared" si="432"/>
        <v>#N/A</v>
      </c>
      <c r="BW410" t="e">
        <f t="shared" si="433"/>
        <v>#N/A</v>
      </c>
      <c r="BX410" t="e">
        <f t="shared" si="434"/>
        <v>#N/A</v>
      </c>
      <c r="BY410" t="e">
        <f t="shared" si="435"/>
        <v>#N/A</v>
      </c>
      <c r="BZ410" t="e">
        <f t="shared" si="436"/>
        <v>#N/A</v>
      </c>
      <c r="CA410" t="e">
        <f t="shared" si="437"/>
        <v>#N/A</v>
      </c>
      <c r="CB410" t="e">
        <f t="shared" si="438"/>
        <v>#N/A</v>
      </c>
      <c r="CC410" t="e">
        <f t="shared" si="439"/>
        <v>#N/A</v>
      </c>
      <c r="CD410" t="e">
        <f t="shared" si="440"/>
        <v>#N/A</v>
      </c>
      <c r="CE410" t="e">
        <f t="shared" si="441"/>
        <v>#N/A</v>
      </c>
      <c r="CF410" t="e">
        <f t="shared" si="442"/>
        <v>#N/A</v>
      </c>
      <c r="CG410" t="e">
        <f t="shared" si="443"/>
        <v>#N/A</v>
      </c>
      <c r="CI410" t="e">
        <f>AP141</f>
        <v>#N/A</v>
      </c>
      <c r="CJ410" t="e">
        <f>AQ141</f>
        <v>#N/A</v>
      </c>
      <c r="CK410">
        <f>IF(ISNUMBER(CI410),IFERROR(MAX(0,AR141-CI410),0),0)</f>
        <v>0</v>
      </c>
      <c r="CL410">
        <f>IF(ISNUMBER(CI410),IFERROR(MAX(0,CI410-AR141),0),0)</f>
        <v>0</v>
      </c>
      <c r="CM410">
        <f>IF(ISNUMBER(CJ410),IFERROR(MAX(0,AS141-CJ410),0),0)</f>
        <v>0</v>
      </c>
      <c r="CN410">
        <f>IF(ISNUMBER(CJ410),IFERROR(MAX(0,CJ410-AS141),0),0)</f>
        <v>0</v>
      </c>
      <c r="CP410" t="e">
        <f>BX141</f>
        <v>#N/A</v>
      </c>
      <c r="CQ410" t="e">
        <f>BY141</f>
        <v>#N/A</v>
      </c>
      <c r="CR410">
        <f>IF(ISNUMBER(CP410),IFERROR(MAX(0,BZ141-CP410),0),0)</f>
        <v>0</v>
      </c>
      <c r="CS410">
        <f>IF(ISNUMBER(CP410),IFERROR(MAX(0,CP410-BZ141),0),0)</f>
        <v>0</v>
      </c>
      <c r="CT410">
        <f>IF(ISNUMBER(CQ410),IFERROR(MAX(0,CA141-CQ410),0),0)</f>
        <v>0</v>
      </c>
      <c r="CU410">
        <f>IF(ISNUMBER(CQ410),IFERROR(MAX(0,CQ410-CA141),0),0)</f>
        <v>0</v>
      </c>
    </row>
    <row r="411" spans="21:99" x14ac:dyDescent="0.3">
      <c r="U411">
        <v>405</v>
      </c>
      <c r="V411">
        <f t="shared" si="388"/>
        <v>102</v>
      </c>
      <c r="W411">
        <f t="shared" si="389"/>
        <v>1</v>
      </c>
      <c r="X411">
        <f t="shared" si="390"/>
        <v>0</v>
      </c>
      <c r="Y411">
        <f>IF(X411&lt;&gt;1,9999,CHOOSE(W411,INDEX(Gantt!$BQ$7:$BQ$119,V411),INDEX(Gantt!$BR$7:$BR$119,V411),INDEX(Gantt!$BT$7:$BT$119,V411),INDEX(Gantt!$BU$7:$BU$119,V411)))</f>
        <v>9999</v>
      </c>
      <c r="Z411">
        <f t="shared" si="391"/>
        <v>0</v>
      </c>
      <c r="AA411" t="e">
        <f t="shared" si="392"/>
        <v>#N/A</v>
      </c>
      <c r="AB411" t="e">
        <f t="shared" si="393"/>
        <v>#N/A</v>
      </c>
      <c r="AC411" t="e">
        <f t="shared" si="394"/>
        <v>#N/A</v>
      </c>
      <c r="AD411" t="e">
        <f t="shared" si="395"/>
        <v>#N/A</v>
      </c>
      <c r="AE411" t="e">
        <f t="shared" si="396"/>
        <v>#N/A</v>
      </c>
      <c r="AF411" t="e">
        <f t="shared" si="397"/>
        <v>#N/A</v>
      </c>
      <c r="AG411" t="e">
        <f t="shared" si="398"/>
        <v>#N/A</v>
      </c>
      <c r="AH411" t="e">
        <f t="shared" si="399"/>
        <v>#N/A</v>
      </c>
      <c r="AI411" t="e">
        <f t="shared" si="400"/>
        <v>#N/A</v>
      </c>
      <c r="AJ411" t="e">
        <f t="shared" si="401"/>
        <v>#N/A</v>
      </c>
      <c r="AK411" t="e">
        <f t="shared" si="402"/>
        <v>#N/A</v>
      </c>
      <c r="AL411" t="e">
        <f t="shared" si="403"/>
        <v>#N/A</v>
      </c>
      <c r="AM411" t="e">
        <f t="shared" si="404"/>
        <v>#N/A</v>
      </c>
      <c r="AN411" t="e">
        <f t="shared" si="405"/>
        <v>#N/A</v>
      </c>
      <c r="AO411" t="e">
        <f t="shared" si="406"/>
        <v>#N/A</v>
      </c>
      <c r="AP411" t="e">
        <f t="shared" si="407"/>
        <v>#N/A</v>
      </c>
      <c r="AQ411" t="e">
        <f t="shared" si="408"/>
        <v>#N/A</v>
      </c>
      <c r="AR411" t="e">
        <f t="shared" si="409"/>
        <v>#N/A</v>
      </c>
      <c r="AS411" t="e">
        <f t="shared" si="410"/>
        <v>#N/A</v>
      </c>
      <c r="AT411" t="e">
        <f t="shared" si="411"/>
        <v>#N/A</v>
      </c>
      <c r="AU411" t="e">
        <f t="shared" si="412"/>
        <v>#N/A</v>
      </c>
      <c r="AV411" t="e">
        <f t="shared" si="413"/>
        <v>#N/A</v>
      </c>
      <c r="AW411" t="e">
        <f t="shared" si="414"/>
        <v>#N/A</v>
      </c>
      <c r="AX411" t="e">
        <f t="shared" si="415"/>
        <v>#N/A</v>
      </c>
      <c r="AY411" t="e">
        <f t="shared" si="416"/>
        <v>#N/A</v>
      </c>
      <c r="BE411" t="e">
        <f>IF(Z411=1,IF(INDEX($C$7:$C$126,V411)&gt;=Gantt!$BF$6,NA(),MATCH(INDEX($C$7:$C$126,V411),Gantt!$J$6:$BE$6,1)),NA())</f>
        <v>#N/A</v>
      </c>
      <c r="BF411" t="e">
        <f>IF(Z411=1,IF((INDEX($D$7:$D$126,AA411)-1)&gt;=Gantt!$BF$6,NA(),IF((INDEX($D$7:$D$126,AA411)-1)&lt;Gantt!$J$6,0,MATCH((INDEX($D$7:$D$126,AA411)-1),Gantt!$J$6:$BE$6,1))),NA())</f>
        <v>#N/A</v>
      </c>
      <c r="BG411" t="e">
        <f t="shared" si="417"/>
        <v>#N/A</v>
      </c>
      <c r="BH411" t="e">
        <f t="shared" si="418"/>
        <v>#N/A</v>
      </c>
      <c r="BI411" t="e">
        <f t="shared" si="419"/>
        <v>#N/A</v>
      </c>
      <c r="BJ411" t="e">
        <f t="shared" si="420"/>
        <v>#N/A</v>
      </c>
      <c r="BK411" t="e">
        <f t="shared" si="421"/>
        <v>#N/A</v>
      </c>
      <c r="BL411" t="e">
        <f t="shared" si="422"/>
        <v>#N/A</v>
      </c>
      <c r="BM411" t="e">
        <f t="shared" si="423"/>
        <v>#N/A</v>
      </c>
      <c r="BN411" t="e">
        <f t="shared" si="424"/>
        <v>#N/A</v>
      </c>
      <c r="BO411" t="e">
        <f t="shared" si="425"/>
        <v>#N/A</v>
      </c>
      <c r="BP411" t="e">
        <f t="shared" si="426"/>
        <v>#N/A</v>
      </c>
      <c r="BQ411" t="e">
        <f t="shared" si="427"/>
        <v>#N/A</v>
      </c>
      <c r="BR411" t="e">
        <f t="shared" si="428"/>
        <v>#N/A</v>
      </c>
      <c r="BS411" t="e">
        <f t="shared" si="429"/>
        <v>#N/A</v>
      </c>
      <c r="BT411" t="e">
        <f t="shared" si="430"/>
        <v>#N/A</v>
      </c>
      <c r="BU411" t="e">
        <f t="shared" si="431"/>
        <v>#N/A</v>
      </c>
      <c r="BV411" t="e">
        <f t="shared" si="432"/>
        <v>#N/A</v>
      </c>
      <c r="BW411" t="e">
        <f t="shared" si="433"/>
        <v>#N/A</v>
      </c>
      <c r="BX411" t="e">
        <f t="shared" si="434"/>
        <v>#N/A</v>
      </c>
      <c r="BY411" t="e">
        <f t="shared" si="435"/>
        <v>#N/A</v>
      </c>
      <c r="BZ411" t="e">
        <f t="shared" si="436"/>
        <v>#N/A</v>
      </c>
      <c r="CA411" t="e">
        <f t="shared" si="437"/>
        <v>#N/A</v>
      </c>
      <c r="CB411" t="e">
        <f t="shared" si="438"/>
        <v>#N/A</v>
      </c>
      <c r="CC411" t="e">
        <f t="shared" si="439"/>
        <v>#N/A</v>
      </c>
      <c r="CD411" t="e">
        <f t="shared" si="440"/>
        <v>#N/A</v>
      </c>
      <c r="CE411" t="e">
        <f t="shared" si="441"/>
        <v>#N/A</v>
      </c>
      <c r="CF411" t="e">
        <f t="shared" si="442"/>
        <v>#N/A</v>
      </c>
      <c r="CG411" t="e">
        <f t="shared" si="443"/>
        <v>#N/A</v>
      </c>
      <c r="CI411" t="e">
        <f>AT141</f>
        <v>#N/A</v>
      </c>
      <c r="CJ411" t="e">
        <f>AU141</f>
        <v>#N/A</v>
      </c>
      <c r="CK411">
        <f>IF(ISNUMBER(CI411),IFERROR(MAX(0,AV141-CI411),0),0)</f>
        <v>0</v>
      </c>
      <c r="CL411">
        <f>IF(ISNUMBER(CI411),IFERROR(MAX(0,CI411-AV141),0),0)</f>
        <v>0</v>
      </c>
      <c r="CM411">
        <f>IF(ISNUMBER(CJ411),IFERROR(MAX(0,AW141-CJ411),0),0)</f>
        <v>0</v>
      </c>
      <c r="CN411">
        <f>IF(ISNUMBER(CJ411),IFERROR(MAX(0,CJ411-AW141),0),0)</f>
        <v>0</v>
      </c>
      <c r="CP411" t="e">
        <f>CB141</f>
        <v>#N/A</v>
      </c>
      <c r="CQ411" t="e">
        <f>CC141</f>
        <v>#N/A</v>
      </c>
      <c r="CR411">
        <f>IF(ISNUMBER(CP411),IFERROR(MAX(0,CD141-CP411),0),0)</f>
        <v>0</v>
      </c>
      <c r="CS411">
        <f>IF(ISNUMBER(CP411),IFERROR(MAX(0,CP411-CD141),0),0)</f>
        <v>0</v>
      </c>
      <c r="CT411">
        <f>IF(ISNUMBER(CQ411),IFERROR(MAX(0,CE141-CQ411),0),0)</f>
        <v>0</v>
      </c>
      <c r="CU411">
        <f>IF(ISNUMBER(CQ411),IFERROR(MAX(0,CQ411-CE141),0),0)</f>
        <v>0</v>
      </c>
    </row>
    <row r="412" spans="21:99" x14ac:dyDescent="0.3">
      <c r="U412">
        <v>406</v>
      </c>
      <c r="V412">
        <f t="shared" si="388"/>
        <v>102</v>
      </c>
      <c r="W412">
        <f t="shared" si="389"/>
        <v>2</v>
      </c>
      <c r="X412">
        <f t="shared" si="390"/>
        <v>0</v>
      </c>
      <c r="Y412">
        <f>IF(X412&lt;&gt;1,9999,CHOOSE(W412,INDEX(Gantt!$BQ$7:$BQ$119,V412),INDEX(Gantt!$BR$7:$BR$119,V412),INDEX(Gantt!$BT$7:$BT$119,V412),INDEX(Gantt!$BU$7:$BU$119,V412)))</f>
        <v>9999</v>
      </c>
      <c r="Z412">
        <f t="shared" si="391"/>
        <v>0</v>
      </c>
      <c r="AA412" t="e">
        <f t="shared" si="392"/>
        <v>#N/A</v>
      </c>
      <c r="AB412" t="e">
        <f t="shared" si="393"/>
        <v>#N/A</v>
      </c>
      <c r="AC412" t="e">
        <f t="shared" si="394"/>
        <v>#N/A</v>
      </c>
      <c r="AD412" t="e">
        <f t="shared" si="395"/>
        <v>#N/A</v>
      </c>
      <c r="AE412" t="e">
        <f t="shared" si="396"/>
        <v>#N/A</v>
      </c>
      <c r="AF412" t="e">
        <f t="shared" si="397"/>
        <v>#N/A</v>
      </c>
      <c r="AG412" t="e">
        <f t="shared" si="398"/>
        <v>#N/A</v>
      </c>
      <c r="AH412" t="e">
        <f t="shared" si="399"/>
        <v>#N/A</v>
      </c>
      <c r="AI412" t="e">
        <f t="shared" si="400"/>
        <v>#N/A</v>
      </c>
      <c r="AJ412" t="e">
        <f t="shared" si="401"/>
        <v>#N/A</v>
      </c>
      <c r="AK412" t="e">
        <f t="shared" si="402"/>
        <v>#N/A</v>
      </c>
      <c r="AL412" t="e">
        <f t="shared" si="403"/>
        <v>#N/A</v>
      </c>
      <c r="AM412" t="e">
        <f t="shared" si="404"/>
        <v>#N/A</v>
      </c>
      <c r="AN412" t="e">
        <f t="shared" si="405"/>
        <v>#N/A</v>
      </c>
      <c r="AO412" t="e">
        <f t="shared" si="406"/>
        <v>#N/A</v>
      </c>
      <c r="AP412" t="e">
        <f t="shared" si="407"/>
        <v>#N/A</v>
      </c>
      <c r="AQ412" t="e">
        <f t="shared" si="408"/>
        <v>#N/A</v>
      </c>
      <c r="AR412" t="e">
        <f t="shared" si="409"/>
        <v>#N/A</v>
      </c>
      <c r="AS412" t="e">
        <f t="shared" si="410"/>
        <v>#N/A</v>
      </c>
      <c r="AT412" t="e">
        <f t="shared" si="411"/>
        <v>#N/A</v>
      </c>
      <c r="AU412" t="e">
        <f t="shared" si="412"/>
        <v>#N/A</v>
      </c>
      <c r="AV412" t="e">
        <f t="shared" si="413"/>
        <v>#N/A</v>
      </c>
      <c r="AW412" t="e">
        <f t="shared" si="414"/>
        <v>#N/A</v>
      </c>
      <c r="AX412" t="e">
        <f t="shared" si="415"/>
        <v>#N/A</v>
      </c>
      <c r="AY412" t="e">
        <f t="shared" si="416"/>
        <v>#N/A</v>
      </c>
      <c r="BE412" t="e">
        <f>IF(Z412=1,IF(INDEX($C$7:$C$126,V412)&gt;=Gantt!$BF$6,NA(),MATCH(INDEX($C$7:$C$126,V412),Gantt!$J$6:$BE$6,1)),NA())</f>
        <v>#N/A</v>
      </c>
      <c r="BF412" t="e">
        <f>IF(Z412=1,IF((INDEX($D$7:$D$126,AA412)-1)&gt;=Gantt!$BF$6,NA(),IF((INDEX($D$7:$D$126,AA412)-1)&lt;Gantt!$J$6,0,MATCH((INDEX($D$7:$D$126,AA412)-1),Gantt!$J$6:$BE$6,1))),NA())</f>
        <v>#N/A</v>
      </c>
      <c r="BG412" t="e">
        <f t="shared" si="417"/>
        <v>#N/A</v>
      </c>
      <c r="BH412" t="e">
        <f t="shared" si="418"/>
        <v>#N/A</v>
      </c>
      <c r="BI412" t="e">
        <f t="shared" si="419"/>
        <v>#N/A</v>
      </c>
      <c r="BJ412" t="e">
        <f t="shared" si="420"/>
        <v>#N/A</v>
      </c>
      <c r="BK412" t="e">
        <f t="shared" si="421"/>
        <v>#N/A</v>
      </c>
      <c r="BL412" t="e">
        <f t="shared" si="422"/>
        <v>#N/A</v>
      </c>
      <c r="BM412" t="e">
        <f t="shared" si="423"/>
        <v>#N/A</v>
      </c>
      <c r="BN412" t="e">
        <f t="shared" si="424"/>
        <v>#N/A</v>
      </c>
      <c r="BO412" t="e">
        <f t="shared" si="425"/>
        <v>#N/A</v>
      </c>
      <c r="BP412" t="e">
        <f t="shared" si="426"/>
        <v>#N/A</v>
      </c>
      <c r="BQ412" t="e">
        <f t="shared" si="427"/>
        <v>#N/A</v>
      </c>
      <c r="BR412" t="e">
        <f t="shared" si="428"/>
        <v>#N/A</v>
      </c>
      <c r="BS412" t="e">
        <f t="shared" si="429"/>
        <v>#N/A</v>
      </c>
      <c r="BT412" t="e">
        <f t="shared" si="430"/>
        <v>#N/A</v>
      </c>
      <c r="BU412" t="e">
        <f t="shared" si="431"/>
        <v>#N/A</v>
      </c>
      <c r="BV412" t="e">
        <f t="shared" si="432"/>
        <v>#N/A</v>
      </c>
      <c r="BW412" t="e">
        <f t="shared" si="433"/>
        <v>#N/A</v>
      </c>
      <c r="BX412" t="e">
        <f t="shared" si="434"/>
        <v>#N/A</v>
      </c>
      <c r="BY412" t="e">
        <f t="shared" si="435"/>
        <v>#N/A</v>
      </c>
      <c r="BZ412" t="e">
        <f t="shared" si="436"/>
        <v>#N/A</v>
      </c>
      <c r="CA412" t="e">
        <f t="shared" si="437"/>
        <v>#N/A</v>
      </c>
      <c r="CB412" t="e">
        <f t="shared" si="438"/>
        <v>#N/A</v>
      </c>
      <c r="CC412" t="e">
        <f t="shared" si="439"/>
        <v>#N/A</v>
      </c>
      <c r="CD412" t="e">
        <f t="shared" si="440"/>
        <v>#N/A</v>
      </c>
      <c r="CE412" t="e">
        <f t="shared" si="441"/>
        <v>#N/A</v>
      </c>
      <c r="CF412" t="e">
        <f t="shared" si="442"/>
        <v>#N/A</v>
      </c>
      <c r="CG412" t="e">
        <f t="shared" si="443"/>
        <v>#N/A</v>
      </c>
      <c r="CI412" t="e">
        <f>AL142</f>
        <v>#N/A</v>
      </c>
      <c r="CJ412" t="e">
        <f>AM142</f>
        <v>#N/A</v>
      </c>
      <c r="CK412">
        <f>IF(ISNUMBER(CI412),IFERROR(MAX(0,AN142-CI412),0),0)</f>
        <v>0</v>
      </c>
      <c r="CL412">
        <f>IF(ISNUMBER(CI412),IFERROR(MAX(0,CI412-AN142),0),0)</f>
        <v>0</v>
      </c>
      <c r="CM412">
        <f>IF(ISNUMBER(CJ412),IFERROR(MAX(0,AO142-CJ412),0),0)</f>
        <v>0</v>
      </c>
      <c r="CN412">
        <f>IF(ISNUMBER(CJ412),IFERROR(MAX(0,CJ412-AO142),0),0)</f>
        <v>0</v>
      </c>
      <c r="CP412" t="e">
        <f>BT142</f>
        <v>#N/A</v>
      </c>
      <c r="CQ412" t="e">
        <f>BU142</f>
        <v>#N/A</v>
      </c>
      <c r="CR412">
        <f>IF(ISNUMBER(CP412),IFERROR(MAX(0,BV142-CP412),0),0)</f>
        <v>0</v>
      </c>
      <c r="CS412">
        <f>IF(ISNUMBER(CP412),IFERROR(MAX(0,CP412-BV142),0),0)</f>
        <v>0</v>
      </c>
      <c r="CT412">
        <f>IF(ISNUMBER(CQ412),IFERROR(MAX(0,BW142-CQ412),0),0)</f>
        <v>0</v>
      </c>
      <c r="CU412">
        <f>IF(ISNUMBER(CQ412),IFERROR(MAX(0,CQ412-BW142),0),0)</f>
        <v>0</v>
      </c>
    </row>
    <row r="413" spans="21:99" x14ac:dyDescent="0.3">
      <c r="U413">
        <v>407</v>
      </c>
      <c r="V413">
        <f t="shared" si="388"/>
        <v>102</v>
      </c>
      <c r="W413">
        <f t="shared" si="389"/>
        <v>3</v>
      </c>
      <c r="X413">
        <f t="shared" si="390"/>
        <v>0</v>
      </c>
      <c r="Y413">
        <f>IF(X413&lt;&gt;1,9999,CHOOSE(W413,INDEX(Gantt!$BQ$7:$BQ$119,V413),INDEX(Gantt!$BR$7:$BR$119,V413),INDEX(Gantt!$BT$7:$BT$119,V413),INDEX(Gantt!$BU$7:$BU$119,V413)))</f>
        <v>9999</v>
      </c>
      <c r="Z413">
        <f t="shared" si="391"/>
        <v>0</v>
      </c>
      <c r="AA413" t="e">
        <f t="shared" si="392"/>
        <v>#N/A</v>
      </c>
      <c r="AB413" t="e">
        <f t="shared" si="393"/>
        <v>#N/A</v>
      </c>
      <c r="AC413" t="e">
        <f t="shared" si="394"/>
        <v>#N/A</v>
      </c>
      <c r="AD413" t="e">
        <f t="shared" si="395"/>
        <v>#N/A</v>
      </c>
      <c r="AE413" t="e">
        <f t="shared" si="396"/>
        <v>#N/A</v>
      </c>
      <c r="AF413" t="e">
        <f t="shared" si="397"/>
        <v>#N/A</v>
      </c>
      <c r="AG413" t="e">
        <f t="shared" si="398"/>
        <v>#N/A</v>
      </c>
      <c r="AH413" t="e">
        <f t="shared" si="399"/>
        <v>#N/A</v>
      </c>
      <c r="AI413" t="e">
        <f t="shared" si="400"/>
        <v>#N/A</v>
      </c>
      <c r="AJ413" t="e">
        <f t="shared" si="401"/>
        <v>#N/A</v>
      </c>
      <c r="AK413" t="e">
        <f t="shared" si="402"/>
        <v>#N/A</v>
      </c>
      <c r="AL413" t="e">
        <f t="shared" si="403"/>
        <v>#N/A</v>
      </c>
      <c r="AM413" t="e">
        <f t="shared" si="404"/>
        <v>#N/A</v>
      </c>
      <c r="AN413" t="e">
        <f t="shared" si="405"/>
        <v>#N/A</v>
      </c>
      <c r="AO413" t="e">
        <f t="shared" si="406"/>
        <v>#N/A</v>
      </c>
      <c r="AP413" t="e">
        <f t="shared" si="407"/>
        <v>#N/A</v>
      </c>
      <c r="AQ413" t="e">
        <f t="shared" si="408"/>
        <v>#N/A</v>
      </c>
      <c r="AR413" t="e">
        <f t="shared" si="409"/>
        <v>#N/A</v>
      </c>
      <c r="AS413" t="e">
        <f t="shared" si="410"/>
        <v>#N/A</v>
      </c>
      <c r="AT413" t="e">
        <f t="shared" si="411"/>
        <v>#N/A</v>
      </c>
      <c r="AU413" t="e">
        <f t="shared" si="412"/>
        <v>#N/A</v>
      </c>
      <c r="AV413" t="e">
        <f t="shared" si="413"/>
        <v>#N/A</v>
      </c>
      <c r="AW413" t="e">
        <f t="shared" si="414"/>
        <v>#N/A</v>
      </c>
      <c r="AX413" t="e">
        <f t="shared" si="415"/>
        <v>#N/A</v>
      </c>
      <c r="AY413" t="e">
        <f t="shared" si="416"/>
        <v>#N/A</v>
      </c>
      <c r="BE413" t="e">
        <f>IF(Z413=1,IF(INDEX($C$7:$C$126,V413)&gt;=Gantt!$BF$6,NA(),MATCH(INDEX($C$7:$C$126,V413),Gantt!$J$6:$BE$6,1)),NA())</f>
        <v>#N/A</v>
      </c>
      <c r="BF413" t="e">
        <f>IF(Z413=1,IF((INDEX($D$7:$D$126,AA413)-1)&gt;=Gantt!$BF$6,NA(),IF((INDEX($D$7:$D$126,AA413)-1)&lt;Gantt!$J$6,0,MATCH((INDEX($D$7:$D$126,AA413)-1),Gantt!$J$6:$BE$6,1))),NA())</f>
        <v>#N/A</v>
      </c>
      <c r="BG413" t="e">
        <f t="shared" si="417"/>
        <v>#N/A</v>
      </c>
      <c r="BH413" t="e">
        <f t="shared" si="418"/>
        <v>#N/A</v>
      </c>
      <c r="BI413" t="e">
        <f t="shared" si="419"/>
        <v>#N/A</v>
      </c>
      <c r="BJ413" t="e">
        <f t="shared" si="420"/>
        <v>#N/A</v>
      </c>
      <c r="BK413" t="e">
        <f t="shared" si="421"/>
        <v>#N/A</v>
      </c>
      <c r="BL413" t="e">
        <f t="shared" si="422"/>
        <v>#N/A</v>
      </c>
      <c r="BM413" t="e">
        <f t="shared" si="423"/>
        <v>#N/A</v>
      </c>
      <c r="BN413" t="e">
        <f t="shared" si="424"/>
        <v>#N/A</v>
      </c>
      <c r="BO413" t="e">
        <f t="shared" si="425"/>
        <v>#N/A</v>
      </c>
      <c r="BP413" t="e">
        <f t="shared" si="426"/>
        <v>#N/A</v>
      </c>
      <c r="BQ413" t="e">
        <f t="shared" si="427"/>
        <v>#N/A</v>
      </c>
      <c r="BR413" t="e">
        <f t="shared" si="428"/>
        <v>#N/A</v>
      </c>
      <c r="BS413" t="e">
        <f t="shared" si="429"/>
        <v>#N/A</v>
      </c>
      <c r="BT413" t="e">
        <f t="shared" si="430"/>
        <v>#N/A</v>
      </c>
      <c r="BU413" t="e">
        <f t="shared" si="431"/>
        <v>#N/A</v>
      </c>
      <c r="BV413" t="e">
        <f t="shared" si="432"/>
        <v>#N/A</v>
      </c>
      <c r="BW413" t="e">
        <f t="shared" si="433"/>
        <v>#N/A</v>
      </c>
      <c r="BX413" t="e">
        <f t="shared" si="434"/>
        <v>#N/A</v>
      </c>
      <c r="BY413" t="e">
        <f t="shared" si="435"/>
        <v>#N/A</v>
      </c>
      <c r="BZ413" t="e">
        <f t="shared" si="436"/>
        <v>#N/A</v>
      </c>
      <c r="CA413" t="e">
        <f t="shared" si="437"/>
        <v>#N/A</v>
      </c>
      <c r="CB413" t="e">
        <f t="shared" si="438"/>
        <v>#N/A</v>
      </c>
      <c r="CC413" t="e">
        <f t="shared" si="439"/>
        <v>#N/A</v>
      </c>
      <c r="CD413" t="e">
        <f t="shared" si="440"/>
        <v>#N/A</v>
      </c>
      <c r="CE413" t="e">
        <f t="shared" si="441"/>
        <v>#N/A</v>
      </c>
      <c r="CF413" t="e">
        <f t="shared" si="442"/>
        <v>#N/A</v>
      </c>
      <c r="CG413" t="e">
        <f t="shared" si="443"/>
        <v>#N/A</v>
      </c>
      <c r="CI413" t="e">
        <f>AP142</f>
        <v>#N/A</v>
      </c>
      <c r="CJ413" t="e">
        <f>AQ142</f>
        <v>#N/A</v>
      </c>
      <c r="CK413">
        <f>IF(ISNUMBER(CI413),IFERROR(MAX(0,AR142-CI413),0),0)</f>
        <v>0</v>
      </c>
      <c r="CL413">
        <f>IF(ISNUMBER(CI413),IFERROR(MAX(0,CI413-AR142),0),0)</f>
        <v>0</v>
      </c>
      <c r="CM413">
        <f>IF(ISNUMBER(CJ413),IFERROR(MAX(0,AS142-CJ413),0),0)</f>
        <v>0</v>
      </c>
      <c r="CN413">
        <f>IF(ISNUMBER(CJ413),IFERROR(MAX(0,CJ413-AS142),0),0)</f>
        <v>0</v>
      </c>
      <c r="CP413" t="e">
        <f>BX142</f>
        <v>#N/A</v>
      </c>
      <c r="CQ413" t="e">
        <f>BY142</f>
        <v>#N/A</v>
      </c>
      <c r="CR413">
        <f>IF(ISNUMBER(CP413),IFERROR(MAX(0,BZ142-CP413),0),0)</f>
        <v>0</v>
      </c>
      <c r="CS413">
        <f>IF(ISNUMBER(CP413),IFERROR(MAX(0,CP413-BZ142),0),0)</f>
        <v>0</v>
      </c>
      <c r="CT413">
        <f>IF(ISNUMBER(CQ413),IFERROR(MAX(0,CA142-CQ413),0),0)</f>
        <v>0</v>
      </c>
      <c r="CU413">
        <f>IF(ISNUMBER(CQ413),IFERROR(MAX(0,CQ413-CA142),0),0)</f>
        <v>0</v>
      </c>
    </row>
    <row r="414" spans="21:99" x14ac:dyDescent="0.3">
      <c r="U414">
        <v>408</v>
      </c>
      <c r="V414">
        <f t="shared" si="388"/>
        <v>102</v>
      </c>
      <c r="W414">
        <f t="shared" si="389"/>
        <v>4</v>
      </c>
      <c r="X414">
        <f t="shared" si="390"/>
        <v>0</v>
      </c>
      <c r="Y414">
        <f>IF(X414&lt;&gt;1,9999,CHOOSE(W414,INDEX(Gantt!$BQ$7:$BQ$119,V414),INDEX(Gantt!$BR$7:$BR$119,V414),INDEX(Gantt!$BT$7:$BT$119,V414),INDEX(Gantt!$BU$7:$BU$119,V414)))</f>
        <v>9999</v>
      </c>
      <c r="Z414">
        <f t="shared" si="391"/>
        <v>0</v>
      </c>
      <c r="AA414" t="e">
        <f t="shared" si="392"/>
        <v>#N/A</v>
      </c>
      <c r="AB414" t="e">
        <f t="shared" si="393"/>
        <v>#N/A</v>
      </c>
      <c r="AC414" t="e">
        <f t="shared" si="394"/>
        <v>#N/A</v>
      </c>
      <c r="AD414" t="e">
        <f t="shared" si="395"/>
        <v>#N/A</v>
      </c>
      <c r="AE414" t="e">
        <f t="shared" si="396"/>
        <v>#N/A</v>
      </c>
      <c r="AF414" t="e">
        <f t="shared" si="397"/>
        <v>#N/A</v>
      </c>
      <c r="AG414" t="e">
        <f t="shared" si="398"/>
        <v>#N/A</v>
      </c>
      <c r="AH414" t="e">
        <f t="shared" si="399"/>
        <v>#N/A</v>
      </c>
      <c r="AI414" t="e">
        <f t="shared" si="400"/>
        <v>#N/A</v>
      </c>
      <c r="AJ414" t="e">
        <f t="shared" si="401"/>
        <v>#N/A</v>
      </c>
      <c r="AK414" t="e">
        <f t="shared" si="402"/>
        <v>#N/A</v>
      </c>
      <c r="AL414" t="e">
        <f t="shared" si="403"/>
        <v>#N/A</v>
      </c>
      <c r="AM414" t="e">
        <f t="shared" si="404"/>
        <v>#N/A</v>
      </c>
      <c r="AN414" t="e">
        <f t="shared" si="405"/>
        <v>#N/A</v>
      </c>
      <c r="AO414" t="e">
        <f t="shared" si="406"/>
        <v>#N/A</v>
      </c>
      <c r="AP414" t="e">
        <f t="shared" si="407"/>
        <v>#N/A</v>
      </c>
      <c r="AQ414" t="e">
        <f t="shared" si="408"/>
        <v>#N/A</v>
      </c>
      <c r="AR414" t="e">
        <f t="shared" si="409"/>
        <v>#N/A</v>
      </c>
      <c r="AS414" t="e">
        <f t="shared" si="410"/>
        <v>#N/A</v>
      </c>
      <c r="AT414" t="e">
        <f t="shared" si="411"/>
        <v>#N/A</v>
      </c>
      <c r="AU414" t="e">
        <f t="shared" si="412"/>
        <v>#N/A</v>
      </c>
      <c r="AV414" t="e">
        <f t="shared" si="413"/>
        <v>#N/A</v>
      </c>
      <c r="AW414" t="e">
        <f t="shared" si="414"/>
        <v>#N/A</v>
      </c>
      <c r="AX414" t="e">
        <f t="shared" si="415"/>
        <v>#N/A</v>
      </c>
      <c r="AY414" t="e">
        <f t="shared" si="416"/>
        <v>#N/A</v>
      </c>
      <c r="BE414" t="e">
        <f>IF(Z414=1,IF(INDEX($C$7:$C$126,V414)&gt;=Gantt!$BF$6,NA(),MATCH(INDEX($C$7:$C$126,V414),Gantt!$J$6:$BE$6,1)),NA())</f>
        <v>#N/A</v>
      </c>
      <c r="BF414" t="e">
        <f>IF(Z414=1,IF((INDEX($D$7:$D$126,AA414)-1)&gt;=Gantt!$BF$6,NA(),IF((INDEX($D$7:$D$126,AA414)-1)&lt;Gantt!$J$6,0,MATCH((INDEX($D$7:$D$126,AA414)-1),Gantt!$J$6:$BE$6,1))),NA())</f>
        <v>#N/A</v>
      </c>
      <c r="BG414" t="e">
        <f t="shared" si="417"/>
        <v>#N/A</v>
      </c>
      <c r="BH414" t="e">
        <f t="shared" si="418"/>
        <v>#N/A</v>
      </c>
      <c r="BI414" t="e">
        <f t="shared" si="419"/>
        <v>#N/A</v>
      </c>
      <c r="BJ414" t="e">
        <f t="shared" si="420"/>
        <v>#N/A</v>
      </c>
      <c r="BK414" t="e">
        <f t="shared" si="421"/>
        <v>#N/A</v>
      </c>
      <c r="BL414" t="e">
        <f t="shared" si="422"/>
        <v>#N/A</v>
      </c>
      <c r="BM414" t="e">
        <f t="shared" si="423"/>
        <v>#N/A</v>
      </c>
      <c r="BN414" t="e">
        <f t="shared" si="424"/>
        <v>#N/A</v>
      </c>
      <c r="BO414" t="e">
        <f t="shared" si="425"/>
        <v>#N/A</v>
      </c>
      <c r="BP414" t="e">
        <f t="shared" si="426"/>
        <v>#N/A</v>
      </c>
      <c r="BQ414" t="e">
        <f t="shared" si="427"/>
        <v>#N/A</v>
      </c>
      <c r="BR414" t="e">
        <f t="shared" si="428"/>
        <v>#N/A</v>
      </c>
      <c r="BS414" t="e">
        <f t="shared" si="429"/>
        <v>#N/A</v>
      </c>
      <c r="BT414" t="e">
        <f t="shared" si="430"/>
        <v>#N/A</v>
      </c>
      <c r="BU414" t="e">
        <f t="shared" si="431"/>
        <v>#N/A</v>
      </c>
      <c r="BV414" t="e">
        <f t="shared" si="432"/>
        <v>#N/A</v>
      </c>
      <c r="BW414" t="e">
        <f t="shared" si="433"/>
        <v>#N/A</v>
      </c>
      <c r="BX414" t="e">
        <f t="shared" si="434"/>
        <v>#N/A</v>
      </c>
      <c r="BY414" t="e">
        <f t="shared" si="435"/>
        <v>#N/A</v>
      </c>
      <c r="BZ414" t="e">
        <f t="shared" si="436"/>
        <v>#N/A</v>
      </c>
      <c r="CA414" t="e">
        <f t="shared" si="437"/>
        <v>#N/A</v>
      </c>
      <c r="CB414" t="e">
        <f t="shared" si="438"/>
        <v>#N/A</v>
      </c>
      <c r="CC414" t="e">
        <f t="shared" si="439"/>
        <v>#N/A</v>
      </c>
      <c r="CD414" t="e">
        <f t="shared" si="440"/>
        <v>#N/A</v>
      </c>
      <c r="CE414" t="e">
        <f t="shared" si="441"/>
        <v>#N/A</v>
      </c>
      <c r="CF414" t="e">
        <f t="shared" si="442"/>
        <v>#N/A</v>
      </c>
      <c r="CG414" t="e">
        <f t="shared" si="443"/>
        <v>#N/A</v>
      </c>
      <c r="CI414" t="e">
        <f>AT142</f>
        <v>#N/A</v>
      </c>
      <c r="CJ414" t="e">
        <f>AU142</f>
        <v>#N/A</v>
      </c>
      <c r="CK414">
        <f>IF(ISNUMBER(CI414),IFERROR(MAX(0,AV142-CI414),0),0)</f>
        <v>0</v>
      </c>
      <c r="CL414">
        <f>IF(ISNUMBER(CI414),IFERROR(MAX(0,CI414-AV142),0),0)</f>
        <v>0</v>
      </c>
      <c r="CM414">
        <f>IF(ISNUMBER(CJ414),IFERROR(MAX(0,AW142-CJ414),0),0)</f>
        <v>0</v>
      </c>
      <c r="CN414">
        <f>IF(ISNUMBER(CJ414),IFERROR(MAX(0,CJ414-AW142),0),0)</f>
        <v>0</v>
      </c>
      <c r="CP414" t="e">
        <f>CB142</f>
        <v>#N/A</v>
      </c>
      <c r="CQ414" t="e">
        <f>CC142</f>
        <v>#N/A</v>
      </c>
      <c r="CR414">
        <f>IF(ISNUMBER(CP414),IFERROR(MAX(0,CD142-CP414),0),0)</f>
        <v>0</v>
      </c>
      <c r="CS414">
        <f>IF(ISNUMBER(CP414),IFERROR(MAX(0,CP414-CD142),0),0)</f>
        <v>0</v>
      </c>
      <c r="CT414">
        <f>IF(ISNUMBER(CQ414),IFERROR(MAX(0,CE142-CQ414),0),0)</f>
        <v>0</v>
      </c>
      <c r="CU414">
        <f>IF(ISNUMBER(CQ414),IFERROR(MAX(0,CQ414-CE142),0),0)</f>
        <v>0</v>
      </c>
    </row>
    <row r="415" spans="21:99" x14ac:dyDescent="0.3">
      <c r="U415">
        <v>409</v>
      </c>
      <c r="V415">
        <f t="shared" si="388"/>
        <v>103</v>
      </c>
      <c r="W415">
        <f t="shared" si="389"/>
        <v>1</v>
      </c>
      <c r="X415">
        <f t="shared" si="390"/>
        <v>0</v>
      </c>
      <c r="Y415">
        <f>IF(X415&lt;&gt;1,9999,CHOOSE(W415,INDEX(Gantt!$BQ$7:$BQ$119,V415),INDEX(Gantt!$BR$7:$BR$119,V415),INDEX(Gantt!$BT$7:$BT$119,V415),INDEX(Gantt!$BU$7:$BU$119,V415)))</f>
        <v>9999</v>
      </c>
      <c r="Z415">
        <f t="shared" si="391"/>
        <v>0</v>
      </c>
      <c r="AA415" t="e">
        <f t="shared" si="392"/>
        <v>#N/A</v>
      </c>
      <c r="AB415" t="e">
        <f t="shared" si="393"/>
        <v>#N/A</v>
      </c>
      <c r="AC415" t="e">
        <f t="shared" si="394"/>
        <v>#N/A</v>
      </c>
      <c r="AD415" t="e">
        <f t="shared" si="395"/>
        <v>#N/A</v>
      </c>
      <c r="AE415" t="e">
        <f t="shared" si="396"/>
        <v>#N/A</v>
      </c>
      <c r="AF415" t="e">
        <f t="shared" si="397"/>
        <v>#N/A</v>
      </c>
      <c r="AG415" t="e">
        <f t="shared" si="398"/>
        <v>#N/A</v>
      </c>
      <c r="AH415" t="e">
        <f t="shared" si="399"/>
        <v>#N/A</v>
      </c>
      <c r="AI415" t="e">
        <f t="shared" si="400"/>
        <v>#N/A</v>
      </c>
      <c r="AJ415" t="e">
        <f t="shared" si="401"/>
        <v>#N/A</v>
      </c>
      <c r="AK415" t="e">
        <f t="shared" si="402"/>
        <v>#N/A</v>
      </c>
      <c r="AL415" t="e">
        <f t="shared" si="403"/>
        <v>#N/A</v>
      </c>
      <c r="AM415" t="e">
        <f t="shared" si="404"/>
        <v>#N/A</v>
      </c>
      <c r="AN415" t="e">
        <f t="shared" si="405"/>
        <v>#N/A</v>
      </c>
      <c r="AO415" t="e">
        <f t="shared" si="406"/>
        <v>#N/A</v>
      </c>
      <c r="AP415" t="e">
        <f t="shared" si="407"/>
        <v>#N/A</v>
      </c>
      <c r="AQ415" t="e">
        <f t="shared" si="408"/>
        <v>#N/A</v>
      </c>
      <c r="AR415" t="e">
        <f t="shared" si="409"/>
        <v>#N/A</v>
      </c>
      <c r="AS415" t="e">
        <f t="shared" si="410"/>
        <v>#N/A</v>
      </c>
      <c r="AT415" t="e">
        <f t="shared" si="411"/>
        <v>#N/A</v>
      </c>
      <c r="AU415" t="e">
        <f t="shared" si="412"/>
        <v>#N/A</v>
      </c>
      <c r="AV415" t="e">
        <f t="shared" si="413"/>
        <v>#N/A</v>
      </c>
      <c r="AW415" t="e">
        <f t="shared" si="414"/>
        <v>#N/A</v>
      </c>
      <c r="AX415" t="e">
        <f t="shared" si="415"/>
        <v>#N/A</v>
      </c>
      <c r="AY415" t="e">
        <f t="shared" si="416"/>
        <v>#N/A</v>
      </c>
      <c r="BE415" t="e">
        <f>IF(Z415=1,IF(INDEX($C$7:$C$126,V415)&gt;=Gantt!$BF$6,NA(),MATCH(INDEX($C$7:$C$126,V415),Gantt!$J$6:$BE$6,1)),NA())</f>
        <v>#N/A</v>
      </c>
      <c r="BF415" t="e">
        <f>IF(Z415=1,IF((INDEX($D$7:$D$126,AA415)-1)&gt;=Gantt!$BF$6,NA(),IF((INDEX($D$7:$D$126,AA415)-1)&lt;Gantt!$J$6,0,MATCH((INDEX($D$7:$D$126,AA415)-1),Gantt!$J$6:$BE$6,1))),NA())</f>
        <v>#N/A</v>
      </c>
      <c r="BG415" t="e">
        <f t="shared" si="417"/>
        <v>#N/A</v>
      </c>
      <c r="BH415" t="e">
        <f t="shared" si="418"/>
        <v>#N/A</v>
      </c>
      <c r="BI415" t="e">
        <f t="shared" si="419"/>
        <v>#N/A</v>
      </c>
      <c r="BJ415" t="e">
        <f t="shared" si="420"/>
        <v>#N/A</v>
      </c>
      <c r="BK415" t="e">
        <f t="shared" si="421"/>
        <v>#N/A</v>
      </c>
      <c r="BL415" t="e">
        <f t="shared" si="422"/>
        <v>#N/A</v>
      </c>
      <c r="BM415" t="e">
        <f t="shared" si="423"/>
        <v>#N/A</v>
      </c>
      <c r="BN415" t="e">
        <f t="shared" si="424"/>
        <v>#N/A</v>
      </c>
      <c r="BO415" t="e">
        <f t="shared" si="425"/>
        <v>#N/A</v>
      </c>
      <c r="BP415" t="e">
        <f t="shared" si="426"/>
        <v>#N/A</v>
      </c>
      <c r="BQ415" t="e">
        <f t="shared" si="427"/>
        <v>#N/A</v>
      </c>
      <c r="BR415" t="e">
        <f t="shared" si="428"/>
        <v>#N/A</v>
      </c>
      <c r="BS415" t="e">
        <f t="shared" si="429"/>
        <v>#N/A</v>
      </c>
      <c r="BT415" t="e">
        <f t="shared" si="430"/>
        <v>#N/A</v>
      </c>
      <c r="BU415" t="e">
        <f t="shared" si="431"/>
        <v>#N/A</v>
      </c>
      <c r="BV415" t="e">
        <f t="shared" si="432"/>
        <v>#N/A</v>
      </c>
      <c r="BW415" t="e">
        <f t="shared" si="433"/>
        <v>#N/A</v>
      </c>
      <c r="BX415" t="e">
        <f t="shared" si="434"/>
        <v>#N/A</v>
      </c>
      <c r="BY415" t="e">
        <f t="shared" si="435"/>
        <v>#N/A</v>
      </c>
      <c r="BZ415" t="e">
        <f t="shared" si="436"/>
        <v>#N/A</v>
      </c>
      <c r="CA415" t="e">
        <f t="shared" si="437"/>
        <v>#N/A</v>
      </c>
      <c r="CB415" t="e">
        <f t="shared" si="438"/>
        <v>#N/A</v>
      </c>
      <c r="CC415" t="e">
        <f t="shared" si="439"/>
        <v>#N/A</v>
      </c>
      <c r="CD415" t="e">
        <f t="shared" si="440"/>
        <v>#N/A</v>
      </c>
      <c r="CE415" t="e">
        <f t="shared" si="441"/>
        <v>#N/A</v>
      </c>
      <c r="CF415" t="e">
        <f t="shared" si="442"/>
        <v>#N/A</v>
      </c>
      <c r="CG415" t="e">
        <f t="shared" si="443"/>
        <v>#N/A</v>
      </c>
      <c r="CI415" t="e">
        <f>AL143</f>
        <v>#N/A</v>
      </c>
      <c r="CJ415" t="e">
        <f>AM143</f>
        <v>#N/A</v>
      </c>
      <c r="CK415">
        <f>IF(ISNUMBER(CI415),IFERROR(MAX(0,AN143-CI415),0),0)</f>
        <v>0</v>
      </c>
      <c r="CL415">
        <f>IF(ISNUMBER(CI415),IFERROR(MAX(0,CI415-AN143),0),0)</f>
        <v>0</v>
      </c>
      <c r="CM415">
        <f>IF(ISNUMBER(CJ415),IFERROR(MAX(0,AO143-CJ415),0),0)</f>
        <v>0</v>
      </c>
      <c r="CN415">
        <f>IF(ISNUMBER(CJ415),IFERROR(MAX(0,CJ415-AO143),0),0)</f>
        <v>0</v>
      </c>
      <c r="CP415" t="e">
        <f>BT143</f>
        <v>#N/A</v>
      </c>
      <c r="CQ415" t="e">
        <f>BU143</f>
        <v>#N/A</v>
      </c>
      <c r="CR415">
        <f>IF(ISNUMBER(CP415),IFERROR(MAX(0,BV143-CP415),0),0)</f>
        <v>0</v>
      </c>
      <c r="CS415">
        <f>IF(ISNUMBER(CP415),IFERROR(MAX(0,CP415-BV143),0),0)</f>
        <v>0</v>
      </c>
      <c r="CT415">
        <f>IF(ISNUMBER(CQ415),IFERROR(MAX(0,BW143-CQ415),0),0)</f>
        <v>0</v>
      </c>
      <c r="CU415">
        <f>IF(ISNUMBER(CQ415),IFERROR(MAX(0,CQ415-BW143),0),0)</f>
        <v>0</v>
      </c>
    </row>
    <row r="416" spans="21:99" x14ac:dyDescent="0.3">
      <c r="U416">
        <v>410</v>
      </c>
      <c r="V416">
        <f t="shared" si="388"/>
        <v>103</v>
      </c>
      <c r="W416">
        <f t="shared" si="389"/>
        <v>2</v>
      </c>
      <c r="X416">
        <f t="shared" si="390"/>
        <v>0</v>
      </c>
      <c r="Y416">
        <f>IF(X416&lt;&gt;1,9999,CHOOSE(W416,INDEX(Gantt!$BQ$7:$BQ$119,V416),INDEX(Gantt!$BR$7:$BR$119,V416),INDEX(Gantt!$BT$7:$BT$119,V416),INDEX(Gantt!$BU$7:$BU$119,V416)))</f>
        <v>9999</v>
      </c>
      <c r="Z416">
        <f t="shared" si="391"/>
        <v>0</v>
      </c>
      <c r="AA416" t="e">
        <f t="shared" si="392"/>
        <v>#N/A</v>
      </c>
      <c r="AB416" t="e">
        <f t="shared" si="393"/>
        <v>#N/A</v>
      </c>
      <c r="AC416" t="e">
        <f t="shared" si="394"/>
        <v>#N/A</v>
      </c>
      <c r="AD416" t="e">
        <f t="shared" si="395"/>
        <v>#N/A</v>
      </c>
      <c r="AE416" t="e">
        <f t="shared" si="396"/>
        <v>#N/A</v>
      </c>
      <c r="AF416" t="e">
        <f t="shared" si="397"/>
        <v>#N/A</v>
      </c>
      <c r="AG416" t="e">
        <f t="shared" si="398"/>
        <v>#N/A</v>
      </c>
      <c r="AH416" t="e">
        <f t="shared" si="399"/>
        <v>#N/A</v>
      </c>
      <c r="AI416" t="e">
        <f t="shared" si="400"/>
        <v>#N/A</v>
      </c>
      <c r="AJ416" t="e">
        <f t="shared" si="401"/>
        <v>#N/A</v>
      </c>
      <c r="AK416" t="e">
        <f t="shared" si="402"/>
        <v>#N/A</v>
      </c>
      <c r="AL416" t="e">
        <f t="shared" si="403"/>
        <v>#N/A</v>
      </c>
      <c r="AM416" t="e">
        <f t="shared" si="404"/>
        <v>#N/A</v>
      </c>
      <c r="AN416" t="e">
        <f t="shared" si="405"/>
        <v>#N/A</v>
      </c>
      <c r="AO416" t="e">
        <f t="shared" si="406"/>
        <v>#N/A</v>
      </c>
      <c r="AP416" t="e">
        <f t="shared" si="407"/>
        <v>#N/A</v>
      </c>
      <c r="AQ416" t="e">
        <f t="shared" si="408"/>
        <v>#N/A</v>
      </c>
      <c r="AR416" t="e">
        <f t="shared" si="409"/>
        <v>#N/A</v>
      </c>
      <c r="AS416" t="e">
        <f t="shared" si="410"/>
        <v>#N/A</v>
      </c>
      <c r="AT416" t="e">
        <f t="shared" si="411"/>
        <v>#N/A</v>
      </c>
      <c r="AU416" t="e">
        <f t="shared" si="412"/>
        <v>#N/A</v>
      </c>
      <c r="AV416" t="e">
        <f t="shared" si="413"/>
        <v>#N/A</v>
      </c>
      <c r="AW416" t="e">
        <f t="shared" si="414"/>
        <v>#N/A</v>
      </c>
      <c r="AX416" t="e">
        <f t="shared" si="415"/>
        <v>#N/A</v>
      </c>
      <c r="AY416" t="e">
        <f t="shared" si="416"/>
        <v>#N/A</v>
      </c>
      <c r="BE416" t="e">
        <f>IF(Z416=1,IF(INDEX($C$7:$C$126,V416)&gt;=Gantt!$BF$6,NA(),MATCH(INDEX($C$7:$C$126,V416),Gantt!$J$6:$BE$6,1)),NA())</f>
        <v>#N/A</v>
      </c>
      <c r="BF416" t="e">
        <f>IF(Z416=1,IF((INDEX($D$7:$D$126,AA416)-1)&gt;=Gantt!$BF$6,NA(),IF((INDEX($D$7:$D$126,AA416)-1)&lt;Gantt!$J$6,0,MATCH((INDEX($D$7:$D$126,AA416)-1),Gantt!$J$6:$BE$6,1))),NA())</f>
        <v>#N/A</v>
      </c>
      <c r="BG416" t="e">
        <f t="shared" si="417"/>
        <v>#N/A</v>
      </c>
      <c r="BH416" t="e">
        <f t="shared" si="418"/>
        <v>#N/A</v>
      </c>
      <c r="BI416" t="e">
        <f t="shared" si="419"/>
        <v>#N/A</v>
      </c>
      <c r="BJ416" t="e">
        <f t="shared" si="420"/>
        <v>#N/A</v>
      </c>
      <c r="BK416" t="e">
        <f t="shared" si="421"/>
        <v>#N/A</v>
      </c>
      <c r="BL416" t="e">
        <f t="shared" si="422"/>
        <v>#N/A</v>
      </c>
      <c r="BM416" t="e">
        <f t="shared" si="423"/>
        <v>#N/A</v>
      </c>
      <c r="BN416" t="e">
        <f t="shared" si="424"/>
        <v>#N/A</v>
      </c>
      <c r="BO416" t="e">
        <f t="shared" si="425"/>
        <v>#N/A</v>
      </c>
      <c r="BP416" t="e">
        <f t="shared" si="426"/>
        <v>#N/A</v>
      </c>
      <c r="BQ416" t="e">
        <f t="shared" si="427"/>
        <v>#N/A</v>
      </c>
      <c r="BR416" t="e">
        <f t="shared" si="428"/>
        <v>#N/A</v>
      </c>
      <c r="BS416" t="e">
        <f t="shared" si="429"/>
        <v>#N/A</v>
      </c>
      <c r="BT416" t="e">
        <f t="shared" si="430"/>
        <v>#N/A</v>
      </c>
      <c r="BU416" t="e">
        <f t="shared" si="431"/>
        <v>#N/A</v>
      </c>
      <c r="BV416" t="e">
        <f t="shared" si="432"/>
        <v>#N/A</v>
      </c>
      <c r="BW416" t="e">
        <f t="shared" si="433"/>
        <v>#N/A</v>
      </c>
      <c r="BX416" t="e">
        <f t="shared" si="434"/>
        <v>#N/A</v>
      </c>
      <c r="BY416" t="e">
        <f t="shared" si="435"/>
        <v>#N/A</v>
      </c>
      <c r="BZ416" t="e">
        <f t="shared" si="436"/>
        <v>#N/A</v>
      </c>
      <c r="CA416" t="e">
        <f t="shared" si="437"/>
        <v>#N/A</v>
      </c>
      <c r="CB416" t="e">
        <f t="shared" si="438"/>
        <v>#N/A</v>
      </c>
      <c r="CC416" t="e">
        <f t="shared" si="439"/>
        <v>#N/A</v>
      </c>
      <c r="CD416" t="e">
        <f t="shared" si="440"/>
        <v>#N/A</v>
      </c>
      <c r="CE416" t="e">
        <f t="shared" si="441"/>
        <v>#N/A</v>
      </c>
      <c r="CF416" t="e">
        <f t="shared" si="442"/>
        <v>#N/A</v>
      </c>
      <c r="CG416" t="e">
        <f t="shared" si="443"/>
        <v>#N/A</v>
      </c>
      <c r="CI416" t="e">
        <f>AP143</f>
        <v>#N/A</v>
      </c>
      <c r="CJ416" t="e">
        <f>AQ143</f>
        <v>#N/A</v>
      </c>
      <c r="CK416">
        <f>IF(ISNUMBER(CI416),IFERROR(MAX(0,AR143-CI416),0),0)</f>
        <v>0</v>
      </c>
      <c r="CL416">
        <f>IF(ISNUMBER(CI416),IFERROR(MAX(0,CI416-AR143),0),0)</f>
        <v>0</v>
      </c>
      <c r="CM416">
        <f>IF(ISNUMBER(CJ416),IFERROR(MAX(0,AS143-CJ416),0),0)</f>
        <v>0</v>
      </c>
      <c r="CN416">
        <f>IF(ISNUMBER(CJ416),IFERROR(MAX(0,CJ416-AS143),0),0)</f>
        <v>0</v>
      </c>
      <c r="CP416" t="e">
        <f>BX143</f>
        <v>#N/A</v>
      </c>
      <c r="CQ416" t="e">
        <f>BY143</f>
        <v>#N/A</v>
      </c>
      <c r="CR416">
        <f>IF(ISNUMBER(CP416),IFERROR(MAX(0,BZ143-CP416),0),0)</f>
        <v>0</v>
      </c>
      <c r="CS416">
        <f>IF(ISNUMBER(CP416),IFERROR(MAX(0,CP416-BZ143),0),0)</f>
        <v>0</v>
      </c>
      <c r="CT416">
        <f>IF(ISNUMBER(CQ416),IFERROR(MAX(0,CA143-CQ416),0),0)</f>
        <v>0</v>
      </c>
      <c r="CU416">
        <f>IF(ISNUMBER(CQ416),IFERROR(MAX(0,CQ416-CA143),0),0)</f>
        <v>0</v>
      </c>
    </row>
    <row r="417" spans="21:99" x14ac:dyDescent="0.3">
      <c r="U417">
        <v>411</v>
      </c>
      <c r="V417">
        <f t="shared" si="388"/>
        <v>103</v>
      </c>
      <c r="W417">
        <f t="shared" si="389"/>
        <v>3</v>
      </c>
      <c r="X417">
        <f t="shared" si="390"/>
        <v>0</v>
      </c>
      <c r="Y417">
        <f>IF(X417&lt;&gt;1,9999,CHOOSE(W417,INDEX(Gantt!$BQ$7:$BQ$119,V417),INDEX(Gantt!$BR$7:$BR$119,V417),INDEX(Gantt!$BT$7:$BT$119,V417),INDEX(Gantt!$BU$7:$BU$119,V417)))</f>
        <v>9999</v>
      </c>
      <c r="Z417">
        <f t="shared" si="391"/>
        <v>0</v>
      </c>
      <c r="AA417" t="e">
        <f t="shared" si="392"/>
        <v>#N/A</v>
      </c>
      <c r="AB417" t="e">
        <f t="shared" si="393"/>
        <v>#N/A</v>
      </c>
      <c r="AC417" t="e">
        <f t="shared" si="394"/>
        <v>#N/A</v>
      </c>
      <c r="AD417" t="e">
        <f t="shared" si="395"/>
        <v>#N/A</v>
      </c>
      <c r="AE417" t="e">
        <f t="shared" si="396"/>
        <v>#N/A</v>
      </c>
      <c r="AF417" t="e">
        <f t="shared" si="397"/>
        <v>#N/A</v>
      </c>
      <c r="AG417" t="e">
        <f t="shared" si="398"/>
        <v>#N/A</v>
      </c>
      <c r="AH417" t="e">
        <f t="shared" si="399"/>
        <v>#N/A</v>
      </c>
      <c r="AI417" t="e">
        <f t="shared" si="400"/>
        <v>#N/A</v>
      </c>
      <c r="AJ417" t="e">
        <f t="shared" si="401"/>
        <v>#N/A</v>
      </c>
      <c r="AK417" t="e">
        <f t="shared" si="402"/>
        <v>#N/A</v>
      </c>
      <c r="AL417" t="e">
        <f t="shared" si="403"/>
        <v>#N/A</v>
      </c>
      <c r="AM417" t="e">
        <f t="shared" si="404"/>
        <v>#N/A</v>
      </c>
      <c r="AN417" t="e">
        <f t="shared" si="405"/>
        <v>#N/A</v>
      </c>
      <c r="AO417" t="e">
        <f t="shared" si="406"/>
        <v>#N/A</v>
      </c>
      <c r="AP417" t="e">
        <f t="shared" si="407"/>
        <v>#N/A</v>
      </c>
      <c r="AQ417" t="e">
        <f t="shared" si="408"/>
        <v>#N/A</v>
      </c>
      <c r="AR417" t="e">
        <f t="shared" si="409"/>
        <v>#N/A</v>
      </c>
      <c r="AS417" t="e">
        <f t="shared" si="410"/>
        <v>#N/A</v>
      </c>
      <c r="AT417" t="e">
        <f t="shared" si="411"/>
        <v>#N/A</v>
      </c>
      <c r="AU417" t="e">
        <f t="shared" si="412"/>
        <v>#N/A</v>
      </c>
      <c r="AV417" t="e">
        <f t="shared" si="413"/>
        <v>#N/A</v>
      </c>
      <c r="AW417" t="e">
        <f t="shared" si="414"/>
        <v>#N/A</v>
      </c>
      <c r="AX417" t="e">
        <f t="shared" si="415"/>
        <v>#N/A</v>
      </c>
      <c r="AY417" t="e">
        <f t="shared" si="416"/>
        <v>#N/A</v>
      </c>
      <c r="BE417" t="e">
        <f>IF(Z417=1,IF(INDEX($C$7:$C$126,V417)&gt;=Gantt!$BF$6,NA(),MATCH(INDEX($C$7:$C$126,V417),Gantt!$J$6:$BE$6,1)),NA())</f>
        <v>#N/A</v>
      </c>
      <c r="BF417" t="e">
        <f>IF(Z417=1,IF((INDEX($D$7:$D$126,AA417)-1)&gt;=Gantt!$BF$6,NA(),IF((INDEX($D$7:$D$126,AA417)-1)&lt;Gantt!$J$6,0,MATCH((INDEX($D$7:$D$126,AA417)-1),Gantt!$J$6:$BE$6,1))),NA())</f>
        <v>#N/A</v>
      </c>
      <c r="BG417" t="e">
        <f t="shared" si="417"/>
        <v>#N/A</v>
      </c>
      <c r="BH417" t="e">
        <f t="shared" si="418"/>
        <v>#N/A</v>
      </c>
      <c r="BI417" t="e">
        <f t="shared" si="419"/>
        <v>#N/A</v>
      </c>
      <c r="BJ417" t="e">
        <f t="shared" si="420"/>
        <v>#N/A</v>
      </c>
      <c r="BK417" t="e">
        <f t="shared" si="421"/>
        <v>#N/A</v>
      </c>
      <c r="BL417" t="e">
        <f t="shared" si="422"/>
        <v>#N/A</v>
      </c>
      <c r="BM417" t="e">
        <f t="shared" si="423"/>
        <v>#N/A</v>
      </c>
      <c r="BN417" t="e">
        <f t="shared" si="424"/>
        <v>#N/A</v>
      </c>
      <c r="BO417" t="e">
        <f t="shared" si="425"/>
        <v>#N/A</v>
      </c>
      <c r="BP417" t="e">
        <f t="shared" si="426"/>
        <v>#N/A</v>
      </c>
      <c r="BQ417" t="e">
        <f t="shared" si="427"/>
        <v>#N/A</v>
      </c>
      <c r="BR417" t="e">
        <f t="shared" si="428"/>
        <v>#N/A</v>
      </c>
      <c r="BS417" t="e">
        <f t="shared" si="429"/>
        <v>#N/A</v>
      </c>
      <c r="BT417" t="e">
        <f t="shared" si="430"/>
        <v>#N/A</v>
      </c>
      <c r="BU417" t="e">
        <f t="shared" si="431"/>
        <v>#N/A</v>
      </c>
      <c r="BV417" t="e">
        <f t="shared" si="432"/>
        <v>#N/A</v>
      </c>
      <c r="BW417" t="e">
        <f t="shared" si="433"/>
        <v>#N/A</v>
      </c>
      <c r="BX417" t="e">
        <f t="shared" si="434"/>
        <v>#N/A</v>
      </c>
      <c r="BY417" t="e">
        <f t="shared" si="435"/>
        <v>#N/A</v>
      </c>
      <c r="BZ417" t="e">
        <f t="shared" si="436"/>
        <v>#N/A</v>
      </c>
      <c r="CA417" t="e">
        <f t="shared" si="437"/>
        <v>#N/A</v>
      </c>
      <c r="CB417" t="e">
        <f t="shared" si="438"/>
        <v>#N/A</v>
      </c>
      <c r="CC417" t="e">
        <f t="shared" si="439"/>
        <v>#N/A</v>
      </c>
      <c r="CD417" t="e">
        <f t="shared" si="440"/>
        <v>#N/A</v>
      </c>
      <c r="CE417" t="e">
        <f t="shared" si="441"/>
        <v>#N/A</v>
      </c>
      <c r="CF417" t="e">
        <f t="shared" si="442"/>
        <v>#N/A</v>
      </c>
      <c r="CG417" t="e">
        <f t="shared" si="443"/>
        <v>#N/A</v>
      </c>
      <c r="CI417" t="e">
        <f>AT143</f>
        <v>#N/A</v>
      </c>
      <c r="CJ417" t="e">
        <f>AU143</f>
        <v>#N/A</v>
      </c>
      <c r="CK417">
        <f>IF(ISNUMBER(CI417),IFERROR(MAX(0,AV143-CI417),0),0)</f>
        <v>0</v>
      </c>
      <c r="CL417">
        <f>IF(ISNUMBER(CI417),IFERROR(MAX(0,CI417-AV143),0),0)</f>
        <v>0</v>
      </c>
      <c r="CM417">
        <f>IF(ISNUMBER(CJ417),IFERROR(MAX(0,AW143-CJ417),0),0)</f>
        <v>0</v>
      </c>
      <c r="CN417">
        <f>IF(ISNUMBER(CJ417),IFERROR(MAX(0,CJ417-AW143),0),0)</f>
        <v>0</v>
      </c>
      <c r="CP417" t="e">
        <f>CB143</f>
        <v>#N/A</v>
      </c>
      <c r="CQ417" t="e">
        <f>CC143</f>
        <v>#N/A</v>
      </c>
      <c r="CR417">
        <f>IF(ISNUMBER(CP417),IFERROR(MAX(0,CD143-CP417),0),0)</f>
        <v>0</v>
      </c>
      <c r="CS417">
        <f>IF(ISNUMBER(CP417),IFERROR(MAX(0,CP417-CD143),0),0)</f>
        <v>0</v>
      </c>
      <c r="CT417">
        <f>IF(ISNUMBER(CQ417),IFERROR(MAX(0,CE143-CQ417),0),0)</f>
        <v>0</v>
      </c>
      <c r="CU417">
        <f>IF(ISNUMBER(CQ417),IFERROR(MAX(0,CQ417-CE143),0),0)</f>
        <v>0</v>
      </c>
    </row>
    <row r="418" spans="21:99" x14ac:dyDescent="0.3">
      <c r="U418">
        <v>412</v>
      </c>
      <c r="V418">
        <f t="shared" si="388"/>
        <v>103</v>
      </c>
      <c r="W418">
        <f t="shared" si="389"/>
        <v>4</v>
      </c>
      <c r="X418">
        <f t="shared" si="390"/>
        <v>0</v>
      </c>
      <c r="Y418">
        <f>IF(X418&lt;&gt;1,9999,CHOOSE(W418,INDEX(Gantt!$BQ$7:$BQ$119,V418),INDEX(Gantt!$BR$7:$BR$119,V418),INDEX(Gantt!$BT$7:$BT$119,V418),INDEX(Gantt!$BU$7:$BU$119,V418)))</f>
        <v>9999</v>
      </c>
      <c r="Z418">
        <f t="shared" si="391"/>
        <v>0</v>
      </c>
      <c r="AA418" t="e">
        <f t="shared" si="392"/>
        <v>#N/A</v>
      </c>
      <c r="AB418" t="e">
        <f t="shared" si="393"/>
        <v>#N/A</v>
      </c>
      <c r="AC418" t="e">
        <f t="shared" si="394"/>
        <v>#N/A</v>
      </c>
      <c r="AD418" t="e">
        <f t="shared" si="395"/>
        <v>#N/A</v>
      </c>
      <c r="AE418" t="e">
        <f t="shared" si="396"/>
        <v>#N/A</v>
      </c>
      <c r="AF418" t="e">
        <f t="shared" si="397"/>
        <v>#N/A</v>
      </c>
      <c r="AG418" t="e">
        <f t="shared" si="398"/>
        <v>#N/A</v>
      </c>
      <c r="AH418" t="e">
        <f t="shared" si="399"/>
        <v>#N/A</v>
      </c>
      <c r="AI418" t="e">
        <f t="shared" si="400"/>
        <v>#N/A</v>
      </c>
      <c r="AJ418" t="e">
        <f t="shared" si="401"/>
        <v>#N/A</v>
      </c>
      <c r="AK418" t="e">
        <f t="shared" si="402"/>
        <v>#N/A</v>
      </c>
      <c r="AL418" t="e">
        <f t="shared" si="403"/>
        <v>#N/A</v>
      </c>
      <c r="AM418" t="e">
        <f t="shared" si="404"/>
        <v>#N/A</v>
      </c>
      <c r="AN418" t="e">
        <f t="shared" si="405"/>
        <v>#N/A</v>
      </c>
      <c r="AO418" t="e">
        <f t="shared" si="406"/>
        <v>#N/A</v>
      </c>
      <c r="AP418" t="e">
        <f t="shared" si="407"/>
        <v>#N/A</v>
      </c>
      <c r="AQ418" t="e">
        <f t="shared" si="408"/>
        <v>#N/A</v>
      </c>
      <c r="AR418" t="e">
        <f t="shared" si="409"/>
        <v>#N/A</v>
      </c>
      <c r="AS418" t="e">
        <f t="shared" si="410"/>
        <v>#N/A</v>
      </c>
      <c r="AT418" t="e">
        <f t="shared" si="411"/>
        <v>#N/A</v>
      </c>
      <c r="AU418" t="e">
        <f t="shared" si="412"/>
        <v>#N/A</v>
      </c>
      <c r="AV418" t="e">
        <f t="shared" si="413"/>
        <v>#N/A</v>
      </c>
      <c r="AW418" t="e">
        <f t="shared" si="414"/>
        <v>#N/A</v>
      </c>
      <c r="AX418" t="e">
        <f t="shared" si="415"/>
        <v>#N/A</v>
      </c>
      <c r="AY418" t="e">
        <f t="shared" si="416"/>
        <v>#N/A</v>
      </c>
      <c r="BE418" t="e">
        <f>IF(Z418=1,IF(INDEX($C$7:$C$126,V418)&gt;=Gantt!$BF$6,NA(),MATCH(INDEX($C$7:$C$126,V418),Gantt!$J$6:$BE$6,1)),NA())</f>
        <v>#N/A</v>
      </c>
      <c r="BF418" t="e">
        <f>IF(Z418=1,IF((INDEX($D$7:$D$126,AA418)-1)&gt;=Gantt!$BF$6,NA(),IF((INDEX($D$7:$D$126,AA418)-1)&lt;Gantt!$J$6,0,MATCH((INDEX($D$7:$D$126,AA418)-1),Gantt!$J$6:$BE$6,1))),NA())</f>
        <v>#N/A</v>
      </c>
      <c r="BG418" t="e">
        <f t="shared" si="417"/>
        <v>#N/A</v>
      </c>
      <c r="BH418" t="e">
        <f t="shared" si="418"/>
        <v>#N/A</v>
      </c>
      <c r="BI418" t="e">
        <f t="shared" si="419"/>
        <v>#N/A</v>
      </c>
      <c r="BJ418" t="e">
        <f t="shared" si="420"/>
        <v>#N/A</v>
      </c>
      <c r="BK418" t="e">
        <f t="shared" si="421"/>
        <v>#N/A</v>
      </c>
      <c r="BL418" t="e">
        <f t="shared" si="422"/>
        <v>#N/A</v>
      </c>
      <c r="BM418" t="e">
        <f t="shared" si="423"/>
        <v>#N/A</v>
      </c>
      <c r="BN418" t="e">
        <f t="shared" si="424"/>
        <v>#N/A</v>
      </c>
      <c r="BO418" t="e">
        <f t="shared" si="425"/>
        <v>#N/A</v>
      </c>
      <c r="BP418" t="e">
        <f t="shared" si="426"/>
        <v>#N/A</v>
      </c>
      <c r="BQ418" t="e">
        <f t="shared" si="427"/>
        <v>#N/A</v>
      </c>
      <c r="BR418" t="e">
        <f t="shared" si="428"/>
        <v>#N/A</v>
      </c>
      <c r="BS418" t="e">
        <f t="shared" si="429"/>
        <v>#N/A</v>
      </c>
      <c r="BT418" t="e">
        <f t="shared" si="430"/>
        <v>#N/A</v>
      </c>
      <c r="BU418" t="e">
        <f t="shared" si="431"/>
        <v>#N/A</v>
      </c>
      <c r="BV418" t="e">
        <f t="shared" si="432"/>
        <v>#N/A</v>
      </c>
      <c r="BW418" t="e">
        <f t="shared" si="433"/>
        <v>#N/A</v>
      </c>
      <c r="BX418" t="e">
        <f t="shared" si="434"/>
        <v>#N/A</v>
      </c>
      <c r="BY418" t="e">
        <f t="shared" si="435"/>
        <v>#N/A</v>
      </c>
      <c r="BZ418" t="e">
        <f t="shared" si="436"/>
        <v>#N/A</v>
      </c>
      <c r="CA418" t="e">
        <f t="shared" si="437"/>
        <v>#N/A</v>
      </c>
      <c r="CB418" t="e">
        <f t="shared" si="438"/>
        <v>#N/A</v>
      </c>
      <c r="CC418" t="e">
        <f t="shared" si="439"/>
        <v>#N/A</v>
      </c>
      <c r="CD418" t="e">
        <f t="shared" si="440"/>
        <v>#N/A</v>
      </c>
      <c r="CE418" t="e">
        <f t="shared" si="441"/>
        <v>#N/A</v>
      </c>
      <c r="CF418" t="e">
        <f t="shared" si="442"/>
        <v>#N/A</v>
      </c>
      <c r="CG418" t="e">
        <f t="shared" si="443"/>
        <v>#N/A</v>
      </c>
      <c r="CI418" t="e">
        <f>AL144</f>
        <v>#N/A</v>
      </c>
      <c r="CJ418" t="e">
        <f>AM144</f>
        <v>#N/A</v>
      </c>
      <c r="CK418">
        <f>IF(ISNUMBER(CI418),IFERROR(MAX(0,AN144-CI418),0),0)</f>
        <v>0</v>
      </c>
      <c r="CL418">
        <f>IF(ISNUMBER(CI418),IFERROR(MAX(0,CI418-AN144),0),0)</f>
        <v>0</v>
      </c>
      <c r="CM418">
        <f>IF(ISNUMBER(CJ418),IFERROR(MAX(0,AO144-CJ418),0),0)</f>
        <v>0</v>
      </c>
      <c r="CN418">
        <f>IF(ISNUMBER(CJ418),IFERROR(MAX(0,CJ418-AO144),0),0)</f>
        <v>0</v>
      </c>
      <c r="CP418" t="e">
        <f>BT144</f>
        <v>#N/A</v>
      </c>
      <c r="CQ418" t="e">
        <f>BU144</f>
        <v>#N/A</v>
      </c>
      <c r="CR418">
        <f>IF(ISNUMBER(CP418),IFERROR(MAX(0,BV144-CP418),0),0)</f>
        <v>0</v>
      </c>
      <c r="CS418">
        <f>IF(ISNUMBER(CP418),IFERROR(MAX(0,CP418-BV144),0),0)</f>
        <v>0</v>
      </c>
      <c r="CT418">
        <f>IF(ISNUMBER(CQ418),IFERROR(MAX(0,BW144-CQ418),0),0)</f>
        <v>0</v>
      </c>
      <c r="CU418">
        <f>IF(ISNUMBER(CQ418),IFERROR(MAX(0,CQ418-BW144),0),0)</f>
        <v>0</v>
      </c>
    </row>
    <row r="419" spans="21:99" x14ac:dyDescent="0.3">
      <c r="U419">
        <v>413</v>
      </c>
      <c r="V419">
        <f t="shared" si="388"/>
        <v>104</v>
      </c>
      <c r="W419">
        <f t="shared" si="389"/>
        <v>1</v>
      </c>
      <c r="X419">
        <f t="shared" si="390"/>
        <v>0</v>
      </c>
      <c r="Y419">
        <f>IF(X419&lt;&gt;1,9999,CHOOSE(W419,INDEX(Gantt!$BQ$7:$BQ$119,V419),INDEX(Gantt!$BR$7:$BR$119,V419),INDEX(Gantt!$BT$7:$BT$119,V419),INDEX(Gantt!$BU$7:$BU$119,V419)))</f>
        <v>9999</v>
      </c>
      <c r="Z419">
        <f t="shared" si="391"/>
        <v>0</v>
      </c>
      <c r="AA419" t="e">
        <f t="shared" si="392"/>
        <v>#N/A</v>
      </c>
      <c r="AB419" t="e">
        <f t="shared" si="393"/>
        <v>#N/A</v>
      </c>
      <c r="AC419" t="e">
        <f t="shared" si="394"/>
        <v>#N/A</v>
      </c>
      <c r="AD419" t="e">
        <f t="shared" si="395"/>
        <v>#N/A</v>
      </c>
      <c r="AE419" t="e">
        <f t="shared" si="396"/>
        <v>#N/A</v>
      </c>
      <c r="AF419" t="e">
        <f t="shared" si="397"/>
        <v>#N/A</v>
      </c>
      <c r="AG419" t="e">
        <f t="shared" si="398"/>
        <v>#N/A</v>
      </c>
      <c r="AH419" t="e">
        <f t="shared" si="399"/>
        <v>#N/A</v>
      </c>
      <c r="AI419" t="e">
        <f t="shared" si="400"/>
        <v>#N/A</v>
      </c>
      <c r="AJ419" t="e">
        <f t="shared" si="401"/>
        <v>#N/A</v>
      </c>
      <c r="AK419" t="e">
        <f t="shared" si="402"/>
        <v>#N/A</v>
      </c>
      <c r="AL419" t="e">
        <f t="shared" si="403"/>
        <v>#N/A</v>
      </c>
      <c r="AM419" t="e">
        <f t="shared" si="404"/>
        <v>#N/A</v>
      </c>
      <c r="AN419" t="e">
        <f t="shared" si="405"/>
        <v>#N/A</v>
      </c>
      <c r="AO419" t="e">
        <f t="shared" si="406"/>
        <v>#N/A</v>
      </c>
      <c r="AP419" t="e">
        <f t="shared" si="407"/>
        <v>#N/A</v>
      </c>
      <c r="AQ419" t="e">
        <f t="shared" si="408"/>
        <v>#N/A</v>
      </c>
      <c r="AR419" t="e">
        <f t="shared" si="409"/>
        <v>#N/A</v>
      </c>
      <c r="AS419" t="e">
        <f t="shared" si="410"/>
        <v>#N/A</v>
      </c>
      <c r="AT419" t="e">
        <f t="shared" si="411"/>
        <v>#N/A</v>
      </c>
      <c r="AU419" t="e">
        <f t="shared" si="412"/>
        <v>#N/A</v>
      </c>
      <c r="AV419" t="e">
        <f t="shared" si="413"/>
        <v>#N/A</v>
      </c>
      <c r="AW419" t="e">
        <f t="shared" si="414"/>
        <v>#N/A</v>
      </c>
      <c r="AX419" t="e">
        <f t="shared" si="415"/>
        <v>#N/A</v>
      </c>
      <c r="AY419" t="e">
        <f t="shared" si="416"/>
        <v>#N/A</v>
      </c>
      <c r="BE419" t="e">
        <f>IF(Z419=1,IF(INDEX($C$7:$C$126,V419)&gt;=Gantt!$BF$6,NA(),MATCH(INDEX($C$7:$C$126,V419),Gantt!$J$6:$BE$6,1)),NA())</f>
        <v>#N/A</v>
      </c>
      <c r="BF419" t="e">
        <f>IF(Z419=1,IF((INDEX($D$7:$D$126,AA419)-1)&gt;=Gantt!$BF$6,NA(),IF((INDEX($D$7:$D$126,AA419)-1)&lt;Gantt!$J$6,0,MATCH((INDEX($D$7:$D$126,AA419)-1),Gantt!$J$6:$BE$6,1))),NA())</f>
        <v>#N/A</v>
      </c>
      <c r="BG419" t="e">
        <f t="shared" si="417"/>
        <v>#N/A</v>
      </c>
      <c r="BH419" t="e">
        <f t="shared" si="418"/>
        <v>#N/A</v>
      </c>
      <c r="BI419" t="e">
        <f t="shared" si="419"/>
        <v>#N/A</v>
      </c>
      <c r="BJ419" t="e">
        <f t="shared" si="420"/>
        <v>#N/A</v>
      </c>
      <c r="BK419" t="e">
        <f t="shared" si="421"/>
        <v>#N/A</v>
      </c>
      <c r="BL419" t="e">
        <f t="shared" si="422"/>
        <v>#N/A</v>
      </c>
      <c r="BM419" t="e">
        <f t="shared" si="423"/>
        <v>#N/A</v>
      </c>
      <c r="BN419" t="e">
        <f t="shared" si="424"/>
        <v>#N/A</v>
      </c>
      <c r="BO419" t="e">
        <f t="shared" si="425"/>
        <v>#N/A</v>
      </c>
      <c r="BP419" t="e">
        <f t="shared" si="426"/>
        <v>#N/A</v>
      </c>
      <c r="BQ419" t="e">
        <f t="shared" si="427"/>
        <v>#N/A</v>
      </c>
      <c r="BR419" t="e">
        <f t="shared" si="428"/>
        <v>#N/A</v>
      </c>
      <c r="BS419" t="e">
        <f t="shared" si="429"/>
        <v>#N/A</v>
      </c>
      <c r="BT419" t="e">
        <f t="shared" si="430"/>
        <v>#N/A</v>
      </c>
      <c r="BU419" t="e">
        <f t="shared" si="431"/>
        <v>#N/A</v>
      </c>
      <c r="BV419" t="e">
        <f t="shared" si="432"/>
        <v>#N/A</v>
      </c>
      <c r="BW419" t="e">
        <f t="shared" si="433"/>
        <v>#N/A</v>
      </c>
      <c r="BX419" t="e">
        <f t="shared" si="434"/>
        <v>#N/A</v>
      </c>
      <c r="BY419" t="e">
        <f t="shared" si="435"/>
        <v>#N/A</v>
      </c>
      <c r="BZ419" t="e">
        <f t="shared" si="436"/>
        <v>#N/A</v>
      </c>
      <c r="CA419" t="e">
        <f t="shared" si="437"/>
        <v>#N/A</v>
      </c>
      <c r="CB419" t="e">
        <f t="shared" si="438"/>
        <v>#N/A</v>
      </c>
      <c r="CC419" t="e">
        <f t="shared" si="439"/>
        <v>#N/A</v>
      </c>
      <c r="CD419" t="e">
        <f t="shared" si="440"/>
        <v>#N/A</v>
      </c>
      <c r="CE419" t="e">
        <f t="shared" si="441"/>
        <v>#N/A</v>
      </c>
      <c r="CF419" t="e">
        <f t="shared" si="442"/>
        <v>#N/A</v>
      </c>
      <c r="CG419" t="e">
        <f t="shared" si="443"/>
        <v>#N/A</v>
      </c>
      <c r="CI419" t="e">
        <f>AP144</f>
        <v>#N/A</v>
      </c>
      <c r="CJ419" t="e">
        <f>AQ144</f>
        <v>#N/A</v>
      </c>
      <c r="CK419">
        <f>IF(ISNUMBER(CI419),IFERROR(MAX(0,AR144-CI419),0),0)</f>
        <v>0</v>
      </c>
      <c r="CL419">
        <f>IF(ISNUMBER(CI419),IFERROR(MAX(0,CI419-AR144),0),0)</f>
        <v>0</v>
      </c>
      <c r="CM419">
        <f>IF(ISNUMBER(CJ419),IFERROR(MAX(0,AS144-CJ419),0),0)</f>
        <v>0</v>
      </c>
      <c r="CN419">
        <f>IF(ISNUMBER(CJ419),IFERROR(MAX(0,CJ419-AS144),0),0)</f>
        <v>0</v>
      </c>
      <c r="CP419" t="e">
        <f>BX144</f>
        <v>#N/A</v>
      </c>
      <c r="CQ419" t="e">
        <f>BY144</f>
        <v>#N/A</v>
      </c>
      <c r="CR419">
        <f>IF(ISNUMBER(CP419),IFERROR(MAX(0,BZ144-CP419),0),0)</f>
        <v>0</v>
      </c>
      <c r="CS419">
        <f>IF(ISNUMBER(CP419),IFERROR(MAX(0,CP419-BZ144),0),0)</f>
        <v>0</v>
      </c>
      <c r="CT419">
        <f>IF(ISNUMBER(CQ419),IFERROR(MAX(0,CA144-CQ419),0),0)</f>
        <v>0</v>
      </c>
      <c r="CU419">
        <f>IF(ISNUMBER(CQ419),IFERROR(MAX(0,CQ419-CA144),0),0)</f>
        <v>0</v>
      </c>
    </row>
    <row r="420" spans="21:99" x14ac:dyDescent="0.3">
      <c r="U420">
        <v>414</v>
      </c>
      <c r="V420">
        <f t="shared" si="388"/>
        <v>104</v>
      </c>
      <c r="W420">
        <f t="shared" si="389"/>
        <v>2</v>
      </c>
      <c r="X420">
        <f t="shared" si="390"/>
        <v>0</v>
      </c>
      <c r="Y420">
        <f>IF(X420&lt;&gt;1,9999,CHOOSE(W420,INDEX(Gantt!$BQ$7:$BQ$119,V420),INDEX(Gantt!$BR$7:$BR$119,V420),INDEX(Gantt!$BT$7:$BT$119,V420),INDEX(Gantt!$BU$7:$BU$119,V420)))</f>
        <v>9999</v>
      </c>
      <c r="Z420">
        <f t="shared" si="391"/>
        <v>0</v>
      </c>
      <c r="AA420" t="e">
        <f t="shared" si="392"/>
        <v>#N/A</v>
      </c>
      <c r="AB420" t="e">
        <f t="shared" si="393"/>
        <v>#N/A</v>
      </c>
      <c r="AC420" t="e">
        <f t="shared" si="394"/>
        <v>#N/A</v>
      </c>
      <c r="AD420" t="e">
        <f t="shared" si="395"/>
        <v>#N/A</v>
      </c>
      <c r="AE420" t="e">
        <f t="shared" si="396"/>
        <v>#N/A</v>
      </c>
      <c r="AF420" t="e">
        <f t="shared" si="397"/>
        <v>#N/A</v>
      </c>
      <c r="AG420" t="e">
        <f t="shared" si="398"/>
        <v>#N/A</v>
      </c>
      <c r="AH420" t="e">
        <f t="shared" si="399"/>
        <v>#N/A</v>
      </c>
      <c r="AI420" t="e">
        <f t="shared" si="400"/>
        <v>#N/A</v>
      </c>
      <c r="AJ420" t="e">
        <f t="shared" si="401"/>
        <v>#N/A</v>
      </c>
      <c r="AK420" t="e">
        <f t="shared" si="402"/>
        <v>#N/A</v>
      </c>
      <c r="AL420" t="e">
        <f t="shared" si="403"/>
        <v>#N/A</v>
      </c>
      <c r="AM420" t="e">
        <f t="shared" si="404"/>
        <v>#N/A</v>
      </c>
      <c r="AN420" t="e">
        <f t="shared" si="405"/>
        <v>#N/A</v>
      </c>
      <c r="AO420" t="e">
        <f t="shared" si="406"/>
        <v>#N/A</v>
      </c>
      <c r="AP420" t="e">
        <f t="shared" si="407"/>
        <v>#N/A</v>
      </c>
      <c r="AQ420" t="e">
        <f t="shared" si="408"/>
        <v>#N/A</v>
      </c>
      <c r="AR420" t="e">
        <f t="shared" si="409"/>
        <v>#N/A</v>
      </c>
      <c r="AS420" t="e">
        <f t="shared" si="410"/>
        <v>#N/A</v>
      </c>
      <c r="AT420" t="e">
        <f t="shared" si="411"/>
        <v>#N/A</v>
      </c>
      <c r="AU420" t="e">
        <f t="shared" si="412"/>
        <v>#N/A</v>
      </c>
      <c r="AV420" t="e">
        <f t="shared" si="413"/>
        <v>#N/A</v>
      </c>
      <c r="AW420" t="e">
        <f t="shared" si="414"/>
        <v>#N/A</v>
      </c>
      <c r="AX420" t="e">
        <f t="shared" si="415"/>
        <v>#N/A</v>
      </c>
      <c r="AY420" t="e">
        <f t="shared" si="416"/>
        <v>#N/A</v>
      </c>
      <c r="BE420" t="e">
        <f>IF(Z420=1,IF(INDEX($C$7:$C$126,V420)&gt;=Gantt!$BF$6,NA(),MATCH(INDEX($C$7:$C$126,V420),Gantt!$J$6:$BE$6,1)),NA())</f>
        <v>#N/A</v>
      </c>
      <c r="BF420" t="e">
        <f>IF(Z420=1,IF((INDEX($D$7:$D$126,AA420)-1)&gt;=Gantt!$BF$6,NA(),IF((INDEX($D$7:$D$126,AA420)-1)&lt;Gantt!$J$6,0,MATCH((INDEX($D$7:$D$126,AA420)-1),Gantt!$J$6:$BE$6,1))),NA())</f>
        <v>#N/A</v>
      </c>
      <c r="BG420" t="e">
        <f t="shared" si="417"/>
        <v>#N/A</v>
      </c>
      <c r="BH420" t="e">
        <f t="shared" si="418"/>
        <v>#N/A</v>
      </c>
      <c r="BI420" t="e">
        <f t="shared" si="419"/>
        <v>#N/A</v>
      </c>
      <c r="BJ420" t="e">
        <f t="shared" si="420"/>
        <v>#N/A</v>
      </c>
      <c r="BK420" t="e">
        <f t="shared" si="421"/>
        <v>#N/A</v>
      </c>
      <c r="BL420" t="e">
        <f t="shared" si="422"/>
        <v>#N/A</v>
      </c>
      <c r="BM420" t="e">
        <f t="shared" si="423"/>
        <v>#N/A</v>
      </c>
      <c r="BN420" t="e">
        <f t="shared" si="424"/>
        <v>#N/A</v>
      </c>
      <c r="BO420" t="e">
        <f t="shared" si="425"/>
        <v>#N/A</v>
      </c>
      <c r="BP420" t="e">
        <f t="shared" si="426"/>
        <v>#N/A</v>
      </c>
      <c r="BQ420" t="e">
        <f t="shared" si="427"/>
        <v>#N/A</v>
      </c>
      <c r="BR420" t="e">
        <f t="shared" si="428"/>
        <v>#N/A</v>
      </c>
      <c r="BS420" t="e">
        <f t="shared" si="429"/>
        <v>#N/A</v>
      </c>
      <c r="BT420" t="e">
        <f t="shared" si="430"/>
        <v>#N/A</v>
      </c>
      <c r="BU420" t="e">
        <f t="shared" si="431"/>
        <v>#N/A</v>
      </c>
      <c r="BV420" t="e">
        <f t="shared" si="432"/>
        <v>#N/A</v>
      </c>
      <c r="BW420" t="e">
        <f t="shared" si="433"/>
        <v>#N/A</v>
      </c>
      <c r="BX420" t="e">
        <f t="shared" si="434"/>
        <v>#N/A</v>
      </c>
      <c r="BY420" t="e">
        <f t="shared" si="435"/>
        <v>#N/A</v>
      </c>
      <c r="BZ420" t="e">
        <f t="shared" si="436"/>
        <v>#N/A</v>
      </c>
      <c r="CA420" t="e">
        <f t="shared" si="437"/>
        <v>#N/A</v>
      </c>
      <c r="CB420" t="e">
        <f t="shared" si="438"/>
        <v>#N/A</v>
      </c>
      <c r="CC420" t="e">
        <f t="shared" si="439"/>
        <v>#N/A</v>
      </c>
      <c r="CD420" t="e">
        <f t="shared" si="440"/>
        <v>#N/A</v>
      </c>
      <c r="CE420" t="e">
        <f t="shared" si="441"/>
        <v>#N/A</v>
      </c>
      <c r="CF420" t="e">
        <f t="shared" si="442"/>
        <v>#N/A</v>
      </c>
      <c r="CG420" t="e">
        <f t="shared" si="443"/>
        <v>#N/A</v>
      </c>
      <c r="CI420" t="e">
        <f>AT144</f>
        <v>#N/A</v>
      </c>
      <c r="CJ420" t="e">
        <f>AU144</f>
        <v>#N/A</v>
      </c>
      <c r="CK420">
        <f>IF(ISNUMBER(CI420),IFERROR(MAX(0,AV144-CI420),0),0)</f>
        <v>0</v>
      </c>
      <c r="CL420">
        <f>IF(ISNUMBER(CI420),IFERROR(MAX(0,CI420-AV144),0),0)</f>
        <v>0</v>
      </c>
      <c r="CM420">
        <f>IF(ISNUMBER(CJ420),IFERROR(MAX(0,AW144-CJ420),0),0)</f>
        <v>0</v>
      </c>
      <c r="CN420">
        <f>IF(ISNUMBER(CJ420),IFERROR(MAX(0,CJ420-AW144),0),0)</f>
        <v>0</v>
      </c>
      <c r="CP420" t="e">
        <f>CB144</f>
        <v>#N/A</v>
      </c>
      <c r="CQ420" t="e">
        <f>CC144</f>
        <v>#N/A</v>
      </c>
      <c r="CR420">
        <f>IF(ISNUMBER(CP420),IFERROR(MAX(0,CD144-CP420),0),0)</f>
        <v>0</v>
      </c>
      <c r="CS420">
        <f>IF(ISNUMBER(CP420),IFERROR(MAX(0,CP420-CD144),0),0)</f>
        <v>0</v>
      </c>
      <c r="CT420">
        <f>IF(ISNUMBER(CQ420),IFERROR(MAX(0,CE144-CQ420),0),0)</f>
        <v>0</v>
      </c>
      <c r="CU420">
        <f>IF(ISNUMBER(CQ420),IFERROR(MAX(0,CQ420-CE144),0),0)</f>
        <v>0</v>
      </c>
    </row>
    <row r="421" spans="21:99" x14ac:dyDescent="0.3">
      <c r="U421">
        <v>415</v>
      </c>
      <c r="V421">
        <f t="shared" si="388"/>
        <v>104</v>
      </c>
      <c r="W421">
        <f t="shared" si="389"/>
        <v>3</v>
      </c>
      <c r="X421">
        <f t="shared" si="390"/>
        <v>0</v>
      </c>
      <c r="Y421">
        <f>IF(X421&lt;&gt;1,9999,CHOOSE(W421,INDEX(Gantt!$BQ$7:$BQ$119,V421),INDEX(Gantt!$BR$7:$BR$119,V421),INDEX(Gantt!$BT$7:$BT$119,V421),INDEX(Gantt!$BU$7:$BU$119,V421)))</f>
        <v>9999</v>
      </c>
      <c r="Z421">
        <f t="shared" si="391"/>
        <v>0</v>
      </c>
      <c r="AA421" t="e">
        <f t="shared" si="392"/>
        <v>#N/A</v>
      </c>
      <c r="AB421" t="e">
        <f t="shared" si="393"/>
        <v>#N/A</v>
      </c>
      <c r="AC421" t="e">
        <f t="shared" si="394"/>
        <v>#N/A</v>
      </c>
      <c r="AD421" t="e">
        <f t="shared" si="395"/>
        <v>#N/A</v>
      </c>
      <c r="AE421" t="e">
        <f t="shared" si="396"/>
        <v>#N/A</v>
      </c>
      <c r="AF421" t="e">
        <f t="shared" si="397"/>
        <v>#N/A</v>
      </c>
      <c r="AG421" t="e">
        <f t="shared" si="398"/>
        <v>#N/A</v>
      </c>
      <c r="AH421" t="e">
        <f t="shared" si="399"/>
        <v>#N/A</v>
      </c>
      <c r="AI421" t="e">
        <f t="shared" si="400"/>
        <v>#N/A</v>
      </c>
      <c r="AJ421" t="e">
        <f t="shared" si="401"/>
        <v>#N/A</v>
      </c>
      <c r="AK421" t="e">
        <f t="shared" si="402"/>
        <v>#N/A</v>
      </c>
      <c r="AL421" t="e">
        <f t="shared" si="403"/>
        <v>#N/A</v>
      </c>
      <c r="AM421" t="e">
        <f t="shared" si="404"/>
        <v>#N/A</v>
      </c>
      <c r="AN421" t="e">
        <f t="shared" si="405"/>
        <v>#N/A</v>
      </c>
      <c r="AO421" t="e">
        <f t="shared" si="406"/>
        <v>#N/A</v>
      </c>
      <c r="AP421" t="e">
        <f t="shared" si="407"/>
        <v>#N/A</v>
      </c>
      <c r="AQ421" t="e">
        <f t="shared" si="408"/>
        <v>#N/A</v>
      </c>
      <c r="AR421" t="e">
        <f t="shared" si="409"/>
        <v>#N/A</v>
      </c>
      <c r="AS421" t="e">
        <f t="shared" si="410"/>
        <v>#N/A</v>
      </c>
      <c r="AT421" t="e">
        <f t="shared" si="411"/>
        <v>#N/A</v>
      </c>
      <c r="AU421" t="e">
        <f t="shared" si="412"/>
        <v>#N/A</v>
      </c>
      <c r="AV421" t="e">
        <f t="shared" si="413"/>
        <v>#N/A</v>
      </c>
      <c r="AW421" t="e">
        <f t="shared" si="414"/>
        <v>#N/A</v>
      </c>
      <c r="AX421" t="e">
        <f t="shared" si="415"/>
        <v>#N/A</v>
      </c>
      <c r="AY421" t="e">
        <f t="shared" si="416"/>
        <v>#N/A</v>
      </c>
      <c r="BE421" t="e">
        <f>IF(Z421=1,IF(INDEX($C$7:$C$126,V421)&gt;=Gantt!$BF$6,NA(),MATCH(INDEX($C$7:$C$126,V421),Gantt!$J$6:$BE$6,1)),NA())</f>
        <v>#N/A</v>
      </c>
      <c r="BF421" t="e">
        <f>IF(Z421=1,IF((INDEX($D$7:$D$126,AA421)-1)&gt;=Gantt!$BF$6,NA(),IF((INDEX($D$7:$D$126,AA421)-1)&lt;Gantt!$J$6,0,MATCH((INDEX($D$7:$D$126,AA421)-1),Gantt!$J$6:$BE$6,1))),NA())</f>
        <v>#N/A</v>
      </c>
      <c r="BG421" t="e">
        <f t="shared" si="417"/>
        <v>#N/A</v>
      </c>
      <c r="BH421" t="e">
        <f t="shared" si="418"/>
        <v>#N/A</v>
      </c>
      <c r="BI421" t="e">
        <f t="shared" si="419"/>
        <v>#N/A</v>
      </c>
      <c r="BJ421" t="e">
        <f t="shared" si="420"/>
        <v>#N/A</v>
      </c>
      <c r="BK421" t="e">
        <f t="shared" si="421"/>
        <v>#N/A</v>
      </c>
      <c r="BL421" t="e">
        <f t="shared" si="422"/>
        <v>#N/A</v>
      </c>
      <c r="BM421" t="e">
        <f t="shared" si="423"/>
        <v>#N/A</v>
      </c>
      <c r="BN421" t="e">
        <f t="shared" si="424"/>
        <v>#N/A</v>
      </c>
      <c r="BO421" t="e">
        <f t="shared" si="425"/>
        <v>#N/A</v>
      </c>
      <c r="BP421" t="e">
        <f t="shared" si="426"/>
        <v>#N/A</v>
      </c>
      <c r="BQ421" t="e">
        <f t="shared" si="427"/>
        <v>#N/A</v>
      </c>
      <c r="BR421" t="e">
        <f t="shared" si="428"/>
        <v>#N/A</v>
      </c>
      <c r="BS421" t="e">
        <f t="shared" si="429"/>
        <v>#N/A</v>
      </c>
      <c r="BT421" t="e">
        <f t="shared" si="430"/>
        <v>#N/A</v>
      </c>
      <c r="BU421" t="e">
        <f t="shared" si="431"/>
        <v>#N/A</v>
      </c>
      <c r="BV421" t="e">
        <f t="shared" si="432"/>
        <v>#N/A</v>
      </c>
      <c r="BW421" t="e">
        <f t="shared" si="433"/>
        <v>#N/A</v>
      </c>
      <c r="BX421" t="e">
        <f t="shared" si="434"/>
        <v>#N/A</v>
      </c>
      <c r="BY421" t="e">
        <f t="shared" si="435"/>
        <v>#N/A</v>
      </c>
      <c r="BZ421" t="e">
        <f t="shared" si="436"/>
        <v>#N/A</v>
      </c>
      <c r="CA421" t="e">
        <f t="shared" si="437"/>
        <v>#N/A</v>
      </c>
      <c r="CB421" t="e">
        <f t="shared" si="438"/>
        <v>#N/A</v>
      </c>
      <c r="CC421" t="e">
        <f t="shared" si="439"/>
        <v>#N/A</v>
      </c>
      <c r="CD421" t="e">
        <f t="shared" si="440"/>
        <v>#N/A</v>
      </c>
      <c r="CE421" t="e">
        <f t="shared" si="441"/>
        <v>#N/A</v>
      </c>
      <c r="CF421" t="e">
        <f t="shared" si="442"/>
        <v>#N/A</v>
      </c>
      <c r="CG421" t="e">
        <f t="shared" si="443"/>
        <v>#N/A</v>
      </c>
      <c r="CI421" t="e">
        <f>AL145</f>
        <v>#N/A</v>
      </c>
      <c r="CJ421" t="e">
        <f>AM145</f>
        <v>#N/A</v>
      </c>
      <c r="CK421">
        <f>IF(ISNUMBER(CI421),IFERROR(MAX(0,AN145-CI421),0),0)</f>
        <v>0</v>
      </c>
      <c r="CL421">
        <f>IF(ISNUMBER(CI421),IFERROR(MAX(0,CI421-AN145),0),0)</f>
        <v>0</v>
      </c>
      <c r="CM421">
        <f>IF(ISNUMBER(CJ421),IFERROR(MAX(0,AO145-CJ421),0),0)</f>
        <v>0</v>
      </c>
      <c r="CN421">
        <f>IF(ISNUMBER(CJ421),IFERROR(MAX(0,CJ421-AO145),0),0)</f>
        <v>0</v>
      </c>
      <c r="CP421" t="e">
        <f>BT145</f>
        <v>#N/A</v>
      </c>
      <c r="CQ421" t="e">
        <f>BU145</f>
        <v>#N/A</v>
      </c>
      <c r="CR421">
        <f>IF(ISNUMBER(CP421),IFERROR(MAX(0,BV145-CP421),0),0)</f>
        <v>0</v>
      </c>
      <c r="CS421">
        <f>IF(ISNUMBER(CP421),IFERROR(MAX(0,CP421-BV145),0),0)</f>
        <v>0</v>
      </c>
      <c r="CT421">
        <f>IF(ISNUMBER(CQ421),IFERROR(MAX(0,BW145-CQ421),0),0)</f>
        <v>0</v>
      </c>
      <c r="CU421">
        <f>IF(ISNUMBER(CQ421),IFERROR(MAX(0,CQ421-BW145),0),0)</f>
        <v>0</v>
      </c>
    </row>
    <row r="422" spans="21:99" x14ac:dyDescent="0.3">
      <c r="U422">
        <v>416</v>
      </c>
      <c r="V422">
        <f t="shared" si="388"/>
        <v>104</v>
      </c>
      <c r="W422">
        <f t="shared" si="389"/>
        <v>4</v>
      </c>
      <c r="X422">
        <f t="shared" si="390"/>
        <v>0</v>
      </c>
      <c r="Y422">
        <f>IF(X422&lt;&gt;1,9999,CHOOSE(W422,INDEX(Gantt!$BQ$7:$BQ$119,V422),INDEX(Gantt!$BR$7:$BR$119,V422),INDEX(Gantt!$BT$7:$BT$119,V422),INDEX(Gantt!$BU$7:$BU$119,V422)))</f>
        <v>9999</v>
      </c>
      <c r="Z422">
        <f t="shared" si="391"/>
        <v>0</v>
      </c>
      <c r="AA422" t="e">
        <f t="shared" si="392"/>
        <v>#N/A</v>
      </c>
      <c r="AB422" t="e">
        <f t="shared" si="393"/>
        <v>#N/A</v>
      </c>
      <c r="AC422" t="e">
        <f t="shared" si="394"/>
        <v>#N/A</v>
      </c>
      <c r="AD422" t="e">
        <f t="shared" si="395"/>
        <v>#N/A</v>
      </c>
      <c r="AE422" t="e">
        <f t="shared" si="396"/>
        <v>#N/A</v>
      </c>
      <c r="AF422" t="e">
        <f t="shared" si="397"/>
        <v>#N/A</v>
      </c>
      <c r="AG422" t="e">
        <f t="shared" si="398"/>
        <v>#N/A</v>
      </c>
      <c r="AH422" t="e">
        <f t="shared" si="399"/>
        <v>#N/A</v>
      </c>
      <c r="AI422" t="e">
        <f t="shared" si="400"/>
        <v>#N/A</v>
      </c>
      <c r="AJ422" t="e">
        <f t="shared" si="401"/>
        <v>#N/A</v>
      </c>
      <c r="AK422" t="e">
        <f t="shared" si="402"/>
        <v>#N/A</v>
      </c>
      <c r="AL422" t="e">
        <f t="shared" si="403"/>
        <v>#N/A</v>
      </c>
      <c r="AM422" t="e">
        <f t="shared" si="404"/>
        <v>#N/A</v>
      </c>
      <c r="AN422" t="e">
        <f t="shared" si="405"/>
        <v>#N/A</v>
      </c>
      <c r="AO422" t="e">
        <f t="shared" si="406"/>
        <v>#N/A</v>
      </c>
      <c r="AP422" t="e">
        <f t="shared" si="407"/>
        <v>#N/A</v>
      </c>
      <c r="AQ422" t="e">
        <f t="shared" si="408"/>
        <v>#N/A</v>
      </c>
      <c r="AR422" t="e">
        <f t="shared" si="409"/>
        <v>#N/A</v>
      </c>
      <c r="AS422" t="e">
        <f t="shared" si="410"/>
        <v>#N/A</v>
      </c>
      <c r="AT422" t="e">
        <f t="shared" si="411"/>
        <v>#N/A</v>
      </c>
      <c r="AU422" t="e">
        <f t="shared" si="412"/>
        <v>#N/A</v>
      </c>
      <c r="AV422" t="e">
        <f t="shared" si="413"/>
        <v>#N/A</v>
      </c>
      <c r="AW422" t="e">
        <f t="shared" si="414"/>
        <v>#N/A</v>
      </c>
      <c r="AX422" t="e">
        <f t="shared" si="415"/>
        <v>#N/A</v>
      </c>
      <c r="AY422" t="e">
        <f t="shared" si="416"/>
        <v>#N/A</v>
      </c>
      <c r="BE422" t="e">
        <f>IF(Z422=1,IF(INDEX($C$7:$C$126,V422)&gt;=Gantt!$BF$6,NA(),MATCH(INDEX($C$7:$C$126,V422),Gantt!$J$6:$BE$6,1)),NA())</f>
        <v>#N/A</v>
      </c>
      <c r="BF422" t="e">
        <f>IF(Z422=1,IF((INDEX($D$7:$D$126,AA422)-1)&gt;=Gantt!$BF$6,NA(),IF((INDEX($D$7:$D$126,AA422)-1)&lt;Gantt!$J$6,0,MATCH((INDEX($D$7:$D$126,AA422)-1),Gantt!$J$6:$BE$6,1))),NA())</f>
        <v>#N/A</v>
      </c>
      <c r="BG422" t="e">
        <f t="shared" si="417"/>
        <v>#N/A</v>
      </c>
      <c r="BH422" t="e">
        <f t="shared" si="418"/>
        <v>#N/A</v>
      </c>
      <c r="BI422" t="e">
        <f t="shared" si="419"/>
        <v>#N/A</v>
      </c>
      <c r="BJ422" t="e">
        <f t="shared" si="420"/>
        <v>#N/A</v>
      </c>
      <c r="BK422" t="e">
        <f t="shared" si="421"/>
        <v>#N/A</v>
      </c>
      <c r="BL422" t="e">
        <f t="shared" si="422"/>
        <v>#N/A</v>
      </c>
      <c r="BM422" t="e">
        <f t="shared" si="423"/>
        <v>#N/A</v>
      </c>
      <c r="BN422" t="e">
        <f t="shared" si="424"/>
        <v>#N/A</v>
      </c>
      <c r="BO422" t="e">
        <f t="shared" si="425"/>
        <v>#N/A</v>
      </c>
      <c r="BP422" t="e">
        <f t="shared" si="426"/>
        <v>#N/A</v>
      </c>
      <c r="BQ422" t="e">
        <f t="shared" si="427"/>
        <v>#N/A</v>
      </c>
      <c r="BR422" t="e">
        <f t="shared" si="428"/>
        <v>#N/A</v>
      </c>
      <c r="BS422" t="e">
        <f t="shared" si="429"/>
        <v>#N/A</v>
      </c>
      <c r="BT422" t="e">
        <f t="shared" si="430"/>
        <v>#N/A</v>
      </c>
      <c r="BU422" t="e">
        <f t="shared" si="431"/>
        <v>#N/A</v>
      </c>
      <c r="BV422" t="e">
        <f t="shared" si="432"/>
        <v>#N/A</v>
      </c>
      <c r="BW422" t="e">
        <f t="shared" si="433"/>
        <v>#N/A</v>
      </c>
      <c r="BX422" t="e">
        <f t="shared" si="434"/>
        <v>#N/A</v>
      </c>
      <c r="BY422" t="e">
        <f t="shared" si="435"/>
        <v>#N/A</v>
      </c>
      <c r="BZ422" t="e">
        <f t="shared" si="436"/>
        <v>#N/A</v>
      </c>
      <c r="CA422" t="e">
        <f t="shared" si="437"/>
        <v>#N/A</v>
      </c>
      <c r="CB422" t="e">
        <f t="shared" si="438"/>
        <v>#N/A</v>
      </c>
      <c r="CC422" t="e">
        <f t="shared" si="439"/>
        <v>#N/A</v>
      </c>
      <c r="CD422" t="e">
        <f t="shared" si="440"/>
        <v>#N/A</v>
      </c>
      <c r="CE422" t="e">
        <f t="shared" si="441"/>
        <v>#N/A</v>
      </c>
      <c r="CF422" t="e">
        <f t="shared" si="442"/>
        <v>#N/A</v>
      </c>
      <c r="CG422" t="e">
        <f t="shared" si="443"/>
        <v>#N/A</v>
      </c>
      <c r="CI422" t="e">
        <f>AP145</f>
        <v>#N/A</v>
      </c>
      <c r="CJ422" t="e">
        <f>AQ145</f>
        <v>#N/A</v>
      </c>
      <c r="CK422">
        <f>IF(ISNUMBER(CI422),IFERROR(MAX(0,AR145-CI422),0),0)</f>
        <v>0</v>
      </c>
      <c r="CL422">
        <f>IF(ISNUMBER(CI422),IFERROR(MAX(0,CI422-AR145),0),0)</f>
        <v>0</v>
      </c>
      <c r="CM422">
        <f>IF(ISNUMBER(CJ422),IFERROR(MAX(0,AS145-CJ422),0),0)</f>
        <v>0</v>
      </c>
      <c r="CN422">
        <f>IF(ISNUMBER(CJ422),IFERROR(MAX(0,CJ422-AS145),0),0)</f>
        <v>0</v>
      </c>
      <c r="CP422" t="e">
        <f>BX145</f>
        <v>#N/A</v>
      </c>
      <c r="CQ422" t="e">
        <f>BY145</f>
        <v>#N/A</v>
      </c>
      <c r="CR422">
        <f>IF(ISNUMBER(CP422),IFERROR(MAX(0,BZ145-CP422),0),0)</f>
        <v>0</v>
      </c>
      <c r="CS422">
        <f>IF(ISNUMBER(CP422),IFERROR(MAX(0,CP422-BZ145),0),0)</f>
        <v>0</v>
      </c>
      <c r="CT422">
        <f>IF(ISNUMBER(CQ422),IFERROR(MAX(0,CA145-CQ422),0),0)</f>
        <v>0</v>
      </c>
      <c r="CU422">
        <f>IF(ISNUMBER(CQ422),IFERROR(MAX(0,CQ422-CA145),0),0)</f>
        <v>0</v>
      </c>
    </row>
    <row r="423" spans="21:99" x14ac:dyDescent="0.3">
      <c r="U423">
        <v>417</v>
      </c>
      <c r="V423">
        <f t="shared" si="388"/>
        <v>105</v>
      </c>
      <c r="W423">
        <f t="shared" si="389"/>
        <v>1</v>
      </c>
      <c r="X423">
        <f t="shared" si="390"/>
        <v>0</v>
      </c>
      <c r="Y423">
        <f>IF(X423&lt;&gt;1,9999,CHOOSE(W423,INDEX(Gantt!$BQ$7:$BQ$119,V423),INDEX(Gantt!$BR$7:$BR$119,V423),INDEX(Gantt!$BT$7:$BT$119,V423),INDEX(Gantt!$BU$7:$BU$119,V423)))</f>
        <v>9999</v>
      </c>
      <c r="Z423">
        <f t="shared" si="391"/>
        <v>0</v>
      </c>
      <c r="AA423" t="e">
        <f t="shared" si="392"/>
        <v>#N/A</v>
      </c>
      <c r="AB423" t="e">
        <f t="shared" si="393"/>
        <v>#N/A</v>
      </c>
      <c r="AC423" t="e">
        <f t="shared" si="394"/>
        <v>#N/A</v>
      </c>
      <c r="AD423" t="e">
        <f t="shared" si="395"/>
        <v>#N/A</v>
      </c>
      <c r="AE423" t="e">
        <f t="shared" si="396"/>
        <v>#N/A</v>
      </c>
      <c r="AF423" t="e">
        <f t="shared" si="397"/>
        <v>#N/A</v>
      </c>
      <c r="AG423" t="e">
        <f t="shared" si="398"/>
        <v>#N/A</v>
      </c>
      <c r="AH423" t="e">
        <f t="shared" si="399"/>
        <v>#N/A</v>
      </c>
      <c r="AI423" t="e">
        <f t="shared" si="400"/>
        <v>#N/A</v>
      </c>
      <c r="AJ423" t="e">
        <f t="shared" si="401"/>
        <v>#N/A</v>
      </c>
      <c r="AK423" t="e">
        <f t="shared" si="402"/>
        <v>#N/A</v>
      </c>
      <c r="AL423" t="e">
        <f t="shared" si="403"/>
        <v>#N/A</v>
      </c>
      <c r="AM423" t="e">
        <f t="shared" si="404"/>
        <v>#N/A</v>
      </c>
      <c r="AN423" t="e">
        <f t="shared" si="405"/>
        <v>#N/A</v>
      </c>
      <c r="AO423" t="e">
        <f t="shared" si="406"/>
        <v>#N/A</v>
      </c>
      <c r="AP423" t="e">
        <f t="shared" si="407"/>
        <v>#N/A</v>
      </c>
      <c r="AQ423" t="e">
        <f t="shared" si="408"/>
        <v>#N/A</v>
      </c>
      <c r="AR423" t="e">
        <f t="shared" si="409"/>
        <v>#N/A</v>
      </c>
      <c r="AS423" t="e">
        <f t="shared" si="410"/>
        <v>#N/A</v>
      </c>
      <c r="AT423" t="e">
        <f t="shared" si="411"/>
        <v>#N/A</v>
      </c>
      <c r="AU423" t="e">
        <f t="shared" si="412"/>
        <v>#N/A</v>
      </c>
      <c r="AV423" t="e">
        <f t="shared" si="413"/>
        <v>#N/A</v>
      </c>
      <c r="AW423" t="e">
        <f t="shared" si="414"/>
        <v>#N/A</v>
      </c>
      <c r="AX423" t="e">
        <f t="shared" si="415"/>
        <v>#N/A</v>
      </c>
      <c r="AY423" t="e">
        <f t="shared" si="416"/>
        <v>#N/A</v>
      </c>
      <c r="BE423" t="e">
        <f>IF(Z423=1,IF(INDEX($C$7:$C$126,V423)&gt;=Gantt!$BF$6,NA(),MATCH(INDEX($C$7:$C$126,V423),Gantt!$J$6:$BE$6,1)),NA())</f>
        <v>#N/A</v>
      </c>
      <c r="BF423" t="e">
        <f>IF(Z423=1,IF((INDEX($D$7:$D$126,AA423)-1)&gt;=Gantt!$BF$6,NA(),IF((INDEX($D$7:$D$126,AA423)-1)&lt;Gantt!$J$6,0,MATCH((INDEX($D$7:$D$126,AA423)-1),Gantt!$J$6:$BE$6,1))),NA())</f>
        <v>#N/A</v>
      </c>
      <c r="BG423" t="e">
        <f t="shared" si="417"/>
        <v>#N/A</v>
      </c>
      <c r="BH423" t="e">
        <f t="shared" si="418"/>
        <v>#N/A</v>
      </c>
      <c r="BI423" t="e">
        <f t="shared" si="419"/>
        <v>#N/A</v>
      </c>
      <c r="BJ423" t="e">
        <f t="shared" si="420"/>
        <v>#N/A</v>
      </c>
      <c r="BK423" t="e">
        <f t="shared" si="421"/>
        <v>#N/A</v>
      </c>
      <c r="BL423" t="e">
        <f t="shared" si="422"/>
        <v>#N/A</v>
      </c>
      <c r="BM423" t="e">
        <f t="shared" si="423"/>
        <v>#N/A</v>
      </c>
      <c r="BN423" t="e">
        <f t="shared" si="424"/>
        <v>#N/A</v>
      </c>
      <c r="BO423" t="e">
        <f t="shared" si="425"/>
        <v>#N/A</v>
      </c>
      <c r="BP423" t="e">
        <f t="shared" si="426"/>
        <v>#N/A</v>
      </c>
      <c r="BQ423" t="e">
        <f t="shared" si="427"/>
        <v>#N/A</v>
      </c>
      <c r="BR423" t="e">
        <f t="shared" si="428"/>
        <v>#N/A</v>
      </c>
      <c r="BS423" t="e">
        <f t="shared" si="429"/>
        <v>#N/A</v>
      </c>
      <c r="BT423" t="e">
        <f t="shared" si="430"/>
        <v>#N/A</v>
      </c>
      <c r="BU423" t="e">
        <f t="shared" si="431"/>
        <v>#N/A</v>
      </c>
      <c r="BV423" t="e">
        <f t="shared" si="432"/>
        <v>#N/A</v>
      </c>
      <c r="BW423" t="e">
        <f t="shared" si="433"/>
        <v>#N/A</v>
      </c>
      <c r="BX423" t="e">
        <f t="shared" si="434"/>
        <v>#N/A</v>
      </c>
      <c r="BY423" t="e">
        <f t="shared" si="435"/>
        <v>#N/A</v>
      </c>
      <c r="BZ423" t="e">
        <f t="shared" si="436"/>
        <v>#N/A</v>
      </c>
      <c r="CA423" t="e">
        <f t="shared" si="437"/>
        <v>#N/A</v>
      </c>
      <c r="CB423" t="e">
        <f t="shared" si="438"/>
        <v>#N/A</v>
      </c>
      <c r="CC423" t="e">
        <f t="shared" si="439"/>
        <v>#N/A</v>
      </c>
      <c r="CD423" t="e">
        <f t="shared" si="440"/>
        <v>#N/A</v>
      </c>
      <c r="CE423" t="e">
        <f t="shared" si="441"/>
        <v>#N/A</v>
      </c>
      <c r="CF423" t="e">
        <f t="shared" si="442"/>
        <v>#N/A</v>
      </c>
      <c r="CG423" t="e">
        <f t="shared" si="443"/>
        <v>#N/A</v>
      </c>
      <c r="CI423" t="e">
        <f>AT145</f>
        <v>#N/A</v>
      </c>
      <c r="CJ423" t="e">
        <f>AU145</f>
        <v>#N/A</v>
      </c>
      <c r="CK423">
        <f>IF(ISNUMBER(CI423),IFERROR(MAX(0,AV145-CI423),0),0)</f>
        <v>0</v>
      </c>
      <c r="CL423">
        <f>IF(ISNUMBER(CI423),IFERROR(MAX(0,CI423-AV145),0),0)</f>
        <v>0</v>
      </c>
      <c r="CM423">
        <f>IF(ISNUMBER(CJ423),IFERROR(MAX(0,AW145-CJ423),0),0)</f>
        <v>0</v>
      </c>
      <c r="CN423">
        <f>IF(ISNUMBER(CJ423),IFERROR(MAX(0,CJ423-AW145),0),0)</f>
        <v>0</v>
      </c>
      <c r="CP423" t="e">
        <f>CB145</f>
        <v>#N/A</v>
      </c>
      <c r="CQ423" t="e">
        <f>CC145</f>
        <v>#N/A</v>
      </c>
      <c r="CR423">
        <f>IF(ISNUMBER(CP423),IFERROR(MAX(0,CD145-CP423),0),0)</f>
        <v>0</v>
      </c>
      <c r="CS423">
        <f>IF(ISNUMBER(CP423),IFERROR(MAX(0,CP423-CD145),0),0)</f>
        <v>0</v>
      </c>
      <c r="CT423">
        <f>IF(ISNUMBER(CQ423),IFERROR(MAX(0,CE145-CQ423),0),0)</f>
        <v>0</v>
      </c>
      <c r="CU423">
        <f>IF(ISNUMBER(CQ423),IFERROR(MAX(0,CQ423-CE145),0),0)</f>
        <v>0</v>
      </c>
    </row>
    <row r="424" spans="21:99" x14ac:dyDescent="0.3">
      <c r="U424">
        <v>418</v>
      </c>
      <c r="V424">
        <f t="shared" si="388"/>
        <v>105</v>
      </c>
      <c r="W424">
        <f t="shared" si="389"/>
        <v>2</v>
      </c>
      <c r="X424">
        <f t="shared" si="390"/>
        <v>0</v>
      </c>
      <c r="Y424">
        <f>IF(X424&lt;&gt;1,9999,CHOOSE(W424,INDEX(Gantt!$BQ$7:$BQ$119,V424),INDEX(Gantt!$BR$7:$BR$119,V424),INDEX(Gantt!$BT$7:$BT$119,V424),INDEX(Gantt!$BU$7:$BU$119,V424)))</f>
        <v>9999</v>
      </c>
      <c r="Z424">
        <f t="shared" si="391"/>
        <v>0</v>
      </c>
      <c r="AA424" t="e">
        <f t="shared" si="392"/>
        <v>#N/A</v>
      </c>
      <c r="AB424" t="e">
        <f t="shared" si="393"/>
        <v>#N/A</v>
      </c>
      <c r="AC424" t="e">
        <f t="shared" si="394"/>
        <v>#N/A</v>
      </c>
      <c r="AD424" t="e">
        <f t="shared" si="395"/>
        <v>#N/A</v>
      </c>
      <c r="AE424" t="e">
        <f t="shared" si="396"/>
        <v>#N/A</v>
      </c>
      <c r="AF424" t="e">
        <f t="shared" si="397"/>
        <v>#N/A</v>
      </c>
      <c r="AG424" t="e">
        <f t="shared" si="398"/>
        <v>#N/A</v>
      </c>
      <c r="AH424" t="e">
        <f t="shared" si="399"/>
        <v>#N/A</v>
      </c>
      <c r="AI424" t="e">
        <f t="shared" si="400"/>
        <v>#N/A</v>
      </c>
      <c r="AJ424" t="e">
        <f t="shared" si="401"/>
        <v>#N/A</v>
      </c>
      <c r="AK424" t="e">
        <f t="shared" si="402"/>
        <v>#N/A</v>
      </c>
      <c r="AL424" t="e">
        <f t="shared" si="403"/>
        <v>#N/A</v>
      </c>
      <c r="AM424" t="e">
        <f t="shared" si="404"/>
        <v>#N/A</v>
      </c>
      <c r="AN424" t="e">
        <f t="shared" si="405"/>
        <v>#N/A</v>
      </c>
      <c r="AO424" t="e">
        <f t="shared" si="406"/>
        <v>#N/A</v>
      </c>
      <c r="AP424" t="e">
        <f t="shared" si="407"/>
        <v>#N/A</v>
      </c>
      <c r="AQ424" t="e">
        <f t="shared" si="408"/>
        <v>#N/A</v>
      </c>
      <c r="AR424" t="e">
        <f t="shared" si="409"/>
        <v>#N/A</v>
      </c>
      <c r="AS424" t="e">
        <f t="shared" si="410"/>
        <v>#N/A</v>
      </c>
      <c r="AT424" t="e">
        <f t="shared" si="411"/>
        <v>#N/A</v>
      </c>
      <c r="AU424" t="e">
        <f t="shared" si="412"/>
        <v>#N/A</v>
      </c>
      <c r="AV424" t="e">
        <f t="shared" si="413"/>
        <v>#N/A</v>
      </c>
      <c r="AW424" t="e">
        <f t="shared" si="414"/>
        <v>#N/A</v>
      </c>
      <c r="AX424" t="e">
        <f t="shared" si="415"/>
        <v>#N/A</v>
      </c>
      <c r="AY424" t="e">
        <f t="shared" si="416"/>
        <v>#N/A</v>
      </c>
      <c r="BE424" t="e">
        <f>IF(Z424=1,IF(INDEX($C$7:$C$126,V424)&gt;=Gantt!$BF$6,NA(),MATCH(INDEX($C$7:$C$126,V424),Gantt!$J$6:$BE$6,1)),NA())</f>
        <v>#N/A</v>
      </c>
      <c r="BF424" t="e">
        <f>IF(Z424=1,IF((INDEX($D$7:$D$126,AA424)-1)&gt;=Gantt!$BF$6,NA(),IF((INDEX($D$7:$D$126,AA424)-1)&lt;Gantt!$J$6,0,MATCH((INDEX($D$7:$D$126,AA424)-1),Gantt!$J$6:$BE$6,1))),NA())</f>
        <v>#N/A</v>
      </c>
      <c r="BG424" t="e">
        <f t="shared" si="417"/>
        <v>#N/A</v>
      </c>
      <c r="BH424" t="e">
        <f t="shared" si="418"/>
        <v>#N/A</v>
      </c>
      <c r="BI424" t="e">
        <f t="shared" si="419"/>
        <v>#N/A</v>
      </c>
      <c r="BJ424" t="e">
        <f t="shared" si="420"/>
        <v>#N/A</v>
      </c>
      <c r="BK424" t="e">
        <f t="shared" si="421"/>
        <v>#N/A</v>
      </c>
      <c r="BL424" t="e">
        <f t="shared" si="422"/>
        <v>#N/A</v>
      </c>
      <c r="BM424" t="e">
        <f t="shared" si="423"/>
        <v>#N/A</v>
      </c>
      <c r="BN424" t="e">
        <f t="shared" si="424"/>
        <v>#N/A</v>
      </c>
      <c r="BO424" t="e">
        <f t="shared" si="425"/>
        <v>#N/A</v>
      </c>
      <c r="BP424" t="e">
        <f t="shared" si="426"/>
        <v>#N/A</v>
      </c>
      <c r="BQ424" t="e">
        <f t="shared" si="427"/>
        <v>#N/A</v>
      </c>
      <c r="BR424" t="e">
        <f t="shared" si="428"/>
        <v>#N/A</v>
      </c>
      <c r="BS424" t="e">
        <f t="shared" si="429"/>
        <v>#N/A</v>
      </c>
      <c r="BT424" t="e">
        <f t="shared" si="430"/>
        <v>#N/A</v>
      </c>
      <c r="BU424" t="e">
        <f t="shared" si="431"/>
        <v>#N/A</v>
      </c>
      <c r="BV424" t="e">
        <f t="shared" si="432"/>
        <v>#N/A</v>
      </c>
      <c r="BW424" t="e">
        <f t="shared" si="433"/>
        <v>#N/A</v>
      </c>
      <c r="BX424" t="e">
        <f t="shared" si="434"/>
        <v>#N/A</v>
      </c>
      <c r="BY424" t="e">
        <f t="shared" si="435"/>
        <v>#N/A</v>
      </c>
      <c r="BZ424" t="e">
        <f t="shared" si="436"/>
        <v>#N/A</v>
      </c>
      <c r="CA424" t="e">
        <f t="shared" si="437"/>
        <v>#N/A</v>
      </c>
      <c r="CB424" t="e">
        <f t="shared" si="438"/>
        <v>#N/A</v>
      </c>
      <c r="CC424" t="e">
        <f t="shared" si="439"/>
        <v>#N/A</v>
      </c>
      <c r="CD424" t="e">
        <f t="shared" si="440"/>
        <v>#N/A</v>
      </c>
      <c r="CE424" t="e">
        <f t="shared" si="441"/>
        <v>#N/A</v>
      </c>
      <c r="CF424" t="e">
        <f t="shared" si="442"/>
        <v>#N/A</v>
      </c>
      <c r="CG424" t="e">
        <f t="shared" si="443"/>
        <v>#N/A</v>
      </c>
      <c r="CI424" t="e">
        <f>AL146</f>
        <v>#N/A</v>
      </c>
      <c r="CJ424" t="e">
        <f>AM146</f>
        <v>#N/A</v>
      </c>
      <c r="CK424">
        <f>IF(ISNUMBER(CI424),IFERROR(MAX(0,AN146-CI424),0),0)</f>
        <v>0</v>
      </c>
      <c r="CL424">
        <f>IF(ISNUMBER(CI424),IFERROR(MAX(0,CI424-AN146),0),0)</f>
        <v>0</v>
      </c>
      <c r="CM424">
        <f>IF(ISNUMBER(CJ424),IFERROR(MAX(0,AO146-CJ424),0),0)</f>
        <v>0</v>
      </c>
      <c r="CN424">
        <f>IF(ISNUMBER(CJ424),IFERROR(MAX(0,CJ424-AO146),0),0)</f>
        <v>0</v>
      </c>
      <c r="CP424" t="e">
        <f>BT146</f>
        <v>#N/A</v>
      </c>
      <c r="CQ424" t="e">
        <f>BU146</f>
        <v>#N/A</v>
      </c>
      <c r="CR424">
        <f>IF(ISNUMBER(CP424),IFERROR(MAX(0,BV146-CP424),0),0)</f>
        <v>0</v>
      </c>
      <c r="CS424">
        <f>IF(ISNUMBER(CP424),IFERROR(MAX(0,CP424-BV146),0),0)</f>
        <v>0</v>
      </c>
      <c r="CT424">
        <f>IF(ISNUMBER(CQ424),IFERROR(MAX(0,BW146-CQ424),0),0)</f>
        <v>0</v>
      </c>
      <c r="CU424">
        <f>IF(ISNUMBER(CQ424),IFERROR(MAX(0,CQ424-BW146),0),0)</f>
        <v>0</v>
      </c>
    </row>
    <row r="425" spans="21:99" x14ac:dyDescent="0.3">
      <c r="U425">
        <v>419</v>
      </c>
      <c r="V425">
        <f t="shared" si="388"/>
        <v>105</v>
      </c>
      <c r="W425">
        <f t="shared" si="389"/>
        <v>3</v>
      </c>
      <c r="X425">
        <f t="shared" si="390"/>
        <v>0</v>
      </c>
      <c r="Y425">
        <f>IF(X425&lt;&gt;1,9999,CHOOSE(W425,INDEX(Gantt!$BQ$7:$BQ$119,V425),INDEX(Gantt!$BR$7:$BR$119,V425),INDEX(Gantt!$BT$7:$BT$119,V425),INDEX(Gantt!$BU$7:$BU$119,V425)))</f>
        <v>9999</v>
      </c>
      <c r="Z425">
        <f t="shared" si="391"/>
        <v>0</v>
      </c>
      <c r="AA425" t="e">
        <f t="shared" si="392"/>
        <v>#N/A</v>
      </c>
      <c r="AB425" t="e">
        <f t="shared" si="393"/>
        <v>#N/A</v>
      </c>
      <c r="AC425" t="e">
        <f t="shared" si="394"/>
        <v>#N/A</v>
      </c>
      <c r="AD425" t="e">
        <f t="shared" si="395"/>
        <v>#N/A</v>
      </c>
      <c r="AE425" t="e">
        <f t="shared" si="396"/>
        <v>#N/A</v>
      </c>
      <c r="AF425" t="e">
        <f t="shared" si="397"/>
        <v>#N/A</v>
      </c>
      <c r="AG425" t="e">
        <f t="shared" si="398"/>
        <v>#N/A</v>
      </c>
      <c r="AH425" t="e">
        <f t="shared" si="399"/>
        <v>#N/A</v>
      </c>
      <c r="AI425" t="e">
        <f t="shared" si="400"/>
        <v>#N/A</v>
      </c>
      <c r="AJ425" t="e">
        <f t="shared" si="401"/>
        <v>#N/A</v>
      </c>
      <c r="AK425" t="e">
        <f t="shared" si="402"/>
        <v>#N/A</v>
      </c>
      <c r="AL425" t="e">
        <f t="shared" si="403"/>
        <v>#N/A</v>
      </c>
      <c r="AM425" t="e">
        <f t="shared" si="404"/>
        <v>#N/A</v>
      </c>
      <c r="AN425" t="e">
        <f t="shared" si="405"/>
        <v>#N/A</v>
      </c>
      <c r="AO425" t="e">
        <f t="shared" si="406"/>
        <v>#N/A</v>
      </c>
      <c r="AP425" t="e">
        <f t="shared" si="407"/>
        <v>#N/A</v>
      </c>
      <c r="AQ425" t="e">
        <f t="shared" si="408"/>
        <v>#N/A</v>
      </c>
      <c r="AR425" t="e">
        <f t="shared" si="409"/>
        <v>#N/A</v>
      </c>
      <c r="AS425" t="e">
        <f t="shared" si="410"/>
        <v>#N/A</v>
      </c>
      <c r="AT425" t="e">
        <f t="shared" si="411"/>
        <v>#N/A</v>
      </c>
      <c r="AU425" t="e">
        <f t="shared" si="412"/>
        <v>#N/A</v>
      </c>
      <c r="AV425" t="e">
        <f t="shared" si="413"/>
        <v>#N/A</v>
      </c>
      <c r="AW425" t="e">
        <f t="shared" si="414"/>
        <v>#N/A</v>
      </c>
      <c r="AX425" t="e">
        <f t="shared" si="415"/>
        <v>#N/A</v>
      </c>
      <c r="AY425" t="e">
        <f t="shared" si="416"/>
        <v>#N/A</v>
      </c>
      <c r="BE425" t="e">
        <f>IF(Z425=1,IF(INDEX($C$7:$C$126,V425)&gt;=Gantt!$BF$6,NA(),MATCH(INDEX($C$7:$C$126,V425),Gantt!$J$6:$BE$6,1)),NA())</f>
        <v>#N/A</v>
      </c>
      <c r="BF425" t="e">
        <f>IF(Z425=1,IF((INDEX($D$7:$D$126,AA425)-1)&gt;=Gantt!$BF$6,NA(),IF((INDEX($D$7:$D$126,AA425)-1)&lt;Gantt!$J$6,0,MATCH((INDEX($D$7:$D$126,AA425)-1),Gantt!$J$6:$BE$6,1))),NA())</f>
        <v>#N/A</v>
      </c>
      <c r="BG425" t="e">
        <f t="shared" si="417"/>
        <v>#N/A</v>
      </c>
      <c r="BH425" t="e">
        <f t="shared" si="418"/>
        <v>#N/A</v>
      </c>
      <c r="BI425" t="e">
        <f t="shared" si="419"/>
        <v>#N/A</v>
      </c>
      <c r="BJ425" t="e">
        <f t="shared" si="420"/>
        <v>#N/A</v>
      </c>
      <c r="BK425" t="e">
        <f t="shared" si="421"/>
        <v>#N/A</v>
      </c>
      <c r="BL425" t="e">
        <f t="shared" si="422"/>
        <v>#N/A</v>
      </c>
      <c r="BM425" t="e">
        <f t="shared" si="423"/>
        <v>#N/A</v>
      </c>
      <c r="BN425" t="e">
        <f t="shared" si="424"/>
        <v>#N/A</v>
      </c>
      <c r="BO425" t="e">
        <f t="shared" si="425"/>
        <v>#N/A</v>
      </c>
      <c r="BP425" t="e">
        <f t="shared" si="426"/>
        <v>#N/A</v>
      </c>
      <c r="BQ425" t="e">
        <f t="shared" si="427"/>
        <v>#N/A</v>
      </c>
      <c r="BR425" t="e">
        <f t="shared" si="428"/>
        <v>#N/A</v>
      </c>
      <c r="BS425" t="e">
        <f t="shared" si="429"/>
        <v>#N/A</v>
      </c>
      <c r="BT425" t="e">
        <f t="shared" si="430"/>
        <v>#N/A</v>
      </c>
      <c r="BU425" t="e">
        <f t="shared" si="431"/>
        <v>#N/A</v>
      </c>
      <c r="BV425" t="e">
        <f t="shared" si="432"/>
        <v>#N/A</v>
      </c>
      <c r="BW425" t="e">
        <f t="shared" si="433"/>
        <v>#N/A</v>
      </c>
      <c r="BX425" t="e">
        <f t="shared" si="434"/>
        <v>#N/A</v>
      </c>
      <c r="BY425" t="e">
        <f t="shared" si="435"/>
        <v>#N/A</v>
      </c>
      <c r="BZ425" t="e">
        <f t="shared" si="436"/>
        <v>#N/A</v>
      </c>
      <c r="CA425" t="e">
        <f t="shared" si="437"/>
        <v>#N/A</v>
      </c>
      <c r="CB425" t="e">
        <f t="shared" si="438"/>
        <v>#N/A</v>
      </c>
      <c r="CC425" t="e">
        <f t="shared" si="439"/>
        <v>#N/A</v>
      </c>
      <c r="CD425" t="e">
        <f t="shared" si="440"/>
        <v>#N/A</v>
      </c>
      <c r="CE425" t="e">
        <f t="shared" si="441"/>
        <v>#N/A</v>
      </c>
      <c r="CF425" t="e">
        <f t="shared" si="442"/>
        <v>#N/A</v>
      </c>
      <c r="CG425" t="e">
        <f t="shared" si="443"/>
        <v>#N/A</v>
      </c>
      <c r="CI425" t="e">
        <f>AP146</f>
        <v>#N/A</v>
      </c>
      <c r="CJ425" t="e">
        <f>AQ146</f>
        <v>#N/A</v>
      </c>
      <c r="CK425">
        <f>IF(ISNUMBER(CI425),IFERROR(MAX(0,AR146-CI425),0),0)</f>
        <v>0</v>
      </c>
      <c r="CL425">
        <f>IF(ISNUMBER(CI425),IFERROR(MAX(0,CI425-AR146),0),0)</f>
        <v>0</v>
      </c>
      <c r="CM425">
        <f>IF(ISNUMBER(CJ425),IFERROR(MAX(0,AS146-CJ425),0),0)</f>
        <v>0</v>
      </c>
      <c r="CN425">
        <f>IF(ISNUMBER(CJ425),IFERROR(MAX(0,CJ425-AS146),0),0)</f>
        <v>0</v>
      </c>
      <c r="CP425" t="e">
        <f>BX146</f>
        <v>#N/A</v>
      </c>
      <c r="CQ425" t="e">
        <f>BY146</f>
        <v>#N/A</v>
      </c>
      <c r="CR425">
        <f>IF(ISNUMBER(CP425),IFERROR(MAX(0,BZ146-CP425),0),0)</f>
        <v>0</v>
      </c>
      <c r="CS425">
        <f>IF(ISNUMBER(CP425),IFERROR(MAX(0,CP425-BZ146),0),0)</f>
        <v>0</v>
      </c>
      <c r="CT425">
        <f>IF(ISNUMBER(CQ425),IFERROR(MAX(0,CA146-CQ425),0),0)</f>
        <v>0</v>
      </c>
      <c r="CU425">
        <f>IF(ISNUMBER(CQ425),IFERROR(MAX(0,CQ425-CA146),0),0)</f>
        <v>0</v>
      </c>
    </row>
    <row r="426" spans="21:99" x14ac:dyDescent="0.3">
      <c r="U426">
        <v>420</v>
      </c>
      <c r="V426">
        <f t="shared" si="388"/>
        <v>105</v>
      </c>
      <c r="W426">
        <f t="shared" si="389"/>
        <v>4</v>
      </c>
      <c r="X426">
        <f t="shared" si="390"/>
        <v>0</v>
      </c>
      <c r="Y426">
        <f>IF(X426&lt;&gt;1,9999,CHOOSE(W426,INDEX(Gantt!$BQ$7:$BQ$119,V426),INDEX(Gantt!$BR$7:$BR$119,V426),INDEX(Gantt!$BT$7:$BT$119,V426),INDEX(Gantt!$BU$7:$BU$119,V426)))</f>
        <v>9999</v>
      </c>
      <c r="Z426">
        <f t="shared" si="391"/>
        <v>0</v>
      </c>
      <c r="AA426" t="e">
        <f t="shared" si="392"/>
        <v>#N/A</v>
      </c>
      <c r="AB426" t="e">
        <f t="shared" si="393"/>
        <v>#N/A</v>
      </c>
      <c r="AC426" t="e">
        <f t="shared" si="394"/>
        <v>#N/A</v>
      </c>
      <c r="AD426" t="e">
        <f t="shared" si="395"/>
        <v>#N/A</v>
      </c>
      <c r="AE426" t="e">
        <f t="shared" si="396"/>
        <v>#N/A</v>
      </c>
      <c r="AF426" t="e">
        <f t="shared" si="397"/>
        <v>#N/A</v>
      </c>
      <c r="AG426" t="e">
        <f t="shared" si="398"/>
        <v>#N/A</v>
      </c>
      <c r="AH426" t="e">
        <f t="shared" si="399"/>
        <v>#N/A</v>
      </c>
      <c r="AI426" t="e">
        <f t="shared" si="400"/>
        <v>#N/A</v>
      </c>
      <c r="AJ426" t="e">
        <f t="shared" si="401"/>
        <v>#N/A</v>
      </c>
      <c r="AK426" t="e">
        <f t="shared" si="402"/>
        <v>#N/A</v>
      </c>
      <c r="AL426" t="e">
        <f t="shared" si="403"/>
        <v>#N/A</v>
      </c>
      <c r="AM426" t="e">
        <f t="shared" si="404"/>
        <v>#N/A</v>
      </c>
      <c r="AN426" t="e">
        <f t="shared" si="405"/>
        <v>#N/A</v>
      </c>
      <c r="AO426" t="e">
        <f t="shared" si="406"/>
        <v>#N/A</v>
      </c>
      <c r="AP426" t="e">
        <f t="shared" si="407"/>
        <v>#N/A</v>
      </c>
      <c r="AQ426" t="e">
        <f t="shared" si="408"/>
        <v>#N/A</v>
      </c>
      <c r="AR426" t="e">
        <f t="shared" si="409"/>
        <v>#N/A</v>
      </c>
      <c r="AS426" t="e">
        <f t="shared" si="410"/>
        <v>#N/A</v>
      </c>
      <c r="AT426" t="e">
        <f t="shared" si="411"/>
        <v>#N/A</v>
      </c>
      <c r="AU426" t="e">
        <f t="shared" si="412"/>
        <v>#N/A</v>
      </c>
      <c r="AV426" t="e">
        <f t="shared" si="413"/>
        <v>#N/A</v>
      </c>
      <c r="AW426" t="e">
        <f t="shared" si="414"/>
        <v>#N/A</v>
      </c>
      <c r="AX426" t="e">
        <f t="shared" si="415"/>
        <v>#N/A</v>
      </c>
      <c r="AY426" t="e">
        <f t="shared" si="416"/>
        <v>#N/A</v>
      </c>
      <c r="BE426" t="e">
        <f>IF(Z426=1,IF(INDEX($C$7:$C$126,V426)&gt;=Gantt!$BF$6,NA(),MATCH(INDEX($C$7:$C$126,V426),Gantt!$J$6:$BE$6,1)),NA())</f>
        <v>#N/A</v>
      </c>
      <c r="BF426" t="e">
        <f>IF(Z426=1,IF((INDEX($D$7:$D$126,AA426)-1)&gt;=Gantt!$BF$6,NA(),IF((INDEX($D$7:$D$126,AA426)-1)&lt;Gantt!$J$6,0,MATCH((INDEX($D$7:$D$126,AA426)-1),Gantt!$J$6:$BE$6,1))),NA())</f>
        <v>#N/A</v>
      </c>
      <c r="BG426" t="e">
        <f t="shared" si="417"/>
        <v>#N/A</v>
      </c>
      <c r="BH426" t="e">
        <f t="shared" si="418"/>
        <v>#N/A</v>
      </c>
      <c r="BI426" t="e">
        <f t="shared" si="419"/>
        <v>#N/A</v>
      </c>
      <c r="BJ426" t="e">
        <f t="shared" si="420"/>
        <v>#N/A</v>
      </c>
      <c r="BK426" t="e">
        <f t="shared" si="421"/>
        <v>#N/A</v>
      </c>
      <c r="BL426" t="e">
        <f t="shared" si="422"/>
        <v>#N/A</v>
      </c>
      <c r="BM426" t="e">
        <f t="shared" si="423"/>
        <v>#N/A</v>
      </c>
      <c r="BN426" t="e">
        <f t="shared" si="424"/>
        <v>#N/A</v>
      </c>
      <c r="BO426" t="e">
        <f t="shared" si="425"/>
        <v>#N/A</v>
      </c>
      <c r="BP426" t="e">
        <f t="shared" si="426"/>
        <v>#N/A</v>
      </c>
      <c r="BQ426" t="e">
        <f t="shared" si="427"/>
        <v>#N/A</v>
      </c>
      <c r="BR426" t="e">
        <f t="shared" si="428"/>
        <v>#N/A</v>
      </c>
      <c r="BS426" t="e">
        <f t="shared" si="429"/>
        <v>#N/A</v>
      </c>
      <c r="BT426" t="e">
        <f t="shared" si="430"/>
        <v>#N/A</v>
      </c>
      <c r="BU426" t="e">
        <f t="shared" si="431"/>
        <v>#N/A</v>
      </c>
      <c r="BV426" t="e">
        <f t="shared" si="432"/>
        <v>#N/A</v>
      </c>
      <c r="BW426" t="e">
        <f t="shared" si="433"/>
        <v>#N/A</v>
      </c>
      <c r="BX426" t="e">
        <f t="shared" si="434"/>
        <v>#N/A</v>
      </c>
      <c r="BY426" t="e">
        <f t="shared" si="435"/>
        <v>#N/A</v>
      </c>
      <c r="BZ426" t="e">
        <f t="shared" si="436"/>
        <v>#N/A</v>
      </c>
      <c r="CA426" t="e">
        <f t="shared" si="437"/>
        <v>#N/A</v>
      </c>
      <c r="CB426" t="e">
        <f t="shared" si="438"/>
        <v>#N/A</v>
      </c>
      <c r="CC426" t="e">
        <f t="shared" si="439"/>
        <v>#N/A</v>
      </c>
      <c r="CD426" t="e">
        <f t="shared" si="440"/>
        <v>#N/A</v>
      </c>
      <c r="CE426" t="e">
        <f t="shared" si="441"/>
        <v>#N/A</v>
      </c>
      <c r="CF426" t="e">
        <f t="shared" si="442"/>
        <v>#N/A</v>
      </c>
      <c r="CG426" t="e">
        <f t="shared" si="443"/>
        <v>#N/A</v>
      </c>
      <c r="CI426" t="e">
        <f>AT146</f>
        <v>#N/A</v>
      </c>
      <c r="CJ426" t="e">
        <f>AU146</f>
        <v>#N/A</v>
      </c>
      <c r="CK426">
        <f>IF(ISNUMBER(CI426),IFERROR(MAX(0,AV146-CI426),0),0)</f>
        <v>0</v>
      </c>
      <c r="CL426">
        <f>IF(ISNUMBER(CI426),IFERROR(MAX(0,CI426-AV146),0),0)</f>
        <v>0</v>
      </c>
      <c r="CM426">
        <f>IF(ISNUMBER(CJ426),IFERROR(MAX(0,AW146-CJ426),0),0)</f>
        <v>0</v>
      </c>
      <c r="CN426">
        <f>IF(ISNUMBER(CJ426),IFERROR(MAX(0,CJ426-AW146),0),0)</f>
        <v>0</v>
      </c>
      <c r="CP426" t="e">
        <f>CB146</f>
        <v>#N/A</v>
      </c>
      <c r="CQ426" t="e">
        <f>CC146</f>
        <v>#N/A</v>
      </c>
      <c r="CR426">
        <f>IF(ISNUMBER(CP426),IFERROR(MAX(0,CD146-CP426),0),0)</f>
        <v>0</v>
      </c>
      <c r="CS426">
        <f>IF(ISNUMBER(CP426),IFERROR(MAX(0,CP426-CD146),0),0)</f>
        <v>0</v>
      </c>
      <c r="CT426">
        <f>IF(ISNUMBER(CQ426),IFERROR(MAX(0,CE146-CQ426),0),0)</f>
        <v>0</v>
      </c>
      <c r="CU426">
        <f>IF(ISNUMBER(CQ426),IFERROR(MAX(0,CQ426-CE146),0),0)</f>
        <v>0</v>
      </c>
    </row>
    <row r="427" spans="21:99" x14ac:dyDescent="0.3">
      <c r="U427">
        <v>421</v>
      </c>
      <c r="V427">
        <f t="shared" si="388"/>
        <v>106</v>
      </c>
      <c r="W427">
        <f t="shared" si="389"/>
        <v>1</v>
      </c>
      <c r="X427">
        <f t="shared" si="390"/>
        <v>0</v>
      </c>
      <c r="Y427">
        <f>IF(X427&lt;&gt;1,9999,CHOOSE(W427,INDEX(Gantt!$BQ$7:$BQ$119,V427),INDEX(Gantt!$BR$7:$BR$119,V427),INDEX(Gantt!$BT$7:$BT$119,V427),INDEX(Gantt!$BU$7:$BU$119,V427)))</f>
        <v>9999</v>
      </c>
      <c r="Z427">
        <f t="shared" si="391"/>
        <v>0</v>
      </c>
      <c r="AA427" t="e">
        <f t="shared" si="392"/>
        <v>#N/A</v>
      </c>
      <c r="AB427" t="e">
        <f t="shared" si="393"/>
        <v>#N/A</v>
      </c>
      <c r="AC427" t="e">
        <f t="shared" si="394"/>
        <v>#N/A</v>
      </c>
      <c r="AD427" t="e">
        <f t="shared" si="395"/>
        <v>#N/A</v>
      </c>
      <c r="AE427" t="e">
        <f t="shared" si="396"/>
        <v>#N/A</v>
      </c>
      <c r="AF427" t="e">
        <f t="shared" si="397"/>
        <v>#N/A</v>
      </c>
      <c r="AG427" t="e">
        <f t="shared" si="398"/>
        <v>#N/A</v>
      </c>
      <c r="AH427" t="e">
        <f t="shared" si="399"/>
        <v>#N/A</v>
      </c>
      <c r="AI427" t="e">
        <f t="shared" si="400"/>
        <v>#N/A</v>
      </c>
      <c r="AJ427" t="e">
        <f t="shared" si="401"/>
        <v>#N/A</v>
      </c>
      <c r="AK427" t="e">
        <f t="shared" si="402"/>
        <v>#N/A</v>
      </c>
      <c r="AL427" t="e">
        <f t="shared" si="403"/>
        <v>#N/A</v>
      </c>
      <c r="AM427" t="e">
        <f t="shared" si="404"/>
        <v>#N/A</v>
      </c>
      <c r="AN427" t="e">
        <f t="shared" si="405"/>
        <v>#N/A</v>
      </c>
      <c r="AO427" t="e">
        <f t="shared" si="406"/>
        <v>#N/A</v>
      </c>
      <c r="AP427" t="e">
        <f t="shared" si="407"/>
        <v>#N/A</v>
      </c>
      <c r="AQ427" t="e">
        <f t="shared" si="408"/>
        <v>#N/A</v>
      </c>
      <c r="AR427" t="e">
        <f t="shared" si="409"/>
        <v>#N/A</v>
      </c>
      <c r="AS427" t="e">
        <f t="shared" si="410"/>
        <v>#N/A</v>
      </c>
      <c r="AT427" t="e">
        <f t="shared" si="411"/>
        <v>#N/A</v>
      </c>
      <c r="AU427" t="e">
        <f t="shared" si="412"/>
        <v>#N/A</v>
      </c>
      <c r="AV427" t="e">
        <f t="shared" si="413"/>
        <v>#N/A</v>
      </c>
      <c r="AW427" t="e">
        <f t="shared" si="414"/>
        <v>#N/A</v>
      </c>
      <c r="AX427" t="e">
        <f t="shared" si="415"/>
        <v>#N/A</v>
      </c>
      <c r="AY427" t="e">
        <f t="shared" si="416"/>
        <v>#N/A</v>
      </c>
      <c r="BE427" t="e">
        <f>IF(Z427=1,IF(INDEX($C$7:$C$126,V427)&gt;=Gantt!$BF$6,NA(),MATCH(INDEX($C$7:$C$126,V427),Gantt!$J$6:$BE$6,1)),NA())</f>
        <v>#N/A</v>
      </c>
      <c r="BF427" t="e">
        <f>IF(Z427=1,IF((INDEX($D$7:$D$126,AA427)-1)&gt;=Gantt!$BF$6,NA(),IF((INDEX($D$7:$D$126,AA427)-1)&lt;Gantt!$J$6,0,MATCH((INDEX($D$7:$D$126,AA427)-1),Gantt!$J$6:$BE$6,1))),NA())</f>
        <v>#N/A</v>
      </c>
      <c r="BG427" t="e">
        <f t="shared" si="417"/>
        <v>#N/A</v>
      </c>
      <c r="BH427" t="e">
        <f t="shared" si="418"/>
        <v>#N/A</v>
      </c>
      <c r="BI427" t="e">
        <f t="shared" si="419"/>
        <v>#N/A</v>
      </c>
      <c r="BJ427" t="e">
        <f t="shared" si="420"/>
        <v>#N/A</v>
      </c>
      <c r="BK427" t="e">
        <f t="shared" si="421"/>
        <v>#N/A</v>
      </c>
      <c r="BL427" t="e">
        <f t="shared" si="422"/>
        <v>#N/A</v>
      </c>
      <c r="BM427" t="e">
        <f t="shared" si="423"/>
        <v>#N/A</v>
      </c>
      <c r="BN427" t="e">
        <f t="shared" si="424"/>
        <v>#N/A</v>
      </c>
      <c r="BO427" t="e">
        <f t="shared" si="425"/>
        <v>#N/A</v>
      </c>
      <c r="BP427" t="e">
        <f t="shared" si="426"/>
        <v>#N/A</v>
      </c>
      <c r="BQ427" t="e">
        <f t="shared" si="427"/>
        <v>#N/A</v>
      </c>
      <c r="BR427" t="e">
        <f t="shared" si="428"/>
        <v>#N/A</v>
      </c>
      <c r="BS427" t="e">
        <f t="shared" si="429"/>
        <v>#N/A</v>
      </c>
      <c r="BT427" t="e">
        <f t="shared" si="430"/>
        <v>#N/A</v>
      </c>
      <c r="BU427" t="e">
        <f t="shared" si="431"/>
        <v>#N/A</v>
      </c>
      <c r="BV427" t="e">
        <f t="shared" si="432"/>
        <v>#N/A</v>
      </c>
      <c r="BW427" t="e">
        <f t="shared" si="433"/>
        <v>#N/A</v>
      </c>
      <c r="BX427" t="e">
        <f t="shared" si="434"/>
        <v>#N/A</v>
      </c>
      <c r="BY427" t="e">
        <f t="shared" si="435"/>
        <v>#N/A</v>
      </c>
      <c r="BZ427" t="e">
        <f t="shared" si="436"/>
        <v>#N/A</v>
      </c>
      <c r="CA427" t="e">
        <f t="shared" si="437"/>
        <v>#N/A</v>
      </c>
      <c r="CB427" t="e">
        <f t="shared" si="438"/>
        <v>#N/A</v>
      </c>
      <c r="CC427" t="e">
        <f t="shared" si="439"/>
        <v>#N/A</v>
      </c>
      <c r="CD427" t="e">
        <f t="shared" si="440"/>
        <v>#N/A</v>
      </c>
      <c r="CE427" t="e">
        <f t="shared" si="441"/>
        <v>#N/A</v>
      </c>
      <c r="CF427" t="e">
        <f t="shared" si="442"/>
        <v>#N/A</v>
      </c>
      <c r="CG427" t="e">
        <f t="shared" si="443"/>
        <v>#N/A</v>
      </c>
      <c r="CI427" t="e">
        <f>AL147</f>
        <v>#N/A</v>
      </c>
      <c r="CJ427" t="e">
        <f>AM147</f>
        <v>#N/A</v>
      </c>
      <c r="CK427">
        <f>IF(ISNUMBER(CI427),IFERROR(MAX(0,AN147-CI427),0),0)</f>
        <v>0</v>
      </c>
      <c r="CL427">
        <f>IF(ISNUMBER(CI427),IFERROR(MAX(0,CI427-AN147),0),0)</f>
        <v>0</v>
      </c>
      <c r="CM427">
        <f>IF(ISNUMBER(CJ427),IFERROR(MAX(0,AO147-CJ427),0),0)</f>
        <v>0</v>
      </c>
      <c r="CN427">
        <f>IF(ISNUMBER(CJ427),IFERROR(MAX(0,CJ427-AO147),0),0)</f>
        <v>0</v>
      </c>
      <c r="CP427" t="e">
        <f>BT147</f>
        <v>#N/A</v>
      </c>
      <c r="CQ427" t="e">
        <f>BU147</f>
        <v>#N/A</v>
      </c>
      <c r="CR427">
        <f>IF(ISNUMBER(CP427),IFERROR(MAX(0,BV147-CP427),0),0)</f>
        <v>0</v>
      </c>
      <c r="CS427">
        <f>IF(ISNUMBER(CP427),IFERROR(MAX(0,CP427-BV147),0),0)</f>
        <v>0</v>
      </c>
      <c r="CT427">
        <f>IF(ISNUMBER(CQ427),IFERROR(MAX(0,BW147-CQ427),0),0)</f>
        <v>0</v>
      </c>
      <c r="CU427">
        <f>IF(ISNUMBER(CQ427),IFERROR(MAX(0,CQ427-BW147),0),0)</f>
        <v>0</v>
      </c>
    </row>
    <row r="428" spans="21:99" x14ac:dyDescent="0.3">
      <c r="U428">
        <v>422</v>
      </c>
      <c r="V428">
        <f t="shared" si="388"/>
        <v>106</v>
      </c>
      <c r="W428">
        <f t="shared" si="389"/>
        <v>2</v>
      </c>
      <c r="X428">
        <f t="shared" si="390"/>
        <v>0</v>
      </c>
      <c r="Y428">
        <f>IF(X428&lt;&gt;1,9999,CHOOSE(W428,INDEX(Gantt!$BQ$7:$BQ$119,V428),INDEX(Gantt!$BR$7:$BR$119,V428),INDEX(Gantt!$BT$7:$BT$119,V428),INDEX(Gantt!$BU$7:$BU$119,V428)))</f>
        <v>9999</v>
      </c>
      <c r="Z428">
        <f t="shared" si="391"/>
        <v>0</v>
      </c>
      <c r="AA428" t="e">
        <f t="shared" si="392"/>
        <v>#N/A</v>
      </c>
      <c r="AB428" t="e">
        <f t="shared" si="393"/>
        <v>#N/A</v>
      </c>
      <c r="AC428" t="e">
        <f t="shared" si="394"/>
        <v>#N/A</v>
      </c>
      <c r="AD428" t="e">
        <f t="shared" si="395"/>
        <v>#N/A</v>
      </c>
      <c r="AE428" t="e">
        <f t="shared" si="396"/>
        <v>#N/A</v>
      </c>
      <c r="AF428" t="e">
        <f t="shared" si="397"/>
        <v>#N/A</v>
      </c>
      <c r="AG428" t="e">
        <f t="shared" si="398"/>
        <v>#N/A</v>
      </c>
      <c r="AH428" t="e">
        <f t="shared" si="399"/>
        <v>#N/A</v>
      </c>
      <c r="AI428" t="e">
        <f t="shared" si="400"/>
        <v>#N/A</v>
      </c>
      <c r="AJ428" t="e">
        <f t="shared" si="401"/>
        <v>#N/A</v>
      </c>
      <c r="AK428" t="e">
        <f t="shared" si="402"/>
        <v>#N/A</v>
      </c>
      <c r="AL428" t="e">
        <f t="shared" si="403"/>
        <v>#N/A</v>
      </c>
      <c r="AM428" t="e">
        <f t="shared" si="404"/>
        <v>#N/A</v>
      </c>
      <c r="AN428" t="e">
        <f t="shared" si="405"/>
        <v>#N/A</v>
      </c>
      <c r="AO428" t="e">
        <f t="shared" si="406"/>
        <v>#N/A</v>
      </c>
      <c r="AP428" t="e">
        <f t="shared" si="407"/>
        <v>#N/A</v>
      </c>
      <c r="AQ428" t="e">
        <f t="shared" si="408"/>
        <v>#N/A</v>
      </c>
      <c r="AR428" t="e">
        <f t="shared" si="409"/>
        <v>#N/A</v>
      </c>
      <c r="AS428" t="e">
        <f t="shared" si="410"/>
        <v>#N/A</v>
      </c>
      <c r="AT428" t="e">
        <f t="shared" si="411"/>
        <v>#N/A</v>
      </c>
      <c r="AU428" t="e">
        <f t="shared" si="412"/>
        <v>#N/A</v>
      </c>
      <c r="AV428" t="e">
        <f t="shared" si="413"/>
        <v>#N/A</v>
      </c>
      <c r="AW428" t="e">
        <f t="shared" si="414"/>
        <v>#N/A</v>
      </c>
      <c r="AX428" t="e">
        <f t="shared" si="415"/>
        <v>#N/A</v>
      </c>
      <c r="AY428" t="e">
        <f t="shared" si="416"/>
        <v>#N/A</v>
      </c>
      <c r="BE428" t="e">
        <f>IF(Z428=1,IF(INDEX($C$7:$C$126,V428)&gt;=Gantt!$BF$6,NA(),MATCH(INDEX($C$7:$C$126,V428),Gantt!$J$6:$BE$6,1)),NA())</f>
        <v>#N/A</v>
      </c>
      <c r="BF428" t="e">
        <f>IF(Z428=1,IF((INDEX($D$7:$D$126,AA428)-1)&gt;=Gantt!$BF$6,NA(),IF((INDEX($D$7:$D$126,AA428)-1)&lt;Gantt!$J$6,0,MATCH((INDEX($D$7:$D$126,AA428)-1),Gantt!$J$6:$BE$6,1))),NA())</f>
        <v>#N/A</v>
      </c>
      <c r="BG428" t="e">
        <f t="shared" si="417"/>
        <v>#N/A</v>
      </c>
      <c r="BH428" t="e">
        <f t="shared" si="418"/>
        <v>#N/A</v>
      </c>
      <c r="BI428" t="e">
        <f t="shared" si="419"/>
        <v>#N/A</v>
      </c>
      <c r="BJ428" t="e">
        <f t="shared" si="420"/>
        <v>#N/A</v>
      </c>
      <c r="BK428" t="e">
        <f t="shared" si="421"/>
        <v>#N/A</v>
      </c>
      <c r="BL428" t="e">
        <f t="shared" si="422"/>
        <v>#N/A</v>
      </c>
      <c r="BM428" t="e">
        <f t="shared" si="423"/>
        <v>#N/A</v>
      </c>
      <c r="BN428" t="e">
        <f t="shared" si="424"/>
        <v>#N/A</v>
      </c>
      <c r="BO428" t="e">
        <f t="shared" si="425"/>
        <v>#N/A</v>
      </c>
      <c r="BP428" t="e">
        <f t="shared" si="426"/>
        <v>#N/A</v>
      </c>
      <c r="BQ428" t="e">
        <f t="shared" si="427"/>
        <v>#N/A</v>
      </c>
      <c r="BR428" t="e">
        <f t="shared" si="428"/>
        <v>#N/A</v>
      </c>
      <c r="BS428" t="e">
        <f t="shared" si="429"/>
        <v>#N/A</v>
      </c>
      <c r="BT428" t="e">
        <f t="shared" si="430"/>
        <v>#N/A</v>
      </c>
      <c r="BU428" t="e">
        <f t="shared" si="431"/>
        <v>#N/A</v>
      </c>
      <c r="BV428" t="e">
        <f t="shared" si="432"/>
        <v>#N/A</v>
      </c>
      <c r="BW428" t="e">
        <f t="shared" si="433"/>
        <v>#N/A</v>
      </c>
      <c r="BX428" t="e">
        <f t="shared" si="434"/>
        <v>#N/A</v>
      </c>
      <c r="BY428" t="e">
        <f t="shared" si="435"/>
        <v>#N/A</v>
      </c>
      <c r="BZ428" t="e">
        <f t="shared" si="436"/>
        <v>#N/A</v>
      </c>
      <c r="CA428" t="e">
        <f t="shared" si="437"/>
        <v>#N/A</v>
      </c>
      <c r="CB428" t="e">
        <f t="shared" si="438"/>
        <v>#N/A</v>
      </c>
      <c r="CC428" t="e">
        <f t="shared" si="439"/>
        <v>#N/A</v>
      </c>
      <c r="CD428" t="e">
        <f t="shared" si="440"/>
        <v>#N/A</v>
      </c>
      <c r="CE428" t="e">
        <f t="shared" si="441"/>
        <v>#N/A</v>
      </c>
      <c r="CF428" t="e">
        <f t="shared" si="442"/>
        <v>#N/A</v>
      </c>
      <c r="CG428" t="e">
        <f t="shared" si="443"/>
        <v>#N/A</v>
      </c>
      <c r="CI428" t="e">
        <f>AP147</f>
        <v>#N/A</v>
      </c>
      <c r="CJ428" t="e">
        <f>AQ147</f>
        <v>#N/A</v>
      </c>
      <c r="CK428">
        <f>IF(ISNUMBER(CI428),IFERROR(MAX(0,AR147-CI428),0),0)</f>
        <v>0</v>
      </c>
      <c r="CL428">
        <f>IF(ISNUMBER(CI428),IFERROR(MAX(0,CI428-AR147),0),0)</f>
        <v>0</v>
      </c>
      <c r="CM428">
        <f>IF(ISNUMBER(CJ428),IFERROR(MAX(0,AS147-CJ428),0),0)</f>
        <v>0</v>
      </c>
      <c r="CN428">
        <f>IF(ISNUMBER(CJ428),IFERROR(MAX(0,CJ428-AS147),0),0)</f>
        <v>0</v>
      </c>
      <c r="CP428" t="e">
        <f>BX147</f>
        <v>#N/A</v>
      </c>
      <c r="CQ428" t="e">
        <f>BY147</f>
        <v>#N/A</v>
      </c>
      <c r="CR428">
        <f>IF(ISNUMBER(CP428),IFERROR(MAX(0,BZ147-CP428),0),0)</f>
        <v>0</v>
      </c>
      <c r="CS428">
        <f>IF(ISNUMBER(CP428),IFERROR(MAX(0,CP428-BZ147),0),0)</f>
        <v>0</v>
      </c>
      <c r="CT428">
        <f>IF(ISNUMBER(CQ428),IFERROR(MAX(0,CA147-CQ428),0),0)</f>
        <v>0</v>
      </c>
      <c r="CU428">
        <f>IF(ISNUMBER(CQ428),IFERROR(MAX(0,CQ428-CA147),0),0)</f>
        <v>0</v>
      </c>
    </row>
    <row r="429" spans="21:99" x14ac:dyDescent="0.3">
      <c r="U429">
        <v>423</v>
      </c>
      <c r="V429">
        <f t="shared" si="388"/>
        <v>106</v>
      </c>
      <c r="W429">
        <f t="shared" si="389"/>
        <v>3</v>
      </c>
      <c r="X429">
        <f t="shared" si="390"/>
        <v>0</v>
      </c>
      <c r="Y429">
        <f>IF(X429&lt;&gt;1,9999,CHOOSE(W429,INDEX(Gantt!$BQ$7:$BQ$119,V429),INDEX(Gantt!$BR$7:$BR$119,V429),INDEX(Gantt!$BT$7:$BT$119,V429),INDEX(Gantt!$BU$7:$BU$119,V429)))</f>
        <v>9999</v>
      </c>
      <c r="Z429">
        <f t="shared" si="391"/>
        <v>0</v>
      </c>
      <c r="AA429" t="e">
        <f t="shared" si="392"/>
        <v>#N/A</v>
      </c>
      <c r="AB429" t="e">
        <f t="shared" si="393"/>
        <v>#N/A</v>
      </c>
      <c r="AC429" t="e">
        <f t="shared" si="394"/>
        <v>#N/A</v>
      </c>
      <c r="AD429" t="e">
        <f t="shared" si="395"/>
        <v>#N/A</v>
      </c>
      <c r="AE429" t="e">
        <f t="shared" si="396"/>
        <v>#N/A</v>
      </c>
      <c r="AF429" t="e">
        <f t="shared" si="397"/>
        <v>#N/A</v>
      </c>
      <c r="AG429" t="e">
        <f t="shared" si="398"/>
        <v>#N/A</v>
      </c>
      <c r="AH429" t="e">
        <f t="shared" si="399"/>
        <v>#N/A</v>
      </c>
      <c r="AI429" t="e">
        <f t="shared" si="400"/>
        <v>#N/A</v>
      </c>
      <c r="AJ429" t="e">
        <f t="shared" si="401"/>
        <v>#N/A</v>
      </c>
      <c r="AK429" t="e">
        <f t="shared" si="402"/>
        <v>#N/A</v>
      </c>
      <c r="AL429" t="e">
        <f t="shared" si="403"/>
        <v>#N/A</v>
      </c>
      <c r="AM429" t="e">
        <f t="shared" si="404"/>
        <v>#N/A</v>
      </c>
      <c r="AN429" t="e">
        <f t="shared" si="405"/>
        <v>#N/A</v>
      </c>
      <c r="AO429" t="e">
        <f t="shared" si="406"/>
        <v>#N/A</v>
      </c>
      <c r="AP429" t="e">
        <f t="shared" si="407"/>
        <v>#N/A</v>
      </c>
      <c r="AQ429" t="e">
        <f t="shared" si="408"/>
        <v>#N/A</v>
      </c>
      <c r="AR429" t="e">
        <f t="shared" si="409"/>
        <v>#N/A</v>
      </c>
      <c r="AS429" t="e">
        <f t="shared" si="410"/>
        <v>#N/A</v>
      </c>
      <c r="AT429" t="e">
        <f t="shared" si="411"/>
        <v>#N/A</v>
      </c>
      <c r="AU429" t="e">
        <f t="shared" si="412"/>
        <v>#N/A</v>
      </c>
      <c r="AV429" t="e">
        <f t="shared" si="413"/>
        <v>#N/A</v>
      </c>
      <c r="AW429" t="e">
        <f t="shared" si="414"/>
        <v>#N/A</v>
      </c>
      <c r="AX429" t="e">
        <f t="shared" si="415"/>
        <v>#N/A</v>
      </c>
      <c r="AY429" t="e">
        <f t="shared" si="416"/>
        <v>#N/A</v>
      </c>
      <c r="BE429" t="e">
        <f>IF(Z429=1,IF(INDEX($C$7:$C$126,V429)&gt;=Gantt!$BF$6,NA(),MATCH(INDEX($C$7:$C$126,V429),Gantt!$J$6:$BE$6,1)),NA())</f>
        <v>#N/A</v>
      </c>
      <c r="BF429" t="e">
        <f>IF(Z429=1,IF((INDEX($D$7:$D$126,AA429)-1)&gt;=Gantt!$BF$6,NA(),IF((INDEX($D$7:$D$126,AA429)-1)&lt;Gantt!$J$6,0,MATCH((INDEX($D$7:$D$126,AA429)-1),Gantt!$J$6:$BE$6,1))),NA())</f>
        <v>#N/A</v>
      </c>
      <c r="BG429" t="e">
        <f t="shared" si="417"/>
        <v>#N/A</v>
      </c>
      <c r="BH429" t="e">
        <f t="shared" si="418"/>
        <v>#N/A</v>
      </c>
      <c r="BI429" t="e">
        <f t="shared" si="419"/>
        <v>#N/A</v>
      </c>
      <c r="BJ429" t="e">
        <f t="shared" si="420"/>
        <v>#N/A</v>
      </c>
      <c r="BK429" t="e">
        <f t="shared" si="421"/>
        <v>#N/A</v>
      </c>
      <c r="BL429" t="e">
        <f t="shared" si="422"/>
        <v>#N/A</v>
      </c>
      <c r="BM429" t="e">
        <f t="shared" si="423"/>
        <v>#N/A</v>
      </c>
      <c r="BN429" t="e">
        <f t="shared" si="424"/>
        <v>#N/A</v>
      </c>
      <c r="BO429" t="e">
        <f t="shared" si="425"/>
        <v>#N/A</v>
      </c>
      <c r="BP429" t="e">
        <f t="shared" si="426"/>
        <v>#N/A</v>
      </c>
      <c r="BQ429" t="e">
        <f t="shared" si="427"/>
        <v>#N/A</v>
      </c>
      <c r="BR429" t="e">
        <f t="shared" si="428"/>
        <v>#N/A</v>
      </c>
      <c r="BS429" t="e">
        <f t="shared" si="429"/>
        <v>#N/A</v>
      </c>
      <c r="BT429" t="e">
        <f t="shared" si="430"/>
        <v>#N/A</v>
      </c>
      <c r="BU429" t="e">
        <f t="shared" si="431"/>
        <v>#N/A</v>
      </c>
      <c r="BV429" t="e">
        <f t="shared" si="432"/>
        <v>#N/A</v>
      </c>
      <c r="BW429" t="e">
        <f t="shared" si="433"/>
        <v>#N/A</v>
      </c>
      <c r="BX429" t="e">
        <f t="shared" si="434"/>
        <v>#N/A</v>
      </c>
      <c r="BY429" t="e">
        <f t="shared" si="435"/>
        <v>#N/A</v>
      </c>
      <c r="BZ429" t="e">
        <f t="shared" si="436"/>
        <v>#N/A</v>
      </c>
      <c r="CA429" t="e">
        <f t="shared" si="437"/>
        <v>#N/A</v>
      </c>
      <c r="CB429" t="e">
        <f t="shared" si="438"/>
        <v>#N/A</v>
      </c>
      <c r="CC429" t="e">
        <f t="shared" si="439"/>
        <v>#N/A</v>
      </c>
      <c r="CD429" t="e">
        <f t="shared" si="440"/>
        <v>#N/A</v>
      </c>
      <c r="CE429" t="e">
        <f t="shared" si="441"/>
        <v>#N/A</v>
      </c>
      <c r="CF429" t="e">
        <f t="shared" si="442"/>
        <v>#N/A</v>
      </c>
      <c r="CG429" t="e">
        <f t="shared" si="443"/>
        <v>#N/A</v>
      </c>
      <c r="CI429" t="e">
        <f>AT147</f>
        <v>#N/A</v>
      </c>
      <c r="CJ429" t="e">
        <f>AU147</f>
        <v>#N/A</v>
      </c>
      <c r="CK429">
        <f>IF(ISNUMBER(CI429),IFERROR(MAX(0,AV147-CI429),0),0)</f>
        <v>0</v>
      </c>
      <c r="CL429">
        <f>IF(ISNUMBER(CI429),IFERROR(MAX(0,CI429-AV147),0),0)</f>
        <v>0</v>
      </c>
      <c r="CM429">
        <f>IF(ISNUMBER(CJ429),IFERROR(MAX(0,AW147-CJ429),0),0)</f>
        <v>0</v>
      </c>
      <c r="CN429">
        <f>IF(ISNUMBER(CJ429),IFERROR(MAX(0,CJ429-AW147),0),0)</f>
        <v>0</v>
      </c>
      <c r="CP429" t="e">
        <f>CB147</f>
        <v>#N/A</v>
      </c>
      <c r="CQ429" t="e">
        <f>CC147</f>
        <v>#N/A</v>
      </c>
      <c r="CR429">
        <f>IF(ISNUMBER(CP429),IFERROR(MAX(0,CD147-CP429),0),0)</f>
        <v>0</v>
      </c>
      <c r="CS429">
        <f>IF(ISNUMBER(CP429),IFERROR(MAX(0,CP429-CD147),0),0)</f>
        <v>0</v>
      </c>
      <c r="CT429">
        <f>IF(ISNUMBER(CQ429),IFERROR(MAX(0,CE147-CQ429),0),0)</f>
        <v>0</v>
      </c>
      <c r="CU429">
        <f>IF(ISNUMBER(CQ429),IFERROR(MAX(0,CQ429-CE147),0),0)</f>
        <v>0</v>
      </c>
    </row>
    <row r="430" spans="21:99" x14ac:dyDescent="0.3">
      <c r="U430">
        <v>424</v>
      </c>
      <c r="V430">
        <f t="shared" si="388"/>
        <v>106</v>
      </c>
      <c r="W430">
        <f t="shared" si="389"/>
        <v>4</v>
      </c>
      <c r="X430">
        <f t="shared" si="390"/>
        <v>0</v>
      </c>
      <c r="Y430">
        <f>IF(X430&lt;&gt;1,9999,CHOOSE(W430,INDEX(Gantt!$BQ$7:$BQ$119,V430),INDEX(Gantt!$BR$7:$BR$119,V430),INDEX(Gantt!$BT$7:$BT$119,V430),INDEX(Gantt!$BU$7:$BU$119,V430)))</f>
        <v>9999</v>
      </c>
      <c r="Z430">
        <f t="shared" si="391"/>
        <v>0</v>
      </c>
      <c r="AA430" t="e">
        <f t="shared" si="392"/>
        <v>#N/A</v>
      </c>
      <c r="AB430" t="e">
        <f t="shared" si="393"/>
        <v>#N/A</v>
      </c>
      <c r="AC430" t="e">
        <f t="shared" si="394"/>
        <v>#N/A</v>
      </c>
      <c r="AD430" t="e">
        <f t="shared" si="395"/>
        <v>#N/A</v>
      </c>
      <c r="AE430" t="e">
        <f t="shared" si="396"/>
        <v>#N/A</v>
      </c>
      <c r="AF430" t="e">
        <f t="shared" si="397"/>
        <v>#N/A</v>
      </c>
      <c r="AG430" t="e">
        <f t="shared" si="398"/>
        <v>#N/A</v>
      </c>
      <c r="AH430" t="e">
        <f t="shared" si="399"/>
        <v>#N/A</v>
      </c>
      <c r="AI430" t="e">
        <f t="shared" si="400"/>
        <v>#N/A</v>
      </c>
      <c r="AJ430" t="e">
        <f t="shared" si="401"/>
        <v>#N/A</v>
      </c>
      <c r="AK430" t="e">
        <f t="shared" si="402"/>
        <v>#N/A</v>
      </c>
      <c r="AL430" t="e">
        <f t="shared" si="403"/>
        <v>#N/A</v>
      </c>
      <c r="AM430" t="e">
        <f t="shared" si="404"/>
        <v>#N/A</v>
      </c>
      <c r="AN430" t="e">
        <f t="shared" si="405"/>
        <v>#N/A</v>
      </c>
      <c r="AO430" t="e">
        <f t="shared" si="406"/>
        <v>#N/A</v>
      </c>
      <c r="AP430" t="e">
        <f t="shared" si="407"/>
        <v>#N/A</v>
      </c>
      <c r="AQ430" t="e">
        <f t="shared" si="408"/>
        <v>#N/A</v>
      </c>
      <c r="AR430" t="e">
        <f t="shared" si="409"/>
        <v>#N/A</v>
      </c>
      <c r="AS430" t="e">
        <f t="shared" si="410"/>
        <v>#N/A</v>
      </c>
      <c r="AT430" t="e">
        <f t="shared" si="411"/>
        <v>#N/A</v>
      </c>
      <c r="AU430" t="e">
        <f t="shared" si="412"/>
        <v>#N/A</v>
      </c>
      <c r="AV430" t="e">
        <f t="shared" si="413"/>
        <v>#N/A</v>
      </c>
      <c r="AW430" t="e">
        <f t="shared" si="414"/>
        <v>#N/A</v>
      </c>
      <c r="AX430" t="e">
        <f t="shared" si="415"/>
        <v>#N/A</v>
      </c>
      <c r="AY430" t="e">
        <f t="shared" si="416"/>
        <v>#N/A</v>
      </c>
      <c r="BE430" t="e">
        <f>IF(Z430=1,IF(INDEX($C$7:$C$126,V430)&gt;=Gantt!$BF$6,NA(),MATCH(INDEX($C$7:$C$126,V430),Gantt!$J$6:$BE$6,1)),NA())</f>
        <v>#N/A</v>
      </c>
      <c r="BF430" t="e">
        <f>IF(Z430=1,IF((INDEX($D$7:$D$126,AA430)-1)&gt;=Gantt!$BF$6,NA(),IF((INDEX($D$7:$D$126,AA430)-1)&lt;Gantt!$J$6,0,MATCH((INDEX($D$7:$D$126,AA430)-1),Gantt!$J$6:$BE$6,1))),NA())</f>
        <v>#N/A</v>
      </c>
      <c r="BG430" t="e">
        <f t="shared" si="417"/>
        <v>#N/A</v>
      </c>
      <c r="BH430" t="e">
        <f t="shared" si="418"/>
        <v>#N/A</v>
      </c>
      <c r="BI430" t="e">
        <f t="shared" si="419"/>
        <v>#N/A</v>
      </c>
      <c r="BJ430" t="e">
        <f t="shared" si="420"/>
        <v>#N/A</v>
      </c>
      <c r="BK430" t="e">
        <f t="shared" si="421"/>
        <v>#N/A</v>
      </c>
      <c r="BL430" t="e">
        <f t="shared" si="422"/>
        <v>#N/A</v>
      </c>
      <c r="BM430" t="e">
        <f t="shared" si="423"/>
        <v>#N/A</v>
      </c>
      <c r="BN430" t="e">
        <f t="shared" si="424"/>
        <v>#N/A</v>
      </c>
      <c r="BO430" t="e">
        <f t="shared" si="425"/>
        <v>#N/A</v>
      </c>
      <c r="BP430" t="e">
        <f t="shared" si="426"/>
        <v>#N/A</v>
      </c>
      <c r="BQ430" t="e">
        <f t="shared" si="427"/>
        <v>#N/A</v>
      </c>
      <c r="BR430" t="e">
        <f t="shared" si="428"/>
        <v>#N/A</v>
      </c>
      <c r="BS430" t="e">
        <f t="shared" si="429"/>
        <v>#N/A</v>
      </c>
      <c r="BT430" t="e">
        <f t="shared" si="430"/>
        <v>#N/A</v>
      </c>
      <c r="BU430" t="e">
        <f t="shared" si="431"/>
        <v>#N/A</v>
      </c>
      <c r="BV430" t="e">
        <f t="shared" si="432"/>
        <v>#N/A</v>
      </c>
      <c r="BW430" t="e">
        <f t="shared" si="433"/>
        <v>#N/A</v>
      </c>
      <c r="BX430" t="e">
        <f t="shared" si="434"/>
        <v>#N/A</v>
      </c>
      <c r="BY430" t="e">
        <f t="shared" si="435"/>
        <v>#N/A</v>
      </c>
      <c r="BZ430" t="e">
        <f t="shared" si="436"/>
        <v>#N/A</v>
      </c>
      <c r="CA430" t="e">
        <f t="shared" si="437"/>
        <v>#N/A</v>
      </c>
      <c r="CB430" t="e">
        <f t="shared" si="438"/>
        <v>#N/A</v>
      </c>
      <c r="CC430" t="e">
        <f t="shared" si="439"/>
        <v>#N/A</v>
      </c>
      <c r="CD430" t="e">
        <f t="shared" si="440"/>
        <v>#N/A</v>
      </c>
      <c r="CE430" t="e">
        <f t="shared" si="441"/>
        <v>#N/A</v>
      </c>
      <c r="CF430" t="e">
        <f t="shared" si="442"/>
        <v>#N/A</v>
      </c>
      <c r="CG430" t="e">
        <f t="shared" si="443"/>
        <v>#N/A</v>
      </c>
      <c r="CI430" t="e">
        <f>AL148</f>
        <v>#N/A</v>
      </c>
      <c r="CJ430" t="e">
        <f>AM148</f>
        <v>#N/A</v>
      </c>
      <c r="CK430">
        <f>IF(ISNUMBER(CI430),IFERROR(MAX(0,AN148-CI430),0),0)</f>
        <v>0</v>
      </c>
      <c r="CL430">
        <f>IF(ISNUMBER(CI430),IFERROR(MAX(0,CI430-AN148),0),0)</f>
        <v>0</v>
      </c>
      <c r="CM430">
        <f>IF(ISNUMBER(CJ430),IFERROR(MAX(0,AO148-CJ430),0),0)</f>
        <v>0</v>
      </c>
      <c r="CN430">
        <f>IF(ISNUMBER(CJ430),IFERROR(MAX(0,CJ430-AO148),0),0)</f>
        <v>0</v>
      </c>
      <c r="CP430" t="e">
        <f>BT148</f>
        <v>#N/A</v>
      </c>
      <c r="CQ430" t="e">
        <f>BU148</f>
        <v>#N/A</v>
      </c>
      <c r="CR430">
        <f>IF(ISNUMBER(CP430),IFERROR(MAX(0,BV148-CP430),0),0)</f>
        <v>0</v>
      </c>
      <c r="CS430">
        <f>IF(ISNUMBER(CP430),IFERROR(MAX(0,CP430-BV148),0),0)</f>
        <v>0</v>
      </c>
      <c r="CT430">
        <f>IF(ISNUMBER(CQ430),IFERROR(MAX(0,BW148-CQ430),0),0)</f>
        <v>0</v>
      </c>
      <c r="CU430">
        <f>IF(ISNUMBER(CQ430),IFERROR(MAX(0,CQ430-BW148),0),0)</f>
        <v>0</v>
      </c>
    </row>
    <row r="431" spans="21:99" x14ac:dyDescent="0.3">
      <c r="U431">
        <v>425</v>
      </c>
      <c r="V431">
        <f t="shared" si="388"/>
        <v>107</v>
      </c>
      <c r="W431">
        <f t="shared" si="389"/>
        <v>1</v>
      </c>
      <c r="X431">
        <f t="shared" si="390"/>
        <v>0</v>
      </c>
      <c r="Y431">
        <f>IF(X431&lt;&gt;1,9999,CHOOSE(W431,INDEX(Gantt!$BQ$7:$BQ$119,V431),INDEX(Gantt!$BR$7:$BR$119,V431),INDEX(Gantt!$BT$7:$BT$119,V431),INDEX(Gantt!$BU$7:$BU$119,V431)))</f>
        <v>9999</v>
      </c>
      <c r="Z431">
        <f t="shared" si="391"/>
        <v>0</v>
      </c>
      <c r="AA431" t="e">
        <f t="shared" si="392"/>
        <v>#N/A</v>
      </c>
      <c r="AB431" t="e">
        <f t="shared" si="393"/>
        <v>#N/A</v>
      </c>
      <c r="AC431" t="e">
        <f t="shared" si="394"/>
        <v>#N/A</v>
      </c>
      <c r="AD431" t="e">
        <f t="shared" si="395"/>
        <v>#N/A</v>
      </c>
      <c r="AE431" t="e">
        <f t="shared" si="396"/>
        <v>#N/A</v>
      </c>
      <c r="AF431" t="e">
        <f t="shared" si="397"/>
        <v>#N/A</v>
      </c>
      <c r="AG431" t="e">
        <f t="shared" si="398"/>
        <v>#N/A</v>
      </c>
      <c r="AH431" t="e">
        <f t="shared" si="399"/>
        <v>#N/A</v>
      </c>
      <c r="AI431" t="e">
        <f t="shared" si="400"/>
        <v>#N/A</v>
      </c>
      <c r="AJ431" t="e">
        <f t="shared" si="401"/>
        <v>#N/A</v>
      </c>
      <c r="AK431" t="e">
        <f t="shared" si="402"/>
        <v>#N/A</v>
      </c>
      <c r="AL431" t="e">
        <f t="shared" si="403"/>
        <v>#N/A</v>
      </c>
      <c r="AM431" t="e">
        <f t="shared" si="404"/>
        <v>#N/A</v>
      </c>
      <c r="AN431" t="e">
        <f t="shared" si="405"/>
        <v>#N/A</v>
      </c>
      <c r="AO431" t="e">
        <f t="shared" si="406"/>
        <v>#N/A</v>
      </c>
      <c r="AP431" t="e">
        <f t="shared" si="407"/>
        <v>#N/A</v>
      </c>
      <c r="AQ431" t="e">
        <f t="shared" si="408"/>
        <v>#N/A</v>
      </c>
      <c r="AR431" t="e">
        <f t="shared" si="409"/>
        <v>#N/A</v>
      </c>
      <c r="AS431" t="e">
        <f t="shared" si="410"/>
        <v>#N/A</v>
      </c>
      <c r="AT431" t="e">
        <f t="shared" si="411"/>
        <v>#N/A</v>
      </c>
      <c r="AU431" t="e">
        <f t="shared" si="412"/>
        <v>#N/A</v>
      </c>
      <c r="AV431" t="e">
        <f t="shared" si="413"/>
        <v>#N/A</v>
      </c>
      <c r="AW431" t="e">
        <f t="shared" si="414"/>
        <v>#N/A</v>
      </c>
      <c r="AX431" t="e">
        <f t="shared" si="415"/>
        <v>#N/A</v>
      </c>
      <c r="AY431" t="e">
        <f t="shared" si="416"/>
        <v>#N/A</v>
      </c>
      <c r="BE431" t="e">
        <f>IF(Z431=1,IF(INDEX($C$7:$C$126,V431)&gt;=Gantt!$BF$6,NA(),MATCH(INDEX($C$7:$C$126,V431),Gantt!$J$6:$BE$6,1)),NA())</f>
        <v>#N/A</v>
      </c>
      <c r="BF431" t="e">
        <f>IF(Z431=1,IF((INDEX($D$7:$D$126,AA431)-1)&gt;=Gantt!$BF$6,NA(),IF((INDEX($D$7:$D$126,AA431)-1)&lt;Gantt!$J$6,0,MATCH((INDEX($D$7:$D$126,AA431)-1),Gantt!$J$6:$BE$6,1))),NA())</f>
        <v>#N/A</v>
      </c>
      <c r="BG431" t="e">
        <f t="shared" si="417"/>
        <v>#N/A</v>
      </c>
      <c r="BH431" t="e">
        <f t="shared" si="418"/>
        <v>#N/A</v>
      </c>
      <c r="BI431" t="e">
        <f t="shared" si="419"/>
        <v>#N/A</v>
      </c>
      <c r="BJ431" t="e">
        <f t="shared" si="420"/>
        <v>#N/A</v>
      </c>
      <c r="BK431" t="e">
        <f t="shared" si="421"/>
        <v>#N/A</v>
      </c>
      <c r="BL431" t="e">
        <f t="shared" si="422"/>
        <v>#N/A</v>
      </c>
      <c r="BM431" t="e">
        <f t="shared" si="423"/>
        <v>#N/A</v>
      </c>
      <c r="BN431" t="e">
        <f t="shared" si="424"/>
        <v>#N/A</v>
      </c>
      <c r="BO431" t="e">
        <f t="shared" si="425"/>
        <v>#N/A</v>
      </c>
      <c r="BP431" t="e">
        <f t="shared" si="426"/>
        <v>#N/A</v>
      </c>
      <c r="BQ431" t="e">
        <f t="shared" si="427"/>
        <v>#N/A</v>
      </c>
      <c r="BR431" t="e">
        <f t="shared" si="428"/>
        <v>#N/A</v>
      </c>
      <c r="BS431" t="e">
        <f t="shared" si="429"/>
        <v>#N/A</v>
      </c>
      <c r="BT431" t="e">
        <f t="shared" si="430"/>
        <v>#N/A</v>
      </c>
      <c r="BU431" t="e">
        <f t="shared" si="431"/>
        <v>#N/A</v>
      </c>
      <c r="BV431" t="e">
        <f t="shared" si="432"/>
        <v>#N/A</v>
      </c>
      <c r="BW431" t="e">
        <f t="shared" si="433"/>
        <v>#N/A</v>
      </c>
      <c r="BX431" t="e">
        <f t="shared" si="434"/>
        <v>#N/A</v>
      </c>
      <c r="BY431" t="e">
        <f t="shared" si="435"/>
        <v>#N/A</v>
      </c>
      <c r="BZ431" t="e">
        <f t="shared" si="436"/>
        <v>#N/A</v>
      </c>
      <c r="CA431" t="e">
        <f t="shared" si="437"/>
        <v>#N/A</v>
      </c>
      <c r="CB431" t="e">
        <f t="shared" si="438"/>
        <v>#N/A</v>
      </c>
      <c r="CC431" t="e">
        <f t="shared" si="439"/>
        <v>#N/A</v>
      </c>
      <c r="CD431" t="e">
        <f t="shared" si="440"/>
        <v>#N/A</v>
      </c>
      <c r="CE431" t="e">
        <f t="shared" si="441"/>
        <v>#N/A</v>
      </c>
      <c r="CF431" t="e">
        <f t="shared" si="442"/>
        <v>#N/A</v>
      </c>
      <c r="CG431" t="e">
        <f t="shared" si="443"/>
        <v>#N/A</v>
      </c>
      <c r="CI431" t="e">
        <f>AP148</f>
        <v>#N/A</v>
      </c>
      <c r="CJ431" t="e">
        <f>AQ148</f>
        <v>#N/A</v>
      </c>
      <c r="CK431">
        <f>IF(ISNUMBER(CI431),IFERROR(MAX(0,AR148-CI431),0),0)</f>
        <v>0</v>
      </c>
      <c r="CL431">
        <f>IF(ISNUMBER(CI431),IFERROR(MAX(0,CI431-AR148),0),0)</f>
        <v>0</v>
      </c>
      <c r="CM431">
        <f>IF(ISNUMBER(CJ431),IFERROR(MAX(0,AS148-CJ431),0),0)</f>
        <v>0</v>
      </c>
      <c r="CN431">
        <f>IF(ISNUMBER(CJ431),IFERROR(MAX(0,CJ431-AS148),0),0)</f>
        <v>0</v>
      </c>
      <c r="CP431" t="e">
        <f>BX148</f>
        <v>#N/A</v>
      </c>
      <c r="CQ431" t="e">
        <f>BY148</f>
        <v>#N/A</v>
      </c>
      <c r="CR431">
        <f>IF(ISNUMBER(CP431),IFERROR(MAX(0,BZ148-CP431),0),0)</f>
        <v>0</v>
      </c>
      <c r="CS431">
        <f>IF(ISNUMBER(CP431),IFERROR(MAX(0,CP431-BZ148),0),0)</f>
        <v>0</v>
      </c>
      <c r="CT431">
        <f>IF(ISNUMBER(CQ431),IFERROR(MAX(0,CA148-CQ431),0),0)</f>
        <v>0</v>
      </c>
      <c r="CU431">
        <f>IF(ISNUMBER(CQ431),IFERROR(MAX(0,CQ431-CA148),0),0)</f>
        <v>0</v>
      </c>
    </row>
    <row r="432" spans="21:99" x14ac:dyDescent="0.3">
      <c r="U432">
        <v>426</v>
      </c>
      <c r="V432">
        <f t="shared" si="388"/>
        <v>107</v>
      </c>
      <c r="W432">
        <f t="shared" si="389"/>
        <v>2</v>
      </c>
      <c r="X432">
        <f t="shared" si="390"/>
        <v>0</v>
      </c>
      <c r="Y432">
        <f>IF(X432&lt;&gt;1,9999,CHOOSE(W432,INDEX(Gantt!$BQ$7:$BQ$119,V432),INDEX(Gantt!$BR$7:$BR$119,V432),INDEX(Gantt!$BT$7:$BT$119,V432),INDEX(Gantt!$BU$7:$BU$119,V432)))</f>
        <v>9999</v>
      </c>
      <c r="Z432">
        <f t="shared" si="391"/>
        <v>0</v>
      </c>
      <c r="AA432" t="e">
        <f t="shared" si="392"/>
        <v>#N/A</v>
      </c>
      <c r="AB432" t="e">
        <f t="shared" si="393"/>
        <v>#N/A</v>
      </c>
      <c r="AC432" t="e">
        <f t="shared" si="394"/>
        <v>#N/A</v>
      </c>
      <c r="AD432" t="e">
        <f t="shared" si="395"/>
        <v>#N/A</v>
      </c>
      <c r="AE432" t="e">
        <f t="shared" si="396"/>
        <v>#N/A</v>
      </c>
      <c r="AF432" t="e">
        <f t="shared" si="397"/>
        <v>#N/A</v>
      </c>
      <c r="AG432" t="e">
        <f t="shared" si="398"/>
        <v>#N/A</v>
      </c>
      <c r="AH432" t="e">
        <f t="shared" si="399"/>
        <v>#N/A</v>
      </c>
      <c r="AI432" t="e">
        <f t="shared" si="400"/>
        <v>#N/A</v>
      </c>
      <c r="AJ432" t="e">
        <f t="shared" si="401"/>
        <v>#N/A</v>
      </c>
      <c r="AK432" t="e">
        <f t="shared" si="402"/>
        <v>#N/A</v>
      </c>
      <c r="AL432" t="e">
        <f t="shared" si="403"/>
        <v>#N/A</v>
      </c>
      <c r="AM432" t="e">
        <f t="shared" si="404"/>
        <v>#N/A</v>
      </c>
      <c r="AN432" t="e">
        <f t="shared" si="405"/>
        <v>#N/A</v>
      </c>
      <c r="AO432" t="e">
        <f t="shared" si="406"/>
        <v>#N/A</v>
      </c>
      <c r="AP432" t="e">
        <f t="shared" si="407"/>
        <v>#N/A</v>
      </c>
      <c r="AQ432" t="e">
        <f t="shared" si="408"/>
        <v>#N/A</v>
      </c>
      <c r="AR432" t="e">
        <f t="shared" si="409"/>
        <v>#N/A</v>
      </c>
      <c r="AS432" t="e">
        <f t="shared" si="410"/>
        <v>#N/A</v>
      </c>
      <c r="AT432" t="e">
        <f t="shared" si="411"/>
        <v>#N/A</v>
      </c>
      <c r="AU432" t="e">
        <f t="shared" si="412"/>
        <v>#N/A</v>
      </c>
      <c r="AV432" t="e">
        <f t="shared" si="413"/>
        <v>#N/A</v>
      </c>
      <c r="AW432" t="e">
        <f t="shared" si="414"/>
        <v>#N/A</v>
      </c>
      <c r="AX432" t="e">
        <f t="shared" si="415"/>
        <v>#N/A</v>
      </c>
      <c r="AY432" t="e">
        <f t="shared" si="416"/>
        <v>#N/A</v>
      </c>
      <c r="BE432" t="e">
        <f>IF(Z432=1,IF(INDEX($C$7:$C$126,V432)&gt;=Gantt!$BF$6,NA(),MATCH(INDEX($C$7:$C$126,V432),Gantt!$J$6:$BE$6,1)),NA())</f>
        <v>#N/A</v>
      </c>
      <c r="BF432" t="e">
        <f>IF(Z432=1,IF((INDEX($D$7:$D$126,AA432)-1)&gt;=Gantt!$BF$6,NA(),IF((INDEX($D$7:$D$126,AA432)-1)&lt;Gantt!$J$6,0,MATCH((INDEX($D$7:$D$126,AA432)-1),Gantt!$J$6:$BE$6,1))),NA())</f>
        <v>#N/A</v>
      </c>
      <c r="BG432" t="e">
        <f t="shared" si="417"/>
        <v>#N/A</v>
      </c>
      <c r="BH432" t="e">
        <f t="shared" si="418"/>
        <v>#N/A</v>
      </c>
      <c r="BI432" t="e">
        <f t="shared" si="419"/>
        <v>#N/A</v>
      </c>
      <c r="BJ432" t="e">
        <f t="shared" si="420"/>
        <v>#N/A</v>
      </c>
      <c r="BK432" t="e">
        <f t="shared" si="421"/>
        <v>#N/A</v>
      </c>
      <c r="BL432" t="e">
        <f t="shared" si="422"/>
        <v>#N/A</v>
      </c>
      <c r="BM432" t="e">
        <f t="shared" si="423"/>
        <v>#N/A</v>
      </c>
      <c r="BN432" t="e">
        <f t="shared" si="424"/>
        <v>#N/A</v>
      </c>
      <c r="BO432" t="e">
        <f t="shared" si="425"/>
        <v>#N/A</v>
      </c>
      <c r="BP432" t="e">
        <f t="shared" si="426"/>
        <v>#N/A</v>
      </c>
      <c r="BQ432" t="e">
        <f t="shared" si="427"/>
        <v>#N/A</v>
      </c>
      <c r="BR432" t="e">
        <f t="shared" si="428"/>
        <v>#N/A</v>
      </c>
      <c r="BS432" t="e">
        <f t="shared" si="429"/>
        <v>#N/A</v>
      </c>
      <c r="BT432" t="e">
        <f t="shared" si="430"/>
        <v>#N/A</v>
      </c>
      <c r="BU432" t="e">
        <f t="shared" si="431"/>
        <v>#N/A</v>
      </c>
      <c r="BV432" t="e">
        <f t="shared" si="432"/>
        <v>#N/A</v>
      </c>
      <c r="BW432" t="e">
        <f t="shared" si="433"/>
        <v>#N/A</v>
      </c>
      <c r="BX432" t="e">
        <f t="shared" si="434"/>
        <v>#N/A</v>
      </c>
      <c r="BY432" t="e">
        <f t="shared" si="435"/>
        <v>#N/A</v>
      </c>
      <c r="BZ432" t="e">
        <f t="shared" si="436"/>
        <v>#N/A</v>
      </c>
      <c r="CA432" t="e">
        <f t="shared" si="437"/>
        <v>#N/A</v>
      </c>
      <c r="CB432" t="e">
        <f t="shared" si="438"/>
        <v>#N/A</v>
      </c>
      <c r="CC432" t="e">
        <f t="shared" si="439"/>
        <v>#N/A</v>
      </c>
      <c r="CD432" t="e">
        <f t="shared" si="440"/>
        <v>#N/A</v>
      </c>
      <c r="CE432" t="e">
        <f t="shared" si="441"/>
        <v>#N/A</v>
      </c>
      <c r="CF432" t="e">
        <f t="shared" si="442"/>
        <v>#N/A</v>
      </c>
      <c r="CG432" t="e">
        <f t="shared" si="443"/>
        <v>#N/A</v>
      </c>
      <c r="CI432" t="e">
        <f>AT148</f>
        <v>#N/A</v>
      </c>
      <c r="CJ432" t="e">
        <f>AU148</f>
        <v>#N/A</v>
      </c>
      <c r="CK432">
        <f>IF(ISNUMBER(CI432),IFERROR(MAX(0,AV148-CI432),0),0)</f>
        <v>0</v>
      </c>
      <c r="CL432">
        <f>IF(ISNUMBER(CI432),IFERROR(MAX(0,CI432-AV148),0),0)</f>
        <v>0</v>
      </c>
      <c r="CM432">
        <f>IF(ISNUMBER(CJ432),IFERROR(MAX(0,AW148-CJ432),0),0)</f>
        <v>0</v>
      </c>
      <c r="CN432">
        <f>IF(ISNUMBER(CJ432),IFERROR(MAX(0,CJ432-AW148),0),0)</f>
        <v>0</v>
      </c>
      <c r="CP432" t="e">
        <f>CB148</f>
        <v>#N/A</v>
      </c>
      <c r="CQ432" t="e">
        <f>CC148</f>
        <v>#N/A</v>
      </c>
      <c r="CR432">
        <f>IF(ISNUMBER(CP432),IFERROR(MAX(0,CD148-CP432),0),0)</f>
        <v>0</v>
      </c>
      <c r="CS432">
        <f>IF(ISNUMBER(CP432),IFERROR(MAX(0,CP432-CD148),0),0)</f>
        <v>0</v>
      </c>
      <c r="CT432">
        <f>IF(ISNUMBER(CQ432),IFERROR(MAX(0,CE148-CQ432),0),0)</f>
        <v>0</v>
      </c>
      <c r="CU432">
        <f>IF(ISNUMBER(CQ432),IFERROR(MAX(0,CQ432-CE148),0),0)</f>
        <v>0</v>
      </c>
    </row>
    <row r="433" spans="21:99" x14ac:dyDescent="0.3">
      <c r="U433">
        <v>427</v>
      </c>
      <c r="V433">
        <f t="shared" si="388"/>
        <v>107</v>
      </c>
      <c r="W433">
        <f t="shared" si="389"/>
        <v>3</v>
      </c>
      <c r="X433">
        <f t="shared" si="390"/>
        <v>0</v>
      </c>
      <c r="Y433">
        <f>IF(X433&lt;&gt;1,9999,CHOOSE(W433,INDEX(Gantt!$BQ$7:$BQ$119,V433),INDEX(Gantt!$BR$7:$BR$119,V433),INDEX(Gantt!$BT$7:$BT$119,V433),INDEX(Gantt!$BU$7:$BU$119,V433)))</f>
        <v>9999</v>
      </c>
      <c r="Z433">
        <f t="shared" si="391"/>
        <v>0</v>
      </c>
      <c r="AA433" t="e">
        <f t="shared" si="392"/>
        <v>#N/A</v>
      </c>
      <c r="AB433" t="e">
        <f t="shared" si="393"/>
        <v>#N/A</v>
      </c>
      <c r="AC433" t="e">
        <f t="shared" si="394"/>
        <v>#N/A</v>
      </c>
      <c r="AD433" t="e">
        <f t="shared" si="395"/>
        <v>#N/A</v>
      </c>
      <c r="AE433" t="e">
        <f t="shared" si="396"/>
        <v>#N/A</v>
      </c>
      <c r="AF433" t="e">
        <f t="shared" si="397"/>
        <v>#N/A</v>
      </c>
      <c r="AG433" t="e">
        <f t="shared" si="398"/>
        <v>#N/A</v>
      </c>
      <c r="AH433" t="e">
        <f t="shared" si="399"/>
        <v>#N/A</v>
      </c>
      <c r="AI433" t="e">
        <f t="shared" si="400"/>
        <v>#N/A</v>
      </c>
      <c r="AJ433" t="e">
        <f t="shared" si="401"/>
        <v>#N/A</v>
      </c>
      <c r="AK433" t="e">
        <f t="shared" si="402"/>
        <v>#N/A</v>
      </c>
      <c r="AL433" t="e">
        <f t="shared" si="403"/>
        <v>#N/A</v>
      </c>
      <c r="AM433" t="e">
        <f t="shared" si="404"/>
        <v>#N/A</v>
      </c>
      <c r="AN433" t="e">
        <f t="shared" si="405"/>
        <v>#N/A</v>
      </c>
      <c r="AO433" t="e">
        <f t="shared" si="406"/>
        <v>#N/A</v>
      </c>
      <c r="AP433" t="e">
        <f t="shared" si="407"/>
        <v>#N/A</v>
      </c>
      <c r="AQ433" t="e">
        <f t="shared" si="408"/>
        <v>#N/A</v>
      </c>
      <c r="AR433" t="e">
        <f t="shared" si="409"/>
        <v>#N/A</v>
      </c>
      <c r="AS433" t="e">
        <f t="shared" si="410"/>
        <v>#N/A</v>
      </c>
      <c r="AT433" t="e">
        <f t="shared" si="411"/>
        <v>#N/A</v>
      </c>
      <c r="AU433" t="e">
        <f t="shared" si="412"/>
        <v>#N/A</v>
      </c>
      <c r="AV433" t="e">
        <f t="shared" si="413"/>
        <v>#N/A</v>
      </c>
      <c r="AW433" t="e">
        <f t="shared" si="414"/>
        <v>#N/A</v>
      </c>
      <c r="AX433" t="e">
        <f t="shared" si="415"/>
        <v>#N/A</v>
      </c>
      <c r="AY433" t="e">
        <f t="shared" si="416"/>
        <v>#N/A</v>
      </c>
      <c r="BE433" t="e">
        <f>IF(Z433=1,IF(INDEX($C$7:$C$126,V433)&gt;=Gantt!$BF$6,NA(),MATCH(INDEX($C$7:$C$126,V433),Gantt!$J$6:$BE$6,1)),NA())</f>
        <v>#N/A</v>
      </c>
      <c r="BF433" t="e">
        <f>IF(Z433=1,IF((INDEX($D$7:$D$126,AA433)-1)&gt;=Gantt!$BF$6,NA(),IF((INDEX($D$7:$D$126,AA433)-1)&lt;Gantt!$J$6,0,MATCH((INDEX($D$7:$D$126,AA433)-1),Gantt!$J$6:$BE$6,1))),NA())</f>
        <v>#N/A</v>
      </c>
      <c r="BG433" t="e">
        <f t="shared" si="417"/>
        <v>#N/A</v>
      </c>
      <c r="BH433" t="e">
        <f t="shared" si="418"/>
        <v>#N/A</v>
      </c>
      <c r="BI433" t="e">
        <f t="shared" si="419"/>
        <v>#N/A</v>
      </c>
      <c r="BJ433" t="e">
        <f t="shared" si="420"/>
        <v>#N/A</v>
      </c>
      <c r="BK433" t="e">
        <f t="shared" si="421"/>
        <v>#N/A</v>
      </c>
      <c r="BL433" t="e">
        <f t="shared" si="422"/>
        <v>#N/A</v>
      </c>
      <c r="BM433" t="e">
        <f t="shared" si="423"/>
        <v>#N/A</v>
      </c>
      <c r="BN433" t="e">
        <f t="shared" si="424"/>
        <v>#N/A</v>
      </c>
      <c r="BO433" t="e">
        <f t="shared" si="425"/>
        <v>#N/A</v>
      </c>
      <c r="BP433" t="e">
        <f t="shared" si="426"/>
        <v>#N/A</v>
      </c>
      <c r="BQ433" t="e">
        <f t="shared" si="427"/>
        <v>#N/A</v>
      </c>
      <c r="BR433" t="e">
        <f t="shared" si="428"/>
        <v>#N/A</v>
      </c>
      <c r="BS433" t="e">
        <f t="shared" si="429"/>
        <v>#N/A</v>
      </c>
      <c r="BT433" t="e">
        <f t="shared" si="430"/>
        <v>#N/A</v>
      </c>
      <c r="BU433" t="e">
        <f t="shared" si="431"/>
        <v>#N/A</v>
      </c>
      <c r="BV433" t="e">
        <f t="shared" si="432"/>
        <v>#N/A</v>
      </c>
      <c r="BW433" t="e">
        <f t="shared" si="433"/>
        <v>#N/A</v>
      </c>
      <c r="BX433" t="e">
        <f t="shared" si="434"/>
        <v>#N/A</v>
      </c>
      <c r="BY433" t="e">
        <f t="shared" si="435"/>
        <v>#N/A</v>
      </c>
      <c r="BZ433" t="e">
        <f t="shared" si="436"/>
        <v>#N/A</v>
      </c>
      <c r="CA433" t="e">
        <f t="shared" si="437"/>
        <v>#N/A</v>
      </c>
      <c r="CB433" t="e">
        <f t="shared" si="438"/>
        <v>#N/A</v>
      </c>
      <c r="CC433" t="e">
        <f t="shared" si="439"/>
        <v>#N/A</v>
      </c>
      <c r="CD433" t="e">
        <f t="shared" si="440"/>
        <v>#N/A</v>
      </c>
      <c r="CE433" t="e">
        <f t="shared" si="441"/>
        <v>#N/A</v>
      </c>
      <c r="CF433" t="e">
        <f t="shared" si="442"/>
        <v>#N/A</v>
      </c>
      <c r="CG433" t="e">
        <f t="shared" si="443"/>
        <v>#N/A</v>
      </c>
      <c r="CI433" t="e">
        <f>AL149</f>
        <v>#N/A</v>
      </c>
      <c r="CJ433" t="e">
        <f>AM149</f>
        <v>#N/A</v>
      </c>
      <c r="CK433">
        <f>IF(ISNUMBER(CI433),IFERROR(MAX(0,AN149-CI433),0),0)</f>
        <v>0</v>
      </c>
      <c r="CL433">
        <f>IF(ISNUMBER(CI433),IFERROR(MAX(0,CI433-AN149),0),0)</f>
        <v>0</v>
      </c>
      <c r="CM433">
        <f>IF(ISNUMBER(CJ433),IFERROR(MAX(0,AO149-CJ433),0),0)</f>
        <v>0</v>
      </c>
      <c r="CN433">
        <f>IF(ISNUMBER(CJ433),IFERROR(MAX(0,CJ433-AO149),0),0)</f>
        <v>0</v>
      </c>
      <c r="CP433" t="e">
        <f>BT149</f>
        <v>#N/A</v>
      </c>
      <c r="CQ433" t="e">
        <f>BU149</f>
        <v>#N/A</v>
      </c>
      <c r="CR433">
        <f>IF(ISNUMBER(CP433),IFERROR(MAX(0,BV149-CP433),0),0)</f>
        <v>0</v>
      </c>
      <c r="CS433">
        <f>IF(ISNUMBER(CP433),IFERROR(MAX(0,CP433-BV149),0),0)</f>
        <v>0</v>
      </c>
      <c r="CT433">
        <f>IF(ISNUMBER(CQ433),IFERROR(MAX(0,BW149-CQ433),0),0)</f>
        <v>0</v>
      </c>
      <c r="CU433">
        <f>IF(ISNUMBER(CQ433),IFERROR(MAX(0,CQ433-BW149),0),0)</f>
        <v>0</v>
      </c>
    </row>
    <row r="434" spans="21:99" x14ac:dyDescent="0.3">
      <c r="U434">
        <v>428</v>
      </c>
      <c r="V434">
        <f t="shared" si="388"/>
        <v>107</v>
      </c>
      <c r="W434">
        <f t="shared" si="389"/>
        <v>4</v>
      </c>
      <c r="X434">
        <f t="shared" si="390"/>
        <v>0</v>
      </c>
      <c r="Y434">
        <f>IF(X434&lt;&gt;1,9999,CHOOSE(W434,INDEX(Gantt!$BQ$7:$BQ$119,V434),INDEX(Gantt!$BR$7:$BR$119,V434),INDEX(Gantt!$BT$7:$BT$119,V434),INDEX(Gantt!$BU$7:$BU$119,V434)))</f>
        <v>9999</v>
      </c>
      <c r="Z434">
        <f t="shared" si="391"/>
        <v>0</v>
      </c>
      <c r="AA434" t="e">
        <f t="shared" si="392"/>
        <v>#N/A</v>
      </c>
      <c r="AB434" t="e">
        <f t="shared" si="393"/>
        <v>#N/A</v>
      </c>
      <c r="AC434" t="e">
        <f t="shared" si="394"/>
        <v>#N/A</v>
      </c>
      <c r="AD434" t="e">
        <f t="shared" si="395"/>
        <v>#N/A</v>
      </c>
      <c r="AE434" t="e">
        <f t="shared" si="396"/>
        <v>#N/A</v>
      </c>
      <c r="AF434" t="e">
        <f t="shared" si="397"/>
        <v>#N/A</v>
      </c>
      <c r="AG434" t="e">
        <f t="shared" si="398"/>
        <v>#N/A</v>
      </c>
      <c r="AH434" t="e">
        <f t="shared" si="399"/>
        <v>#N/A</v>
      </c>
      <c r="AI434" t="e">
        <f t="shared" si="400"/>
        <v>#N/A</v>
      </c>
      <c r="AJ434" t="e">
        <f t="shared" si="401"/>
        <v>#N/A</v>
      </c>
      <c r="AK434" t="e">
        <f t="shared" si="402"/>
        <v>#N/A</v>
      </c>
      <c r="AL434" t="e">
        <f t="shared" si="403"/>
        <v>#N/A</v>
      </c>
      <c r="AM434" t="e">
        <f t="shared" si="404"/>
        <v>#N/A</v>
      </c>
      <c r="AN434" t="e">
        <f t="shared" si="405"/>
        <v>#N/A</v>
      </c>
      <c r="AO434" t="e">
        <f t="shared" si="406"/>
        <v>#N/A</v>
      </c>
      <c r="AP434" t="e">
        <f t="shared" si="407"/>
        <v>#N/A</v>
      </c>
      <c r="AQ434" t="e">
        <f t="shared" si="408"/>
        <v>#N/A</v>
      </c>
      <c r="AR434" t="e">
        <f t="shared" si="409"/>
        <v>#N/A</v>
      </c>
      <c r="AS434" t="e">
        <f t="shared" si="410"/>
        <v>#N/A</v>
      </c>
      <c r="AT434" t="e">
        <f t="shared" si="411"/>
        <v>#N/A</v>
      </c>
      <c r="AU434" t="e">
        <f t="shared" si="412"/>
        <v>#N/A</v>
      </c>
      <c r="AV434" t="e">
        <f t="shared" si="413"/>
        <v>#N/A</v>
      </c>
      <c r="AW434" t="e">
        <f t="shared" si="414"/>
        <v>#N/A</v>
      </c>
      <c r="AX434" t="e">
        <f t="shared" si="415"/>
        <v>#N/A</v>
      </c>
      <c r="AY434" t="e">
        <f t="shared" si="416"/>
        <v>#N/A</v>
      </c>
      <c r="BE434" t="e">
        <f>IF(Z434=1,IF(INDEX($C$7:$C$126,V434)&gt;=Gantt!$BF$6,NA(),MATCH(INDEX($C$7:$C$126,V434),Gantt!$J$6:$BE$6,1)),NA())</f>
        <v>#N/A</v>
      </c>
      <c r="BF434" t="e">
        <f>IF(Z434=1,IF((INDEX($D$7:$D$126,AA434)-1)&gt;=Gantt!$BF$6,NA(),IF((INDEX($D$7:$D$126,AA434)-1)&lt;Gantt!$J$6,0,MATCH((INDEX($D$7:$D$126,AA434)-1),Gantt!$J$6:$BE$6,1))),NA())</f>
        <v>#N/A</v>
      </c>
      <c r="BG434" t="e">
        <f t="shared" si="417"/>
        <v>#N/A</v>
      </c>
      <c r="BH434" t="e">
        <f t="shared" si="418"/>
        <v>#N/A</v>
      </c>
      <c r="BI434" t="e">
        <f t="shared" si="419"/>
        <v>#N/A</v>
      </c>
      <c r="BJ434" t="e">
        <f t="shared" si="420"/>
        <v>#N/A</v>
      </c>
      <c r="BK434" t="e">
        <f t="shared" si="421"/>
        <v>#N/A</v>
      </c>
      <c r="BL434" t="e">
        <f t="shared" si="422"/>
        <v>#N/A</v>
      </c>
      <c r="BM434" t="e">
        <f t="shared" si="423"/>
        <v>#N/A</v>
      </c>
      <c r="BN434" t="e">
        <f t="shared" si="424"/>
        <v>#N/A</v>
      </c>
      <c r="BO434" t="e">
        <f t="shared" si="425"/>
        <v>#N/A</v>
      </c>
      <c r="BP434" t="e">
        <f t="shared" si="426"/>
        <v>#N/A</v>
      </c>
      <c r="BQ434" t="e">
        <f t="shared" si="427"/>
        <v>#N/A</v>
      </c>
      <c r="BR434" t="e">
        <f t="shared" si="428"/>
        <v>#N/A</v>
      </c>
      <c r="BS434" t="e">
        <f t="shared" si="429"/>
        <v>#N/A</v>
      </c>
      <c r="BT434" t="e">
        <f t="shared" si="430"/>
        <v>#N/A</v>
      </c>
      <c r="BU434" t="e">
        <f t="shared" si="431"/>
        <v>#N/A</v>
      </c>
      <c r="BV434" t="e">
        <f t="shared" si="432"/>
        <v>#N/A</v>
      </c>
      <c r="BW434" t="e">
        <f t="shared" si="433"/>
        <v>#N/A</v>
      </c>
      <c r="BX434" t="e">
        <f t="shared" si="434"/>
        <v>#N/A</v>
      </c>
      <c r="BY434" t="e">
        <f t="shared" si="435"/>
        <v>#N/A</v>
      </c>
      <c r="BZ434" t="e">
        <f t="shared" si="436"/>
        <v>#N/A</v>
      </c>
      <c r="CA434" t="e">
        <f t="shared" si="437"/>
        <v>#N/A</v>
      </c>
      <c r="CB434" t="e">
        <f t="shared" si="438"/>
        <v>#N/A</v>
      </c>
      <c r="CC434" t="e">
        <f t="shared" si="439"/>
        <v>#N/A</v>
      </c>
      <c r="CD434" t="e">
        <f t="shared" si="440"/>
        <v>#N/A</v>
      </c>
      <c r="CE434" t="e">
        <f t="shared" si="441"/>
        <v>#N/A</v>
      </c>
      <c r="CF434" t="e">
        <f t="shared" si="442"/>
        <v>#N/A</v>
      </c>
      <c r="CG434" t="e">
        <f t="shared" si="443"/>
        <v>#N/A</v>
      </c>
      <c r="CI434" t="e">
        <f>AP149</f>
        <v>#N/A</v>
      </c>
      <c r="CJ434" t="e">
        <f>AQ149</f>
        <v>#N/A</v>
      </c>
      <c r="CK434">
        <f>IF(ISNUMBER(CI434),IFERROR(MAX(0,AR149-CI434),0),0)</f>
        <v>0</v>
      </c>
      <c r="CL434">
        <f>IF(ISNUMBER(CI434),IFERROR(MAX(0,CI434-AR149),0),0)</f>
        <v>0</v>
      </c>
      <c r="CM434">
        <f>IF(ISNUMBER(CJ434),IFERROR(MAX(0,AS149-CJ434),0),0)</f>
        <v>0</v>
      </c>
      <c r="CN434">
        <f>IF(ISNUMBER(CJ434),IFERROR(MAX(0,CJ434-AS149),0),0)</f>
        <v>0</v>
      </c>
      <c r="CP434" t="e">
        <f>BX149</f>
        <v>#N/A</v>
      </c>
      <c r="CQ434" t="e">
        <f>BY149</f>
        <v>#N/A</v>
      </c>
      <c r="CR434">
        <f>IF(ISNUMBER(CP434),IFERROR(MAX(0,BZ149-CP434),0),0)</f>
        <v>0</v>
      </c>
      <c r="CS434">
        <f>IF(ISNUMBER(CP434),IFERROR(MAX(0,CP434-BZ149),0),0)</f>
        <v>0</v>
      </c>
      <c r="CT434">
        <f>IF(ISNUMBER(CQ434),IFERROR(MAX(0,CA149-CQ434),0),0)</f>
        <v>0</v>
      </c>
      <c r="CU434">
        <f>IF(ISNUMBER(CQ434),IFERROR(MAX(0,CQ434-CA149),0),0)</f>
        <v>0</v>
      </c>
    </row>
    <row r="435" spans="21:99" x14ac:dyDescent="0.3">
      <c r="U435">
        <v>429</v>
      </c>
      <c r="V435">
        <f t="shared" si="388"/>
        <v>108</v>
      </c>
      <c r="W435">
        <f t="shared" si="389"/>
        <v>1</v>
      </c>
      <c r="X435">
        <f t="shared" si="390"/>
        <v>0</v>
      </c>
      <c r="Y435">
        <f>IF(X435&lt;&gt;1,9999,CHOOSE(W435,INDEX(Gantt!$BQ$7:$BQ$119,V435),INDEX(Gantt!$BR$7:$BR$119,V435),INDEX(Gantt!$BT$7:$BT$119,V435),INDEX(Gantt!$BU$7:$BU$119,V435)))</f>
        <v>9999</v>
      </c>
      <c r="Z435">
        <f t="shared" si="391"/>
        <v>0</v>
      </c>
      <c r="AA435" t="e">
        <f t="shared" si="392"/>
        <v>#N/A</v>
      </c>
      <c r="AB435" t="e">
        <f t="shared" si="393"/>
        <v>#N/A</v>
      </c>
      <c r="AC435" t="e">
        <f t="shared" si="394"/>
        <v>#N/A</v>
      </c>
      <c r="AD435" t="e">
        <f t="shared" si="395"/>
        <v>#N/A</v>
      </c>
      <c r="AE435" t="e">
        <f t="shared" si="396"/>
        <v>#N/A</v>
      </c>
      <c r="AF435" t="e">
        <f t="shared" si="397"/>
        <v>#N/A</v>
      </c>
      <c r="AG435" t="e">
        <f t="shared" si="398"/>
        <v>#N/A</v>
      </c>
      <c r="AH435" t="e">
        <f t="shared" si="399"/>
        <v>#N/A</v>
      </c>
      <c r="AI435" t="e">
        <f t="shared" si="400"/>
        <v>#N/A</v>
      </c>
      <c r="AJ435" t="e">
        <f t="shared" si="401"/>
        <v>#N/A</v>
      </c>
      <c r="AK435" t="e">
        <f t="shared" si="402"/>
        <v>#N/A</v>
      </c>
      <c r="AL435" t="e">
        <f t="shared" si="403"/>
        <v>#N/A</v>
      </c>
      <c r="AM435" t="e">
        <f t="shared" si="404"/>
        <v>#N/A</v>
      </c>
      <c r="AN435" t="e">
        <f t="shared" si="405"/>
        <v>#N/A</v>
      </c>
      <c r="AO435" t="e">
        <f t="shared" si="406"/>
        <v>#N/A</v>
      </c>
      <c r="AP435" t="e">
        <f t="shared" si="407"/>
        <v>#N/A</v>
      </c>
      <c r="AQ435" t="e">
        <f t="shared" si="408"/>
        <v>#N/A</v>
      </c>
      <c r="AR435" t="e">
        <f t="shared" si="409"/>
        <v>#N/A</v>
      </c>
      <c r="AS435" t="e">
        <f t="shared" si="410"/>
        <v>#N/A</v>
      </c>
      <c r="AT435" t="e">
        <f t="shared" si="411"/>
        <v>#N/A</v>
      </c>
      <c r="AU435" t="e">
        <f t="shared" si="412"/>
        <v>#N/A</v>
      </c>
      <c r="AV435" t="e">
        <f t="shared" si="413"/>
        <v>#N/A</v>
      </c>
      <c r="AW435" t="e">
        <f t="shared" si="414"/>
        <v>#N/A</v>
      </c>
      <c r="AX435" t="e">
        <f t="shared" si="415"/>
        <v>#N/A</v>
      </c>
      <c r="AY435" t="e">
        <f t="shared" si="416"/>
        <v>#N/A</v>
      </c>
      <c r="BE435" t="e">
        <f>IF(Z435=1,IF(INDEX($C$7:$C$126,V435)&gt;=Gantt!$BF$6,NA(),MATCH(INDEX($C$7:$C$126,V435),Gantt!$J$6:$BE$6,1)),NA())</f>
        <v>#N/A</v>
      </c>
      <c r="BF435" t="e">
        <f>IF(Z435=1,IF((INDEX($D$7:$D$126,AA435)-1)&gt;=Gantt!$BF$6,NA(),IF((INDEX($D$7:$D$126,AA435)-1)&lt;Gantt!$J$6,0,MATCH((INDEX($D$7:$D$126,AA435)-1),Gantt!$J$6:$BE$6,1))),NA())</f>
        <v>#N/A</v>
      </c>
      <c r="BG435" t="e">
        <f t="shared" si="417"/>
        <v>#N/A</v>
      </c>
      <c r="BH435" t="e">
        <f t="shared" si="418"/>
        <v>#N/A</v>
      </c>
      <c r="BI435" t="e">
        <f t="shared" si="419"/>
        <v>#N/A</v>
      </c>
      <c r="BJ435" t="e">
        <f t="shared" si="420"/>
        <v>#N/A</v>
      </c>
      <c r="BK435" t="e">
        <f t="shared" si="421"/>
        <v>#N/A</v>
      </c>
      <c r="BL435" t="e">
        <f t="shared" si="422"/>
        <v>#N/A</v>
      </c>
      <c r="BM435" t="e">
        <f t="shared" si="423"/>
        <v>#N/A</v>
      </c>
      <c r="BN435" t="e">
        <f t="shared" si="424"/>
        <v>#N/A</v>
      </c>
      <c r="BO435" t="e">
        <f t="shared" si="425"/>
        <v>#N/A</v>
      </c>
      <c r="BP435" t="e">
        <f t="shared" si="426"/>
        <v>#N/A</v>
      </c>
      <c r="BQ435" t="e">
        <f t="shared" si="427"/>
        <v>#N/A</v>
      </c>
      <c r="BR435" t="e">
        <f t="shared" si="428"/>
        <v>#N/A</v>
      </c>
      <c r="BS435" t="e">
        <f t="shared" si="429"/>
        <v>#N/A</v>
      </c>
      <c r="BT435" t="e">
        <f t="shared" si="430"/>
        <v>#N/A</v>
      </c>
      <c r="BU435" t="e">
        <f t="shared" si="431"/>
        <v>#N/A</v>
      </c>
      <c r="BV435" t="e">
        <f t="shared" si="432"/>
        <v>#N/A</v>
      </c>
      <c r="BW435" t="e">
        <f t="shared" si="433"/>
        <v>#N/A</v>
      </c>
      <c r="BX435" t="e">
        <f t="shared" si="434"/>
        <v>#N/A</v>
      </c>
      <c r="BY435" t="e">
        <f t="shared" si="435"/>
        <v>#N/A</v>
      </c>
      <c r="BZ435" t="e">
        <f t="shared" si="436"/>
        <v>#N/A</v>
      </c>
      <c r="CA435" t="e">
        <f t="shared" si="437"/>
        <v>#N/A</v>
      </c>
      <c r="CB435" t="e">
        <f t="shared" si="438"/>
        <v>#N/A</v>
      </c>
      <c r="CC435" t="e">
        <f t="shared" si="439"/>
        <v>#N/A</v>
      </c>
      <c r="CD435" t="e">
        <f t="shared" si="440"/>
        <v>#N/A</v>
      </c>
      <c r="CE435" t="e">
        <f t="shared" si="441"/>
        <v>#N/A</v>
      </c>
      <c r="CF435" t="e">
        <f t="shared" si="442"/>
        <v>#N/A</v>
      </c>
      <c r="CG435" t="e">
        <f t="shared" si="443"/>
        <v>#N/A</v>
      </c>
      <c r="CI435" t="e">
        <f>AT149</f>
        <v>#N/A</v>
      </c>
      <c r="CJ435" t="e">
        <f>AU149</f>
        <v>#N/A</v>
      </c>
      <c r="CK435">
        <f>IF(ISNUMBER(CI435),IFERROR(MAX(0,AV149-CI435),0),0)</f>
        <v>0</v>
      </c>
      <c r="CL435">
        <f>IF(ISNUMBER(CI435),IFERROR(MAX(0,CI435-AV149),0),0)</f>
        <v>0</v>
      </c>
      <c r="CM435">
        <f>IF(ISNUMBER(CJ435),IFERROR(MAX(0,AW149-CJ435),0),0)</f>
        <v>0</v>
      </c>
      <c r="CN435">
        <f>IF(ISNUMBER(CJ435),IFERROR(MAX(0,CJ435-AW149),0),0)</f>
        <v>0</v>
      </c>
      <c r="CP435" t="e">
        <f>CB149</f>
        <v>#N/A</v>
      </c>
      <c r="CQ435" t="e">
        <f>CC149</f>
        <v>#N/A</v>
      </c>
      <c r="CR435">
        <f>IF(ISNUMBER(CP435),IFERROR(MAX(0,CD149-CP435),0),0)</f>
        <v>0</v>
      </c>
      <c r="CS435">
        <f>IF(ISNUMBER(CP435),IFERROR(MAX(0,CP435-CD149),0),0)</f>
        <v>0</v>
      </c>
      <c r="CT435">
        <f>IF(ISNUMBER(CQ435),IFERROR(MAX(0,CE149-CQ435),0),0)</f>
        <v>0</v>
      </c>
      <c r="CU435">
        <f>IF(ISNUMBER(CQ435),IFERROR(MAX(0,CQ435-CE149),0),0)</f>
        <v>0</v>
      </c>
    </row>
    <row r="436" spans="21:99" x14ac:dyDescent="0.3">
      <c r="U436">
        <v>430</v>
      </c>
      <c r="V436">
        <f t="shared" si="388"/>
        <v>108</v>
      </c>
      <c r="W436">
        <f t="shared" si="389"/>
        <v>2</v>
      </c>
      <c r="X436">
        <f t="shared" si="390"/>
        <v>0</v>
      </c>
      <c r="Y436">
        <f>IF(X436&lt;&gt;1,9999,CHOOSE(W436,INDEX(Gantt!$BQ$7:$BQ$119,V436),INDEX(Gantt!$BR$7:$BR$119,V436),INDEX(Gantt!$BT$7:$BT$119,V436),INDEX(Gantt!$BU$7:$BU$119,V436)))</f>
        <v>9999</v>
      </c>
      <c r="Z436">
        <f t="shared" si="391"/>
        <v>0</v>
      </c>
      <c r="AA436" t="e">
        <f t="shared" si="392"/>
        <v>#N/A</v>
      </c>
      <c r="AB436" t="e">
        <f t="shared" si="393"/>
        <v>#N/A</v>
      </c>
      <c r="AC436" t="e">
        <f t="shared" si="394"/>
        <v>#N/A</v>
      </c>
      <c r="AD436" t="e">
        <f t="shared" si="395"/>
        <v>#N/A</v>
      </c>
      <c r="AE436" t="e">
        <f t="shared" si="396"/>
        <v>#N/A</v>
      </c>
      <c r="AF436" t="e">
        <f t="shared" si="397"/>
        <v>#N/A</v>
      </c>
      <c r="AG436" t="e">
        <f t="shared" si="398"/>
        <v>#N/A</v>
      </c>
      <c r="AH436" t="e">
        <f t="shared" si="399"/>
        <v>#N/A</v>
      </c>
      <c r="AI436" t="e">
        <f t="shared" si="400"/>
        <v>#N/A</v>
      </c>
      <c r="AJ436" t="e">
        <f t="shared" si="401"/>
        <v>#N/A</v>
      </c>
      <c r="AK436" t="e">
        <f t="shared" si="402"/>
        <v>#N/A</v>
      </c>
      <c r="AL436" t="e">
        <f t="shared" si="403"/>
        <v>#N/A</v>
      </c>
      <c r="AM436" t="e">
        <f t="shared" si="404"/>
        <v>#N/A</v>
      </c>
      <c r="AN436" t="e">
        <f t="shared" si="405"/>
        <v>#N/A</v>
      </c>
      <c r="AO436" t="e">
        <f t="shared" si="406"/>
        <v>#N/A</v>
      </c>
      <c r="AP436" t="e">
        <f t="shared" si="407"/>
        <v>#N/A</v>
      </c>
      <c r="AQ436" t="e">
        <f t="shared" si="408"/>
        <v>#N/A</v>
      </c>
      <c r="AR436" t="e">
        <f t="shared" si="409"/>
        <v>#N/A</v>
      </c>
      <c r="AS436" t="e">
        <f t="shared" si="410"/>
        <v>#N/A</v>
      </c>
      <c r="AT436" t="e">
        <f t="shared" si="411"/>
        <v>#N/A</v>
      </c>
      <c r="AU436" t="e">
        <f t="shared" si="412"/>
        <v>#N/A</v>
      </c>
      <c r="AV436" t="e">
        <f t="shared" si="413"/>
        <v>#N/A</v>
      </c>
      <c r="AW436" t="e">
        <f t="shared" si="414"/>
        <v>#N/A</v>
      </c>
      <c r="AX436" t="e">
        <f t="shared" si="415"/>
        <v>#N/A</v>
      </c>
      <c r="AY436" t="e">
        <f t="shared" si="416"/>
        <v>#N/A</v>
      </c>
      <c r="BE436" t="e">
        <f>IF(Z436=1,IF(INDEX($C$7:$C$126,V436)&gt;=Gantt!$BF$6,NA(),MATCH(INDEX($C$7:$C$126,V436),Gantt!$J$6:$BE$6,1)),NA())</f>
        <v>#N/A</v>
      </c>
      <c r="BF436" t="e">
        <f>IF(Z436=1,IF((INDEX($D$7:$D$126,AA436)-1)&gt;=Gantt!$BF$6,NA(),IF((INDEX($D$7:$D$126,AA436)-1)&lt;Gantt!$J$6,0,MATCH((INDEX($D$7:$D$126,AA436)-1),Gantt!$J$6:$BE$6,1))),NA())</f>
        <v>#N/A</v>
      </c>
      <c r="BG436" t="e">
        <f t="shared" si="417"/>
        <v>#N/A</v>
      </c>
      <c r="BH436" t="e">
        <f t="shared" si="418"/>
        <v>#N/A</v>
      </c>
      <c r="BI436" t="e">
        <f t="shared" si="419"/>
        <v>#N/A</v>
      </c>
      <c r="BJ436" t="e">
        <f t="shared" si="420"/>
        <v>#N/A</v>
      </c>
      <c r="BK436" t="e">
        <f t="shared" si="421"/>
        <v>#N/A</v>
      </c>
      <c r="BL436" t="e">
        <f t="shared" si="422"/>
        <v>#N/A</v>
      </c>
      <c r="BM436" t="e">
        <f t="shared" si="423"/>
        <v>#N/A</v>
      </c>
      <c r="BN436" t="e">
        <f t="shared" si="424"/>
        <v>#N/A</v>
      </c>
      <c r="BO436" t="e">
        <f t="shared" si="425"/>
        <v>#N/A</v>
      </c>
      <c r="BP436" t="e">
        <f t="shared" si="426"/>
        <v>#N/A</v>
      </c>
      <c r="BQ436" t="e">
        <f t="shared" si="427"/>
        <v>#N/A</v>
      </c>
      <c r="BR436" t="e">
        <f t="shared" si="428"/>
        <v>#N/A</v>
      </c>
      <c r="BS436" t="e">
        <f t="shared" si="429"/>
        <v>#N/A</v>
      </c>
      <c r="BT436" t="e">
        <f t="shared" si="430"/>
        <v>#N/A</v>
      </c>
      <c r="BU436" t="e">
        <f t="shared" si="431"/>
        <v>#N/A</v>
      </c>
      <c r="BV436" t="e">
        <f t="shared" si="432"/>
        <v>#N/A</v>
      </c>
      <c r="BW436" t="e">
        <f t="shared" si="433"/>
        <v>#N/A</v>
      </c>
      <c r="BX436" t="e">
        <f t="shared" si="434"/>
        <v>#N/A</v>
      </c>
      <c r="BY436" t="e">
        <f t="shared" si="435"/>
        <v>#N/A</v>
      </c>
      <c r="BZ436" t="e">
        <f t="shared" si="436"/>
        <v>#N/A</v>
      </c>
      <c r="CA436" t="e">
        <f t="shared" si="437"/>
        <v>#N/A</v>
      </c>
      <c r="CB436" t="e">
        <f t="shared" si="438"/>
        <v>#N/A</v>
      </c>
      <c r="CC436" t="e">
        <f t="shared" si="439"/>
        <v>#N/A</v>
      </c>
      <c r="CD436" t="e">
        <f t="shared" si="440"/>
        <v>#N/A</v>
      </c>
      <c r="CE436" t="e">
        <f t="shared" si="441"/>
        <v>#N/A</v>
      </c>
      <c r="CF436" t="e">
        <f t="shared" si="442"/>
        <v>#N/A</v>
      </c>
      <c r="CG436" t="e">
        <f t="shared" si="443"/>
        <v>#N/A</v>
      </c>
      <c r="CI436" t="e">
        <f>AL150</f>
        <v>#N/A</v>
      </c>
      <c r="CJ436" t="e">
        <f>AM150</f>
        <v>#N/A</v>
      </c>
      <c r="CK436">
        <f>IF(ISNUMBER(CI436),IFERROR(MAX(0,AN150-CI436),0),0)</f>
        <v>0</v>
      </c>
      <c r="CL436">
        <f>IF(ISNUMBER(CI436),IFERROR(MAX(0,CI436-AN150),0),0)</f>
        <v>0</v>
      </c>
      <c r="CM436">
        <f>IF(ISNUMBER(CJ436),IFERROR(MAX(0,AO150-CJ436),0),0)</f>
        <v>0</v>
      </c>
      <c r="CN436">
        <f>IF(ISNUMBER(CJ436),IFERROR(MAX(0,CJ436-AO150),0),0)</f>
        <v>0</v>
      </c>
      <c r="CP436" t="e">
        <f>BT150</f>
        <v>#N/A</v>
      </c>
      <c r="CQ436" t="e">
        <f>BU150</f>
        <v>#N/A</v>
      </c>
      <c r="CR436">
        <f>IF(ISNUMBER(CP436),IFERROR(MAX(0,BV150-CP436),0),0)</f>
        <v>0</v>
      </c>
      <c r="CS436">
        <f>IF(ISNUMBER(CP436),IFERROR(MAX(0,CP436-BV150),0),0)</f>
        <v>0</v>
      </c>
      <c r="CT436">
        <f>IF(ISNUMBER(CQ436),IFERROR(MAX(0,BW150-CQ436),0),0)</f>
        <v>0</v>
      </c>
      <c r="CU436">
        <f>IF(ISNUMBER(CQ436),IFERROR(MAX(0,CQ436-BW150),0),0)</f>
        <v>0</v>
      </c>
    </row>
    <row r="437" spans="21:99" x14ac:dyDescent="0.3">
      <c r="U437">
        <v>431</v>
      </c>
      <c r="V437">
        <f t="shared" si="388"/>
        <v>108</v>
      </c>
      <c r="W437">
        <f t="shared" si="389"/>
        <v>3</v>
      </c>
      <c r="X437">
        <f t="shared" si="390"/>
        <v>0</v>
      </c>
      <c r="Y437">
        <f>IF(X437&lt;&gt;1,9999,CHOOSE(W437,INDEX(Gantt!$BQ$7:$BQ$119,V437),INDEX(Gantt!$BR$7:$BR$119,V437),INDEX(Gantt!$BT$7:$BT$119,V437),INDEX(Gantt!$BU$7:$BU$119,V437)))</f>
        <v>9999</v>
      </c>
      <c r="Z437">
        <f t="shared" si="391"/>
        <v>0</v>
      </c>
      <c r="AA437" t="e">
        <f t="shared" si="392"/>
        <v>#N/A</v>
      </c>
      <c r="AB437" t="e">
        <f t="shared" si="393"/>
        <v>#N/A</v>
      </c>
      <c r="AC437" t="e">
        <f t="shared" si="394"/>
        <v>#N/A</v>
      </c>
      <c r="AD437" t="e">
        <f t="shared" si="395"/>
        <v>#N/A</v>
      </c>
      <c r="AE437" t="e">
        <f t="shared" si="396"/>
        <v>#N/A</v>
      </c>
      <c r="AF437" t="e">
        <f t="shared" si="397"/>
        <v>#N/A</v>
      </c>
      <c r="AG437" t="e">
        <f t="shared" si="398"/>
        <v>#N/A</v>
      </c>
      <c r="AH437" t="e">
        <f t="shared" si="399"/>
        <v>#N/A</v>
      </c>
      <c r="AI437" t="e">
        <f t="shared" si="400"/>
        <v>#N/A</v>
      </c>
      <c r="AJ437" t="e">
        <f t="shared" si="401"/>
        <v>#N/A</v>
      </c>
      <c r="AK437" t="e">
        <f t="shared" si="402"/>
        <v>#N/A</v>
      </c>
      <c r="AL437" t="e">
        <f t="shared" si="403"/>
        <v>#N/A</v>
      </c>
      <c r="AM437" t="e">
        <f t="shared" si="404"/>
        <v>#N/A</v>
      </c>
      <c r="AN437" t="e">
        <f t="shared" si="405"/>
        <v>#N/A</v>
      </c>
      <c r="AO437" t="e">
        <f t="shared" si="406"/>
        <v>#N/A</v>
      </c>
      <c r="AP437" t="e">
        <f t="shared" si="407"/>
        <v>#N/A</v>
      </c>
      <c r="AQ437" t="e">
        <f t="shared" si="408"/>
        <v>#N/A</v>
      </c>
      <c r="AR437" t="e">
        <f t="shared" si="409"/>
        <v>#N/A</v>
      </c>
      <c r="AS437" t="e">
        <f t="shared" si="410"/>
        <v>#N/A</v>
      </c>
      <c r="AT437" t="e">
        <f t="shared" si="411"/>
        <v>#N/A</v>
      </c>
      <c r="AU437" t="e">
        <f t="shared" si="412"/>
        <v>#N/A</v>
      </c>
      <c r="AV437" t="e">
        <f t="shared" si="413"/>
        <v>#N/A</v>
      </c>
      <c r="AW437" t="e">
        <f t="shared" si="414"/>
        <v>#N/A</v>
      </c>
      <c r="AX437" t="e">
        <f t="shared" si="415"/>
        <v>#N/A</v>
      </c>
      <c r="AY437" t="e">
        <f t="shared" si="416"/>
        <v>#N/A</v>
      </c>
      <c r="BE437" t="e">
        <f>IF(Z437=1,IF(INDEX($C$7:$C$126,V437)&gt;=Gantt!$BF$6,NA(),MATCH(INDEX($C$7:$C$126,V437),Gantt!$J$6:$BE$6,1)),NA())</f>
        <v>#N/A</v>
      </c>
      <c r="BF437" t="e">
        <f>IF(Z437=1,IF((INDEX($D$7:$D$126,AA437)-1)&gt;=Gantt!$BF$6,NA(),IF((INDEX($D$7:$D$126,AA437)-1)&lt;Gantt!$J$6,0,MATCH((INDEX($D$7:$D$126,AA437)-1),Gantt!$J$6:$BE$6,1))),NA())</f>
        <v>#N/A</v>
      </c>
      <c r="BG437" t="e">
        <f t="shared" si="417"/>
        <v>#N/A</v>
      </c>
      <c r="BH437" t="e">
        <f t="shared" si="418"/>
        <v>#N/A</v>
      </c>
      <c r="BI437" t="e">
        <f t="shared" si="419"/>
        <v>#N/A</v>
      </c>
      <c r="BJ437" t="e">
        <f t="shared" si="420"/>
        <v>#N/A</v>
      </c>
      <c r="BK437" t="e">
        <f t="shared" si="421"/>
        <v>#N/A</v>
      </c>
      <c r="BL437" t="e">
        <f t="shared" si="422"/>
        <v>#N/A</v>
      </c>
      <c r="BM437" t="e">
        <f t="shared" si="423"/>
        <v>#N/A</v>
      </c>
      <c r="BN437" t="e">
        <f t="shared" si="424"/>
        <v>#N/A</v>
      </c>
      <c r="BO437" t="e">
        <f t="shared" si="425"/>
        <v>#N/A</v>
      </c>
      <c r="BP437" t="e">
        <f t="shared" si="426"/>
        <v>#N/A</v>
      </c>
      <c r="BQ437" t="e">
        <f t="shared" si="427"/>
        <v>#N/A</v>
      </c>
      <c r="BR437" t="e">
        <f t="shared" si="428"/>
        <v>#N/A</v>
      </c>
      <c r="BS437" t="e">
        <f t="shared" si="429"/>
        <v>#N/A</v>
      </c>
      <c r="BT437" t="e">
        <f t="shared" si="430"/>
        <v>#N/A</v>
      </c>
      <c r="BU437" t="e">
        <f t="shared" si="431"/>
        <v>#N/A</v>
      </c>
      <c r="BV437" t="e">
        <f t="shared" si="432"/>
        <v>#N/A</v>
      </c>
      <c r="BW437" t="e">
        <f t="shared" si="433"/>
        <v>#N/A</v>
      </c>
      <c r="BX437" t="e">
        <f t="shared" si="434"/>
        <v>#N/A</v>
      </c>
      <c r="BY437" t="e">
        <f t="shared" si="435"/>
        <v>#N/A</v>
      </c>
      <c r="BZ437" t="e">
        <f t="shared" si="436"/>
        <v>#N/A</v>
      </c>
      <c r="CA437" t="e">
        <f t="shared" si="437"/>
        <v>#N/A</v>
      </c>
      <c r="CB437" t="e">
        <f t="shared" si="438"/>
        <v>#N/A</v>
      </c>
      <c r="CC437" t="e">
        <f t="shared" si="439"/>
        <v>#N/A</v>
      </c>
      <c r="CD437" t="e">
        <f t="shared" si="440"/>
        <v>#N/A</v>
      </c>
      <c r="CE437" t="e">
        <f t="shared" si="441"/>
        <v>#N/A</v>
      </c>
      <c r="CF437" t="e">
        <f t="shared" si="442"/>
        <v>#N/A</v>
      </c>
      <c r="CG437" t="e">
        <f t="shared" si="443"/>
        <v>#N/A</v>
      </c>
      <c r="CI437" t="e">
        <f>AP150</f>
        <v>#N/A</v>
      </c>
      <c r="CJ437" t="e">
        <f>AQ150</f>
        <v>#N/A</v>
      </c>
      <c r="CK437">
        <f>IF(ISNUMBER(CI437),IFERROR(MAX(0,AR150-CI437),0),0)</f>
        <v>0</v>
      </c>
      <c r="CL437">
        <f>IF(ISNUMBER(CI437),IFERROR(MAX(0,CI437-AR150),0),0)</f>
        <v>0</v>
      </c>
      <c r="CM437">
        <f>IF(ISNUMBER(CJ437),IFERROR(MAX(0,AS150-CJ437),0),0)</f>
        <v>0</v>
      </c>
      <c r="CN437">
        <f>IF(ISNUMBER(CJ437),IFERROR(MAX(0,CJ437-AS150),0),0)</f>
        <v>0</v>
      </c>
      <c r="CP437" t="e">
        <f>BX150</f>
        <v>#N/A</v>
      </c>
      <c r="CQ437" t="e">
        <f>BY150</f>
        <v>#N/A</v>
      </c>
      <c r="CR437">
        <f>IF(ISNUMBER(CP437),IFERROR(MAX(0,BZ150-CP437),0),0)</f>
        <v>0</v>
      </c>
      <c r="CS437">
        <f>IF(ISNUMBER(CP437),IFERROR(MAX(0,CP437-BZ150),0),0)</f>
        <v>0</v>
      </c>
      <c r="CT437">
        <f>IF(ISNUMBER(CQ437),IFERROR(MAX(0,CA150-CQ437),0),0)</f>
        <v>0</v>
      </c>
      <c r="CU437">
        <f>IF(ISNUMBER(CQ437),IFERROR(MAX(0,CQ437-CA150),0),0)</f>
        <v>0</v>
      </c>
    </row>
    <row r="438" spans="21:99" x14ac:dyDescent="0.3">
      <c r="U438">
        <v>432</v>
      </c>
      <c r="V438">
        <f t="shared" si="388"/>
        <v>108</v>
      </c>
      <c r="W438">
        <f t="shared" si="389"/>
        <v>4</v>
      </c>
      <c r="X438">
        <f t="shared" si="390"/>
        <v>0</v>
      </c>
      <c r="Y438">
        <f>IF(X438&lt;&gt;1,9999,CHOOSE(W438,INDEX(Gantt!$BQ$7:$BQ$119,V438),INDEX(Gantt!$BR$7:$BR$119,V438),INDEX(Gantt!$BT$7:$BT$119,V438),INDEX(Gantt!$BU$7:$BU$119,V438)))</f>
        <v>9999</v>
      </c>
      <c r="Z438">
        <f t="shared" si="391"/>
        <v>0</v>
      </c>
      <c r="AA438" t="e">
        <f t="shared" si="392"/>
        <v>#N/A</v>
      </c>
      <c r="AB438" t="e">
        <f t="shared" si="393"/>
        <v>#N/A</v>
      </c>
      <c r="AC438" t="e">
        <f t="shared" si="394"/>
        <v>#N/A</v>
      </c>
      <c r="AD438" t="e">
        <f t="shared" si="395"/>
        <v>#N/A</v>
      </c>
      <c r="AE438" t="e">
        <f t="shared" si="396"/>
        <v>#N/A</v>
      </c>
      <c r="AF438" t="e">
        <f t="shared" si="397"/>
        <v>#N/A</v>
      </c>
      <c r="AG438" t="e">
        <f t="shared" si="398"/>
        <v>#N/A</v>
      </c>
      <c r="AH438" t="e">
        <f t="shared" si="399"/>
        <v>#N/A</v>
      </c>
      <c r="AI438" t="e">
        <f t="shared" si="400"/>
        <v>#N/A</v>
      </c>
      <c r="AJ438" t="e">
        <f t="shared" si="401"/>
        <v>#N/A</v>
      </c>
      <c r="AK438" t="e">
        <f t="shared" si="402"/>
        <v>#N/A</v>
      </c>
      <c r="AL438" t="e">
        <f t="shared" si="403"/>
        <v>#N/A</v>
      </c>
      <c r="AM438" t="e">
        <f t="shared" si="404"/>
        <v>#N/A</v>
      </c>
      <c r="AN438" t="e">
        <f t="shared" si="405"/>
        <v>#N/A</v>
      </c>
      <c r="AO438" t="e">
        <f t="shared" si="406"/>
        <v>#N/A</v>
      </c>
      <c r="AP438" t="e">
        <f t="shared" si="407"/>
        <v>#N/A</v>
      </c>
      <c r="AQ438" t="e">
        <f t="shared" si="408"/>
        <v>#N/A</v>
      </c>
      <c r="AR438" t="e">
        <f t="shared" si="409"/>
        <v>#N/A</v>
      </c>
      <c r="AS438" t="e">
        <f t="shared" si="410"/>
        <v>#N/A</v>
      </c>
      <c r="AT438" t="e">
        <f t="shared" si="411"/>
        <v>#N/A</v>
      </c>
      <c r="AU438" t="e">
        <f t="shared" si="412"/>
        <v>#N/A</v>
      </c>
      <c r="AV438" t="e">
        <f t="shared" si="413"/>
        <v>#N/A</v>
      </c>
      <c r="AW438" t="e">
        <f t="shared" si="414"/>
        <v>#N/A</v>
      </c>
      <c r="AX438" t="e">
        <f t="shared" si="415"/>
        <v>#N/A</v>
      </c>
      <c r="AY438" t="e">
        <f t="shared" si="416"/>
        <v>#N/A</v>
      </c>
      <c r="BE438" t="e">
        <f>IF(Z438=1,IF(INDEX($C$7:$C$126,V438)&gt;=Gantt!$BF$6,NA(),MATCH(INDEX($C$7:$C$126,V438),Gantt!$J$6:$BE$6,1)),NA())</f>
        <v>#N/A</v>
      </c>
      <c r="BF438" t="e">
        <f>IF(Z438=1,IF((INDEX($D$7:$D$126,AA438)-1)&gt;=Gantt!$BF$6,NA(),IF((INDEX($D$7:$D$126,AA438)-1)&lt;Gantt!$J$6,0,MATCH((INDEX($D$7:$D$126,AA438)-1),Gantt!$J$6:$BE$6,1))),NA())</f>
        <v>#N/A</v>
      </c>
      <c r="BG438" t="e">
        <f t="shared" si="417"/>
        <v>#N/A</v>
      </c>
      <c r="BH438" t="e">
        <f t="shared" si="418"/>
        <v>#N/A</v>
      </c>
      <c r="BI438" t="e">
        <f t="shared" si="419"/>
        <v>#N/A</v>
      </c>
      <c r="BJ438" t="e">
        <f t="shared" si="420"/>
        <v>#N/A</v>
      </c>
      <c r="BK438" t="e">
        <f t="shared" si="421"/>
        <v>#N/A</v>
      </c>
      <c r="BL438" t="e">
        <f t="shared" si="422"/>
        <v>#N/A</v>
      </c>
      <c r="BM438" t="e">
        <f t="shared" si="423"/>
        <v>#N/A</v>
      </c>
      <c r="BN438" t="e">
        <f t="shared" si="424"/>
        <v>#N/A</v>
      </c>
      <c r="BO438" t="e">
        <f t="shared" si="425"/>
        <v>#N/A</v>
      </c>
      <c r="BP438" t="e">
        <f t="shared" si="426"/>
        <v>#N/A</v>
      </c>
      <c r="BQ438" t="e">
        <f t="shared" si="427"/>
        <v>#N/A</v>
      </c>
      <c r="BR438" t="e">
        <f t="shared" si="428"/>
        <v>#N/A</v>
      </c>
      <c r="BS438" t="e">
        <f t="shared" si="429"/>
        <v>#N/A</v>
      </c>
      <c r="BT438" t="e">
        <f t="shared" si="430"/>
        <v>#N/A</v>
      </c>
      <c r="BU438" t="e">
        <f t="shared" si="431"/>
        <v>#N/A</v>
      </c>
      <c r="BV438" t="e">
        <f t="shared" si="432"/>
        <v>#N/A</v>
      </c>
      <c r="BW438" t="e">
        <f t="shared" si="433"/>
        <v>#N/A</v>
      </c>
      <c r="BX438" t="e">
        <f t="shared" si="434"/>
        <v>#N/A</v>
      </c>
      <c r="BY438" t="e">
        <f t="shared" si="435"/>
        <v>#N/A</v>
      </c>
      <c r="BZ438" t="e">
        <f t="shared" si="436"/>
        <v>#N/A</v>
      </c>
      <c r="CA438" t="e">
        <f t="shared" si="437"/>
        <v>#N/A</v>
      </c>
      <c r="CB438" t="e">
        <f t="shared" si="438"/>
        <v>#N/A</v>
      </c>
      <c r="CC438" t="e">
        <f t="shared" si="439"/>
        <v>#N/A</v>
      </c>
      <c r="CD438" t="e">
        <f t="shared" si="440"/>
        <v>#N/A</v>
      </c>
      <c r="CE438" t="e">
        <f t="shared" si="441"/>
        <v>#N/A</v>
      </c>
      <c r="CF438" t="e">
        <f t="shared" si="442"/>
        <v>#N/A</v>
      </c>
      <c r="CG438" t="e">
        <f t="shared" si="443"/>
        <v>#N/A</v>
      </c>
      <c r="CI438" t="e">
        <f>AT150</f>
        <v>#N/A</v>
      </c>
      <c r="CJ438" t="e">
        <f>AU150</f>
        <v>#N/A</v>
      </c>
      <c r="CK438">
        <f>IF(ISNUMBER(CI438),IFERROR(MAX(0,AV150-CI438),0),0)</f>
        <v>0</v>
      </c>
      <c r="CL438">
        <f>IF(ISNUMBER(CI438),IFERROR(MAX(0,CI438-AV150),0),0)</f>
        <v>0</v>
      </c>
      <c r="CM438">
        <f>IF(ISNUMBER(CJ438),IFERROR(MAX(0,AW150-CJ438),0),0)</f>
        <v>0</v>
      </c>
      <c r="CN438">
        <f>IF(ISNUMBER(CJ438),IFERROR(MAX(0,CJ438-AW150),0),0)</f>
        <v>0</v>
      </c>
      <c r="CP438" t="e">
        <f>CB150</f>
        <v>#N/A</v>
      </c>
      <c r="CQ438" t="e">
        <f>CC150</f>
        <v>#N/A</v>
      </c>
      <c r="CR438">
        <f>IF(ISNUMBER(CP438),IFERROR(MAX(0,CD150-CP438),0),0)</f>
        <v>0</v>
      </c>
      <c r="CS438">
        <f>IF(ISNUMBER(CP438),IFERROR(MAX(0,CP438-CD150),0),0)</f>
        <v>0</v>
      </c>
      <c r="CT438">
        <f>IF(ISNUMBER(CQ438),IFERROR(MAX(0,CE150-CQ438),0),0)</f>
        <v>0</v>
      </c>
      <c r="CU438">
        <f>IF(ISNUMBER(CQ438),IFERROR(MAX(0,CQ438-CE150),0),0)</f>
        <v>0</v>
      </c>
    </row>
    <row r="439" spans="21:99" x14ac:dyDescent="0.3">
      <c r="U439">
        <v>433</v>
      </c>
      <c r="V439">
        <f t="shared" si="388"/>
        <v>109</v>
      </c>
      <c r="W439">
        <f t="shared" si="389"/>
        <v>1</v>
      </c>
      <c r="X439">
        <f t="shared" si="390"/>
        <v>0</v>
      </c>
      <c r="Y439">
        <f>IF(X439&lt;&gt;1,9999,CHOOSE(W439,INDEX(Gantt!$BQ$7:$BQ$119,V439),INDEX(Gantt!$BR$7:$BR$119,V439),INDEX(Gantt!$BT$7:$BT$119,V439),INDEX(Gantt!$BU$7:$BU$119,V439)))</f>
        <v>9999</v>
      </c>
      <c r="Z439">
        <f t="shared" si="391"/>
        <v>0</v>
      </c>
      <c r="AA439" t="e">
        <f t="shared" si="392"/>
        <v>#N/A</v>
      </c>
      <c r="AB439" t="e">
        <f t="shared" si="393"/>
        <v>#N/A</v>
      </c>
      <c r="AC439" t="e">
        <f t="shared" si="394"/>
        <v>#N/A</v>
      </c>
      <c r="AD439" t="e">
        <f t="shared" si="395"/>
        <v>#N/A</v>
      </c>
      <c r="AE439" t="e">
        <f t="shared" si="396"/>
        <v>#N/A</v>
      </c>
      <c r="AF439" t="e">
        <f t="shared" si="397"/>
        <v>#N/A</v>
      </c>
      <c r="AG439" t="e">
        <f t="shared" si="398"/>
        <v>#N/A</v>
      </c>
      <c r="AH439" t="e">
        <f t="shared" si="399"/>
        <v>#N/A</v>
      </c>
      <c r="AI439" t="e">
        <f t="shared" si="400"/>
        <v>#N/A</v>
      </c>
      <c r="AJ439" t="e">
        <f t="shared" si="401"/>
        <v>#N/A</v>
      </c>
      <c r="AK439" t="e">
        <f t="shared" si="402"/>
        <v>#N/A</v>
      </c>
      <c r="AL439" t="e">
        <f t="shared" si="403"/>
        <v>#N/A</v>
      </c>
      <c r="AM439" t="e">
        <f t="shared" si="404"/>
        <v>#N/A</v>
      </c>
      <c r="AN439" t="e">
        <f t="shared" si="405"/>
        <v>#N/A</v>
      </c>
      <c r="AO439" t="e">
        <f t="shared" si="406"/>
        <v>#N/A</v>
      </c>
      <c r="AP439" t="e">
        <f t="shared" si="407"/>
        <v>#N/A</v>
      </c>
      <c r="AQ439" t="e">
        <f t="shared" si="408"/>
        <v>#N/A</v>
      </c>
      <c r="AR439" t="e">
        <f t="shared" si="409"/>
        <v>#N/A</v>
      </c>
      <c r="AS439" t="e">
        <f t="shared" si="410"/>
        <v>#N/A</v>
      </c>
      <c r="AT439" t="e">
        <f t="shared" si="411"/>
        <v>#N/A</v>
      </c>
      <c r="AU439" t="e">
        <f t="shared" si="412"/>
        <v>#N/A</v>
      </c>
      <c r="AV439" t="e">
        <f t="shared" si="413"/>
        <v>#N/A</v>
      </c>
      <c r="AW439" t="e">
        <f t="shared" si="414"/>
        <v>#N/A</v>
      </c>
      <c r="AX439" t="e">
        <f t="shared" si="415"/>
        <v>#N/A</v>
      </c>
      <c r="AY439" t="e">
        <f t="shared" si="416"/>
        <v>#N/A</v>
      </c>
      <c r="BE439" t="e">
        <f>IF(Z439=1,IF(INDEX($C$7:$C$126,V439)&gt;=Gantt!$BF$6,NA(),MATCH(INDEX($C$7:$C$126,V439),Gantt!$J$6:$BE$6,1)),NA())</f>
        <v>#N/A</v>
      </c>
      <c r="BF439" t="e">
        <f>IF(Z439=1,IF((INDEX($D$7:$D$126,AA439)-1)&gt;=Gantt!$BF$6,NA(),IF((INDEX($D$7:$D$126,AA439)-1)&lt;Gantt!$J$6,0,MATCH((INDEX($D$7:$D$126,AA439)-1),Gantt!$J$6:$BE$6,1))),NA())</f>
        <v>#N/A</v>
      </c>
      <c r="BG439" t="e">
        <f t="shared" si="417"/>
        <v>#N/A</v>
      </c>
      <c r="BH439" t="e">
        <f t="shared" si="418"/>
        <v>#N/A</v>
      </c>
      <c r="BI439" t="e">
        <f t="shared" si="419"/>
        <v>#N/A</v>
      </c>
      <c r="BJ439" t="e">
        <f t="shared" si="420"/>
        <v>#N/A</v>
      </c>
      <c r="BK439" t="e">
        <f t="shared" si="421"/>
        <v>#N/A</v>
      </c>
      <c r="BL439" t="e">
        <f t="shared" si="422"/>
        <v>#N/A</v>
      </c>
      <c r="BM439" t="e">
        <f t="shared" si="423"/>
        <v>#N/A</v>
      </c>
      <c r="BN439" t="e">
        <f t="shared" si="424"/>
        <v>#N/A</v>
      </c>
      <c r="BO439" t="e">
        <f t="shared" si="425"/>
        <v>#N/A</v>
      </c>
      <c r="BP439" t="e">
        <f t="shared" si="426"/>
        <v>#N/A</v>
      </c>
      <c r="BQ439" t="e">
        <f t="shared" si="427"/>
        <v>#N/A</v>
      </c>
      <c r="BR439" t="e">
        <f t="shared" si="428"/>
        <v>#N/A</v>
      </c>
      <c r="BS439" t="e">
        <f t="shared" si="429"/>
        <v>#N/A</v>
      </c>
      <c r="BT439" t="e">
        <f t="shared" si="430"/>
        <v>#N/A</v>
      </c>
      <c r="BU439" t="e">
        <f t="shared" si="431"/>
        <v>#N/A</v>
      </c>
      <c r="BV439" t="e">
        <f t="shared" si="432"/>
        <v>#N/A</v>
      </c>
      <c r="BW439" t="e">
        <f t="shared" si="433"/>
        <v>#N/A</v>
      </c>
      <c r="BX439" t="e">
        <f t="shared" si="434"/>
        <v>#N/A</v>
      </c>
      <c r="BY439" t="e">
        <f t="shared" si="435"/>
        <v>#N/A</v>
      </c>
      <c r="BZ439" t="e">
        <f t="shared" si="436"/>
        <v>#N/A</v>
      </c>
      <c r="CA439" t="e">
        <f t="shared" si="437"/>
        <v>#N/A</v>
      </c>
      <c r="CB439" t="e">
        <f t="shared" si="438"/>
        <v>#N/A</v>
      </c>
      <c r="CC439" t="e">
        <f t="shared" si="439"/>
        <v>#N/A</v>
      </c>
      <c r="CD439" t="e">
        <f t="shared" si="440"/>
        <v>#N/A</v>
      </c>
      <c r="CE439" t="e">
        <f t="shared" si="441"/>
        <v>#N/A</v>
      </c>
      <c r="CF439" t="e">
        <f t="shared" si="442"/>
        <v>#N/A</v>
      </c>
      <c r="CG439" t="e">
        <f t="shared" si="443"/>
        <v>#N/A</v>
      </c>
      <c r="CI439" t="e">
        <f>AL151</f>
        <v>#N/A</v>
      </c>
      <c r="CJ439" t="e">
        <f>AM151</f>
        <v>#N/A</v>
      </c>
      <c r="CK439">
        <f>IF(ISNUMBER(CI439),IFERROR(MAX(0,AN151-CI439),0),0)</f>
        <v>0</v>
      </c>
      <c r="CL439">
        <f>IF(ISNUMBER(CI439),IFERROR(MAX(0,CI439-AN151),0),0)</f>
        <v>0</v>
      </c>
      <c r="CM439">
        <f>IF(ISNUMBER(CJ439),IFERROR(MAX(0,AO151-CJ439),0),0)</f>
        <v>0</v>
      </c>
      <c r="CN439">
        <f>IF(ISNUMBER(CJ439),IFERROR(MAX(0,CJ439-AO151),0),0)</f>
        <v>0</v>
      </c>
      <c r="CP439" t="e">
        <f>BT151</f>
        <v>#N/A</v>
      </c>
      <c r="CQ439" t="e">
        <f>BU151</f>
        <v>#N/A</v>
      </c>
      <c r="CR439">
        <f>IF(ISNUMBER(CP439),IFERROR(MAX(0,BV151-CP439),0),0)</f>
        <v>0</v>
      </c>
      <c r="CS439">
        <f>IF(ISNUMBER(CP439),IFERROR(MAX(0,CP439-BV151),0),0)</f>
        <v>0</v>
      </c>
      <c r="CT439">
        <f>IF(ISNUMBER(CQ439),IFERROR(MAX(0,BW151-CQ439),0),0)</f>
        <v>0</v>
      </c>
      <c r="CU439">
        <f>IF(ISNUMBER(CQ439),IFERROR(MAX(0,CQ439-BW151),0),0)</f>
        <v>0</v>
      </c>
    </row>
    <row r="440" spans="21:99" x14ac:dyDescent="0.3">
      <c r="U440">
        <v>434</v>
      </c>
      <c r="V440">
        <f t="shared" si="388"/>
        <v>109</v>
      </c>
      <c r="W440">
        <f t="shared" si="389"/>
        <v>2</v>
      </c>
      <c r="X440">
        <f t="shared" si="390"/>
        <v>0</v>
      </c>
      <c r="Y440">
        <f>IF(X440&lt;&gt;1,9999,CHOOSE(W440,INDEX(Gantt!$BQ$7:$BQ$119,V440),INDEX(Gantt!$BR$7:$BR$119,V440),INDEX(Gantt!$BT$7:$BT$119,V440),INDEX(Gantt!$BU$7:$BU$119,V440)))</f>
        <v>9999</v>
      </c>
      <c r="Z440">
        <f t="shared" si="391"/>
        <v>0</v>
      </c>
      <c r="AA440" t="e">
        <f t="shared" si="392"/>
        <v>#N/A</v>
      </c>
      <c r="AB440" t="e">
        <f t="shared" si="393"/>
        <v>#N/A</v>
      </c>
      <c r="AC440" t="e">
        <f t="shared" si="394"/>
        <v>#N/A</v>
      </c>
      <c r="AD440" t="e">
        <f t="shared" si="395"/>
        <v>#N/A</v>
      </c>
      <c r="AE440" t="e">
        <f t="shared" si="396"/>
        <v>#N/A</v>
      </c>
      <c r="AF440" t="e">
        <f t="shared" si="397"/>
        <v>#N/A</v>
      </c>
      <c r="AG440" t="e">
        <f t="shared" si="398"/>
        <v>#N/A</v>
      </c>
      <c r="AH440" t="e">
        <f t="shared" si="399"/>
        <v>#N/A</v>
      </c>
      <c r="AI440" t="e">
        <f t="shared" si="400"/>
        <v>#N/A</v>
      </c>
      <c r="AJ440" t="e">
        <f t="shared" si="401"/>
        <v>#N/A</v>
      </c>
      <c r="AK440" t="e">
        <f t="shared" si="402"/>
        <v>#N/A</v>
      </c>
      <c r="AL440" t="e">
        <f t="shared" si="403"/>
        <v>#N/A</v>
      </c>
      <c r="AM440" t="e">
        <f t="shared" si="404"/>
        <v>#N/A</v>
      </c>
      <c r="AN440" t="e">
        <f t="shared" si="405"/>
        <v>#N/A</v>
      </c>
      <c r="AO440" t="e">
        <f t="shared" si="406"/>
        <v>#N/A</v>
      </c>
      <c r="AP440" t="e">
        <f t="shared" si="407"/>
        <v>#N/A</v>
      </c>
      <c r="AQ440" t="e">
        <f t="shared" si="408"/>
        <v>#N/A</v>
      </c>
      <c r="AR440" t="e">
        <f t="shared" si="409"/>
        <v>#N/A</v>
      </c>
      <c r="AS440" t="e">
        <f t="shared" si="410"/>
        <v>#N/A</v>
      </c>
      <c r="AT440" t="e">
        <f t="shared" si="411"/>
        <v>#N/A</v>
      </c>
      <c r="AU440" t="e">
        <f t="shared" si="412"/>
        <v>#N/A</v>
      </c>
      <c r="AV440" t="e">
        <f t="shared" si="413"/>
        <v>#N/A</v>
      </c>
      <c r="AW440" t="e">
        <f t="shared" si="414"/>
        <v>#N/A</v>
      </c>
      <c r="AX440" t="e">
        <f t="shared" si="415"/>
        <v>#N/A</v>
      </c>
      <c r="AY440" t="e">
        <f t="shared" si="416"/>
        <v>#N/A</v>
      </c>
      <c r="BE440" t="e">
        <f>IF(Z440=1,IF(INDEX($C$7:$C$126,V440)&gt;=Gantt!$BF$6,NA(),MATCH(INDEX($C$7:$C$126,V440),Gantt!$J$6:$BE$6,1)),NA())</f>
        <v>#N/A</v>
      </c>
      <c r="BF440" t="e">
        <f>IF(Z440=1,IF((INDEX($D$7:$D$126,AA440)-1)&gt;=Gantt!$BF$6,NA(),IF((INDEX($D$7:$D$126,AA440)-1)&lt;Gantt!$J$6,0,MATCH((INDEX($D$7:$D$126,AA440)-1),Gantt!$J$6:$BE$6,1))),NA())</f>
        <v>#N/A</v>
      </c>
      <c r="BG440" t="e">
        <f t="shared" si="417"/>
        <v>#N/A</v>
      </c>
      <c r="BH440" t="e">
        <f t="shared" si="418"/>
        <v>#N/A</v>
      </c>
      <c r="BI440" t="e">
        <f t="shared" si="419"/>
        <v>#N/A</v>
      </c>
      <c r="BJ440" t="e">
        <f t="shared" si="420"/>
        <v>#N/A</v>
      </c>
      <c r="BK440" t="e">
        <f t="shared" si="421"/>
        <v>#N/A</v>
      </c>
      <c r="BL440" t="e">
        <f t="shared" si="422"/>
        <v>#N/A</v>
      </c>
      <c r="BM440" t="e">
        <f t="shared" si="423"/>
        <v>#N/A</v>
      </c>
      <c r="BN440" t="e">
        <f t="shared" si="424"/>
        <v>#N/A</v>
      </c>
      <c r="BO440" t="e">
        <f t="shared" si="425"/>
        <v>#N/A</v>
      </c>
      <c r="BP440" t="e">
        <f t="shared" si="426"/>
        <v>#N/A</v>
      </c>
      <c r="BQ440" t="e">
        <f t="shared" si="427"/>
        <v>#N/A</v>
      </c>
      <c r="BR440" t="e">
        <f t="shared" si="428"/>
        <v>#N/A</v>
      </c>
      <c r="BS440" t="e">
        <f t="shared" si="429"/>
        <v>#N/A</v>
      </c>
      <c r="BT440" t="e">
        <f t="shared" si="430"/>
        <v>#N/A</v>
      </c>
      <c r="BU440" t="e">
        <f t="shared" si="431"/>
        <v>#N/A</v>
      </c>
      <c r="BV440" t="e">
        <f t="shared" si="432"/>
        <v>#N/A</v>
      </c>
      <c r="BW440" t="e">
        <f t="shared" si="433"/>
        <v>#N/A</v>
      </c>
      <c r="BX440" t="e">
        <f t="shared" si="434"/>
        <v>#N/A</v>
      </c>
      <c r="BY440" t="e">
        <f t="shared" si="435"/>
        <v>#N/A</v>
      </c>
      <c r="BZ440" t="e">
        <f t="shared" si="436"/>
        <v>#N/A</v>
      </c>
      <c r="CA440" t="e">
        <f t="shared" si="437"/>
        <v>#N/A</v>
      </c>
      <c r="CB440" t="e">
        <f t="shared" si="438"/>
        <v>#N/A</v>
      </c>
      <c r="CC440" t="e">
        <f t="shared" si="439"/>
        <v>#N/A</v>
      </c>
      <c r="CD440" t="e">
        <f t="shared" si="440"/>
        <v>#N/A</v>
      </c>
      <c r="CE440" t="e">
        <f t="shared" si="441"/>
        <v>#N/A</v>
      </c>
      <c r="CF440" t="e">
        <f t="shared" si="442"/>
        <v>#N/A</v>
      </c>
      <c r="CG440" t="e">
        <f t="shared" si="443"/>
        <v>#N/A</v>
      </c>
      <c r="CI440" t="e">
        <f>AP151</f>
        <v>#N/A</v>
      </c>
      <c r="CJ440" t="e">
        <f>AQ151</f>
        <v>#N/A</v>
      </c>
      <c r="CK440">
        <f>IF(ISNUMBER(CI440),IFERROR(MAX(0,AR151-CI440),0),0)</f>
        <v>0</v>
      </c>
      <c r="CL440">
        <f>IF(ISNUMBER(CI440),IFERROR(MAX(0,CI440-AR151),0),0)</f>
        <v>0</v>
      </c>
      <c r="CM440">
        <f>IF(ISNUMBER(CJ440),IFERROR(MAX(0,AS151-CJ440),0),0)</f>
        <v>0</v>
      </c>
      <c r="CN440">
        <f>IF(ISNUMBER(CJ440),IFERROR(MAX(0,CJ440-AS151),0),0)</f>
        <v>0</v>
      </c>
      <c r="CP440" t="e">
        <f>BX151</f>
        <v>#N/A</v>
      </c>
      <c r="CQ440" t="e">
        <f>BY151</f>
        <v>#N/A</v>
      </c>
      <c r="CR440">
        <f>IF(ISNUMBER(CP440),IFERROR(MAX(0,BZ151-CP440),0),0)</f>
        <v>0</v>
      </c>
      <c r="CS440">
        <f>IF(ISNUMBER(CP440),IFERROR(MAX(0,CP440-BZ151),0),0)</f>
        <v>0</v>
      </c>
      <c r="CT440">
        <f>IF(ISNUMBER(CQ440),IFERROR(MAX(0,CA151-CQ440),0),0)</f>
        <v>0</v>
      </c>
      <c r="CU440">
        <f>IF(ISNUMBER(CQ440),IFERROR(MAX(0,CQ440-CA151),0),0)</f>
        <v>0</v>
      </c>
    </row>
    <row r="441" spans="21:99" x14ac:dyDescent="0.3">
      <c r="U441">
        <v>435</v>
      </c>
      <c r="V441">
        <f t="shared" si="388"/>
        <v>109</v>
      </c>
      <c r="W441">
        <f t="shared" si="389"/>
        <v>3</v>
      </c>
      <c r="X441">
        <f t="shared" si="390"/>
        <v>0</v>
      </c>
      <c r="Y441">
        <f>IF(X441&lt;&gt;1,9999,CHOOSE(W441,INDEX(Gantt!$BQ$7:$BQ$119,V441),INDEX(Gantt!$BR$7:$BR$119,V441),INDEX(Gantt!$BT$7:$BT$119,V441),INDEX(Gantt!$BU$7:$BU$119,V441)))</f>
        <v>9999</v>
      </c>
      <c r="Z441">
        <f t="shared" si="391"/>
        <v>0</v>
      </c>
      <c r="AA441" t="e">
        <f t="shared" si="392"/>
        <v>#N/A</v>
      </c>
      <c r="AB441" t="e">
        <f t="shared" si="393"/>
        <v>#N/A</v>
      </c>
      <c r="AC441" t="e">
        <f t="shared" si="394"/>
        <v>#N/A</v>
      </c>
      <c r="AD441" t="e">
        <f t="shared" si="395"/>
        <v>#N/A</v>
      </c>
      <c r="AE441" t="e">
        <f t="shared" si="396"/>
        <v>#N/A</v>
      </c>
      <c r="AF441" t="e">
        <f t="shared" si="397"/>
        <v>#N/A</v>
      </c>
      <c r="AG441" t="e">
        <f t="shared" si="398"/>
        <v>#N/A</v>
      </c>
      <c r="AH441" t="e">
        <f t="shared" si="399"/>
        <v>#N/A</v>
      </c>
      <c r="AI441" t="e">
        <f t="shared" si="400"/>
        <v>#N/A</v>
      </c>
      <c r="AJ441" t="e">
        <f t="shared" si="401"/>
        <v>#N/A</v>
      </c>
      <c r="AK441" t="e">
        <f t="shared" si="402"/>
        <v>#N/A</v>
      </c>
      <c r="AL441" t="e">
        <f t="shared" si="403"/>
        <v>#N/A</v>
      </c>
      <c r="AM441" t="e">
        <f t="shared" si="404"/>
        <v>#N/A</v>
      </c>
      <c r="AN441" t="e">
        <f t="shared" si="405"/>
        <v>#N/A</v>
      </c>
      <c r="AO441" t="e">
        <f t="shared" si="406"/>
        <v>#N/A</v>
      </c>
      <c r="AP441" t="e">
        <f t="shared" si="407"/>
        <v>#N/A</v>
      </c>
      <c r="AQ441" t="e">
        <f t="shared" si="408"/>
        <v>#N/A</v>
      </c>
      <c r="AR441" t="e">
        <f t="shared" si="409"/>
        <v>#N/A</v>
      </c>
      <c r="AS441" t="e">
        <f t="shared" si="410"/>
        <v>#N/A</v>
      </c>
      <c r="AT441" t="e">
        <f t="shared" si="411"/>
        <v>#N/A</v>
      </c>
      <c r="AU441" t="e">
        <f t="shared" si="412"/>
        <v>#N/A</v>
      </c>
      <c r="AV441" t="e">
        <f t="shared" si="413"/>
        <v>#N/A</v>
      </c>
      <c r="AW441" t="e">
        <f t="shared" si="414"/>
        <v>#N/A</v>
      </c>
      <c r="AX441" t="e">
        <f t="shared" si="415"/>
        <v>#N/A</v>
      </c>
      <c r="AY441" t="e">
        <f t="shared" si="416"/>
        <v>#N/A</v>
      </c>
      <c r="BE441" t="e">
        <f>IF(Z441=1,IF(INDEX($C$7:$C$126,V441)&gt;=Gantt!$BF$6,NA(),MATCH(INDEX($C$7:$C$126,V441),Gantt!$J$6:$BE$6,1)),NA())</f>
        <v>#N/A</v>
      </c>
      <c r="BF441" t="e">
        <f>IF(Z441=1,IF((INDEX($D$7:$D$126,AA441)-1)&gt;=Gantt!$BF$6,NA(),IF((INDEX($D$7:$D$126,AA441)-1)&lt;Gantt!$J$6,0,MATCH((INDEX($D$7:$D$126,AA441)-1),Gantt!$J$6:$BE$6,1))),NA())</f>
        <v>#N/A</v>
      </c>
      <c r="BG441" t="e">
        <f t="shared" si="417"/>
        <v>#N/A</v>
      </c>
      <c r="BH441" t="e">
        <f t="shared" si="418"/>
        <v>#N/A</v>
      </c>
      <c r="BI441" t="e">
        <f t="shared" si="419"/>
        <v>#N/A</v>
      </c>
      <c r="BJ441" t="e">
        <f t="shared" si="420"/>
        <v>#N/A</v>
      </c>
      <c r="BK441" t="e">
        <f t="shared" si="421"/>
        <v>#N/A</v>
      </c>
      <c r="BL441" t="e">
        <f t="shared" si="422"/>
        <v>#N/A</v>
      </c>
      <c r="BM441" t="e">
        <f t="shared" si="423"/>
        <v>#N/A</v>
      </c>
      <c r="BN441" t="e">
        <f t="shared" si="424"/>
        <v>#N/A</v>
      </c>
      <c r="BO441" t="e">
        <f t="shared" si="425"/>
        <v>#N/A</v>
      </c>
      <c r="BP441" t="e">
        <f t="shared" si="426"/>
        <v>#N/A</v>
      </c>
      <c r="BQ441" t="e">
        <f t="shared" si="427"/>
        <v>#N/A</v>
      </c>
      <c r="BR441" t="e">
        <f t="shared" si="428"/>
        <v>#N/A</v>
      </c>
      <c r="BS441" t="e">
        <f t="shared" si="429"/>
        <v>#N/A</v>
      </c>
      <c r="BT441" t="e">
        <f t="shared" si="430"/>
        <v>#N/A</v>
      </c>
      <c r="BU441" t="e">
        <f t="shared" si="431"/>
        <v>#N/A</v>
      </c>
      <c r="BV441" t="e">
        <f t="shared" si="432"/>
        <v>#N/A</v>
      </c>
      <c r="BW441" t="e">
        <f t="shared" si="433"/>
        <v>#N/A</v>
      </c>
      <c r="BX441" t="e">
        <f t="shared" si="434"/>
        <v>#N/A</v>
      </c>
      <c r="BY441" t="e">
        <f t="shared" si="435"/>
        <v>#N/A</v>
      </c>
      <c r="BZ441" t="e">
        <f t="shared" si="436"/>
        <v>#N/A</v>
      </c>
      <c r="CA441" t="e">
        <f t="shared" si="437"/>
        <v>#N/A</v>
      </c>
      <c r="CB441" t="e">
        <f t="shared" si="438"/>
        <v>#N/A</v>
      </c>
      <c r="CC441" t="e">
        <f t="shared" si="439"/>
        <v>#N/A</v>
      </c>
      <c r="CD441" t="e">
        <f t="shared" si="440"/>
        <v>#N/A</v>
      </c>
      <c r="CE441" t="e">
        <f t="shared" si="441"/>
        <v>#N/A</v>
      </c>
      <c r="CF441" t="e">
        <f t="shared" si="442"/>
        <v>#N/A</v>
      </c>
      <c r="CG441" t="e">
        <f t="shared" si="443"/>
        <v>#N/A</v>
      </c>
      <c r="CI441" t="e">
        <f>AT151</f>
        <v>#N/A</v>
      </c>
      <c r="CJ441" t="e">
        <f>AU151</f>
        <v>#N/A</v>
      </c>
      <c r="CK441">
        <f>IF(ISNUMBER(CI441),IFERROR(MAX(0,AV151-CI441),0),0)</f>
        <v>0</v>
      </c>
      <c r="CL441">
        <f>IF(ISNUMBER(CI441),IFERROR(MAX(0,CI441-AV151),0),0)</f>
        <v>0</v>
      </c>
      <c r="CM441">
        <f>IF(ISNUMBER(CJ441),IFERROR(MAX(0,AW151-CJ441),0),0)</f>
        <v>0</v>
      </c>
      <c r="CN441">
        <f>IF(ISNUMBER(CJ441),IFERROR(MAX(0,CJ441-AW151),0),0)</f>
        <v>0</v>
      </c>
      <c r="CP441" t="e">
        <f>CB151</f>
        <v>#N/A</v>
      </c>
      <c r="CQ441" t="e">
        <f>CC151</f>
        <v>#N/A</v>
      </c>
      <c r="CR441">
        <f>IF(ISNUMBER(CP441),IFERROR(MAX(0,CD151-CP441),0),0)</f>
        <v>0</v>
      </c>
      <c r="CS441">
        <f>IF(ISNUMBER(CP441),IFERROR(MAX(0,CP441-CD151),0),0)</f>
        <v>0</v>
      </c>
      <c r="CT441">
        <f>IF(ISNUMBER(CQ441),IFERROR(MAX(0,CE151-CQ441),0),0)</f>
        <v>0</v>
      </c>
      <c r="CU441">
        <f>IF(ISNUMBER(CQ441),IFERROR(MAX(0,CQ441-CE151),0),0)</f>
        <v>0</v>
      </c>
    </row>
    <row r="442" spans="21:99" x14ac:dyDescent="0.3">
      <c r="U442">
        <v>436</v>
      </c>
      <c r="V442">
        <f t="shared" si="388"/>
        <v>109</v>
      </c>
      <c r="W442">
        <f t="shared" si="389"/>
        <v>4</v>
      </c>
      <c r="X442">
        <f t="shared" si="390"/>
        <v>0</v>
      </c>
      <c r="Y442">
        <f>IF(X442&lt;&gt;1,9999,CHOOSE(W442,INDEX(Gantt!$BQ$7:$BQ$119,V442),INDEX(Gantt!$BR$7:$BR$119,V442),INDEX(Gantt!$BT$7:$BT$119,V442),INDEX(Gantt!$BU$7:$BU$119,V442)))</f>
        <v>9999</v>
      </c>
      <c r="Z442">
        <f t="shared" si="391"/>
        <v>0</v>
      </c>
      <c r="AA442" t="e">
        <f t="shared" si="392"/>
        <v>#N/A</v>
      </c>
      <c r="AB442" t="e">
        <f t="shared" si="393"/>
        <v>#N/A</v>
      </c>
      <c r="AC442" t="e">
        <f t="shared" si="394"/>
        <v>#N/A</v>
      </c>
      <c r="AD442" t="e">
        <f t="shared" si="395"/>
        <v>#N/A</v>
      </c>
      <c r="AE442" t="e">
        <f t="shared" si="396"/>
        <v>#N/A</v>
      </c>
      <c r="AF442" t="e">
        <f t="shared" si="397"/>
        <v>#N/A</v>
      </c>
      <c r="AG442" t="e">
        <f t="shared" si="398"/>
        <v>#N/A</v>
      </c>
      <c r="AH442" t="e">
        <f t="shared" si="399"/>
        <v>#N/A</v>
      </c>
      <c r="AI442" t="e">
        <f t="shared" si="400"/>
        <v>#N/A</v>
      </c>
      <c r="AJ442" t="e">
        <f t="shared" si="401"/>
        <v>#N/A</v>
      </c>
      <c r="AK442" t="e">
        <f t="shared" si="402"/>
        <v>#N/A</v>
      </c>
      <c r="AL442" t="e">
        <f t="shared" si="403"/>
        <v>#N/A</v>
      </c>
      <c r="AM442" t="e">
        <f t="shared" si="404"/>
        <v>#N/A</v>
      </c>
      <c r="AN442" t="e">
        <f t="shared" si="405"/>
        <v>#N/A</v>
      </c>
      <c r="AO442" t="e">
        <f t="shared" si="406"/>
        <v>#N/A</v>
      </c>
      <c r="AP442" t="e">
        <f t="shared" si="407"/>
        <v>#N/A</v>
      </c>
      <c r="AQ442" t="e">
        <f t="shared" si="408"/>
        <v>#N/A</v>
      </c>
      <c r="AR442" t="e">
        <f t="shared" si="409"/>
        <v>#N/A</v>
      </c>
      <c r="AS442" t="e">
        <f t="shared" si="410"/>
        <v>#N/A</v>
      </c>
      <c r="AT442" t="e">
        <f t="shared" si="411"/>
        <v>#N/A</v>
      </c>
      <c r="AU442" t="e">
        <f t="shared" si="412"/>
        <v>#N/A</v>
      </c>
      <c r="AV442" t="e">
        <f t="shared" si="413"/>
        <v>#N/A</v>
      </c>
      <c r="AW442" t="e">
        <f t="shared" si="414"/>
        <v>#N/A</v>
      </c>
      <c r="AX442" t="e">
        <f t="shared" si="415"/>
        <v>#N/A</v>
      </c>
      <c r="AY442" t="e">
        <f t="shared" si="416"/>
        <v>#N/A</v>
      </c>
      <c r="BE442" t="e">
        <f>IF(Z442=1,IF(INDEX($C$7:$C$126,V442)&gt;=Gantt!$BF$6,NA(),MATCH(INDEX($C$7:$C$126,V442),Gantt!$J$6:$BE$6,1)),NA())</f>
        <v>#N/A</v>
      </c>
      <c r="BF442" t="e">
        <f>IF(Z442=1,IF((INDEX($D$7:$D$126,AA442)-1)&gt;=Gantt!$BF$6,NA(),IF((INDEX($D$7:$D$126,AA442)-1)&lt;Gantt!$J$6,0,MATCH((INDEX($D$7:$D$126,AA442)-1),Gantt!$J$6:$BE$6,1))),NA())</f>
        <v>#N/A</v>
      </c>
      <c r="BG442" t="e">
        <f t="shared" si="417"/>
        <v>#N/A</v>
      </c>
      <c r="BH442" t="e">
        <f t="shared" si="418"/>
        <v>#N/A</v>
      </c>
      <c r="BI442" t="e">
        <f t="shared" si="419"/>
        <v>#N/A</v>
      </c>
      <c r="BJ442" t="e">
        <f t="shared" si="420"/>
        <v>#N/A</v>
      </c>
      <c r="BK442" t="e">
        <f t="shared" si="421"/>
        <v>#N/A</v>
      </c>
      <c r="BL442" t="e">
        <f t="shared" si="422"/>
        <v>#N/A</v>
      </c>
      <c r="BM442" t="e">
        <f t="shared" si="423"/>
        <v>#N/A</v>
      </c>
      <c r="BN442" t="e">
        <f t="shared" si="424"/>
        <v>#N/A</v>
      </c>
      <c r="BO442" t="e">
        <f t="shared" si="425"/>
        <v>#N/A</v>
      </c>
      <c r="BP442" t="e">
        <f t="shared" si="426"/>
        <v>#N/A</v>
      </c>
      <c r="BQ442" t="e">
        <f t="shared" si="427"/>
        <v>#N/A</v>
      </c>
      <c r="BR442" t="e">
        <f t="shared" si="428"/>
        <v>#N/A</v>
      </c>
      <c r="BS442" t="e">
        <f t="shared" si="429"/>
        <v>#N/A</v>
      </c>
      <c r="BT442" t="e">
        <f t="shared" si="430"/>
        <v>#N/A</v>
      </c>
      <c r="BU442" t="e">
        <f t="shared" si="431"/>
        <v>#N/A</v>
      </c>
      <c r="BV442" t="e">
        <f t="shared" si="432"/>
        <v>#N/A</v>
      </c>
      <c r="BW442" t="e">
        <f t="shared" si="433"/>
        <v>#N/A</v>
      </c>
      <c r="BX442" t="e">
        <f t="shared" si="434"/>
        <v>#N/A</v>
      </c>
      <c r="BY442" t="e">
        <f t="shared" si="435"/>
        <v>#N/A</v>
      </c>
      <c r="BZ442" t="e">
        <f t="shared" si="436"/>
        <v>#N/A</v>
      </c>
      <c r="CA442" t="e">
        <f t="shared" si="437"/>
        <v>#N/A</v>
      </c>
      <c r="CB442" t="e">
        <f t="shared" si="438"/>
        <v>#N/A</v>
      </c>
      <c r="CC442" t="e">
        <f t="shared" si="439"/>
        <v>#N/A</v>
      </c>
      <c r="CD442" t="e">
        <f t="shared" si="440"/>
        <v>#N/A</v>
      </c>
      <c r="CE442" t="e">
        <f t="shared" si="441"/>
        <v>#N/A</v>
      </c>
      <c r="CF442" t="e">
        <f t="shared" si="442"/>
        <v>#N/A</v>
      </c>
      <c r="CG442" t="e">
        <f t="shared" si="443"/>
        <v>#N/A</v>
      </c>
      <c r="CI442" t="e">
        <f>AL152</f>
        <v>#N/A</v>
      </c>
      <c r="CJ442" t="e">
        <f>AM152</f>
        <v>#N/A</v>
      </c>
      <c r="CK442">
        <f>IF(ISNUMBER(CI442),IFERROR(MAX(0,AN152-CI442),0),0)</f>
        <v>0</v>
      </c>
      <c r="CL442">
        <f>IF(ISNUMBER(CI442),IFERROR(MAX(0,CI442-AN152),0),0)</f>
        <v>0</v>
      </c>
      <c r="CM442">
        <f>IF(ISNUMBER(CJ442),IFERROR(MAX(0,AO152-CJ442),0),0)</f>
        <v>0</v>
      </c>
      <c r="CN442">
        <f>IF(ISNUMBER(CJ442),IFERROR(MAX(0,CJ442-AO152),0),0)</f>
        <v>0</v>
      </c>
      <c r="CP442" t="e">
        <f>BT152</f>
        <v>#N/A</v>
      </c>
      <c r="CQ442" t="e">
        <f>BU152</f>
        <v>#N/A</v>
      </c>
      <c r="CR442">
        <f>IF(ISNUMBER(CP442),IFERROR(MAX(0,BV152-CP442),0),0)</f>
        <v>0</v>
      </c>
      <c r="CS442">
        <f>IF(ISNUMBER(CP442),IFERROR(MAX(0,CP442-BV152),0),0)</f>
        <v>0</v>
      </c>
      <c r="CT442">
        <f>IF(ISNUMBER(CQ442),IFERROR(MAX(0,BW152-CQ442),0),0)</f>
        <v>0</v>
      </c>
      <c r="CU442">
        <f>IF(ISNUMBER(CQ442),IFERROR(MAX(0,CQ442-BW152),0),0)</f>
        <v>0</v>
      </c>
    </row>
    <row r="443" spans="21:99" x14ac:dyDescent="0.3">
      <c r="U443">
        <v>437</v>
      </c>
      <c r="V443">
        <f t="shared" si="388"/>
        <v>110</v>
      </c>
      <c r="W443">
        <f t="shared" si="389"/>
        <v>1</v>
      </c>
      <c r="X443">
        <f t="shared" si="390"/>
        <v>0</v>
      </c>
      <c r="Y443">
        <f>IF(X443&lt;&gt;1,9999,CHOOSE(W443,INDEX(Gantt!$BQ$7:$BQ$119,V443),INDEX(Gantt!$BR$7:$BR$119,V443),INDEX(Gantt!$BT$7:$BT$119,V443),INDEX(Gantt!$BU$7:$BU$119,V443)))</f>
        <v>9999</v>
      </c>
      <c r="Z443">
        <f t="shared" si="391"/>
        <v>0</v>
      </c>
      <c r="AA443" t="e">
        <f t="shared" si="392"/>
        <v>#N/A</v>
      </c>
      <c r="AB443" t="e">
        <f t="shared" si="393"/>
        <v>#N/A</v>
      </c>
      <c r="AC443" t="e">
        <f t="shared" si="394"/>
        <v>#N/A</v>
      </c>
      <c r="AD443" t="e">
        <f t="shared" si="395"/>
        <v>#N/A</v>
      </c>
      <c r="AE443" t="e">
        <f t="shared" si="396"/>
        <v>#N/A</v>
      </c>
      <c r="AF443" t="e">
        <f t="shared" si="397"/>
        <v>#N/A</v>
      </c>
      <c r="AG443" t="e">
        <f t="shared" si="398"/>
        <v>#N/A</v>
      </c>
      <c r="AH443" t="e">
        <f t="shared" si="399"/>
        <v>#N/A</v>
      </c>
      <c r="AI443" t="e">
        <f t="shared" si="400"/>
        <v>#N/A</v>
      </c>
      <c r="AJ443" t="e">
        <f t="shared" si="401"/>
        <v>#N/A</v>
      </c>
      <c r="AK443" t="e">
        <f t="shared" si="402"/>
        <v>#N/A</v>
      </c>
      <c r="AL443" t="e">
        <f t="shared" si="403"/>
        <v>#N/A</v>
      </c>
      <c r="AM443" t="e">
        <f t="shared" si="404"/>
        <v>#N/A</v>
      </c>
      <c r="AN443" t="e">
        <f t="shared" si="405"/>
        <v>#N/A</v>
      </c>
      <c r="AO443" t="e">
        <f t="shared" si="406"/>
        <v>#N/A</v>
      </c>
      <c r="AP443" t="e">
        <f t="shared" si="407"/>
        <v>#N/A</v>
      </c>
      <c r="AQ443" t="e">
        <f t="shared" si="408"/>
        <v>#N/A</v>
      </c>
      <c r="AR443" t="e">
        <f t="shared" si="409"/>
        <v>#N/A</v>
      </c>
      <c r="AS443" t="e">
        <f t="shared" si="410"/>
        <v>#N/A</v>
      </c>
      <c r="AT443" t="e">
        <f t="shared" si="411"/>
        <v>#N/A</v>
      </c>
      <c r="AU443" t="e">
        <f t="shared" si="412"/>
        <v>#N/A</v>
      </c>
      <c r="AV443" t="e">
        <f t="shared" si="413"/>
        <v>#N/A</v>
      </c>
      <c r="AW443" t="e">
        <f t="shared" si="414"/>
        <v>#N/A</v>
      </c>
      <c r="AX443" t="e">
        <f t="shared" si="415"/>
        <v>#N/A</v>
      </c>
      <c r="AY443" t="e">
        <f t="shared" si="416"/>
        <v>#N/A</v>
      </c>
      <c r="BE443" t="e">
        <f>IF(Z443=1,IF(INDEX($C$7:$C$126,V443)&gt;=Gantt!$BF$6,NA(),MATCH(INDEX($C$7:$C$126,V443),Gantt!$J$6:$BE$6,1)),NA())</f>
        <v>#N/A</v>
      </c>
      <c r="BF443" t="e">
        <f>IF(Z443=1,IF((INDEX($D$7:$D$126,AA443)-1)&gt;=Gantt!$BF$6,NA(),IF((INDEX($D$7:$D$126,AA443)-1)&lt;Gantt!$J$6,0,MATCH((INDEX($D$7:$D$126,AA443)-1),Gantt!$J$6:$BE$6,1))),NA())</f>
        <v>#N/A</v>
      </c>
      <c r="BG443" t="e">
        <f t="shared" si="417"/>
        <v>#N/A</v>
      </c>
      <c r="BH443" t="e">
        <f t="shared" si="418"/>
        <v>#N/A</v>
      </c>
      <c r="BI443" t="e">
        <f t="shared" si="419"/>
        <v>#N/A</v>
      </c>
      <c r="BJ443" t="e">
        <f t="shared" si="420"/>
        <v>#N/A</v>
      </c>
      <c r="BK443" t="e">
        <f t="shared" si="421"/>
        <v>#N/A</v>
      </c>
      <c r="BL443" t="e">
        <f t="shared" si="422"/>
        <v>#N/A</v>
      </c>
      <c r="BM443" t="e">
        <f t="shared" si="423"/>
        <v>#N/A</v>
      </c>
      <c r="BN443" t="e">
        <f t="shared" si="424"/>
        <v>#N/A</v>
      </c>
      <c r="BO443" t="e">
        <f t="shared" si="425"/>
        <v>#N/A</v>
      </c>
      <c r="BP443" t="e">
        <f t="shared" si="426"/>
        <v>#N/A</v>
      </c>
      <c r="BQ443" t="e">
        <f t="shared" si="427"/>
        <v>#N/A</v>
      </c>
      <c r="BR443" t="e">
        <f t="shared" si="428"/>
        <v>#N/A</v>
      </c>
      <c r="BS443" t="e">
        <f t="shared" si="429"/>
        <v>#N/A</v>
      </c>
      <c r="BT443" t="e">
        <f t="shared" si="430"/>
        <v>#N/A</v>
      </c>
      <c r="BU443" t="e">
        <f t="shared" si="431"/>
        <v>#N/A</v>
      </c>
      <c r="BV443" t="e">
        <f t="shared" si="432"/>
        <v>#N/A</v>
      </c>
      <c r="BW443" t="e">
        <f t="shared" si="433"/>
        <v>#N/A</v>
      </c>
      <c r="BX443" t="e">
        <f t="shared" si="434"/>
        <v>#N/A</v>
      </c>
      <c r="BY443" t="e">
        <f t="shared" si="435"/>
        <v>#N/A</v>
      </c>
      <c r="BZ443" t="e">
        <f t="shared" si="436"/>
        <v>#N/A</v>
      </c>
      <c r="CA443" t="e">
        <f t="shared" si="437"/>
        <v>#N/A</v>
      </c>
      <c r="CB443" t="e">
        <f t="shared" si="438"/>
        <v>#N/A</v>
      </c>
      <c r="CC443" t="e">
        <f t="shared" si="439"/>
        <v>#N/A</v>
      </c>
      <c r="CD443" t="e">
        <f t="shared" si="440"/>
        <v>#N/A</v>
      </c>
      <c r="CE443" t="e">
        <f t="shared" si="441"/>
        <v>#N/A</v>
      </c>
      <c r="CF443" t="e">
        <f t="shared" si="442"/>
        <v>#N/A</v>
      </c>
      <c r="CG443" t="e">
        <f t="shared" si="443"/>
        <v>#N/A</v>
      </c>
      <c r="CI443" t="e">
        <f>AP152</f>
        <v>#N/A</v>
      </c>
      <c r="CJ443" t="e">
        <f>AQ152</f>
        <v>#N/A</v>
      </c>
      <c r="CK443">
        <f>IF(ISNUMBER(CI443),IFERROR(MAX(0,AR152-CI443),0),0)</f>
        <v>0</v>
      </c>
      <c r="CL443">
        <f>IF(ISNUMBER(CI443),IFERROR(MAX(0,CI443-AR152),0),0)</f>
        <v>0</v>
      </c>
      <c r="CM443">
        <f>IF(ISNUMBER(CJ443),IFERROR(MAX(0,AS152-CJ443),0),0)</f>
        <v>0</v>
      </c>
      <c r="CN443">
        <f>IF(ISNUMBER(CJ443),IFERROR(MAX(0,CJ443-AS152),0),0)</f>
        <v>0</v>
      </c>
      <c r="CP443" t="e">
        <f>BX152</f>
        <v>#N/A</v>
      </c>
      <c r="CQ443" t="e">
        <f>BY152</f>
        <v>#N/A</v>
      </c>
      <c r="CR443">
        <f>IF(ISNUMBER(CP443),IFERROR(MAX(0,BZ152-CP443),0),0)</f>
        <v>0</v>
      </c>
      <c r="CS443">
        <f>IF(ISNUMBER(CP443),IFERROR(MAX(0,CP443-BZ152),0),0)</f>
        <v>0</v>
      </c>
      <c r="CT443">
        <f>IF(ISNUMBER(CQ443),IFERROR(MAX(0,CA152-CQ443),0),0)</f>
        <v>0</v>
      </c>
      <c r="CU443">
        <f>IF(ISNUMBER(CQ443),IFERROR(MAX(0,CQ443-CA152),0),0)</f>
        <v>0</v>
      </c>
    </row>
    <row r="444" spans="21:99" x14ac:dyDescent="0.3">
      <c r="U444">
        <v>438</v>
      </c>
      <c r="V444">
        <f t="shared" si="388"/>
        <v>110</v>
      </c>
      <c r="W444">
        <f t="shared" si="389"/>
        <v>2</v>
      </c>
      <c r="X444">
        <f t="shared" si="390"/>
        <v>0</v>
      </c>
      <c r="Y444">
        <f>IF(X444&lt;&gt;1,9999,CHOOSE(W444,INDEX(Gantt!$BQ$7:$BQ$119,V444),INDEX(Gantt!$BR$7:$BR$119,V444),INDEX(Gantt!$BT$7:$BT$119,V444),INDEX(Gantt!$BU$7:$BU$119,V444)))</f>
        <v>9999</v>
      </c>
      <c r="Z444">
        <f t="shared" si="391"/>
        <v>0</v>
      </c>
      <c r="AA444" t="e">
        <f t="shared" si="392"/>
        <v>#N/A</v>
      </c>
      <c r="AB444" t="e">
        <f t="shared" si="393"/>
        <v>#N/A</v>
      </c>
      <c r="AC444" t="e">
        <f t="shared" si="394"/>
        <v>#N/A</v>
      </c>
      <c r="AD444" t="e">
        <f t="shared" si="395"/>
        <v>#N/A</v>
      </c>
      <c r="AE444" t="e">
        <f t="shared" si="396"/>
        <v>#N/A</v>
      </c>
      <c r="AF444" t="e">
        <f t="shared" si="397"/>
        <v>#N/A</v>
      </c>
      <c r="AG444" t="e">
        <f t="shared" si="398"/>
        <v>#N/A</v>
      </c>
      <c r="AH444" t="e">
        <f t="shared" si="399"/>
        <v>#N/A</v>
      </c>
      <c r="AI444" t="e">
        <f t="shared" si="400"/>
        <v>#N/A</v>
      </c>
      <c r="AJ444" t="e">
        <f t="shared" si="401"/>
        <v>#N/A</v>
      </c>
      <c r="AK444" t="e">
        <f t="shared" si="402"/>
        <v>#N/A</v>
      </c>
      <c r="AL444" t="e">
        <f t="shared" si="403"/>
        <v>#N/A</v>
      </c>
      <c r="AM444" t="e">
        <f t="shared" si="404"/>
        <v>#N/A</v>
      </c>
      <c r="AN444" t="e">
        <f t="shared" si="405"/>
        <v>#N/A</v>
      </c>
      <c r="AO444" t="e">
        <f t="shared" si="406"/>
        <v>#N/A</v>
      </c>
      <c r="AP444" t="e">
        <f t="shared" si="407"/>
        <v>#N/A</v>
      </c>
      <c r="AQ444" t="e">
        <f t="shared" si="408"/>
        <v>#N/A</v>
      </c>
      <c r="AR444" t="e">
        <f t="shared" si="409"/>
        <v>#N/A</v>
      </c>
      <c r="AS444" t="e">
        <f t="shared" si="410"/>
        <v>#N/A</v>
      </c>
      <c r="AT444" t="e">
        <f t="shared" si="411"/>
        <v>#N/A</v>
      </c>
      <c r="AU444" t="e">
        <f t="shared" si="412"/>
        <v>#N/A</v>
      </c>
      <c r="AV444" t="e">
        <f t="shared" si="413"/>
        <v>#N/A</v>
      </c>
      <c r="AW444" t="e">
        <f t="shared" si="414"/>
        <v>#N/A</v>
      </c>
      <c r="AX444" t="e">
        <f t="shared" si="415"/>
        <v>#N/A</v>
      </c>
      <c r="AY444" t="e">
        <f t="shared" si="416"/>
        <v>#N/A</v>
      </c>
      <c r="BE444" t="e">
        <f>IF(Z444=1,IF(INDEX($C$7:$C$126,V444)&gt;=Gantt!$BF$6,NA(),MATCH(INDEX($C$7:$C$126,V444),Gantt!$J$6:$BE$6,1)),NA())</f>
        <v>#N/A</v>
      </c>
      <c r="BF444" t="e">
        <f>IF(Z444=1,IF((INDEX($D$7:$D$126,AA444)-1)&gt;=Gantt!$BF$6,NA(),IF((INDEX($D$7:$D$126,AA444)-1)&lt;Gantt!$J$6,0,MATCH((INDEX($D$7:$D$126,AA444)-1),Gantt!$J$6:$BE$6,1))),NA())</f>
        <v>#N/A</v>
      </c>
      <c r="BG444" t="e">
        <f t="shared" si="417"/>
        <v>#N/A</v>
      </c>
      <c r="BH444" t="e">
        <f t="shared" si="418"/>
        <v>#N/A</v>
      </c>
      <c r="BI444" t="e">
        <f t="shared" si="419"/>
        <v>#N/A</v>
      </c>
      <c r="BJ444" t="e">
        <f t="shared" si="420"/>
        <v>#N/A</v>
      </c>
      <c r="BK444" t="e">
        <f t="shared" si="421"/>
        <v>#N/A</v>
      </c>
      <c r="BL444" t="e">
        <f t="shared" si="422"/>
        <v>#N/A</v>
      </c>
      <c r="BM444" t="e">
        <f t="shared" si="423"/>
        <v>#N/A</v>
      </c>
      <c r="BN444" t="e">
        <f t="shared" si="424"/>
        <v>#N/A</v>
      </c>
      <c r="BO444" t="e">
        <f t="shared" si="425"/>
        <v>#N/A</v>
      </c>
      <c r="BP444" t="e">
        <f t="shared" si="426"/>
        <v>#N/A</v>
      </c>
      <c r="BQ444" t="e">
        <f t="shared" si="427"/>
        <v>#N/A</v>
      </c>
      <c r="BR444" t="e">
        <f t="shared" si="428"/>
        <v>#N/A</v>
      </c>
      <c r="BS444" t="e">
        <f t="shared" si="429"/>
        <v>#N/A</v>
      </c>
      <c r="BT444" t="e">
        <f t="shared" si="430"/>
        <v>#N/A</v>
      </c>
      <c r="BU444" t="e">
        <f t="shared" si="431"/>
        <v>#N/A</v>
      </c>
      <c r="BV444" t="e">
        <f t="shared" si="432"/>
        <v>#N/A</v>
      </c>
      <c r="BW444" t="e">
        <f t="shared" si="433"/>
        <v>#N/A</v>
      </c>
      <c r="BX444" t="e">
        <f t="shared" si="434"/>
        <v>#N/A</v>
      </c>
      <c r="BY444" t="e">
        <f t="shared" si="435"/>
        <v>#N/A</v>
      </c>
      <c r="BZ444" t="e">
        <f t="shared" si="436"/>
        <v>#N/A</v>
      </c>
      <c r="CA444" t="e">
        <f t="shared" si="437"/>
        <v>#N/A</v>
      </c>
      <c r="CB444" t="e">
        <f t="shared" si="438"/>
        <v>#N/A</v>
      </c>
      <c r="CC444" t="e">
        <f t="shared" si="439"/>
        <v>#N/A</v>
      </c>
      <c r="CD444" t="e">
        <f t="shared" si="440"/>
        <v>#N/A</v>
      </c>
      <c r="CE444" t="e">
        <f t="shared" si="441"/>
        <v>#N/A</v>
      </c>
      <c r="CF444" t="e">
        <f t="shared" si="442"/>
        <v>#N/A</v>
      </c>
      <c r="CG444" t="e">
        <f t="shared" si="443"/>
        <v>#N/A</v>
      </c>
      <c r="CI444" t="e">
        <f>AT152</f>
        <v>#N/A</v>
      </c>
      <c r="CJ444" t="e">
        <f>AU152</f>
        <v>#N/A</v>
      </c>
      <c r="CK444">
        <f>IF(ISNUMBER(CI444),IFERROR(MAX(0,AV152-CI444),0),0)</f>
        <v>0</v>
      </c>
      <c r="CL444">
        <f>IF(ISNUMBER(CI444),IFERROR(MAX(0,CI444-AV152),0),0)</f>
        <v>0</v>
      </c>
      <c r="CM444">
        <f>IF(ISNUMBER(CJ444),IFERROR(MAX(0,AW152-CJ444),0),0)</f>
        <v>0</v>
      </c>
      <c r="CN444">
        <f>IF(ISNUMBER(CJ444),IFERROR(MAX(0,CJ444-AW152),0),0)</f>
        <v>0</v>
      </c>
      <c r="CP444" t="e">
        <f>CB152</f>
        <v>#N/A</v>
      </c>
      <c r="CQ444" t="e">
        <f>CC152</f>
        <v>#N/A</v>
      </c>
      <c r="CR444">
        <f>IF(ISNUMBER(CP444),IFERROR(MAX(0,CD152-CP444),0),0)</f>
        <v>0</v>
      </c>
      <c r="CS444">
        <f>IF(ISNUMBER(CP444),IFERROR(MAX(0,CP444-CD152),0),0)</f>
        <v>0</v>
      </c>
      <c r="CT444">
        <f>IF(ISNUMBER(CQ444),IFERROR(MAX(0,CE152-CQ444),0),0)</f>
        <v>0</v>
      </c>
      <c r="CU444">
        <f>IF(ISNUMBER(CQ444),IFERROR(MAX(0,CQ444-CE152),0),0)</f>
        <v>0</v>
      </c>
    </row>
    <row r="445" spans="21:99" x14ac:dyDescent="0.3">
      <c r="U445">
        <v>439</v>
      </c>
      <c r="V445">
        <f t="shared" si="388"/>
        <v>110</v>
      </c>
      <c r="W445">
        <f t="shared" si="389"/>
        <v>3</v>
      </c>
      <c r="X445">
        <f t="shared" si="390"/>
        <v>0</v>
      </c>
      <c r="Y445">
        <f>IF(X445&lt;&gt;1,9999,CHOOSE(W445,INDEX(Gantt!$BQ$7:$BQ$119,V445),INDEX(Gantt!$BR$7:$BR$119,V445),INDEX(Gantt!$BT$7:$BT$119,V445),INDEX(Gantt!$BU$7:$BU$119,V445)))</f>
        <v>9999</v>
      </c>
      <c r="Z445">
        <f t="shared" si="391"/>
        <v>0</v>
      </c>
      <c r="AA445" t="e">
        <f t="shared" si="392"/>
        <v>#N/A</v>
      </c>
      <c r="AB445" t="e">
        <f t="shared" si="393"/>
        <v>#N/A</v>
      </c>
      <c r="AC445" t="e">
        <f t="shared" si="394"/>
        <v>#N/A</v>
      </c>
      <c r="AD445" t="e">
        <f t="shared" si="395"/>
        <v>#N/A</v>
      </c>
      <c r="AE445" t="e">
        <f t="shared" si="396"/>
        <v>#N/A</v>
      </c>
      <c r="AF445" t="e">
        <f t="shared" si="397"/>
        <v>#N/A</v>
      </c>
      <c r="AG445" t="e">
        <f t="shared" si="398"/>
        <v>#N/A</v>
      </c>
      <c r="AH445" t="e">
        <f t="shared" si="399"/>
        <v>#N/A</v>
      </c>
      <c r="AI445" t="e">
        <f t="shared" si="400"/>
        <v>#N/A</v>
      </c>
      <c r="AJ445" t="e">
        <f t="shared" si="401"/>
        <v>#N/A</v>
      </c>
      <c r="AK445" t="e">
        <f t="shared" si="402"/>
        <v>#N/A</v>
      </c>
      <c r="AL445" t="e">
        <f t="shared" si="403"/>
        <v>#N/A</v>
      </c>
      <c r="AM445" t="e">
        <f t="shared" si="404"/>
        <v>#N/A</v>
      </c>
      <c r="AN445" t="e">
        <f t="shared" si="405"/>
        <v>#N/A</v>
      </c>
      <c r="AO445" t="e">
        <f t="shared" si="406"/>
        <v>#N/A</v>
      </c>
      <c r="AP445" t="e">
        <f t="shared" si="407"/>
        <v>#N/A</v>
      </c>
      <c r="AQ445" t="e">
        <f t="shared" si="408"/>
        <v>#N/A</v>
      </c>
      <c r="AR445" t="e">
        <f t="shared" si="409"/>
        <v>#N/A</v>
      </c>
      <c r="AS445" t="e">
        <f t="shared" si="410"/>
        <v>#N/A</v>
      </c>
      <c r="AT445" t="e">
        <f t="shared" si="411"/>
        <v>#N/A</v>
      </c>
      <c r="AU445" t="e">
        <f t="shared" si="412"/>
        <v>#N/A</v>
      </c>
      <c r="AV445" t="e">
        <f t="shared" si="413"/>
        <v>#N/A</v>
      </c>
      <c r="AW445" t="e">
        <f t="shared" si="414"/>
        <v>#N/A</v>
      </c>
      <c r="AX445" t="e">
        <f t="shared" si="415"/>
        <v>#N/A</v>
      </c>
      <c r="AY445" t="e">
        <f t="shared" si="416"/>
        <v>#N/A</v>
      </c>
      <c r="BE445" t="e">
        <f>IF(Z445=1,IF(INDEX($C$7:$C$126,V445)&gt;=Gantt!$BF$6,NA(),MATCH(INDEX($C$7:$C$126,V445),Gantt!$J$6:$BE$6,1)),NA())</f>
        <v>#N/A</v>
      </c>
      <c r="BF445" t="e">
        <f>IF(Z445=1,IF((INDEX($D$7:$D$126,AA445)-1)&gt;=Gantt!$BF$6,NA(),IF((INDEX($D$7:$D$126,AA445)-1)&lt;Gantt!$J$6,0,MATCH((INDEX($D$7:$D$126,AA445)-1),Gantt!$J$6:$BE$6,1))),NA())</f>
        <v>#N/A</v>
      </c>
      <c r="BG445" t="e">
        <f t="shared" si="417"/>
        <v>#N/A</v>
      </c>
      <c r="BH445" t="e">
        <f t="shared" si="418"/>
        <v>#N/A</v>
      </c>
      <c r="BI445" t="e">
        <f t="shared" si="419"/>
        <v>#N/A</v>
      </c>
      <c r="BJ445" t="e">
        <f t="shared" si="420"/>
        <v>#N/A</v>
      </c>
      <c r="BK445" t="e">
        <f t="shared" si="421"/>
        <v>#N/A</v>
      </c>
      <c r="BL445" t="e">
        <f t="shared" si="422"/>
        <v>#N/A</v>
      </c>
      <c r="BM445" t="e">
        <f t="shared" si="423"/>
        <v>#N/A</v>
      </c>
      <c r="BN445" t="e">
        <f t="shared" si="424"/>
        <v>#N/A</v>
      </c>
      <c r="BO445" t="e">
        <f t="shared" si="425"/>
        <v>#N/A</v>
      </c>
      <c r="BP445" t="e">
        <f t="shared" si="426"/>
        <v>#N/A</v>
      </c>
      <c r="BQ445" t="e">
        <f t="shared" si="427"/>
        <v>#N/A</v>
      </c>
      <c r="BR445" t="e">
        <f t="shared" si="428"/>
        <v>#N/A</v>
      </c>
      <c r="BS445" t="e">
        <f t="shared" si="429"/>
        <v>#N/A</v>
      </c>
      <c r="BT445" t="e">
        <f t="shared" si="430"/>
        <v>#N/A</v>
      </c>
      <c r="BU445" t="e">
        <f t="shared" si="431"/>
        <v>#N/A</v>
      </c>
      <c r="BV445" t="e">
        <f t="shared" si="432"/>
        <v>#N/A</v>
      </c>
      <c r="BW445" t="e">
        <f t="shared" si="433"/>
        <v>#N/A</v>
      </c>
      <c r="BX445" t="e">
        <f t="shared" si="434"/>
        <v>#N/A</v>
      </c>
      <c r="BY445" t="e">
        <f t="shared" si="435"/>
        <v>#N/A</v>
      </c>
      <c r="BZ445" t="e">
        <f t="shared" si="436"/>
        <v>#N/A</v>
      </c>
      <c r="CA445" t="e">
        <f t="shared" si="437"/>
        <v>#N/A</v>
      </c>
      <c r="CB445" t="e">
        <f t="shared" si="438"/>
        <v>#N/A</v>
      </c>
      <c r="CC445" t="e">
        <f t="shared" si="439"/>
        <v>#N/A</v>
      </c>
      <c r="CD445" t="e">
        <f t="shared" si="440"/>
        <v>#N/A</v>
      </c>
      <c r="CE445" t="e">
        <f t="shared" si="441"/>
        <v>#N/A</v>
      </c>
      <c r="CF445" t="e">
        <f t="shared" si="442"/>
        <v>#N/A</v>
      </c>
      <c r="CG445" t="e">
        <f t="shared" si="443"/>
        <v>#N/A</v>
      </c>
      <c r="CI445" t="e">
        <f>AL153</f>
        <v>#N/A</v>
      </c>
      <c r="CJ445" t="e">
        <f>AM153</f>
        <v>#N/A</v>
      </c>
      <c r="CK445">
        <f>IF(ISNUMBER(CI445),IFERROR(MAX(0,AN153-CI445),0),0)</f>
        <v>0</v>
      </c>
      <c r="CL445">
        <f>IF(ISNUMBER(CI445),IFERROR(MAX(0,CI445-AN153),0),0)</f>
        <v>0</v>
      </c>
      <c r="CM445">
        <f>IF(ISNUMBER(CJ445),IFERROR(MAX(0,AO153-CJ445),0),0)</f>
        <v>0</v>
      </c>
      <c r="CN445">
        <f>IF(ISNUMBER(CJ445),IFERROR(MAX(0,CJ445-AO153),0),0)</f>
        <v>0</v>
      </c>
      <c r="CP445" t="e">
        <f>BT153</f>
        <v>#N/A</v>
      </c>
      <c r="CQ445" t="e">
        <f>BU153</f>
        <v>#N/A</v>
      </c>
      <c r="CR445">
        <f>IF(ISNUMBER(CP445),IFERROR(MAX(0,BV153-CP445),0),0)</f>
        <v>0</v>
      </c>
      <c r="CS445">
        <f>IF(ISNUMBER(CP445),IFERROR(MAX(0,CP445-BV153),0),0)</f>
        <v>0</v>
      </c>
      <c r="CT445">
        <f>IF(ISNUMBER(CQ445),IFERROR(MAX(0,BW153-CQ445),0),0)</f>
        <v>0</v>
      </c>
      <c r="CU445">
        <f>IF(ISNUMBER(CQ445),IFERROR(MAX(0,CQ445-BW153),0),0)</f>
        <v>0</v>
      </c>
    </row>
    <row r="446" spans="21:99" x14ac:dyDescent="0.3">
      <c r="U446">
        <v>440</v>
      </c>
      <c r="V446">
        <f t="shared" si="388"/>
        <v>110</v>
      </c>
      <c r="W446">
        <f t="shared" si="389"/>
        <v>4</v>
      </c>
      <c r="X446">
        <f t="shared" si="390"/>
        <v>0</v>
      </c>
      <c r="Y446">
        <f>IF(X446&lt;&gt;1,9999,CHOOSE(W446,INDEX(Gantt!$BQ$7:$BQ$119,V446),INDEX(Gantt!$BR$7:$BR$119,V446),INDEX(Gantt!$BT$7:$BT$119,V446),INDEX(Gantt!$BU$7:$BU$119,V446)))</f>
        <v>9999</v>
      </c>
      <c r="Z446">
        <f t="shared" si="391"/>
        <v>0</v>
      </c>
      <c r="AA446" t="e">
        <f t="shared" si="392"/>
        <v>#N/A</v>
      </c>
      <c r="AB446" t="e">
        <f t="shared" si="393"/>
        <v>#N/A</v>
      </c>
      <c r="AC446" t="e">
        <f t="shared" si="394"/>
        <v>#N/A</v>
      </c>
      <c r="AD446" t="e">
        <f t="shared" si="395"/>
        <v>#N/A</v>
      </c>
      <c r="AE446" t="e">
        <f t="shared" si="396"/>
        <v>#N/A</v>
      </c>
      <c r="AF446" t="e">
        <f t="shared" si="397"/>
        <v>#N/A</v>
      </c>
      <c r="AG446" t="e">
        <f t="shared" si="398"/>
        <v>#N/A</v>
      </c>
      <c r="AH446" t="e">
        <f t="shared" si="399"/>
        <v>#N/A</v>
      </c>
      <c r="AI446" t="e">
        <f t="shared" si="400"/>
        <v>#N/A</v>
      </c>
      <c r="AJ446" t="e">
        <f t="shared" si="401"/>
        <v>#N/A</v>
      </c>
      <c r="AK446" t="e">
        <f t="shared" si="402"/>
        <v>#N/A</v>
      </c>
      <c r="AL446" t="e">
        <f t="shared" si="403"/>
        <v>#N/A</v>
      </c>
      <c r="AM446" t="e">
        <f t="shared" si="404"/>
        <v>#N/A</v>
      </c>
      <c r="AN446" t="e">
        <f t="shared" si="405"/>
        <v>#N/A</v>
      </c>
      <c r="AO446" t="e">
        <f t="shared" si="406"/>
        <v>#N/A</v>
      </c>
      <c r="AP446" t="e">
        <f t="shared" si="407"/>
        <v>#N/A</v>
      </c>
      <c r="AQ446" t="e">
        <f t="shared" si="408"/>
        <v>#N/A</v>
      </c>
      <c r="AR446" t="e">
        <f t="shared" si="409"/>
        <v>#N/A</v>
      </c>
      <c r="AS446" t="e">
        <f t="shared" si="410"/>
        <v>#N/A</v>
      </c>
      <c r="AT446" t="e">
        <f t="shared" si="411"/>
        <v>#N/A</v>
      </c>
      <c r="AU446" t="e">
        <f t="shared" si="412"/>
        <v>#N/A</v>
      </c>
      <c r="AV446" t="e">
        <f t="shared" si="413"/>
        <v>#N/A</v>
      </c>
      <c r="AW446" t="e">
        <f t="shared" si="414"/>
        <v>#N/A</v>
      </c>
      <c r="AX446" t="e">
        <f t="shared" si="415"/>
        <v>#N/A</v>
      </c>
      <c r="AY446" t="e">
        <f t="shared" si="416"/>
        <v>#N/A</v>
      </c>
      <c r="BE446" t="e">
        <f>IF(Z446=1,IF(INDEX($C$7:$C$126,V446)&gt;=Gantt!$BF$6,NA(),MATCH(INDEX($C$7:$C$126,V446),Gantt!$J$6:$BE$6,1)),NA())</f>
        <v>#N/A</v>
      </c>
      <c r="BF446" t="e">
        <f>IF(Z446=1,IF((INDEX($D$7:$D$126,AA446)-1)&gt;=Gantt!$BF$6,NA(),IF((INDEX($D$7:$D$126,AA446)-1)&lt;Gantt!$J$6,0,MATCH((INDEX($D$7:$D$126,AA446)-1),Gantt!$J$6:$BE$6,1))),NA())</f>
        <v>#N/A</v>
      </c>
      <c r="BG446" t="e">
        <f t="shared" si="417"/>
        <v>#N/A</v>
      </c>
      <c r="BH446" t="e">
        <f t="shared" si="418"/>
        <v>#N/A</v>
      </c>
      <c r="BI446" t="e">
        <f t="shared" si="419"/>
        <v>#N/A</v>
      </c>
      <c r="BJ446" t="e">
        <f t="shared" si="420"/>
        <v>#N/A</v>
      </c>
      <c r="BK446" t="e">
        <f t="shared" si="421"/>
        <v>#N/A</v>
      </c>
      <c r="BL446" t="e">
        <f t="shared" si="422"/>
        <v>#N/A</v>
      </c>
      <c r="BM446" t="e">
        <f t="shared" si="423"/>
        <v>#N/A</v>
      </c>
      <c r="BN446" t="e">
        <f t="shared" si="424"/>
        <v>#N/A</v>
      </c>
      <c r="BO446" t="e">
        <f t="shared" si="425"/>
        <v>#N/A</v>
      </c>
      <c r="BP446" t="e">
        <f t="shared" si="426"/>
        <v>#N/A</v>
      </c>
      <c r="BQ446" t="e">
        <f t="shared" si="427"/>
        <v>#N/A</v>
      </c>
      <c r="BR446" t="e">
        <f t="shared" si="428"/>
        <v>#N/A</v>
      </c>
      <c r="BS446" t="e">
        <f t="shared" si="429"/>
        <v>#N/A</v>
      </c>
      <c r="BT446" t="e">
        <f t="shared" si="430"/>
        <v>#N/A</v>
      </c>
      <c r="BU446" t="e">
        <f t="shared" si="431"/>
        <v>#N/A</v>
      </c>
      <c r="BV446" t="e">
        <f t="shared" si="432"/>
        <v>#N/A</v>
      </c>
      <c r="BW446" t="e">
        <f t="shared" si="433"/>
        <v>#N/A</v>
      </c>
      <c r="BX446" t="e">
        <f t="shared" si="434"/>
        <v>#N/A</v>
      </c>
      <c r="BY446" t="e">
        <f t="shared" si="435"/>
        <v>#N/A</v>
      </c>
      <c r="BZ446" t="e">
        <f t="shared" si="436"/>
        <v>#N/A</v>
      </c>
      <c r="CA446" t="e">
        <f t="shared" si="437"/>
        <v>#N/A</v>
      </c>
      <c r="CB446" t="e">
        <f t="shared" si="438"/>
        <v>#N/A</v>
      </c>
      <c r="CC446" t="e">
        <f t="shared" si="439"/>
        <v>#N/A</v>
      </c>
      <c r="CD446" t="e">
        <f t="shared" si="440"/>
        <v>#N/A</v>
      </c>
      <c r="CE446" t="e">
        <f t="shared" si="441"/>
        <v>#N/A</v>
      </c>
      <c r="CF446" t="e">
        <f t="shared" si="442"/>
        <v>#N/A</v>
      </c>
      <c r="CG446" t="e">
        <f t="shared" si="443"/>
        <v>#N/A</v>
      </c>
      <c r="CI446" t="e">
        <f>AP153</f>
        <v>#N/A</v>
      </c>
      <c r="CJ446" t="e">
        <f>AQ153</f>
        <v>#N/A</v>
      </c>
      <c r="CK446">
        <f>IF(ISNUMBER(CI446),IFERROR(MAX(0,AR153-CI446),0),0)</f>
        <v>0</v>
      </c>
      <c r="CL446">
        <f>IF(ISNUMBER(CI446),IFERROR(MAX(0,CI446-AR153),0),0)</f>
        <v>0</v>
      </c>
      <c r="CM446">
        <f>IF(ISNUMBER(CJ446),IFERROR(MAX(0,AS153-CJ446),0),0)</f>
        <v>0</v>
      </c>
      <c r="CN446">
        <f>IF(ISNUMBER(CJ446),IFERROR(MAX(0,CJ446-AS153),0),0)</f>
        <v>0</v>
      </c>
      <c r="CP446" t="e">
        <f>BX153</f>
        <v>#N/A</v>
      </c>
      <c r="CQ446" t="e">
        <f>BY153</f>
        <v>#N/A</v>
      </c>
      <c r="CR446">
        <f>IF(ISNUMBER(CP446),IFERROR(MAX(0,BZ153-CP446),0),0)</f>
        <v>0</v>
      </c>
      <c r="CS446">
        <f>IF(ISNUMBER(CP446),IFERROR(MAX(0,CP446-BZ153),0),0)</f>
        <v>0</v>
      </c>
      <c r="CT446">
        <f>IF(ISNUMBER(CQ446),IFERROR(MAX(0,CA153-CQ446),0),0)</f>
        <v>0</v>
      </c>
      <c r="CU446">
        <f>IF(ISNUMBER(CQ446),IFERROR(MAX(0,CQ446-CA153),0),0)</f>
        <v>0</v>
      </c>
    </row>
    <row r="447" spans="21:99" x14ac:dyDescent="0.3">
      <c r="U447">
        <v>441</v>
      </c>
      <c r="V447">
        <f t="shared" si="388"/>
        <v>111</v>
      </c>
      <c r="W447">
        <f t="shared" si="389"/>
        <v>1</v>
      </c>
      <c r="X447">
        <f t="shared" si="390"/>
        <v>0</v>
      </c>
      <c r="Y447">
        <f>IF(X447&lt;&gt;1,9999,CHOOSE(W447,INDEX(Gantt!$BQ$7:$BQ$119,V447),INDEX(Gantt!$BR$7:$BR$119,V447),INDEX(Gantt!$BT$7:$BT$119,V447),INDEX(Gantt!$BU$7:$BU$119,V447)))</f>
        <v>9999</v>
      </c>
      <c r="Z447">
        <f t="shared" si="391"/>
        <v>0</v>
      </c>
      <c r="AA447" t="e">
        <f t="shared" si="392"/>
        <v>#N/A</v>
      </c>
      <c r="AB447" t="e">
        <f t="shared" si="393"/>
        <v>#N/A</v>
      </c>
      <c r="AC447" t="e">
        <f t="shared" si="394"/>
        <v>#N/A</v>
      </c>
      <c r="AD447" t="e">
        <f t="shared" si="395"/>
        <v>#N/A</v>
      </c>
      <c r="AE447" t="e">
        <f t="shared" si="396"/>
        <v>#N/A</v>
      </c>
      <c r="AF447" t="e">
        <f t="shared" si="397"/>
        <v>#N/A</v>
      </c>
      <c r="AG447" t="e">
        <f t="shared" si="398"/>
        <v>#N/A</v>
      </c>
      <c r="AH447" t="e">
        <f t="shared" si="399"/>
        <v>#N/A</v>
      </c>
      <c r="AI447" t="e">
        <f t="shared" si="400"/>
        <v>#N/A</v>
      </c>
      <c r="AJ447" t="e">
        <f t="shared" si="401"/>
        <v>#N/A</v>
      </c>
      <c r="AK447" t="e">
        <f t="shared" si="402"/>
        <v>#N/A</v>
      </c>
      <c r="AL447" t="e">
        <f t="shared" si="403"/>
        <v>#N/A</v>
      </c>
      <c r="AM447" t="e">
        <f t="shared" si="404"/>
        <v>#N/A</v>
      </c>
      <c r="AN447" t="e">
        <f t="shared" si="405"/>
        <v>#N/A</v>
      </c>
      <c r="AO447" t="e">
        <f t="shared" si="406"/>
        <v>#N/A</v>
      </c>
      <c r="AP447" t="e">
        <f t="shared" si="407"/>
        <v>#N/A</v>
      </c>
      <c r="AQ447" t="e">
        <f t="shared" si="408"/>
        <v>#N/A</v>
      </c>
      <c r="AR447" t="e">
        <f t="shared" si="409"/>
        <v>#N/A</v>
      </c>
      <c r="AS447" t="e">
        <f t="shared" si="410"/>
        <v>#N/A</v>
      </c>
      <c r="AT447" t="e">
        <f t="shared" si="411"/>
        <v>#N/A</v>
      </c>
      <c r="AU447" t="e">
        <f t="shared" si="412"/>
        <v>#N/A</v>
      </c>
      <c r="AV447" t="e">
        <f t="shared" si="413"/>
        <v>#N/A</v>
      </c>
      <c r="AW447" t="e">
        <f t="shared" si="414"/>
        <v>#N/A</v>
      </c>
      <c r="AX447" t="e">
        <f t="shared" si="415"/>
        <v>#N/A</v>
      </c>
      <c r="AY447" t="e">
        <f t="shared" si="416"/>
        <v>#N/A</v>
      </c>
      <c r="BE447" t="e">
        <f>IF(Z447=1,IF(INDEX($C$7:$C$126,V447)&gt;=Gantt!$BF$6,NA(),MATCH(INDEX($C$7:$C$126,V447),Gantt!$J$6:$BE$6,1)),NA())</f>
        <v>#N/A</v>
      </c>
      <c r="BF447" t="e">
        <f>IF(Z447=1,IF((INDEX($D$7:$D$126,AA447)-1)&gt;=Gantt!$BF$6,NA(),IF((INDEX($D$7:$D$126,AA447)-1)&lt;Gantt!$J$6,0,MATCH((INDEX($D$7:$D$126,AA447)-1),Gantt!$J$6:$BE$6,1))),NA())</f>
        <v>#N/A</v>
      </c>
      <c r="BG447" t="e">
        <f t="shared" si="417"/>
        <v>#N/A</v>
      </c>
      <c r="BH447" t="e">
        <f t="shared" si="418"/>
        <v>#N/A</v>
      </c>
      <c r="BI447" t="e">
        <f t="shared" si="419"/>
        <v>#N/A</v>
      </c>
      <c r="BJ447" t="e">
        <f t="shared" si="420"/>
        <v>#N/A</v>
      </c>
      <c r="BK447" t="e">
        <f t="shared" si="421"/>
        <v>#N/A</v>
      </c>
      <c r="BL447" t="e">
        <f t="shared" si="422"/>
        <v>#N/A</v>
      </c>
      <c r="BM447" t="e">
        <f t="shared" si="423"/>
        <v>#N/A</v>
      </c>
      <c r="BN447" t="e">
        <f t="shared" si="424"/>
        <v>#N/A</v>
      </c>
      <c r="BO447" t="e">
        <f t="shared" si="425"/>
        <v>#N/A</v>
      </c>
      <c r="BP447" t="e">
        <f t="shared" si="426"/>
        <v>#N/A</v>
      </c>
      <c r="BQ447" t="e">
        <f t="shared" si="427"/>
        <v>#N/A</v>
      </c>
      <c r="BR447" t="e">
        <f t="shared" si="428"/>
        <v>#N/A</v>
      </c>
      <c r="BS447" t="e">
        <f t="shared" si="429"/>
        <v>#N/A</v>
      </c>
      <c r="BT447" t="e">
        <f t="shared" si="430"/>
        <v>#N/A</v>
      </c>
      <c r="BU447" t="e">
        <f t="shared" si="431"/>
        <v>#N/A</v>
      </c>
      <c r="BV447" t="e">
        <f t="shared" si="432"/>
        <v>#N/A</v>
      </c>
      <c r="BW447" t="e">
        <f t="shared" si="433"/>
        <v>#N/A</v>
      </c>
      <c r="BX447" t="e">
        <f t="shared" si="434"/>
        <v>#N/A</v>
      </c>
      <c r="BY447" t="e">
        <f t="shared" si="435"/>
        <v>#N/A</v>
      </c>
      <c r="BZ447" t="e">
        <f t="shared" si="436"/>
        <v>#N/A</v>
      </c>
      <c r="CA447" t="e">
        <f t="shared" si="437"/>
        <v>#N/A</v>
      </c>
      <c r="CB447" t="e">
        <f t="shared" si="438"/>
        <v>#N/A</v>
      </c>
      <c r="CC447" t="e">
        <f t="shared" si="439"/>
        <v>#N/A</v>
      </c>
      <c r="CD447" t="e">
        <f t="shared" si="440"/>
        <v>#N/A</v>
      </c>
      <c r="CE447" t="e">
        <f t="shared" si="441"/>
        <v>#N/A</v>
      </c>
      <c r="CF447" t="e">
        <f t="shared" si="442"/>
        <v>#N/A</v>
      </c>
      <c r="CG447" t="e">
        <f t="shared" si="443"/>
        <v>#N/A</v>
      </c>
      <c r="CI447" t="e">
        <f>AT153</f>
        <v>#N/A</v>
      </c>
      <c r="CJ447" t="e">
        <f>AU153</f>
        <v>#N/A</v>
      </c>
      <c r="CK447">
        <f>IF(ISNUMBER(CI447),IFERROR(MAX(0,AV153-CI447),0),0)</f>
        <v>0</v>
      </c>
      <c r="CL447">
        <f>IF(ISNUMBER(CI447),IFERROR(MAX(0,CI447-AV153),0),0)</f>
        <v>0</v>
      </c>
      <c r="CM447">
        <f>IF(ISNUMBER(CJ447),IFERROR(MAX(0,AW153-CJ447),0),0)</f>
        <v>0</v>
      </c>
      <c r="CN447">
        <f>IF(ISNUMBER(CJ447),IFERROR(MAX(0,CJ447-AW153),0),0)</f>
        <v>0</v>
      </c>
      <c r="CP447" t="e">
        <f>CB153</f>
        <v>#N/A</v>
      </c>
      <c r="CQ447" t="e">
        <f>CC153</f>
        <v>#N/A</v>
      </c>
      <c r="CR447">
        <f>IF(ISNUMBER(CP447),IFERROR(MAX(0,CD153-CP447),0),0)</f>
        <v>0</v>
      </c>
      <c r="CS447">
        <f>IF(ISNUMBER(CP447),IFERROR(MAX(0,CP447-CD153),0),0)</f>
        <v>0</v>
      </c>
      <c r="CT447">
        <f>IF(ISNUMBER(CQ447),IFERROR(MAX(0,CE153-CQ447),0),0)</f>
        <v>0</v>
      </c>
      <c r="CU447">
        <f>IF(ISNUMBER(CQ447),IFERROR(MAX(0,CQ447-CE153),0),0)</f>
        <v>0</v>
      </c>
    </row>
    <row r="448" spans="21:99" x14ac:dyDescent="0.3">
      <c r="U448">
        <v>442</v>
      </c>
      <c r="V448">
        <f t="shared" si="388"/>
        <v>111</v>
      </c>
      <c r="W448">
        <f t="shared" si="389"/>
        <v>2</v>
      </c>
      <c r="X448">
        <f t="shared" si="390"/>
        <v>0</v>
      </c>
      <c r="Y448">
        <f>IF(X448&lt;&gt;1,9999,CHOOSE(W448,INDEX(Gantt!$BQ$7:$BQ$119,V448),INDEX(Gantt!$BR$7:$BR$119,V448),INDEX(Gantt!$BT$7:$BT$119,V448),INDEX(Gantt!$BU$7:$BU$119,V448)))</f>
        <v>9999</v>
      </c>
      <c r="Z448">
        <f t="shared" si="391"/>
        <v>0</v>
      </c>
      <c r="AA448" t="e">
        <f t="shared" si="392"/>
        <v>#N/A</v>
      </c>
      <c r="AB448" t="e">
        <f t="shared" si="393"/>
        <v>#N/A</v>
      </c>
      <c r="AC448" t="e">
        <f t="shared" si="394"/>
        <v>#N/A</v>
      </c>
      <c r="AD448" t="e">
        <f t="shared" si="395"/>
        <v>#N/A</v>
      </c>
      <c r="AE448" t="e">
        <f t="shared" si="396"/>
        <v>#N/A</v>
      </c>
      <c r="AF448" t="e">
        <f t="shared" si="397"/>
        <v>#N/A</v>
      </c>
      <c r="AG448" t="e">
        <f t="shared" si="398"/>
        <v>#N/A</v>
      </c>
      <c r="AH448" t="e">
        <f t="shared" si="399"/>
        <v>#N/A</v>
      </c>
      <c r="AI448" t="e">
        <f t="shared" si="400"/>
        <v>#N/A</v>
      </c>
      <c r="AJ448" t="e">
        <f t="shared" si="401"/>
        <v>#N/A</v>
      </c>
      <c r="AK448" t="e">
        <f t="shared" si="402"/>
        <v>#N/A</v>
      </c>
      <c r="AL448" t="e">
        <f t="shared" si="403"/>
        <v>#N/A</v>
      </c>
      <c r="AM448" t="e">
        <f t="shared" si="404"/>
        <v>#N/A</v>
      </c>
      <c r="AN448" t="e">
        <f t="shared" si="405"/>
        <v>#N/A</v>
      </c>
      <c r="AO448" t="e">
        <f t="shared" si="406"/>
        <v>#N/A</v>
      </c>
      <c r="AP448" t="e">
        <f t="shared" si="407"/>
        <v>#N/A</v>
      </c>
      <c r="AQ448" t="e">
        <f t="shared" si="408"/>
        <v>#N/A</v>
      </c>
      <c r="AR448" t="e">
        <f t="shared" si="409"/>
        <v>#N/A</v>
      </c>
      <c r="AS448" t="e">
        <f t="shared" si="410"/>
        <v>#N/A</v>
      </c>
      <c r="AT448" t="e">
        <f t="shared" si="411"/>
        <v>#N/A</v>
      </c>
      <c r="AU448" t="e">
        <f t="shared" si="412"/>
        <v>#N/A</v>
      </c>
      <c r="AV448" t="e">
        <f t="shared" si="413"/>
        <v>#N/A</v>
      </c>
      <c r="AW448" t="e">
        <f t="shared" si="414"/>
        <v>#N/A</v>
      </c>
      <c r="AX448" t="e">
        <f t="shared" si="415"/>
        <v>#N/A</v>
      </c>
      <c r="AY448" t="e">
        <f t="shared" si="416"/>
        <v>#N/A</v>
      </c>
      <c r="BE448" t="e">
        <f>IF(Z448=1,IF(INDEX($C$7:$C$126,V448)&gt;=Gantt!$BF$6,NA(),MATCH(INDEX($C$7:$C$126,V448),Gantt!$J$6:$BE$6,1)),NA())</f>
        <v>#N/A</v>
      </c>
      <c r="BF448" t="e">
        <f>IF(Z448=1,IF((INDEX($D$7:$D$126,AA448)-1)&gt;=Gantt!$BF$6,NA(),IF((INDEX($D$7:$D$126,AA448)-1)&lt;Gantt!$J$6,0,MATCH((INDEX($D$7:$D$126,AA448)-1),Gantt!$J$6:$BE$6,1))),NA())</f>
        <v>#N/A</v>
      </c>
      <c r="BG448" t="e">
        <f t="shared" si="417"/>
        <v>#N/A</v>
      </c>
      <c r="BH448" t="e">
        <f t="shared" si="418"/>
        <v>#N/A</v>
      </c>
      <c r="BI448" t="e">
        <f t="shared" si="419"/>
        <v>#N/A</v>
      </c>
      <c r="BJ448" t="e">
        <f t="shared" si="420"/>
        <v>#N/A</v>
      </c>
      <c r="BK448" t="e">
        <f t="shared" si="421"/>
        <v>#N/A</v>
      </c>
      <c r="BL448" t="e">
        <f t="shared" si="422"/>
        <v>#N/A</v>
      </c>
      <c r="BM448" t="e">
        <f t="shared" si="423"/>
        <v>#N/A</v>
      </c>
      <c r="BN448" t="e">
        <f t="shared" si="424"/>
        <v>#N/A</v>
      </c>
      <c r="BO448" t="e">
        <f t="shared" si="425"/>
        <v>#N/A</v>
      </c>
      <c r="BP448" t="e">
        <f t="shared" si="426"/>
        <v>#N/A</v>
      </c>
      <c r="BQ448" t="e">
        <f t="shared" si="427"/>
        <v>#N/A</v>
      </c>
      <c r="BR448" t="e">
        <f t="shared" si="428"/>
        <v>#N/A</v>
      </c>
      <c r="BS448" t="e">
        <f t="shared" si="429"/>
        <v>#N/A</v>
      </c>
      <c r="BT448" t="e">
        <f t="shared" si="430"/>
        <v>#N/A</v>
      </c>
      <c r="BU448" t="e">
        <f t="shared" si="431"/>
        <v>#N/A</v>
      </c>
      <c r="BV448" t="e">
        <f t="shared" si="432"/>
        <v>#N/A</v>
      </c>
      <c r="BW448" t="e">
        <f t="shared" si="433"/>
        <v>#N/A</v>
      </c>
      <c r="BX448" t="e">
        <f t="shared" si="434"/>
        <v>#N/A</v>
      </c>
      <c r="BY448" t="e">
        <f t="shared" si="435"/>
        <v>#N/A</v>
      </c>
      <c r="BZ448" t="e">
        <f t="shared" si="436"/>
        <v>#N/A</v>
      </c>
      <c r="CA448" t="e">
        <f t="shared" si="437"/>
        <v>#N/A</v>
      </c>
      <c r="CB448" t="e">
        <f t="shared" si="438"/>
        <v>#N/A</v>
      </c>
      <c r="CC448" t="e">
        <f t="shared" si="439"/>
        <v>#N/A</v>
      </c>
      <c r="CD448" t="e">
        <f t="shared" si="440"/>
        <v>#N/A</v>
      </c>
      <c r="CE448" t="e">
        <f t="shared" si="441"/>
        <v>#N/A</v>
      </c>
      <c r="CF448" t="e">
        <f t="shared" si="442"/>
        <v>#N/A</v>
      </c>
      <c r="CG448" t="e">
        <f t="shared" si="443"/>
        <v>#N/A</v>
      </c>
      <c r="CI448" t="e">
        <f>AL154</f>
        <v>#N/A</v>
      </c>
      <c r="CJ448" t="e">
        <f>AM154</f>
        <v>#N/A</v>
      </c>
      <c r="CK448">
        <f>IF(ISNUMBER(CI448),IFERROR(MAX(0,AN154-CI448),0),0)</f>
        <v>0</v>
      </c>
      <c r="CL448">
        <f>IF(ISNUMBER(CI448),IFERROR(MAX(0,CI448-AN154),0),0)</f>
        <v>0</v>
      </c>
      <c r="CM448">
        <f>IF(ISNUMBER(CJ448),IFERROR(MAX(0,AO154-CJ448),0),0)</f>
        <v>0</v>
      </c>
      <c r="CN448">
        <f>IF(ISNUMBER(CJ448),IFERROR(MAX(0,CJ448-AO154),0),0)</f>
        <v>0</v>
      </c>
      <c r="CP448" t="e">
        <f>BT154</f>
        <v>#N/A</v>
      </c>
      <c r="CQ448" t="e">
        <f>BU154</f>
        <v>#N/A</v>
      </c>
      <c r="CR448">
        <f>IF(ISNUMBER(CP448),IFERROR(MAX(0,BV154-CP448),0),0)</f>
        <v>0</v>
      </c>
      <c r="CS448">
        <f>IF(ISNUMBER(CP448),IFERROR(MAX(0,CP448-BV154),0),0)</f>
        <v>0</v>
      </c>
      <c r="CT448">
        <f>IF(ISNUMBER(CQ448),IFERROR(MAX(0,BW154-CQ448),0),0)</f>
        <v>0</v>
      </c>
      <c r="CU448">
        <f>IF(ISNUMBER(CQ448),IFERROR(MAX(0,CQ448-BW154),0),0)</f>
        <v>0</v>
      </c>
    </row>
    <row r="449" spans="21:99" x14ac:dyDescent="0.3">
      <c r="U449">
        <v>443</v>
      </c>
      <c r="V449">
        <f t="shared" si="388"/>
        <v>111</v>
      </c>
      <c r="W449">
        <f t="shared" si="389"/>
        <v>3</v>
      </c>
      <c r="X449">
        <f t="shared" si="390"/>
        <v>0</v>
      </c>
      <c r="Y449">
        <f>IF(X449&lt;&gt;1,9999,CHOOSE(W449,INDEX(Gantt!$BQ$7:$BQ$119,V449),INDEX(Gantt!$BR$7:$BR$119,V449),INDEX(Gantt!$BT$7:$BT$119,V449),INDEX(Gantt!$BU$7:$BU$119,V449)))</f>
        <v>9999</v>
      </c>
      <c r="Z449">
        <f t="shared" si="391"/>
        <v>0</v>
      </c>
      <c r="AA449" t="e">
        <f t="shared" si="392"/>
        <v>#N/A</v>
      </c>
      <c r="AB449" t="e">
        <f t="shared" si="393"/>
        <v>#N/A</v>
      </c>
      <c r="AC449" t="e">
        <f t="shared" si="394"/>
        <v>#N/A</v>
      </c>
      <c r="AD449" t="e">
        <f t="shared" si="395"/>
        <v>#N/A</v>
      </c>
      <c r="AE449" t="e">
        <f t="shared" si="396"/>
        <v>#N/A</v>
      </c>
      <c r="AF449" t="e">
        <f t="shared" si="397"/>
        <v>#N/A</v>
      </c>
      <c r="AG449" t="e">
        <f t="shared" si="398"/>
        <v>#N/A</v>
      </c>
      <c r="AH449" t="e">
        <f t="shared" si="399"/>
        <v>#N/A</v>
      </c>
      <c r="AI449" t="e">
        <f t="shared" si="400"/>
        <v>#N/A</v>
      </c>
      <c r="AJ449" t="e">
        <f t="shared" si="401"/>
        <v>#N/A</v>
      </c>
      <c r="AK449" t="e">
        <f t="shared" si="402"/>
        <v>#N/A</v>
      </c>
      <c r="AL449" t="e">
        <f t="shared" si="403"/>
        <v>#N/A</v>
      </c>
      <c r="AM449" t="e">
        <f t="shared" si="404"/>
        <v>#N/A</v>
      </c>
      <c r="AN449" t="e">
        <f t="shared" si="405"/>
        <v>#N/A</v>
      </c>
      <c r="AO449" t="e">
        <f t="shared" si="406"/>
        <v>#N/A</v>
      </c>
      <c r="AP449" t="e">
        <f t="shared" si="407"/>
        <v>#N/A</v>
      </c>
      <c r="AQ449" t="e">
        <f t="shared" si="408"/>
        <v>#N/A</v>
      </c>
      <c r="AR449" t="e">
        <f t="shared" si="409"/>
        <v>#N/A</v>
      </c>
      <c r="AS449" t="e">
        <f t="shared" si="410"/>
        <v>#N/A</v>
      </c>
      <c r="AT449" t="e">
        <f t="shared" si="411"/>
        <v>#N/A</v>
      </c>
      <c r="AU449" t="e">
        <f t="shared" si="412"/>
        <v>#N/A</v>
      </c>
      <c r="AV449" t="e">
        <f t="shared" si="413"/>
        <v>#N/A</v>
      </c>
      <c r="AW449" t="e">
        <f t="shared" si="414"/>
        <v>#N/A</v>
      </c>
      <c r="AX449" t="e">
        <f t="shared" si="415"/>
        <v>#N/A</v>
      </c>
      <c r="AY449" t="e">
        <f t="shared" si="416"/>
        <v>#N/A</v>
      </c>
      <c r="BE449" t="e">
        <f>IF(Z449=1,IF(INDEX($C$7:$C$126,V449)&gt;=Gantt!$BF$6,NA(),MATCH(INDEX($C$7:$C$126,V449),Gantt!$J$6:$BE$6,1)),NA())</f>
        <v>#N/A</v>
      </c>
      <c r="BF449" t="e">
        <f>IF(Z449=1,IF((INDEX($D$7:$D$126,AA449)-1)&gt;=Gantt!$BF$6,NA(),IF((INDEX($D$7:$D$126,AA449)-1)&lt;Gantt!$J$6,0,MATCH((INDEX($D$7:$D$126,AA449)-1),Gantt!$J$6:$BE$6,1))),NA())</f>
        <v>#N/A</v>
      </c>
      <c r="BG449" t="e">
        <f t="shared" si="417"/>
        <v>#N/A</v>
      </c>
      <c r="BH449" t="e">
        <f t="shared" si="418"/>
        <v>#N/A</v>
      </c>
      <c r="BI449" t="e">
        <f t="shared" si="419"/>
        <v>#N/A</v>
      </c>
      <c r="BJ449" t="e">
        <f t="shared" si="420"/>
        <v>#N/A</v>
      </c>
      <c r="BK449" t="e">
        <f t="shared" si="421"/>
        <v>#N/A</v>
      </c>
      <c r="BL449" t="e">
        <f t="shared" si="422"/>
        <v>#N/A</v>
      </c>
      <c r="BM449" t="e">
        <f t="shared" si="423"/>
        <v>#N/A</v>
      </c>
      <c r="BN449" t="e">
        <f t="shared" si="424"/>
        <v>#N/A</v>
      </c>
      <c r="BO449" t="e">
        <f t="shared" si="425"/>
        <v>#N/A</v>
      </c>
      <c r="BP449" t="e">
        <f t="shared" si="426"/>
        <v>#N/A</v>
      </c>
      <c r="BQ449" t="e">
        <f t="shared" si="427"/>
        <v>#N/A</v>
      </c>
      <c r="BR449" t="e">
        <f t="shared" si="428"/>
        <v>#N/A</v>
      </c>
      <c r="BS449" t="e">
        <f t="shared" si="429"/>
        <v>#N/A</v>
      </c>
      <c r="BT449" t="e">
        <f t="shared" si="430"/>
        <v>#N/A</v>
      </c>
      <c r="BU449" t="e">
        <f t="shared" si="431"/>
        <v>#N/A</v>
      </c>
      <c r="BV449" t="e">
        <f t="shared" si="432"/>
        <v>#N/A</v>
      </c>
      <c r="BW449" t="e">
        <f t="shared" si="433"/>
        <v>#N/A</v>
      </c>
      <c r="BX449" t="e">
        <f t="shared" si="434"/>
        <v>#N/A</v>
      </c>
      <c r="BY449" t="e">
        <f t="shared" si="435"/>
        <v>#N/A</v>
      </c>
      <c r="BZ449" t="e">
        <f t="shared" si="436"/>
        <v>#N/A</v>
      </c>
      <c r="CA449" t="e">
        <f t="shared" si="437"/>
        <v>#N/A</v>
      </c>
      <c r="CB449" t="e">
        <f t="shared" si="438"/>
        <v>#N/A</v>
      </c>
      <c r="CC449" t="e">
        <f t="shared" si="439"/>
        <v>#N/A</v>
      </c>
      <c r="CD449" t="e">
        <f t="shared" si="440"/>
        <v>#N/A</v>
      </c>
      <c r="CE449" t="e">
        <f t="shared" si="441"/>
        <v>#N/A</v>
      </c>
      <c r="CF449" t="e">
        <f t="shared" si="442"/>
        <v>#N/A</v>
      </c>
      <c r="CG449" t="e">
        <f t="shared" si="443"/>
        <v>#N/A</v>
      </c>
      <c r="CI449" t="e">
        <f>AP154</f>
        <v>#N/A</v>
      </c>
      <c r="CJ449" t="e">
        <f>AQ154</f>
        <v>#N/A</v>
      </c>
      <c r="CK449">
        <f>IF(ISNUMBER(CI449),IFERROR(MAX(0,AR154-CI449),0),0)</f>
        <v>0</v>
      </c>
      <c r="CL449">
        <f>IF(ISNUMBER(CI449),IFERROR(MAX(0,CI449-AR154),0),0)</f>
        <v>0</v>
      </c>
      <c r="CM449">
        <f>IF(ISNUMBER(CJ449),IFERROR(MAX(0,AS154-CJ449),0),0)</f>
        <v>0</v>
      </c>
      <c r="CN449">
        <f>IF(ISNUMBER(CJ449),IFERROR(MAX(0,CJ449-AS154),0),0)</f>
        <v>0</v>
      </c>
      <c r="CP449" t="e">
        <f>BX154</f>
        <v>#N/A</v>
      </c>
      <c r="CQ449" t="e">
        <f>BY154</f>
        <v>#N/A</v>
      </c>
      <c r="CR449">
        <f>IF(ISNUMBER(CP449),IFERROR(MAX(0,BZ154-CP449),0),0)</f>
        <v>0</v>
      </c>
      <c r="CS449">
        <f>IF(ISNUMBER(CP449),IFERROR(MAX(0,CP449-BZ154),0),0)</f>
        <v>0</v>
      </c>
      <c r="CT449">
        <f>IF(ISNUMBER(CQ449),IFERROR(MAX(0,CA154-CQ449),0),0)</f>
        <v>0</v>
      </c>
      <c r="CU449">
        <f>IF(ISNUMBER(CQ449),IFERROR(MAX(0,CQ449-CA154),0),0)</f>
        <v>0</v>
      </c>
    </row>
    <row r="450" spans="21:99" x14ac:dyDescent="0.3">
      <c r="U450">
        <v>444</v>
      </c>
      <c r="V450">
        <f t="shared" si="388"/>
        <v>111</v>
      </c>
      <c r="W450">
        <f t="shared" si="389"/>
        <v>4</v>
      </c>
      <c r="X450">
        <f t="shared" si="390"/>
        <v>0</v>
      </c>
      <c r="Y450">
        <f>IF(X450&lt;&gt;1,9999,CHOOSE(W450,INDEX(Gantt!$BQ$7:$BQ$119,V450),INDEX(Gantt!$BR$7:$BR$119,V450),INDEX(Gantt!$BT$7:$BT$119,V450),INDEX(Gantt!$BU$7:$BU$119,V450)))</f>
        <v>9999</v>
      </c>
      <c r="Z450">
        <f t="shared" si="391"/>
        <v>0</v>
      </c>
      <c r="AA450" t="e">
        <f t="shared" si="392"/>
        <v>#N/A</v>
      </c>
      <c r="AB450" t="e">
        <f t="shared" si="393"/>
        <v>#N/A</v>
      </c>
      <c r="AC450" t="e">
        <f t="shared" si="394"/>
        <v>#N/A</v>
      </c>
      <c r="AD450" t="e">
        <f t="shared" si="395"/>
        <v>#N/A</v>
      </c>
      <c r="AE450" t="e">
        <f t="shared" si="396"/>
        <v>#N/A</v>
      </c>
      <c r="AF450" t="e">
        <f t="shared" si="397"/>
        <v>#N/A</v>
      </c>
      <c r="AG450" t="e">
        <f t="shared" si="398"/>
        <v>#N/A</v>
      </c>
      <c r="AH450" t="e">
        <f t="shared" si="399"/>
        <v>#N/A</v>
      </c>
      <c r="AI450" t="e">
        <f t="shared" si="400"/>
        <v>#N/A</v>
      </c>
      <c r="AJ450" t="e">
        <f t="shared" si="401"/>
        <v>#N/A</v>
      </c>
      <c r="AK450" t="e">
        <f t="shared" si="402"/>
        <v>#N/A</v>
      </c>
      <c r="AL450" t="e">
        <f t="shared" si="403"/>
        <v>#N/A</v>
      </c>
      <c r="AM450" t="e">
        <f t="shared" si="404"/>
        <v>#N/A</v>
      </c>
      <c r="AN450" t="e">
        <f t="shared" si="405"/>
        <v>#N/A</v>
      </c>
      <c r="AO450" t="e">
        <f t="shared" si="406"/>
        <v>#N/A</v>
      </c>
      <c r="AP450" t="e">
        <f t="shared" si="407"/>
        <v>#N/A</v>
      </c>
      <c r="AQ450" t="e">
        <f t="shared" si="408"/>
        <v>#N/A</v>
      </c>
      <c r="AR450" t="e">
        <f t="shared" si="409"/>
        <v>#N/A</v>
      </c>
      <c r="AS450" t="e">
        <f t="shared" si="410"/>
        <v>#N/A</v>
      </c>
      <c r="AT450" t="e">
        <f t="shared" si="411"/>
        <v>#N/A</v>
      </c>
      <c r="AU450" t="e">
        <f t="shared" si="412"/>
        <v>#N/A</v>
      </c>
      <c r="AV450" t="e">
        <f t="shared" si="413"/>
        <v>#N/A</v>
      </c>
      <c r="AW450" t="e">
        <f t="shared" si="414"/>
        <v>#N/A</v>
      </c>
      <c r="AX450" t="e">
        <f t="shared" si="415"/>
        <v>#N/A</v>
      </c>
      <c r="AY450" t="e">
        <f t="shared" si="416"/>
        <v>#N/A</v>
      </c>
      <c r="BE450" t="e">
        <f>IF(Z450=1,IF(INDEX($C$7:$C$126,V450)&gt;=Gantt!$BF$6,NA(),MATCH(INDEX($C$7:$C$126,V450),Gantt!$J$6:$BE$6,1)),NA())</f>
        <v>#N/A</v>
      </c>
      <c r="BF450" t="e">
        <f>IF(Z450=1,IF((INDEX($D$7:$D$126,AA450)-1)&gt;=Gantt!$BF$6,NA(),IF((INDEX($D$7:$D$126,AA450)-1)&lt;Gantt!$J$6,0,MATCH((INDEX($D$7:$D$126,AA450)-1),Gantt!$J$6:$BE$6,1))),NA())</f>
        <v>#N/A</v>
      </c>
      <c r="BG450" t="e">
        <f t="shared" si="417"/>
        <v>#N/A</v>
      </c>
      <c r="BH450" t="e">
        <f t="shared" si="418"/>
        <v>#N/A</v>
      </c>
      <c r="BI450" t="e">
        <f t="shared" si="419"/>
        <v>#N/A</v>
      </c>
      <c r="BJ450" t="e">
        <f t="shared" si="420"/>
        <v>#N/A</v>
      </c>
      <c r="BK450" t="e">
        <f t="shared" si="421"/>
        <v>#N/A</v>
      </c>
      <c r="BL450" t="e">
        <f t="shared" si="422"/>
        <v>#N/A</v>
      </c>
      <c r="BM450" t="e">
        <f t="shared" si="423"/>
        <v>#N/A</v>
      </c>
      <c r="BN450" t="e">
        <f t="shared" si="424"/>
        <v>#N/A</v>
      </c>
      <c r="BO450" t="e">
        <f t="shared" si="425"/>
        <v>#N/A</v>
      </c>
      <c r="BP450" t="e">
        <f t="shared" si="426"/>
        <v>#N/A</v>
      </c>
      <c r="BQ450" t="e">
        <f t="shared" si="427"/>
        <v>#N/A</v>
      </c>
      <c r="BR450" t="e">
        <f t="shared" si="428"/>
        <v>#N/A</v>
      </c>
      <c r="BS450" t="e">
        <f t="shared" si="429"/>
        <v>#N/A</v>
      </c>
      <c r="BT450" t="e">
        <f t="shared" si="430"/>
        <v>#N/A</v>
      </c>
      <c r="BU450" t="e">
        <f t="shared" si="431"/>
        <v>#N/A</v>
      </c>
      <c r="BV450" t="e">
        <f t="shared" si="432"/>
        <v>#N/A</v>
      </c>
      <c r="BW450" t="e">
        <f t="shared" si="433"/>
        <v>#N/A</v>
      </c>
      <c r="BX450" t="e">
        <f t="shared" si="434"/>
        <v>#N/A</v>
      </c>
      <c r="BY450" t="e">
        <f t="shared" si="435"/>
        <v>#N/A</v>
      </c>
      <c r="BZ450" t="e">
        <f t="shared" si="436"/>
        <v>#N/A</v>
      </c>
      <c r="CA450" t="e">
        <f t="shared" si="437"/>
        <v>#N/A</v>
      </c>
      <c r="CB450" t="e">
        <f t="shared" si="438"/>
        <v>#N/A</v>
      </c>
      <c r="CC450" t="e">
        <f t="shared" si="439"/>
        <v>#N/A</v>
      </c>
      <c r="CD450" t="e">
        <f t="shared" si="440"/>
        <v>#N/A</v>
      </c>
      <c r="CE450" t="e">
        <f t="shared" si="441"/>
        <v>#N/A</v>
      </c>
      <c r="CF450" t="e">
        <f t="shared" si="442"/>
        <v>#N/A</v>
      </c>
      <c r="CG450" t="e">
        <f t="shared" si="443"/>
        <v>#N/A</v>
      </c>
      <c r="CI450" t="e">
        <f>AT154</f>
        <v>#N/A</v>
      </c>
      <c r="CJ450" t="e">
        <f>AU154</f>
        <v>#N/A</v>
      </c>
      <c r="CK450">
        <f>IF(ISNUMBER(CI450),IFERROR(MAX(0,AV154-CI450),0),0)</f>
        <v>0</v>
      </c>
      <c r="CL450">
        <f>IF(ISNUMBER(CI450),IFERROR(MAX(0,CI450-AV154),0),0)</f>
        <v>0</v>
      </c>
      <c r="CM450">
        <f>IF(ISNUMBER(CJ450),IFERROR(MAX(0,AW154-CJ450),0),0)</f>
        <v>0</v>
      </c>
      <c r="CN450">
        <f>IF(ISNUMBER(CJ450),IFERROR(MAX(0,CJ450-AW154),0),0)</f>
        <v>0</v>
      </c>
      <c r="CP450" t="e">
        <f>CB154</f>
        <v>#N/A</v>
      </c>
      <c r="CQ450" t="e">
        <f>CC154</f>
        <v>#N/A</v>
      </c>
      <c r="CR450">
        <f>IF(ISNUMBER(CP450),IFERROR(MAX(0,CD154-CP450),0),0)</f>
        <v>0</v>
      </c>
      <c r="CS450">
        <f>IF(ISNUMBER(CP450),IFERROR(MAX(0,CP450-CD154),0),0)</f>
        <v>0</v>
      </c>
      <c r="CT450">
        <f>IF(ISNUMBER(CQ450),IFERROR(MAX(0,CE154-CQ450),0),0)</f>
        <v>0</v>
      </c>
      <c r="CU450">
        <f>IF(ISNUMBER(CQ450),IFERROR(MAX(0,CQ450-CE154),0),0)</f>
        <v>0</v>
      </c>
    </row>
    <row r="451" spans="21:99" x14ac:dyDescent="0.3">
      <c r="U451">
        <v>445</v>
      </c>
      <c r="V451">
        <f t="shared" si="388"/>
        <v>112</v>
      </c>
      <c r="W451">
        <f t="shared" si="389"/>
        <v>1</v>
      </c>
      <c r="X451">
        <f t="shared" si="390"/>
        <v>0</v>
      </c>
      <c r="Y451">
        <f>IF(X451&lt;&gt;1,9999,CHOOSE(W451,INDEX(Gantt!$BQ$7:$BQ$119,V451),INDEX(Gantt!$BR$7:$BR$119,V451),INDEX(Gantt!$BT$7:$BT$119,V451),INDEX(Gantt!$BU$7:$BU$119,V451)))</f>
        <v>9999</v>
      </c>
      <c r="Z451">
        <f t="shared" si="391"/>
        <v>0</v>
      </c>
      <c r="AA451" t="e">
        <f t="shared" si="392"/>
        <v>#N/A</v>
      </c>
      <c r="AB451" t="e">
        <f t="shared" si="393"/>
        <v>#N/A</v>
      </c>
      <c r="AC451" t="e">
        <f t="shared" si="394"/>
        <v>#N/A</v>
      </c>
      <c r="AD451" t="e">
        <f t="shared" si="395"/>
        <v>#N/A</v>
      </c>
      <c r="AE451" t="e">
        <f t="shared" si="396"/>
        <v>#N/A</v>
      </c>
      <c r="AF451" t="e">
        <f t="shared" si="397"/>
        <v>#N/A</v>
      </c>
      <c r="AG451" t="e">
        <f t="shared" si="398"/>
        <v>#N/A</v>
      </c>
      <c r="AH451" t="e">
        <f t="shared" si="399"/>
        <v>#N/A</v>
      </c>
      <c r="AI451" t="e">
        <f t="shared" si="400"/>
        <v>#N/A</v>
      </c>
      <c r="AJ451" t="e">
        <f t="shared" si="401"/>
        <v>#N/A</v>
      </c>
      <c r="AK451" t="e">
        <f t="shared" si="402"/>
        <v>#N/A</v>
      </c>
      <c r="AL451" t="e">
        <f t="shared" si="403"/>
        <v>#N/A</v>
      </c>
      <c r="AM451" t="e">
        <f t="shared" si="404"/>
        <v>#N/A</v>
      </c>
      <c r="AN451" t="e">
        <f t="shared" si="405"/>
        <v>#N/A</v>
      </c>
      <c r="AO451" t="e">
        <f t="shared" si="406"/>
        <v>#N/A</v>
      </c>
      <c r="AP451" t="e">
        <f t="shared" si="407"/>
        <v>#N/A</v>
      </c>
      <c r="AQ451" t="e">
        <f t="shared" si="408"/>
        <v>#N/A</v>
      </c>
      <c r="AR451" t="e">
        <f t="shared" si="409"/>
        <v>#N/A</v>
      </c>
      <c r="AS451" t="e">
        <f t="shared" si="410"/>
        <v>#N/A</v>
      </c>
      <c r="AT451" t="e">
        <f t="shared" si="411"/>
        <v>#N/A</v>
      </c>
      <c r="AU451" t="e">
        <f t="shared" si="412"/>
        <v>#N/A</v>
      </c>
      <c r="AV451" t="e">
        <f t="shared" si="413"/>
        <v>#N/A</v>
      </c>
      <c r="AW451" t="e">
        <f t="shared" si="414"/>
        <v>#N/A</v>
      </c>
      <c r="AX451" t="e">
        <f t="shared" si="415"/>
        <v>#N/A</v>
      </c>
      <c r="AY451" t="e">
        <f t="shared" si="416"/>
        <v>#N/A</v>
      </c>
      <c r="BE451" t="e">
        <f>IF(Z451=1,IF(INDEX($C$7:$C$126,V451)&gt;=Gantt!$BF$6,NA(),MATCH(INDEX($C$7:$C$126,V451),Gantt!$J$6:$BE$6,1)),NA())</f>
        <v>#N/A</v>
      </c>
      <c r="BF451" t="e">
        <f>IF(Z451=1,IF((INDEX($D$7:$D$126,AA451)-1)&gt;=Gantt!$BF$6,NA(),IF((INDEX($D$7:$D$126,AA451)-1)&lt;Gantt!$J$6,0,MATCH((INDEX($D$7:$D$126,AA451)-1),Gantt!$J$6:$BE$6,1))),NA())</f>
        <v>#N/A</v>
      </c>
      <c r="BG451" t="e">
        <f t="shared" si="417"/>
        <v>#N/A</v>
      </c>
      <c r="BH451" t="e">
        <f t="shared" si="418"/>
        <v>#N/A</v>
      </c>
      <c r="BI451" t="e">
        <f t="shared" si="419"/>
        <v>#N/A</v>
      </c>
      <c r="BJ451" t="e">
        <f t="shared" si="420"/>
        <v>#N/A</v>
      </c>
      <c r="BK451" t="e">
        <f t="shared" si="421"/>
        <v>#N/A</v>
      </c>
      <c r="BL451" t="e">
        <f t="shared" si="422"/>
        <v>#N/A</v>
      </c>
      <c r="BM451" t="e">
        <f t="shared" si="423"/>
        <v>#N/A</v>
      </c>
      <c r="BN451" t="e">
        <f t="shared" si="424"/>
        <v>#N/A</v>
      </c>
      <c r="BO451" t="e">
        <f t="shared" si="425"/>
        <v>#N/A</v>
      </c>
      <c r="BP451" t="e">
        <f t="shared" si="426"/>
        <v>#N/A</v>
      </c>
      <c r="BQ451" t="e">
        <f t="shared" si="427"/>
        <v>#N/A</v>
      </c>
      <c r="BR451" t="e">
        <f t="shared" si="428"/>
        <v>#N/A</v>
      </c>
      <c r="BS451" t="e">
        <f t="shared" si="429"/>
        <v>#N/A</v>
      </c>
      <c r="BT451" t="e">
        <f t="shared" si="430"/>
        <v>#N/A</v>
      </c>
      <c r="BU451" t="e">
        <f t="shared" si="431"/>
        <v>#N/A</v>
      </c>
      <c r="BV451" t="e">
        <f t="shared" si="432"/>
        <v>#N/A</v>
      </c>
      <c r="BW451" t="e">
        <f t="shared" si="433"/>
        <v>#N/A</v>
      </c>
      <c r="BX451" t="e">
        <f t="shared" si="434"/>
        <v>#N/A</v>
      </c>
      <c r="BY451" t="e">
        <f t="shared" si="435"/>
        <v>#N/A</v>
      </c>
      <c r="BZ451" t="e">
        <f t="shared" si="436"/>
        <v>#N/A</v>
      </c>
      <c r="CA451" t="e">
        <f t="shared" si="437"/>
        <v>#N/A</v>
      </c>
      <c r="CB451" t="e">
        <f t="shared" si="438"/>
        <v>#N/A</v>
      </c>
      <c r="CC451" t="e">
        <f t="shared" si="439"/>
        <v>#N/A</v>
      </c>
      <c r="CD451" t="e">
        <f t="shared" si="440"/>
        <v>#N/A</v>
      </c>
      <c r="CE451" t="e">
        <f t="shared" si="441"/>
        <v>#N/A</v>
      </c>
      <c r="CF451" t="e">
        <f t="shared" si="442"/>
        <v>#N/A</v>
      </c>
      <c r="CG451" t="e">
        <f t="shared" si="443"/>
        <v>#N/A</v>
      </c>
      <c r="CI451" t="e">
        <f>AL155</f>
        <v>#N/A</v>
      </c>
      <c r="CJ451" t="e">
        <f>AM155</f>
        <v>#N/A</v>
      </c>
      <c r="CK451">
        <f>IF(ISNUMBER(CI451),IFERROR(MAX(0,AN155-CI451),0),0)</f>
        <v>0</v>
      </c>
      <c r="CL451">
        <f>IF(ISNUMBER(CI451),IFERROR(MAX(0,CI451-AN155),0),0)</f>
        <v>0</v>
      </c>
      <c r="CM451">
        <f>IF(ISNUMBER(CJ451),IFERROR(MAX(0,AO155-CJ451),0),0)</f>
        <v>0</v>
      </c>
      <c r="CN451">
        <f>IF(ISNUMBER(CJ451),IFERROR(MAX(0,CJ451-AO155),0),0)</f>
        <v>0</v>
      </c>
      <c r="CP451" t="e">
        <f>BT155</f>
        <v>#N/A</v>
      </c>
      <c r="CQ451" t="e">
        <f>BU155</f>
        <v>#N/A</v>
      </c>
      <c r="CR451">
        <f>IF(ISNUMBER(CP451),IFERROR(MAX(0,BV155-CP451),0),0)</f>
        <v>0</v>
      </c>
      <c r="CS451">
        <f>IF(ISNUMBER(CP451),IFERROR(MAX(0,CP451-BV155),0),0)</f>
        <v>0</v>
      </c>
      <c r="CT451">
        <f>IF(ISNUMBER(CQ451),IFERROR(MAX(0,BW155-CQ451),0),0)</f>
        <v>0</v>
      </c>
      <c r="CU451">
        <f>IF(ISNUMBER(CQ451),IFERROR(MAX(0,CQ451-BW155),0),0)</f>
        <v>0</v>
      </c>
    </row>
    <row r="452" spans="21:99" x14ac:dyDescent="0.3">
      <c r="U452">
        <v>446</v>
      </c>
      <c r="V452">
        <f t="shared" si="388"/>
        <v>112</v>
      </c>
      <c r="W452">
        <f t="shared" si="389"/>
        <v>2</v>
      </c>
      <c r="X452">
        <f t="shared" si="390"/>
        <v>0</v>
      </c>
      <c r="Y452">
        <f>IF(X452&lt;&gt;1,9999,CHOOSE(W452,INDEX(Gantt!$BQ$7:$BQ$119,V452),INDEX(Gantt!$BR$7:$BR$119,V452),INDEX(Gantt!$BT$7:$BT$119,V452),INDEX(Gantt!$BU$7:$BU$119,V452)))</f>
        <v>9999</v>
      </c>
      <c r="Z452">
        <f t="shared" si="391"/>
        <v>0</v>
      </c>
      <c r="AA452" t="e">
        <f t="shared" si="392"/>
        <v>#N/A</v>
      </c>
      <c r="AB452" t="e">
        <f t="shared" si="393"/>
        <v>#N/A</v>
      </c>
      <c r="AC452" t="e">
        <f t="shared" si="394"/>
        <v>#N/A</v>
      </c>
      <c r="AD452" t="e">
        <f t="shared" si="395"/>
        <v>#N/A</v>
      </c>
      <c r="AE452" t="e">
        <f t="shared" si="396"/>
        <v>#N/A</v>
      </c>
      <c r="AF452" t="e">
        <f t="shared" si="397"/>
        <v>#N/A</v>
      </c>
      <c r="AG452" t="e">
        <f t="shared" si="398"/>
        <v>#N/A</v>
      </c>
      <c r="AH452" t="e">
        <f t="shared" si="399"/>
        <v>#N/A</v>
      </c>
      <c r="AI452" t="e">
        <f t="shared" si="400"/>
        <v>#N/A</v>
      </c>
      <c r="AJ452" t="e">
        <f t="shared" si="401"/>
        <v>#N/A</v>
      </c>
      <c r="AK452" t="e">
        <f t="shared" si="402"/>
        <v>#N/A</v>
      </c>
      <c r="AL452" t="e">
        <f t="shared" si="403"/>
        <v>#N/A</v>
      </c>
      <c r="AM452" t="e">
        <f t="shared" si="404"/>
        <v>#N/A</v>
      </c>
      <c r="AN452" t="e">
        <f t="shared" si="405"/>
        <v>#N/A</v>
      </c>
      <c r="AO452" t="e">
        <f t="shared" si="406"/>
        <v>#N/A</v>
      </c>
      <c r="AP452" t="e">
        <f t="shared" si="407"/>
        <v>#N/A</v>
      </c>
      <c r="AQ452" t="e">
        <f t="shared" si="408"/>
        <v>#N/A</v>
      </c>
      <c r="AR452" t="e">
        <f t="shared" si="409"/>
        <v>#N/A</v>
      </c>
      <c r="AS452" t="e">
        <f t="shared" si="410"/>
        <v>#N/A</v>
      </c>
      <c r="AT452" t="e">
        <f t="shared" si="411"/>
        <v>#N/A</v>
      </c>
      <c r="AU452" t="e">
        <f t="shared" si="412"/>
        <v>#N/A</v>
      </c>
      <c r="AV452" t="e">
        <f t="shared" si="413"/>
        <v>#N/A</v>
      </c>
      <c r="AW452" t="e">
        <f t="shared" si="414"/>
        <v>#N/A</v>
      </c>
      <c r="AX452" t="e">
        <f t="shared" si="415"/>
        <v>#N/A</v>
      </c>
      <c r="AY452" t="e">
        <f t="shared" si="416"/>
        <v>#N/A</v>
      </c>
      <c r="BE452" t="e">
        <f>IF(Z452=1,IF(INDEX($C$7:$C$126,V452)&gt;=Gantt!$BF$6,NA(),MATCH(INDEX($C$7:$C$126,V452),Gantt!$J$6:$BE$6,1)),NA())</f>
        <v>#N/A</v>
      </c>
      <c r="BF452" t="e">
        <f>IF(Z452=1,IF((INDEX($D$7:$D$126,AA452)-1)&gt;=Gantt!$BF$6,NA(),IF((INDEX($D$7:$D$126,AA452)-1)&lt;Gantt!$J$6,0,MATCH((INDEX($D$7:$D$126,AA452)-1),Gantt!$J$6:$BE$6,1))),NA())</f>
        <v>#N/A</v>
      </c>
      <c r="BG452" t="e">
        <f t="shared" si="417"/>
        <v>#N/A</v>
      </c>
      <c r="BH452" t="e">
        <f t="shared" si="418"/>
        <v>#N/A</v>
      </c>
      <c r="BI452" t="e">
        <f t="shared" si="419"/>
        <v>#N/A</v>
      </c>
      <c r="BJ452" t="e">
        <f t="shared" si="420"/>
        <v>#N/A</v>
      </c>
      <c r="BK452" t="e">
        <f t="shared" si="421"/>
        <v>#N/A</v>
      </c>
      <c r="BL452" t="e">
        <f t="shared" si="422"/>
        <v>#N/A</v>
      </c>
      <c r="BM452" t="e">
        <f t="shared" si="423"/>
        <v>#N/A</v>
      </c>
      <c r="BN452" t="e">
        <f t="shared" si="424"/>
        <v>#N/A</v>
      </c>
      <c r="BO452" t="e">
        <f t="shared" si="425"/>
        <v>#N/A</v>
      </c>
      <c r="BP452" t="e">
        <f t="shared" si="426"/>
        <v>#N/A</v>
      </c>
      <c r="BQ452" t="e">
        <f t="shared" si="427"/>
        <v>#N/A</v>
      </c>
      <c r="BR452" t="e">
        <f t="shared" si="428"/>
        <v>#N/A</v>
      </c>
      <c r="BS452" t="e">
        <f t="shared" si="429"/>
        <v>#N/A</v>
      </c>
      <c r="BT452" t="e">
        <f t="shared" si="430"/>
        <v>#N/A</v>
      </c>
      <c r="BU452" t="e">
        <f t="shared" si="431"/>
        <v>#N/A</v>
      </c>
      <c r="BV452" t="e">
        <f t="shared" si="432"/>
        <v>#N/A</v>
      </c>
      <c r="BW452" t="e">
        <f t="shared" si="433"/>
        <v>#N/A</v>
      </c>
      <c r="BX452" t="e">
        <f t="shared" si="434"/>
        <v>#N/A</v>
      </c>
      <c r="BY452" t="e">
        <f t="shared" si="435"/>
        <v>#N/A</v>
      </c>
      <c r="BZ452" t="e">
        <f t="shared" si="436"/>
        <v>#N/A</v>
      </c>
      <c r="CA452" t="e">
        <f t="shared" si="437"/>
        <v>#N/A</v>
      </c>
      <c r="CB452" t="e">
        <f t="shared" si="438"/>
        <v>#N/A</v>
      </c>
      <c r="CC452" t="e">
        <f t="shared" si="439"/>
        <v>#N/A</v>
      </c>
      <c r="CD452" t="e">
        <f t="shared" si="440"/>
        <v>#N/A</v>
      </c>
      <c r="CE452" t="e">
        <f t="shared" si="441"/>
        <v>#N/A</v>
      </c>
      <c r="CF452" t="e">
        <f t="shared" si="442"/>
        <v>#N/A</v>
      </c>
      <c r="CG452" t="e">
        <f t="shared" si="443"/>
        <v>#N/A</v>
      </c>
      <c r="CI452" t="e">
        <f>AP155</f>
        <v>#N/A</v>
      </c>
      <c r="CJ452" t="e">
        <f>AQ155</f>
        <v>#N/A</v>
      </c>
      <c r="CK452">
        <f>IF(ISNUMBER(CI452),IFERROR(MAX(0,AR155-CI452),0),0)</f>
        <v>0</v>
      </c>
      <c r="CL452">
        <f>IF(ISNUMBER(CI452),IFERROR(MAX(0,CI452-AR155),0),0)</f>
        <v>0</v>
      </c>
      <c r="CM452">
        <f>IF(ISNUMBER(CJ452),IFERROR(MAX(0,AS155-CJ452),0),0)</f>
        <v>0</v>
      </c>
      <c r="CN452">
        <f>IF(ISNUMBER(CJ452),IFERROR(MAX(0,CJ452-AS155),0),0)</f>
        <v>0</v>
      </c>
      <c r="CP452" t="e">
        <f>BX155</f>
        <v>#N/A</v>
      </c>
      <c r="CQ452" t="e">
        <f>BY155</f>
        <v>#N/A</v>
      </c>
      <c r="CR452">
        <f>IF(ISNUMBER(CP452),IFERROR(MAX(0,BZ155-CP452),0),0)</f>
        <v>0</v>
      </c>
      <c r="CS452">
        <f>IF(ISNUMBER(CP452),IFERROR(MAX(0,CP452-BZ155),0),0)</f>
        <v>0</v>
      </c>
      <c r="CT452">
        <f>IF(ISNUMBER(CQ452),IFERROR(MAX(0,CA155-CQ452),0),0)</f>
        <v>0</v>
      </c>
      <c r="CU452">
        <f>IF(ISNUMBER(CQ452),IFERROR(MAX(0,CQ452-CA155),0),0)</f>
        <v>0</v>
      </c>
    </row>
    <row r="453" spans="21:99" x14ac:dyDescent="0.3">
      <c r="U453">
        <v>447</v>
      </c>
      <c r="V453">
        <f t="shared" si="388"/>
        <v>112</v>
      </c>
      <c r="W453">
        <f t="shared" si="389"/>
        <v>3</v>
      </c>
      <c r="X453">
        <f t="shared" si="390"/>
        <v>0</v>
      </c>
      <c r="Y453">
        <f>IF(X453&lt;&gt;1,9999,CHOOSE(W453,INDEX(Gantt!$BQ$7:$BQ$119,V453),INDEX(Gantt!$BR$7:$BR$119,V453),INDEX(Gantt!$BT$7:$BT$119,V453),INDEX(Gantt!$BU$7:$BU$119,V453)))</f>
        <v>9999</v>
      </c>
      <c r="Z453">
        <f t="shared" si="391"/>
        <v>0</v>
      </c>
      <c r="AA453" t="e">
        <f t="shared" si="392"/>
        <v>#N/A</v>
      </c>
      <c r="AB453" t="e">
        <f t="shared" si="393"/>
        <v>#N/A</v>
      </c>
      <c r="AC453" t="e">
        <f t="shared" si="394"/>
        <v>#N/A</v>
      </c>
      <c r="AD453" t="e">
        <f t="shared" si="395"/>
        <v>#N/A</v>
      </c>
      <c r="AE453" t="e">
        <f t="shared" si="396"/>
        <v>#N/A</v>
      </c>
      <c r="AF453" t="e">
        <f t="shared" si="397"/>
        <v>#N/A</v>
      </c>
      <c r="AG453" t="e">
        <f t="shared" si="398"/>
        <v>#N/A</v>
      </c>
      <c r="AH453" t="e">
        <f t="shared" si="399"/>
        <v>#N/A</v>
      </c>
      <c r="AI453" t="e">
        <f t="shared" si="400"/>
        <v>#N/A</v>
      </c>
      <c r="AJ453" t="e">
        <f t="shared" si="401"/>
        <v>#N/A</v>
      </c>
      <c r="AK453" t="e">
        <f t="shared" si="402"/>
        <v>#N/A</v>
      </c>
      <c r="AL453" t="e">
        <f t="shared" si="403"/>
        <v>#N/A</v>
      </c>
      <c r="AM453" t="e">
        <f t="shared" si="404"/>
        <v>#N/A</v>
      </c>
      <c r="AN453" t="e">
        <f t="shared" si="405"/>
        <v>#N/A</v>
      </c>
      <c r="AO453" t="e">
        <f t="shared" si="406"/>
        <v>#N/A</v>
      </c>
      <c r="AP453" t="e">
        <f t="shared" si="407"/>
        <v>#N/A</v>
      </c>
      <c r="AQ453" t="e">
        <f t="shared" si="408"/>
        <v>#N/A</v>
      </c>
      <c r="AR453" t="e">
        <f t="shared" si="409"/>
        <v>#N/A</v>
      </c>
      <c r="AS453" t="e">
        <f t="shared" si="410"/>
        <v>#N/A</v>
      </c>
      <c r="AT453" t="e">
        <f t="shared" si="411"/>
        <v>#N/A</v>
      </c>
      <c r="AU453" t="e">
        <f t="shared" si="412"/>
        <v>#N/A</v>
      </c>
      <c r="AV453" t="e">
        <f t="shared" si="413"/>
        <v>#N/A</v>
      </c>
      <c r="AW453" t="e">
        <f t="shared" si="414"/>
        <v>#N/A</v>
      </c>
      <c r="AX453" t="e">
        <f t="shared" si="415"/>
        <v>#N/A</v>
      </c>
      <c r="AY453" t="e">
        <f t="shared" si="416"/>
        <v>#N/A</v>
      </c>
      <c r="BE453" t="e">
        <f>IF(Z453=1,IF(INDEX($C$7:$C$126,V453)&gt;=Gantt!$BF$6,NA(),MATCH(INDEX($C$7:$C$126,V453),Gantt!$J$6:$BE$6,1)),NA())</f>
        <v>#N/A</v>
      </c>
      <c r="BF453" t="e">
        <f>IF(Z453=1,IF((INDEX($D$7:$D$126,AA453)-1)&gt;=Gantt!$BF$6,NA(),IF((INDEX($D$7:$D$126,AA453)-1)&lt;Gantt!$J$6,0,MATCH((INDEX($D$7:$D$126,AA453)-1),Gantt!$J$6:$BE$6,1))),NA())</f>
        <v>#N/A</v>
      </c>
      <c r="BG453" t="e">
        <f t="shared" si="417"/>
        <v>#N/A</v>
      </c>
      <c r="BH453" t="e">
        <f t="shared" si="418"/>
        <v>#N/A</v>
      </c>
      <c r="BI453" t="e">
        <f t="shared" si="419"/>
        <v>#N/A</v>
      </c>
      <c r="BJ453" t="e">
        <f t="shared" si="420"/>
        <v>#N/A</v>
      </c>
      <c r="BK453" t="e">
        <f t="shared" si="421"/>
        <v>#N/A</v>
      </c>
      <c r="BL453" t="e">
        <f t="shared" si="422"/>
        <v>#N/A</v>
      </c>
      <c r="BM453" t="e">
        <f t="shared" si="423"/>
        <v>#N/A</v>
      </c>
      <c r="BN453" t="e">
        <f t="shared" si="424"/>
        <v>#N/A</v>
      </c>
      <c r="BO453" t="e">
        <f t="shared" si="425"/>
        <v>#N/A</v>
      </c>
      <c r="BP453" t="e">
        <f t="shared" si="426"/>
        <v>#N/A</v>
      </c>
      <c r="BQ453" t="e">
        <f t="shared" si="427"/>
        <v>#N/A</v>
      </c>
      <c r="BR453" t="e">
        <f t="shared" si="428"/>
        <v>#N/A</v>
      </c>
      <c r="BS453" t="e">
        <f t="shared" si="429"/>
        <v>#N/A</v>
      </c>
      <c r="BT453" t="e">
        <f t="shared" si="430"/>
        <v>#N/A</v>
      </c>
      <c r="BU453" t="e">
        <f t="shared" si="431"/>
        <v>#N/A</v>
      </c>
      <c r="BV453" t="e">
        <f t="shared" si="432"/>
        <v>#N/A</v>
      </c>
      <c r="BW453" t="e">
        <f t="shared" si="433"/>
        <v>#N/A</v>
      </c>
      <c r="BX453" t="e">
        <f t="shared" si="434"/>
        <v>#N/A</v>
      </c>
      <c r="BY453" t="e">
        <f t="shared" si="435"/>
        <v>#N/A</v>
      </c>
      <c r="BZ453" t="e">
        <f t="shared" si="436"/>
        <v>#N/A</v>
      </c>
      <c r="CA453" t="e">
        <f t="shared" si="437"/>
        <v>#N/A</v>
      </c>
      <c r="CB453" t="e">
        <f t="shared" si="438"/>
        <v>#N/A</v>
      </c>
      <c r="CC453" t="e">
        <f t="shared" si="439"/>
        <v>#N/A</v>
      </c>
      <c r="CD453" t="e">
        <f t="shared" si="440"/>
        <v>#N/A</v>
      </c>
      <c r="CE453" t="e">
        <f t="shared" si="441"/>
        <v>#N/A</v>
      </c>
      <c r="CF453" t="e">
        <f t="shared" si="442"/>
        <v>#N/A</v>
      </c>
      <c r="CG453" t="e">
        <f t="shared" si="443"/>
        <v>#N/A</v>
      </c>
      <c r="CI453" t="e">
        <f>AT155</f>
        <v>#N/A</v>
      </c>
      <c r="CJ453" t="e">
        <f>AU155</f>
        <v>#N/A</v>
      </c>
      <c r="CK453">
        <f>IF(ISNUMBER(CI453),IFERROR(MAX(0,AV155-CI453),0),0)</f>
        <v>0</v>
      </c>
      <c r="CL453">
        <f>IF(ISNUMBER(CI453),IFERROR(MAX(0,CI453-AV155),0),0)</f>
        <v>0</v>
      </c>
      <c r="CM453">
        <f>IF(ISNUMBER(CJ453),IFERROR(MAX(0,AW155-CJ453),0),0)</f>
        <v>0</v>
      </c>
      <c r="CN453">
        <f>IF(ISNUMBER(CJ453),IFERROR(MAX(0,CJ453-AW155),0),0)</f>
        <v>0</v>
      </c>
      <c r="CP453" t="e">
        <f>CB155</f>
        <v>#N/A</v>
      </c>
      <c r="CQ453" t="e">
        <f>CC155</f>
        <v>#N/A</v>
      </c>
      <c r="CR453">
        <f>IF(ISNUMBER(CP453),IFERROR(MAX(0,CD155-CP453),0),0)</f>
        <v>0</v>
      </c>
      <c r="CS453">
        <f>IF(ISNUMBER(CP453),IFERROR(MAX(0,CP453-CD155),0),0)</f>
        <v>0</v>
      </c>
      <c r="CT453">
        <f>IF(ISNUMBER(CQ453),IFERROR(MAX(0,CE155-CQ453),0),0)</f>
        <v>0</v>
      </c>
      <c r="CU453">
        <f>IF(ISNUMBER(CQ453),IFERROR(MAX(0,CQ453-CE155),0),0)</f>
        <v>0</v>
      </c>
    </row>
    <row r="454" spans="21:99" x14ac:dyDescent="0.3">
      <c r="U454">
        <v>448</v>
      </c>
      <c r="V454">
        <f t="shared" si="388"/>
        <v>112</v>
      </c>
      <c r="W454">
        <f t="shared" si="389"/>
        <v>4</v>
      </c>
      <c r="X454">
        <f t="shared" si="390"/>
        <v>0</v>
      </c>
      <c r="Y454">
        <f>IF(X454&lt;&gt;1,9999,CHOOSE(W454,INDEX(Gantt!$BQ$7:$BQ$119,V454),INDEX(Gantt!$BR$7:$BR$119,V454),INDEX(Gantt!$BT$7:$BT$119,V454),INDEX(Gantt!$BU$7:$BU$119,V454)))</f>
        <v>9999</v>
      </c>
      <c r="Z454">
        <f t="shared" si="391"/>
        <v>0</v>
      </c>
      <c r="AA454" t="e">
        <f t="shared" si="392"/>
        <v>#N/A</v>
      </c>
      <c r="AB454" t="e">
        <f t="shared" si="393"/>
        <v>#N/A</v>
      </c>
      <c r="AC454" t="e">
        <f t="shared" si="394"/>
        <v>#N/A</v>
      </c>
      <c r="AD454" t="e">
        <f t="shared" si="395"/>
        <v>#N/A</v>
      </c>
      <c r="AE454" t="e">
        <f t="shared" si="396"/>
        <v>#N/A</v>
      </c>
      <c r="AF454" t="e">
        <f t="shared" si="397"/>
        <v>#N/A</v>
      </c>
      <c r="AG454" t="e">
        <f t="shared" si="398"/>
        <v>#N/A</v>
      </c>
      <c r="AH454" t="e">
        <f t="shared" si="399"/>
        <v>#N/A</v>
      </c>
      <c r="AI454" t="e">
        <f t="shared" si="400"/>
        <v>#N/A</v>
      </c>
      <c r="AJ454" t="e">
        <f t="shared" si="401"/>
        <v>#N/A</v>
      </c>
      <c r="AK454" t="e">
        <f t="shared" si="402"/>
        <v>#N/A</v>
      </c>
      <c r="AL454" t="e">
        <f t="shared" si="403"/>
        <v>#N/A</v>
      </c>
      <c r="AM454" t="e">
        <f t="shared" si="404"/>
        <v>#N/A</v>
      </c>
      <c r="AN454" t="e">
        <f t="shared" si="405"/>
        <v>#N/A</v>
      </c>
      <c r="AO454" t="e">
        <f t="shared" si="406"/>
        <v>#N/A</v>
      </c>
      <c r="AP454" t="e">
        <f t="shared" si="407"/>
        <v>#N/A</v>
      </c>
      <c r="AQ454" t="e">
        <f t="shared" si="408"/>
        <v>#N/A</v>
      </c>
      <c r="AR454" t="e">
        <f t="shared" si="409"/>
        <v>#N/A</v>
      </c>
      <c r="AS454" t="e">
        <f t="shared" si="410"/>
        <v>#N/A</v>
      </c>
      <c r="AT454" t="e">
        <f t="shared" si="411"/>
        <v>#N/A</v>
      </c>
      <c r="AU454" t="e">
        <f t="shared" si="412"/>
        <v>#N/A</v>
      </c>
      <c r="AV454" t="e">
        <f t="shared" si="413"/>
        <v>#N/A</v>
      </c>
      <c r="AW454" t="e">
        <f t="shared" si="414"/>
        <v>#N/A</v>
      </c>
      <c r="AX454" t="e">
        <f t="shared" si="415"/>
        <v>#N/A</v>
      </c>
      <c r="AY454" t="e">
        <f t="shared" si="416"/>
        <v>#N/A</v>
      </c>
      <c r="BE454" t="e">
        <f>IF(Z454=1,IF(INDEX($C$7:$C$126,V454)&gt;=Gantt!$BF$6,NA(),MATCH(INDEX($C$7:$C$126,V454),Gantt!$J$6:$BE$6,1)),NA())</f>
        <v>#N/A</v>
      </c>
      <c r="BF454" t="e">
        <f>IF(Z454=1,IF((INDEX($D$7:$D$126,AA454)-1)&gt;=Gantt!$BF$6,NA(),IF((INDEX($D$7:$D$126,AA454)-1)&lt;Gantt!$J$6,0,MATCH((INDEX($D$7:$D$126,AA454)-1),Gantt!$J$6:$BE$6,1))),NA())</f>
        <v>#N/A</v>
      </c>
      <c r="BG454" t="e">
        <f t="shared" si="417"/>
        <v>#N/A</v>
      </c>
      <c r="BH454" t="e">
        <f t="shared" si="418"/>
        <v>#N/A</v>
      </c>
      <c r="BI454" t="e">
        <f t="shared" si="419"/>
        <v>#N/A</v>
      </c>
      <c r="BJ454" t="e">
        <f t="shared" si="420"/>
        <v>#N/A</v>
      </c>
      <c r="BK454" t="e">
        <f t="shared" si="421"/>
        <v>#N/A</v>
      </c>
      <c r="BL454" t="e">
        <f t="shared" si="422"/>
        <v>#N/A</v>
      </c>
      <c r="BM454" t="e">
        <f t="shared" si="423"/>
        <v>#N/A</v>
      </c>
      <c r="BN454" t="e">
        <f t="shared" si="424"/>
        <v>#N/A</v>
      </c>
      <c r="BO454" t="e">
        <f t="shared" si="425"/>
        <v>#N/A</v>
      </c>
      <c r="BP454" t="e">
        <f t="shared" si="426"/>
        <v>#N/A</v>
      </c>
      <c r="BQ454" t="e">
        <f t="shared" si="427"/>
        <v>#N/A</v>
      </c>
      <c r="BR454" t="e">
        <f t="shared" si="428"/>
        <v>#N/A</v>
      </c>
      <c r="BS454" t="e">
        <f t="shared" si="429"/>
        <v>#N/A</v>
      </c>
      <c r="BT454" t="e">
        <f t="shared" si="430"/>
        <v>#N/A</v>
      </c>
      <c r="BU454" t="e">
        <f t="shared" si="431"/>
        <v>#N/A</v>
      </c>
      <c r="BV454" t="e">
        <f t="shared" si="432"/>
        <v>#N/A</v>
      </c>
      <c r="BW454" t="e">
        <f t="shared" si="433"/>
        <v>#N/A</v>
      </c>
      <c r="BX454" t="e">
        <f t="shared" si="434"/>
        <v>#N/A</v>
      </c>
      <c r="BY454" t="e">
        <f t="shared" si="435"/>
        <v>#N/A</v>
      </c>
      <c r="BZ454" t="e">
        <f t="shared" si="436"/>
        <v>#N/A</v>
      </c>
      <c r="CA454" t="e">
        <f t="shared" si="437"/>
        <v>#N/A</v>
      </c>
      <c r="CB454" t="e">
        <f t="shared" si="438"/>
        <v>#N/A</v>
      </c>
      <c r="CC454" t="e">
        <f t="shared" si="439"/>
        <v>#N/A</v>
      </c>
      <c r="CD454" t="e">
        <f t="shared" si="440"/>
        <v>#N/A</v>
      </c>
      <c r="CE454" t="e">
        <f t="shared" si="441"/>
        <v>#N/A</v>
      </c>
      <c r="CF454" t="e">
        <f t="shared" si="442"/>
        <v>#N/A</v>
      </c>
      <c r="CG454" t="e">
        <f t="shared" si="443"/>
        <v>#N/A</v>
      </c>
      <c r="CI454" t="e">
        <f>AL156</f>
        <v>#N/A</v>
      </c>
      <c r="CJ454" t="e">
        <f>AM156</f>
        <v>#N/A</v>
      </c>
      <c r="CK454">
        <f>IF(ISNUMBER(CI454),IFERROR(MAX(0,AN156-CI454),0),0)</f>
        <v>0</v>
      </c>
      <c r="CL454">
        <f>IF(ISNUMBER(CI454),IFERROR(MAX(0,CI454-AN156),0),0)</f>
        <v>0</v>
      </c>
      <c r="CM454">
        <f>IF(ISNUMBER(CJ454),IFERROR(MAX(0,AO156-CJ454),0),0)</f>
        <v>0</v>
      </c>
      <c r="CN454">
        <f>IF(ISNUMBER(CJ454),IFERROR(MAX(0,CJ454-AO156),0),0)</f>
        <v>0</v>
      </c>
      <c r="CP454" t="e">
        <f>BT156</f>
        <v>#N/A</v>
      </c>
      <c r="CQ454" t="e">
        <f>BU156</f>
        <v>#N/A</v>
      </c>
      <c r="CR454">
        <f>IF(ISNUMBER(CP454),IFERROR(MAX(0,BV156-CP454),0),0)</f>
        <v>0</v>
      </c>
      <c r="CS454">
        <f>IF(ISNUMBER(CP454),IFERROR(MAX(0,CP454-BV156),0),0)</f>
        <v>0</v>
      </c>
      <c r="CT454">
        <f>IF(ISNUMBER(CQ454),IFERROR(MAX(0,BW156-CQ454),0),0)</f>
        <v>0</v>
      </c>
      <c r="CU454">
        <f>IF(ISNUMBER(CQ454),IFERROR(MAX(0,CQ454-BW156),0),0)</f>
        <v>0</v>
      </c>
    </row>
    <row r="455" spans="21:99" x14ac:dyDescent="0.3">
      <c r="U455">
        <v>449</v>
      </c>
      <c r="V455">
        <f t="shared" ref="V455:V486" si="444">INT((U455-1)/4)+1</f>
        <v>113</v>
      </c>
      <c r="W455">
        <f t="shared" ref="W455:W486" si="445">MOD(U455-1,4)+1</f>
        <v>1</v>
      </c>
      <c r="X455">
        <f t="shared" ref="X455:X486" si="446">INDEX($B$7:$B$126,V455)</f>
        <v>0</v>
      </c>
      <c r="Y455">
        <f>IF(X455&lt;&gt;1,9999,CHOOSE(W455,INDEX(Gantt!$BQ$7:$BQ$119,V455),INDEX(Gantt!$BR$7:$BR$119,V455),INDEX(Gantt!$BT$7:$BT$119,V455),INDEX(Gantt!$BU$7:$BU$119,V455)))</f>
        <v>9999</v>
      </c>
      <c r="Z455">
        <f t="shared" ref="Z455:Z486" si="447">IF(AND(Y455&gt;$B$3,Y455&lt;=$B$3+MIN($B$2,120),Y455&lt;&gt;$B$3+V455),1,0)</f>
        <v>0</v>
      </c>
      <c r="AA455" t="e">
        <f t="shared" ref="AA455:AA486" si="448">IF(Z455=1,Y455-$B$3,NA())</f>
        <v>#N/A</v>
      </c>
      <c r="AB455" t="e">
        <f t="shared" ref="AB455:AB486" si="449">IF(Z455=1,INDEX($H$7:$H$126,V455)-IF(INDEX($G$7:$G$126,V455)=1,1,0),NA())</f>
        <v>#N/A</v>
      </c>
      <c r="AC455" t="e">
        <f t="shared" ref="AC455:AC486" si="450">IF(Z455=1,IF(AD455=1,INDEX($H$7:$H$126,AA455)+2,INDEX($D$7:$D$126,AA455)-$B$1),NA())</f>
        <v>#N/A</v>
      </c>
      <c r="AD455" t="e">
        <f t="shared" ref="AD455:AD486" si="451">IF(Z455=1,INDEX($G$7:$G$126,AA455),NA())</f>
        <v>#N/A</v>
      </c>
      <c r="AE455" t="e">
        <f t="shared" ref="AE455:AE486" si="452">IF(Z455=1,IF(AA455&lt;V455,1,-1),NA())</f>
        <v>#N/A</v>
      </c>
      <c r="AF455" t="e">
        <f t="shared" ref="AF455:AF486" si="453">IF(Z455=1,IF(AB455&gt;=AC455,1,2),NA())</f>
        <v>#N/A</v>
      </c>
      <c r="AG455" t="e">
        <f t="shared" ref="AG455:AG486" si="454">IF(Z455=1,IF(AD455=1,INDEX($H$7:$H$126,AA455)+0.5,AC455-MIN(1.5,INDEX($I$7:$I$126,AA455)/2)),NA())</f>
        <v>#N/A</v>
      </c>
      <c r="AH455" t="e">
        <f t="shared" ref="AH455:AH486" si="455">IF(Z455=1,AA455+AE455*IF(AD455=1,0.3,0.22),NA())</f>
        <v>#N/A</v>
      </c>
      <c r="AI455" t="e">
        <f t="shared" ref="AI455:AI486" si="456">IF(Z455=1,AC455+2,NA())</f>
        <v>#N/A</v>
      </c>
      <c r="AJ455" t="e">
        <f t="shared" ref="AJ455:AJ486" si="457">IF(Z455=1,V455-0.5*AE455,NA())</f>
        <v>#N/A</v>
      </c>
      <c r="AK455" t="e">
        <f t="shared" ref="AK455:AK486" si="458">IF(Z455=1,AB455-3,NA())</f>
        <v>#N/A</v>
      </c>
      <c r="AL455" t="e">
        <f t="shared" ref="AL455:AL486" si="459">IF(Z455=1,CHOOSE(AF455+1,0,AG455,AC455),NA())</f>
        <v>#N/A</v>
      </c>
      <c r="AM455" t="e">
        <f t="shared" ref="AM455:AM486" si="460">IF(Z455=1,CHOOSE(AF455+1,V455,V455,AA455),NA())</f>
        <v>#N/A</v>
      </c>
      <c r="AN455" t="e">
        <f t="shared" ref="AN455:AN486" si="461">IF(Z455=1,CHOOSE(AF455+1,AB455-2.5,AB455-2.5,AI455),NA())</f>
        <v>#N/A</v>
      </c>
      <c r="AO455" t="e">
        <f t="shared" ref="AO455:AO486" si="462">IF(Z455=1,CHOOSE(AF455+1,V455,AH455,AA455),NA())</f>
        <v>#N/A</v>
      </c>
      <c r="AP455" t="e">
        <f t="shared" ref="AP455:AP486" si="463">IF(Z455=1,IF(AF455=2,AI455,NA()),NA())</f>
        <v>#N/A</v>
      </c>
      <c r="AQ455" t="e">
        <f t="shared" ref="AQ455:AQ486" si="464">IF(Z455=1,IF(AF455=2,AJ455,NA()),NA())</f>
        <v>#N/A</v>
      </c>
      <c r="AR455" t="e">
        <f t="shared" ref="AR455:AR486" si="465">IF(Z455=1,AK455,NA())</f>
        <v>#N/A</v>
      </c>
      <c r="AS455" t="e">
        <f t="shared" ref="AS455:AS486" si="466">IF(Z455=1,AA455,NA())</f>
        <v>#N/A</v>
      </c>
      <c r="AT455" t="e">
        <f t="shared" ref="AT455:AT486" si="467">IF(Z455=1,IF(AF455=2,AK455,NA()),NA())</f>
        <v>#N/A</v>
      </c>
      <c r="AU455" t="e">
        <f t="shared" ref="AU455:AU486" si="468">IF(Z455=1,IF(AF455=2,V455,NA()),NA())</f>
        <v>#N/A</v>
      </c>
      <c r="AV455" t="e">
        <f t="shared" ref="AV455:AV486" si="469">IF(Z455=1,AB455-2.5,NA())</f>
        <v>#N/A</v>
      </c>
      <c r="AW455" t="e">
        <f t="shared" ref="AW455:AW486" si="470">IF(Z455=1,AJ455,NA())</f>
        <v>#N/A</v>
      </c>
      <c r="AX455" t="e">
        <f t="shared" ref="AX455:AX486" si="471">IF(Z455=1,IF(ISNUMBER(AF455),AB455-3,NA()),NA())</f>
        <v>#N/A</v>
      </c>
      <c r="AY455" t="e">
        <f t="shared" ref="AY455:AY486" si="472">IF(Z455=1,IF(ISNUMBER(AF455),V455,NA()),NA())</f>
        <v>#N/A</v>
      </c>
      <c r="BE455" t="e">
        <f>IF(Z455=1,IF(INDEX($C$7:$C$126,V455)&gt;=Gantt!$BF$6,NA(),MATCH(INDEX($C$7:$C$126,V455),Gantt!$J$6:$BE$6,1)),NA())</f>
        <v>#N/A</v>
      </c>
      <c r="BF455" t="e">
        <f>IF(Z455=1,IF((INDEX($D$7:$D$126,AA455)-1)&gt;=Gantt!$BF$6,NA(),IF((INDEX($D$7:$D$126,AA455)-1)&lt;Gantt!$J$6,0,MATCH((INDEX($D$7:$D$126,AA455)-1),Gantt!$J$6:$BE$6,1))),NA())</f>
        <v>#N/A</v>
      </c>
      <c r="BG455" t="e">
        <f t="shared" ref="BG455:BG486" si="473">IF(Z455=1,INDEX($G$7:$G$126,AA455),NA())</f>
        <v>#N/A</v>
      </c>
      <c r="BH455" t="e">
        <f t="shared" ref="BH455:BH486" si="474">IF(Z455=1,INDEX($G$7:$G$126,V455),NA())</f>
        <v>#N/A</v>
      </c>
      <c r="BI455" t="e">
        <f t="shared" ref="BI455:BI486" si="475">IF(Z455=1,(V455-0.5)/$B$2,NA())</f>
        <v>#N/A</v>
      </c>
      <c r="BJ455" t="e">
        <f t="shared" ref="BJ455:BJ486" si="476">IF(Z455=1,(AA455-0.5)/$B$2,NA())</f>
        <v>#N/A</v>
      </c>
      <c r="BK455" t="e">
        <f t="shared" ref="BK455:BK486" si="477">IF(Z455=1,IF(AA455&lt;V455,1,-1),NA())</f>
        <v>#N/A</v>
      </c>
      <c r="BL455" t="e">
        <f t="shared" ref="BL455:BL486" si="478">IF(Z455=1,IF(BH455=1,(BE455-1)*7+1.5,(BE455-1)*7),NA())</f>
        <v>#N/A</v>
      </c>
      <c r="BM455" t="e">
        <f t="shared" ref="BM455:BM486" si="479">IF(Z455=1,IF(BF455=0,0,IF(BG455=1,(BF455-1)*7+5.5,BF455*7)),NA())</f>
        <v>#N/A</v>
      </c>
      <c r="BN455" t="e">
        <f t="shared" ref="BN455:BN486" si="480">IF(Z455=1,BL455*0+IF(BF455=0,0,IF(BL455&gt;=BM455,1,2)),NA())</f>
        <v>#N/A</v>
      </c>
      <c r="BO455" t="e">
        <f t="shared" ref="BO455:BO486" si="481">IF(Z455=1,IF(BG455=1,(BF455-1)*7+3.5,BM455-3.5),NA())</f>
        <v>#N/A</v>
      </c>
      <c r="BP455" t="e">
        <f t="shared" ref="BP455:BP486" si="482">IF(Z455=1,IF(BG455=1,BJ455+BK455*0.25/$B$2,IF(BK455=1,AA455/$B$2,(AA455-1)/$B$2)),NA())</f>
        <v>#N/A</v>
      </c>
      <c r="BQ455" t="e">
        <f t="shared" ref="BQ455:BQ486" si="483">IF(Z455=1,BM455+2,NA())</f>
        <v>#N/A</v>
      </c>
      <c r="BR455" t="e">
        <f t="shared" ref="BR455:BR486" si="484">IF(Z455=1,IF(BK455=1,(V455-1)/$B$2,V455/$B$2),NA())</f>
        <v>#N/A</v>
      </c>
      <c r="BS455" t="e">
        <f t="shared" ref="BS455:BS486" si="485">IF(Z455=1,BL455-3,NA())</f>
        <v>#N/A</v>
      </c>
      <c r="BT455" t="e">
        <f t="shared" ref="BT455:BT486" si="486">IF(Z455=1,CHOOSE(BN455+1,0,BO455,BM455),NA())</f>
        <v>#N/A</v>
      </c>
      <c r="BU455" t="e">
        <f t="shared" ref="BU455:BU486" si="487">IF(Z455=1,CHOOSE(BN455+1,BI455,BI455,BJ455),NA())</f>
        <v>#N/A</v>
      </c>
      <c r="BV455" t="e">
        <f t="shared" ref="BV455:BV486" si="488">IF(Z455=1,CHOOSE(BN455+1,BL455-2,BL455-2,BQ455),NA())</f>
        <v>#N/A</v>
      </c>
      <c r="BW455" t="e">
        <f t="shared" ref="BW455:BW486" si="489">IF(Z455=1,CHOOSE(BN455+1,BI455,BP455,BJ455),NA())</f>
        <v>#N/A</v>
      </c>
      <c r="BX455" t="e">
        <f t="shared" ref="BX455:BX486" si="490">IF(Z455=1,IF(BN455=2,BQ455,NA()),NA())</f>
        <v>#N/A</v>
      </c>
      <c r="BY455" t="e">
        <f t="shared" ref="BY455:BY486" si="491">IF(Z455=1,IF(BN455=2,BR455,NA()),NA())</f>
        <v>#N/A</v>
      </c>
      <c r="BZ455" t="e">
        <f t="shared" ref="BZ455:BZ486" si="492">IF(Z455=1,BS455,NA())</f>
        <v>#N/A</v>
      </c>
      <c r="CA455" t="e">
        <f t="shared" ref="CA455:CA486" si="493">IF(Z455=1,BJ455,NA())</f>
        <v>#N/A</v>
      </c>
      <c r="CB455" t="e">
        <f t="shared" ref="CB455:CB486" si="494">IF(Z455=1,IF(BN455=2,BS455,NA()),NA())</f>
        <v>#N/A</v>
      </c>
      <c r="CC455" t="e">
        <f t="shared" ref="CC455:CC486" si="495">IF(Z455=1,IF(BN455=2,BI455,NA()),NA())</f>
        <v>#N/A</v>
      </c>
      <c r="CD455" t="e">
        <f t="shared" ref="CD455:CD486" si="496">IF(Z455=1,BL455-2,NA())</f>
        <v>#N/A</v>
      </c>
      <c r="CE455" t="e">
        <f t="shared" ref="CE455:CE486" si="497">IF(Z455=1,BR455,NA())</f>
        <v>#N/A</v>
      </c>
      <c r="CF455" t="e">
        <f t="shared" ref="CF455:CF486" si="498">IF(Z455=1,IF(ISNUMBER(BN455),BL455-2.5,NA()),NA())</f>
        <v>#N/A</v>
      </c>
      <c r="CG455" t="e">
        <f t="shared" ref="CG455:CG486" si="499">IF(Z455=1,IF(ISNUMBER(BN455),BI455,NA()),NA())</f>
        <v>#N/A</v>
      </c>
      <c r="CI455" t="e">
        <f>AP156</f>
        <v>#N/A</v>
      </c>
      <c r="CJ455" t="e">
        <f>AQ156</f>
        <v>#N/A</v>
      </c>
      <c r="CK455">
        <f>IF(ISNUMBER(CI455),IFERROR(MAX(0,AR156-CI455),0),0)</f>
        <v>0</v>
      </c>
      <c r="CL455">
        <f>IF(ISNUMBER(CI455),IFERROR(MAX(0,CI455-AR156),0),0)</f>
        <v>0</v>
      </c>
      <c r="CM455">
        <f>IF(ISNUMBER(CJ455),IFERROR(MAX(0,AS156-CJ455),0),0)</f>
        <v>0</v>
      </c>
      <c r="CN455">
        <f>IF(ISNUMBER(CJ455),IFERROR(MAX(0,CJ455-AS156),0),0)</f>
        <v>0</v>
      </c>
      <c r="CP455" t="e">
        <f>BX156</f>
        <v>#N/A</v>
      </c>
      <c r="CQ455" t="e">
        <f>BY156</f>
        <v>#N/A</v>
      </c>
      <c r="CR455">
        <f>IF(ISNUMBER(CP455),IFERROR(MAX(0,BZ156-CP455),0),0)</f>
        <v>0</v>
      </c>
      <c r="CS455">
        <f>IF(ISNUMBER(CP455),IFERROR(MAX(0,CP455-BZ156),0),0)</f>
        <v>0</v>
      </c>
      <c r="CT455">
        <f>IF(ISNUMBER(CQ455),IFERROR(MAX(0,CA156-CQ455),0),0)</f>
        <v>0</v>
      </c>
      <c r="CU455">
        <f>IF(ISNUMBER(CQ455),IFERROR(MAX(0,CQ455-CA156),0),0)</f>
        <v>0</v>
      </c>
    </row>
    <row r="456" spans="21:99" x14ac:dyDescent="0.3">
      <c r="U456">
        <v>450</v>
      </c>
      <c r="V456">
        <f t="shared" si="444"/>
        <v>113</v>
      </c>
      <c r="W456">
        <f t="shared" si="445"/>
        <v>2</v>
      </c>
      <c r="X456">
        <f t="shared" si="446"/>
        <v>0</v>
      </c>
      <c r="Y456">
        <f>IF(X456&lt;&gt;1,9999,CHOOSE(W456,INDEX(Gantt!$BQ$7:$BQ$119,V456),INDEX(Gantt!$BR$7:$BR$119,V456),INDEX(Gantt!$BT$7:$BT$119,V456),INDEX(Gantt!$BU$7:$BU$119,V456)))</f>
        <v>9999</v>
      </c>
      <c r="Z456">
        <f t="shared" si="447"/>
        <v>0</v>
      </c>
      <c r="AA456" t="e">
        <f t="shared" si="448"/>
        <v>#N/A</v>
      </c>
      <c r="AB456" t="e">
        <f t="shared" si="449"/>
        <v>#N/A</v>
      </c>
      <c r="AC456" t="e">
        <f t="shared" si="450"/>
        <v>#N/A</v>
      </c>
      <c r="AD456" t="e">
        <f t="shared" si="451"/>
        <v>#N/A</v>
      </c>
      <c r="AE456" t="e">
        <f t="shared" si="452"/>
        <v>#N/A</v>
      </c>
      <c r="AF456" t="e">
        <f t="shared" si="453"/>
        <v>#N/A</v>
      </c>
      <c r="AG456" t="e">
        <f t="shared" si="454"/>
        <v>#N/A</v>
      </c>
      <c r="AH456" t="e">
        <f t="shared" si="455"/>
        <v>#N/A</v>
      </c>
      <c r="AI456" t="e">
        <f t="shared" si="456"/>
        <v>#N/A</v>
      </c>
      <c r="AJ456" t="e">
        <f t="shared" si="457"/>
        <v>#N/A</v>
      </c>
      <c r="AK456" t="e">
        <f t="shared" si="458"/>
        <v>#N/A</v>
      </c>
      <c r="AL456" t="e">
        <f t="shared" si="459"/>
        <v>#N/A</v>
      </c>
      <c r="AM456" t="e">
        <f t="shared" si="460"/>
        <v>#N/A</v>
      </c>
      <c r="AN456" t="e">
        <f t="shared" si="461"/>
        <v>#N/A</v>
      </c>
      <c r="AO456" t="e">
        <f t="shared" si="462"/>
        <v>#N/A</v>
      </c>
      <c r="AP456" t="e">
        <f t="shared" si="463"/>
        <v>#N/A</v>
      </c>
      <c r="AQ456" t="e">
        <f t="shared" si="464"/>
        <v>#N/A</v>
      </c>
      <c r="AR456" t="e">
        <f t="shared" si="465"/>
        <v>#N/A</v>
      </c>
      <c r="AS456" t="e">
        <f t="shared" si="466"/>
        <v>#N/A</v>
      </c>
      <c r="AT456" t="e">
        <f t="shared" si="467"/>
        <v>#N/A</v>
      </c>
      <c r="AU456" t="e">
        <f t="shared" si="468"/>
        <v>#N/A</v>
      </c>
      <c r="AV456" t="e">
        <f t="shared" si="469"/>
        <v>#N/A</v>
      </c>
      <c r="AW456" t="e">
        <f t="shared" si="470"/>
        <v>#N/A</v>
      </c>
      <c r="AX456" t="e">
        <f t="shared" si="471"/>
        <v>#N/A</v>
      </c>
      <c r="AY456" t="e">
        <f t="shared" si="472"/>
        <v>#N/A</v>
      </c>
      <c r="BE456" t="e">
        <f>IF(Z456=1,IF(INDEX($C$7:$C$126,V456)&gt;=Gantt!$BF$6,NA(),MATCH(INDEX($C$7:$C$126,V456),Gantt!$J$6:$BE$6,1)),NA())</f>
        <v>#N/A</v>
      </c>
      <c r="BF456" t="e">
        <f>IF(Z456=1,IF((INDEX($D$7:$D$126,AA456)-1)&gt;=Gantt!$BF$6,NA(),IF((INDEX($D$7:$D$126,AA456)-1)&lt;Gantt!$J$6,0,MATCH((INDEX($D$7:$D$126,AA456)-1),Gantt!$J$6:$BE$6,1))),NA())</f>
        <v>#N/A</v>
      </c>
      <c r="BG456" t="e">
        <f t="shared" si="473"/>
        <v>#N/A</v>
      </c>
      <c r="BH456" t="e">
        <f t="shared" si="474"/>
        <v>#N/A</v>
      </c>
      <c r="BI456" t="e">
        <f t="shared" si="475"/>
        <v>#N/A</v>
      </c>
      <c r="BJ456" t="e">
        <f t="shared" si="476"/>
        <v>#N/A</v>
      </c>
      <c r="BK456" t="e">
        <f t="shared" si="477"/>
        <v>#N/A</v>
      </c>
      <c r="BL456" t="e">
        <f t="shared" si="478"/>
        <v>#N/A</v>
      </c>
      <c r="BM456" t="e">
        <f t="shared" si="479"/>
        <v>#N/A</v>
      </c>
      <c r="BN456" t="e">
        <f t="shared" si="480"/>
        <v>#N/A</v>
      </c>
      <c r="BO456" t="e">
        <f t="shared" si="481"/>
        <v>#N/A</v>
      </c>
      <c r="BP456" t="e">
        <f t="shared" si="482"/>
        <v>#N/A</v>
      </c>
      <c r="BQ456" t="e">
        <f t="shared" si="483"/>
        <v>#N/A</v>
      </c>
      <c r="BR456" t="e">
        <f t="shared" si="484"/>
        <v>#N/A</v>
      </c>
      <c r="BS456" t="e">
        <f t="shared" si="485"/>
        <v>#N/A</v>
      </c>
      <c r="BT456" t="e">
        <f t="shared" si="486"/>
        <v>#N/A</v>
      </c>
      <c r="BU456" t="e">
        <f t="shared" si="487"/>
        <v>#N/A</v>
      </c>
      <c r="BV456" t="e">
        <f t="shared" si="488"/>
        <v>#N/A</v>
      </c>
      <c r="BW456" t="e">
        <f t="shared" si="489"/>
        <v>#N/A</v>
      </c>
      <c r="BX456" t="e">
        <f t="shared" si="490"/>
        <v>#N/A</v>
      </c>
      <c r="BY456" t="e">
        <f t="shared" si="491"/>
        <v>#N/A</v>
      </c>
      <c r="BZ456" t="e">
        <f t="shared" si="492"/>
        <v>#N/A</v>
      </c>
      <c r="CA456" t="e">
        <f t="shared" si="493"/>
        <v>#N/A</v>
      </c>
      <c r="CB456" t="e">
        <f t="shared" si="494"/>
        <v>#N/A</v>
      </c>
      <c r="CC456" t="e">
        <f t="shared" si="495"/>
        <v>#N/A</v>
      </c>
      <c r="CD456" t="e">
        <f t="shared" si="496"/>
        <v>#N/A</v>
      </c>
      <c r="CE456" t="e">
        <f t="shared" si="497"/>
        <v>#N/A</v>
      </c>
      <c r="CF456" t="e">
        <f t="shared" si="498"/>
        <v>#N/A</v>
      </c>
      <c r="CG456" t="e">
        <f t="shared" si="499"/>
        <v>#N/A</v>
      </c>
      <c r="CI456" t="e">
        <f>AT156</f>
        <v>#N/A</v>
      </c>
      <c r="CJ456" t="e">
        <f>AU156</f>
        <v>#N/A</v>
      </c>
      <c r="CK456">
        <f>IF(ISNUMBER(CI456),IFERROR(MAX(0,AV156-CI456),0),0)</f>
        <v>0</v>
      </c>
      <c r="CL456">
        <f>IF(ISNUMBER(CI456),IFERROR(MAX(0,CI456-AV156),0),0)</f>
        <v>0</v>
      </c>
      <c r="CM456">
        <f>IF(ISNUMBER(CJ456),IFERROR(MAX(0,AW156-CJ456),0),0)</f>
        <v>0</v>
      </c>
      <c r="CN456">
        <f>IF(ISNUMBER(CJ456),IFERROR(MAX(0,CJ456-AW156),0),0)</f>
        <v>0</v>
      </c>
      <c r="CP456" t="e">
        <f>CB156</f>
        <v>#N/A</v>
      </c>
      <c r="CQ456" t="e">
        <f>CC156</f>
        <v>#N/A</v>
      </c>
      <c r="CR456">
        <f>IF(ISNUMBER(CP456),IFERROR(MAX(0,CD156-CP456),0),0)</f>
        <v>0</v>
      </c>
      <c r="CS456">
        <f>IF(ISNUMBER(CP456),IFERROR(MAX(0,CP456-CD156),0),0)</f>
        <v>0</v>
      </c>
      <c r="CT456">
        <f>IF(ISNUMBER(CQ456),IFERROR(MAX(0,CE156-CQ456),0),0)</f>
        <v>0</v>
      </c>
      <c r="CU456">
        <f>IF(ISNUMBER(CQ456),IFERROR(MAX(0,CQ456-CE156),0),0)</f>
        <v>0</v>
      </c>
    </row>
    <row r="457" spans="21:99" x14ac:dyDescent="0.3">
      <c r="U457">
        <v>451</v>
      </c>
      <c r="V457">
        <f t="shared" si="444"/>
        <v>113</v>
      </c>
      <c r="W457">
        <f t="shared" si="445"/>
        <v>3</v>
      </c>
      <c r="X457">
        <f t="shared" si="446"/>
        <v>0</v>
      </c>
      <c r="Y457">
        <f>IF(X457&lt;&gt;1,9999,CHOOSE(W457,INDEX(Gantt!$BQ$7:$BQ$119,V457),INDEX(Gantt!$BR$7:$BR$119,V457),INDEX(Gantt!$BT$7:$BT$119,V457),INDEX(Gantt!$BU$7:$BU$119,V457)))</f>
        <v>9999</v>
      </c>
      <c r="Z457">
        <f t="shared" si="447"/>
        <v>0</v>
      </c>
      <c r="AA457" t="e">
        <f t="shared" si="448"/>
        <v>#N/A</v>
      </c>
      <c r="AB457" t="e">
        <f t="shared" si="449"/>
        <v>#N/A</v>
      </c>
      <c r="AC457" t="e">
        <f t="shared" si="450"/>
        <v>#N/A</v>
      </c>
      <c r="AD457" t="e">
        <f t="shared" si="451"/>
        <v>#N/A</v>
      </c>
      <c r="AE457" t="e">
        <f t="shared" si="452"/>
        <v>#N/A</v>
      </c>
      <c r="AF457" t="e">
        <f t="shared" si="453"/>
        <v>#N/A</v>
      </c>
      <c r="AG457" t="e">
        <f t="shared" si="454"/>
        <v>#N/A</v>
      </c>
      <c r="AH457" t="e">
        <f t="shared" si="455"/>
        <v>#N/A</v>
      </c>
      <c r="AI457" t="e">
        <f t="shared" si="456"/>
        <v>#N/A</v>
      </c>
      <c r="AJ457" t="e">
        <f t="shared" si="457"/>
        <v>#N/A</v>
      </c>
      <c r="AK457" t="e">
        <f t="shared" si="458"/>
        <v>#N/A</v>
      </c>
      <c r="AL457" t="e">
        <f t="shared" si="459"/>
        <v>#N/A</v>
      </c>
      <c r="AM457" t="e">
        <f t="shared" si="460"/>
        <v>#N/A</v>
      </c>
      <c r="AN457" t="e">
        <f t="shared" si="461"/>
        <v>#N/A</v>
      </c>
      <c r="AO457" t="e">
        <f t="shared" si="462"/>
        <v>#N/A</v>
      </c>
      <c r="AP457" t="e">
        <f t="shared" si="463"/>
        <v>#N/A</v>
      </c>
      <c r="AQ457" t="e">
        <f t="shared" si="464"/>
        <v>#N/A</v>
      </c>
      <c r="AR457" t="e">
        <f t="shared" si="465"/>
        <v>#N/A</v>
      </c>
      <c r="AS457" t="e">
        <f t="shared" si="466"/>
        <v>#N/A</v>
      </c>
      <c r="AT457" t="e">
        <f t="shared" si="467"/>
        <v>#N/A</v>
      </c>
      <c r="AU457" t="e">
        <f t="shared" si="468"/>
        <v>#N/A</v>
      </c>
      <c r="AV457" t="e">
        <f t="shared" si="469"/>
        <v>#N/A</v>
      </c>
      <c r="AW457" t="e">
        <f t="shared" si="470"/>
        <v>#N/A</v>
      </c>
      <c r="AX457" t="e">
        <f t="shared" si="471"/>
        <v>#N/A</v>
      </c>
      <c r="AY457" t="e">
        <f t="shared" si="472"/>
        <v>#N/A</v>
      </c>
      <c r="BE457" t="e">
        <f>IF(Z457=1,IF(INDEX($C$7:$C$126,V457)&gt;=Gantt!$BF$6,NA(),MATCH(INDEX($C$7:$C$126,V457),Gantt!$J$6:$BE$6,1)),NA())</f>
        <v>#N/A</v>
      </c>
      <c r="BF457" t="e">
        <f>IF(Z457=1,IF((INDEX($D$7:$D$126,AA457)-1)&gt;=Gantt!$BF$6,NA(),IF((INDEX($D$7:$D$126,AA457)-1)&lt;Gantt!$J$6,0,MATCH((INDEX($D$7:$D$126,AA457)-1),Gantt!$J$6:$BE$6,1))),NA())</f>
        <v>#N/A</v>
      </c>
      <c r="BG457" t="e">
        <f t="shared" si="473"/>
        <v>#N/A</v>
      </c>
      <c r="BH457" t="e">
        <f t="shared" si="474"/>
        <v>#N/A</v>
      </c>
      <c r="BI457" t="e">
        <f t="shared" si="475"/>
        <v>#N/A</v>
      </c>
      <c r="BJ457" t="e">
        <f t="shared" si="476"/>
        <v>#N/A</v>
      </c>
      <c r="BK457" t="e">
        <f t="shared" si="477"/>
        <v>#N/A</v>
      </c>
      <c r="BL457" t="e">
        <f t="shared" si="478"/>
        <v>#N/A</v>
      </c>
      <c r="BM457" t="e">
        <f t="shared" si="479"/>
        <v>#N/A</v>
      </c>
      <c r="BN457" t="e">
        <f t="shared" si="480"/>
        <v>#N/A</v>
      </c>
      <c r="BO457" t="e">
        <f t="shared" si="481"/>
        <v>#N/A</v>
      </c>
      <c r="BP457" t="e">
        <f t="shared" si="482"/>
        <v>#N/A</v>
      </c>
      <c r="BQ457" t="e">
        <f t="shared" si="483"/>
        <v>#N/A</v>
      </c>
      <c r="BR457" t="e">
        <f t="shared" si="484"/>
        <v>#N/A</v>
      </c>
      <c r="BS457" t="e">
        <f t="shared" si="485"/>
        <v>#N/A</v>
      </c>
      <c r="BT457" t="e">
        <f t="shared" si="486"/>
        <v>#N/A</v>
      </c>
      <c r="BU457" t="e">
        <f t="shared" si="487"/>
        <v>#N/A</v>
      </c>
      <c r="BV457" t="e">
        <f t="shared" si="488"/>
        <v>#N/A</v>
      </c>
      <c r="BW457" t="e">
        <f t="shared" si="489"/>
        <v>#N/A</v>
      </c>
      <c r="BX457" t="e">
        <f t="shared" si="490"/>
        <v>#N/A</v>
      </c>
      <c r="BY457" t="e">
        <f t="shared" si="491"/>
        <v>#N/A</v>
      </c>
      <c r="BZ457" t="e">
        <f t="shared" si="492"/>
        <v>#N/A</v>
      </c>
      <c r="CA457" t="e">
        <f t="shared" si="493"/>
        <v>#N/A</v>
      </c>
      <c r="CB457" t="e">
        <f t="shared" si="494"/>
        <v>#N/A</v>
      </c>
      <c r="CC457" t="e">
        <f t="shared" si="495"/>
        <v>#N/A</v>
      </c>
      <c r="CD457" t="e">
        <f t="shared" si="496"/>
        <v>#N/A</v>
      </c>
      <c r="CE457" t="e">
        <f t="shared" si="497"/>
        <v>#N/A</v>
      </c>
      <c r="CF457" t="e">
        <f t="shared" si="498"/>
        <v>#N/A</v>
      </c>
      <c r="CG457" t="e">
        <f t="shared" si="499"/>
        <v>#N/A</v>
      </c>
      <c r="CI457" t="e">
        <f>AL157</f>
        <v>#N/A</v>
      </c>
      <c r="CJ457" t="e">
        <f>AM157</f>
        <v>#N/A</v>
      </c>
      <c r="CK457">
        <f>IF(ISNUMBER(CI457),IFERROR(MAX(0,AN157-CI457),0),0)</f>
        <v>0</v>
      </c>
      <c r="CL457">
        <f>IF(ISNUMBER(CI457),IFERROR(MAX(0,CI457-AN157),0),0)</f>
        <v>0</v>
      </c>
      <c r="CM457">
        <f>IF(ISNUMBER(CJ457),IFERROR(MAX(0,AO157-CJ457),0),0)</f>
        <v>0</v>
      </c>
      <c r="CN457">
        <f>IF(ISNUMBER(CJ457),IFERROR(MAX(0,CJ457-AO157),0),0)</f>
        <v>0</v>
      </c>
      <c r="CP457" t="e">
        <f>BT157</f>
        <v>#N/A</v>
      </c>
      <c r="CQ457" t="e">
        <f>BU157</f>
        <v>#N/A</v>
      </c>
      <c r="CR457">
        <f>IF(ISNUMBER(CP457),IFERROR(MAX(0,BV157-CP457),0),0)</f>
        <v>0</v>
      </c>
      <c r="CS457">
        <f>IF(ISNUMBER(CP457),IFERROR(MAX(0,CP457-BV157),0),0)</f>
        <v>0</v>
      </c>
      <c r="CT457">
        <f>IF(ISNUMBER(CQ457),IFERROR(MAX(0,BW157-CQ457),0),0)</f>
        <v>0</v>
      </c>
      <c r="CU457">
        <f>IF(ISNUMBER(CQ457),IFERROR(MAX(0,CQ457-BW157),0),0)</f>
        <v>0</v>
      </c>
    </row>
    <row r="458" spans="21:99" x14ac:dyDescent="0.3">
      <c r="U458">
        <v>452</v>
      </c>
      <c r="V458">
        <f t="shared" si="444"/>
        <v>113</v>
      </c>
      <c r="W458">
        <f t="shared" si="445"/>
        <v>4</v>
      </c>
      <c r="X458">
        <f t="shared" si="446"/>
        <v>0</v>
      </c>
      <c r="Y458">
        <f>IF(X458&lt;&gt;1,9999,CHOOSE(W458,INDEX(Gantt!$BQ$7:$BQ$119,V458),INDEX(Gantt!$BR$7:$BR$119,V458),INDEX(Gantt!$BT$7:$BT$119,V458),INDEX(Gantt!$BU$7:$BU$119,V458)))</f>
        <v>9999</v>
      </c>
      <c r="Z458">
        <f t="shared" si="447"/>
        <v>0</v>
      </c>
      <c r="AA458" t="e">
        <f t="shared" si="448"/>
        <v>#N/A</v>
      </c>
      <c r="AB458" t="e">
        <f t="shared" si="449"/>
        <v>#N/A</v>
      </c>
      <c r="AC458" t="e">
        <f t="shared" si="450"/>
        <v>#N/A</v>
      </c>
      <c r="AD458" t="e">
        <f t="shared" si="451"/>
        <v>#N/A</v>
      </c>
      <c r="AE458" t="e">
        <f t="shared" si="452"/>
        <v>#N/A</v>
      </c>
      <c r="AF458" t="e">
        <f t="shared" si="453"/>
        <v>#N/A</v>
      </c>
      <c r="AG458" t="e">
        <f t="shared" si="454"/>
        <v>#N/A</v>
      </c>
      <c r="AH458" t="e">
        <f t="shared" si="455"/>
        <v>#N/A</v>
      </c>
      <c r="AI458" t="e">
        <f t="shared" si="456"/>
        <v>#N/A</v>
      </c>
      <c r="AJ458" t="e">
        <f t="shared" si="457"/>
        <v>#N/A</v>
      </c>
      <c r="AK458" t="e">
        <f t="shared" si="458"/>
        <v>#N/A</v>
      </c>
      <c r="AL458" t="e">
        <f t="shared" si="459"/>
        <v>#N/A</v>
      </c>
      <c r="AM458" t="e">
        <f t="shared" si="460"/>
        <v>#N/A</v>
      </c>
      <c r="AN458" t="e">
        <f t="shared" si="461"/>
        <v>#N/A</v>
      </c>
      <c r="AO458" t="e">
        <f t="shared" si="462"/>
        <v>#N/A</v>
      </c>
      <c r="AP458" t="e">
        <f t="shared" si="463"/>
        <v>#N/A</v>
      </c>
      <c r="AQ458" t="e">
        <f t="shared" si="464"/>
        <v>#N/A</v>
      </c>
      <c r="AR458" t="e">
        <f t="shared" si="465"/>
        <v>#N/A</v>
      </c>
      <c r="AS458" t="e">
        <f t="shared" si="466"/>
        <v>#N/A</v>
      </c>
      <c r="AT458" t="e">
        <f t="shared" si="467"/>
        <v>#N/A</v>
      </c>
      <c r="AU458" t="e">
        <f t="shared" si="468"/>
        <v>#N/A</v>
      </c>
      <c r="AV458" t="e">
        <f t="shared" si="469"/>
        <v>#N/A</v>
      </c>
      <c r="AW458" t="e">
        <f t="shared" si="470"/>
        <v>#N/A</v>
      </c>
      <c r="AX458" t="e">
        <f t="shared" si="471"/>
        <v>#N/A</v>
      </c>
      <c r="AY458" t="e">
        <f t="shared" si="472"/>
        <v>#N/A</v>
      </c>
      <c r="BE458" t="e">
        <f>IF(Z458=1,IF(INDEX($C$7:$C$126,V458)&gt;=Gantt!$BF$6,NA(),MATCH(INDEX($C$7:$C$126,V458),Gantt!$J$6:$BE$6,1)),NA())</f>
        <v>#N/A</v>
      </c>
      <c r="BF458" t="e">
        <f>IF(Z458=1,IF((INDEX($D$7:$D$126,AA458)-1)&gt;=Gantt!$BF$6,NA(),IF((INDEX($D$7:$D$126,AA458)-1)&lt;Gantt!$J$6,0,MATCH((INDEX($D$7:$D$126,AA458)-1),Gantt!$J$6:$BE$6,1))),NA())</f>
        <v>#N/A</v>
      </c>
      <c r="BG458" t="e">
        <f t="shared" si="473"/>
        <v>#N/A</v>
      </c>
      <c r="BH458" t="e">
        <f t="shared" si="474"/>
        <v>#N/A</v>
      </c>
      <c r="BI458" t="e">
        <f t="shared" si="475"/>
        <v>#N/A</v>
      </c>
      <c r="BJ458" t="e">
        <f t="shared" si="476"/>
        <v>#N/A</v>
      </c>
      <c r="BK458" t="e">
        <f t="shared" si="477"/>
        <v>#N/A</v>
      </c>
      <c r="BL458" t="e">
        <f t="shared" si="478"/>
        <v>#N/A</v>
      </c>
      <c r="BM458" t="e">
        <f t="shared" si="479"/>
        <v>#N/A</v>
      </c>
      <c r="BN458" t="e">
        <f t="shared" si="480"/>
        <v>#N/A</v>
      </c>
      <c r="BO458" t="e">
        <f t="shared" si="481"/>
        <v>#N/A</v>
      </c>
      <c r="BP458" t="e">
        <f t="shared" si="482"/>
        <v>#N/A</v>
      </c>
      <c r="BQ458" t="e">
        <f t="shared" si="483"/>
        <v>#N/A</v>
      </c>
      <c r="BR458" t="e">
        <f t="shared" si="484"/>
        <v>#N/A</v>
      </c>
      <c r="BS458" t="e">
        <f t="shared" si="485"/>
        <v>#N/A</v>
      </c>
      <c r="BT458" t="e">
        <f t="shared" si="486"/>
        <v>#N/A</v>
      </c>
      <c r="BU458" t="e">
        <f t="shared" si="487"/>
        <v>#N/A</v>
      </c>
      <c r="BV458" t="e">
        <f t="shared" si="488"/>
        <v>#N/A</v>
      </c>
      <c r="BW458" t="e">
        <f t="shared" si="489"/>
        <v>#N/A</v>
      </c>
      <c r="BX458" t="e">
        <f t="shared" si="490"/>
        <v>#N/A</v>
      </c>
      <c r="BY458" t="e">
        <f t="shared" si="491"/>
        <v>#N/A</v>
      </c>
      <c r="BZ458" t="e">
        <f t="shared" si="492"/>
        <v>#N/A</v>
      </c>
      <c r="CA458" t="e">
        <f t="shared" si="493"/>
        <v>#N/A</v>
      </c>
      <c r="CB458" t="e">
        <f t="shared" si="494"/>
        <v>#N/A</v>
      </c>
      <c r="CC458" t="e">
        <f t="shared" si="495"/>
        <v>#N/A</v>
      </c>
      <c r="CD458" t="e">
        <f t="shared" si="496"/>
        <v>#N/A</v>
      </c>
      <c r="CE458" t="e">
        <f t="shared" si="497"/>
        <v>#N/A</v>
      </c>
      <c r="CF458" t="e">
        <f t="shared" si="498"/>
        <v>#N/A</v>
      </c>
      <c r="CG458" t="e">
        <f t="shared" si="499"/>
        <v>#N/A</v>
      </c>
      <c r="CI458" t="e">
        <f>AP157</f>
        <v>#N/A</v>
      </c>
      <c r="CJ458" t="e">
        <f>AQ157</f>
        <v>#N/A</v>
      </c>
      <c r="CK458">
        <f>IF(ISNUMBER(CI458),IFERROR(MAX(0,AR157-CI458),0),0)</f>
        <v>0</v>
      </c>
      <c r="CL458">
        <f>IF(ISNUMBER(CI458),IFERROR(MAX(0,CI458-AR157),0),0)</f>
        <v>0</v>
      </c>
      <c r="CM458">
        <f>IF(ISNUMBER(CJ458),IFERROR(MAX(0,AS157-CJ458),0),0)</f>
        <v>0</v>
      </c>
      <c r="CN458">
        <f>IF(ISNUMBER(CJ458),IFERROR(MAX(0,CJ458-AS157),0),0)</f>
        <v>0</v>
      </c>
      <c r="CP458" t="e">
        <f>BX157</f>
        <v>#N/A</v>
      </c>
      <c r="CQ458" t="e">
        <f>BY157</f>
        <v>#N/A</v>
      </c>
      <c r="CR458">
        <f>IF(ISNUMBER(CP458),IFERROR(MAX(0,BZ157-CP458),0),0)</f>
        <v>0</v>
      </c>
      <c r="CS458">
        <f>IF(ISNUMBER(CP458),IFERROR(MAX(0,CP458-BZ157),0),0)</f>
        <v>0</v>
      </c>
      <c r="CT458">
        <f>IF(ISNUMBER(CQ458),IFERROR(MAX(0,CA157-CQ458),0),0)</f>
        <v>0</v>
      </c>
      <c r="CU458">
        <f>IF(ISNUMBER(CQ458),IFERROR(MAX(0,CQ458-CA157),0),0)</f>
        <v>0</v>
      </c>
    </row>
    <row r="459" spans="21:99" x14ac:dyDescent="0.3">
      <c r="U459">
        <v>453</v>
      </c>
      <c r="V459">
        <f t="shared" si="444"/>
        <v>114</v>
      </c>
      <c r="W459">
        <f t="shared" si="445"/>
        <v>1</v>
      </c>
      <c r="X459">
        <f t="shared" si="446"/>
        <v>0</v>
      </c>
      <c r="Y459">
        <f>IF(X459&lt;&gt;1,9999,CHOOSE(W459,INDEX(Gantt!$BQ$7:$BQ$119,V459),INDEX(Gantt!$BR$7:$BR$119,V459),INDEX(Gantt!$BT$7:$BT$119,V459),INDEX(Gantt!$BU$7:$BU$119,V459)))</f>
        <v>9999</v>
      </c>
      <c r="Z459">
        <f t="shared" si="447"/>
        <v>0</v>
      </c>
      <c r="AA459" t="e">
        <f t="shared" si="448"/>
        <v>#N/A</v>
      </c>
      <c r="AB459" t="e">
        <f t="shared" si="449"/>
        <v>#N/A</v>
      </c>
      <c r="AC459" t="e">
        <f t="shared" si="450"/>
        <v>#N/A</v>
      </c>
      <c r="AD459" t="e">
        <f t="shared" si="451"/>
        <v>#N/A</v>
      </c>
      <c r="AE459" t="e">
        <f t="shared" si="452"/>
        <v>#N/A</v>
      </c>
      <c r="AF459" t="e">
        <f t="shared" si="453"/>
        <v>#N/A</v>
      </c>
      <c r="AG459" t="e">
        <f t="shared" si="454"/>
        <v>#N/A</v>
      </c>
      <c r="AH459" t="e">
        <f t="shared" si="455"/>
        <v>#N/A</v>
      </c>
      <c r="AI459" t="e">
        <f t="shared" si="456"/>
        <v>#N/A</v>
      </c>
      <c r="AJ459" t="e">
        <f t="shared" si="457"/>
        <v>#N/A</v>
      </c>
      <c r="AK459" t="e">
        <f t="shared" si="458"/>
        <v>#N/A</v>
      </c>
      <c r="AL459" t="e">
        <f t="shared" si="459"/>
        <v>#N/A</v>
      </c>
      <c r="AM459" t="e">
        <f t="shared" si="460"/>
        <v>#N/A</v>
      </c>
      <c r="AN459" t="e">
        <f t="shared" si="461"/>
        <v>#N/A</v>
      </c>
      <c r="AO459" t="e">
        <f t="shared" si="462"/>
        <v>#N/A</v>
      </c>
      <c r="AP459" t="e">
        <f t="shared" si="463"/>
        <v>#N/A</v>
      </c>
      <c r="AQ459" t="e">
        <f t="shared" si="464"/>
        <v>#N/A</v>
      </c>
      <c r="AR459" t="e">
        <f t="shared" si="465"/>
        <v>#N/A</v>
      </c>
      <c r="AS459" t="e">
        <f t="shared" si="466"/>
        <v>#N/A</v>
      </c>
      <c r="AT459" t="e">
        <f t="shared" si="467"/>
        <v>#N/A</v>
      </c>
      <c r="AU459" t="e">
        <f t="shared" si="468"/>
        <v>#N/A</v>
      </c>
      <c r="AV459" t="e">
        <f t="shared" si="469"/>
        <v>#N/A</v>
      </c>
      <c r="AW459" t="e">
        <f t="shared" si="470"/>
        <v>#N/A</v>
      </c>
      <c r="AX459" t="e">
        <f t="shared" si="471"/>
        <v>#N/A</v>
      </c>
      <c r="AY459" t="e">
        <f t="shared" si="472"/>
        <v>#N/A</v>
      </c>
      <c r="BE459" t="e">
        <f>IF(Z459=1,IF(INDEX($C$7:$C$126,V459)&gt;=Gantt!$BF$6,NA(),MATCH(INDEX($C$7:$C$126,V459),Gantt!$J$6:$BE$6,1)),NA())</f>
        <v>#N/A</v>
      </c>
      <c r="BF459" t="e">
        <f>IF(Z459=1,IF((INDEX($D$7:$D$126,AA459)-1)&gt;=Gantt!$BF$6,NA(),IF((INDEX($D$7:$D$126,AA459)-1)&lt;Gantt!$J$6,0,MATCH((INDEX($D$7:$D$126,AA459)-1),Gantt!$J$6:$BE$6,1))),NA())</f>
        <v>#N/A</v>
      </c>
      <c r="BG459" t="e">
        <f t="shared" si="473"/>
        <v>#N/A</v>
      </c>
      <c r="BH459" t="e">
        <f t="shared" si="474"/>
        <v>#N/A</v>
      </c>
      <c r="BI459" t="e">
        <f t="shared" si="475"/>
        <v>#N/A</v>
      </c>
      <c r="BJ459" t="e">
        <f t="shared" si="476"/>
        <v>#N/A</v>
      </c>
      <c r="BK459" t="e">
        <f t="shared" si="477"/>
        <v>#N/A</v>
      </c>
      <c r="BL459" t="e">
        <f t="shared" si="478"/>
        <v>#N/A</v>
      </c>
      <c r="BM459" t="e">
        <f t="shared" si="479"/>
        <v>#N/A</v>
      </c>
      <c r="BN459" t="e">
        <f t="shared" si="480"/>
        <v>#N/A</v>
      </c>
      <c r="BO459" t="e">
        <f t="shared" si="481"/>
        <v>#N/A</v>
      </c>
      <c r="BP459" t="e">
        <f t="shared" si="482"/>
        <v>#N/A</v>
      </c>
      <c r="BQ459" t="e">
        <f t="shared" si="483"/>
        <v>#N/A</v>
      </c>
      <c r="BR459" t="e">
        <f t="shared" si="484"/>
        <v>#N/A</v>
      </c>
      <c r="BS459" t="e">
        <f t="shared" si="485"/>
        <v>#N/A</v>
      </c>
      <c r="BT459" t="e">
        <f t="shared" si="486"/>
        <v>#N/A</v>
      </c>
      <c r="BU459" t="e">
        <f t="shared" si="487"/>
        <v>#N/A</v>
      </c>
      <c r="BV459" t="e">
        <f t="shared" si="488"/>
        <v>#N/A</v>
      </c>
      <c r="BW459" t="e">
        <f t="shared" si="489"/>
        <v>#N/A</v>
      </c>
      <c r="BX459" t="e">
        <f t="shared" si="490"/>
        <v>#N/A</v>
      </c>
      <c r="BY459" t="e">
        <f t="shared" si="491"/>
        <v>#N/A</v>
      </c>
      <c r="BZ459" t="e">
        <f t="shared" si="492"/>
        <v>#N/A</v>
      </c>
      <c r="CA459" t="e">
        <f t="shared" si="493"/>
        <v>#N/A</v>
      </c>
      <c r="CB459" t="e">
        <f t="shared" si="494"/>
        <v>#N/A</v>
      </c>
      <c r="CC459" t="e">
        <f t="shared" si="495"/>
        <v>#N/A</v>
      </c>
      <c r="CD459" t="e">
        <f t="shared" si="496"/>
        <v>#N/A</v>
      </c>
      <c r="CE459" t="e">
        <f t="shared" si="497"/>
        <v>#N/A</v>
      </c>
      <c r="CF459" t="e">
        <f t="shared" si="498"/>
        <v>#N/A</v>
      </c>
      <c r="CG459" t="e">
        <f t="shared" si="499"/>
        <v>#N/A</v>
      </c>
      <c r="CI459" t="e">
        <f>AT157</f>
        <v>#N/A</v>
      </c>
      <c r="CJ459" t="e">
        <f>AU157</f>
        <v>#N/A</v>
      </c>
      <c r="CK459">
        <f>IF(ISNUMBER(CI459),IFERROR(MAX(0,AV157-CI459),0),0)</f>
        <v>0</v>
      </c>
      <c r="CL459">
        <f>IF(ISNUMBER(CI459),IFERROR(MAX(0,CI459-AV157),0),0)</f>
        <v>0</v>
      </c>
      <c r="CM459">
        <f>IF(ISNUMBER(CJ459),IFERROR(MAX(0,AW157-CJ459),0),0)</f>
        <v>0</v>
      </c>
      <c r="CN459">
        <f>IF(ISNUMBER(CJ459),IFERROR(MAX(0,CJ459-AW157),0),0)</f>
        <v>0</v>
      </c>
      <c r="CP459" t="e">
        <f>CB157</f>
        <v>#N/A</v>
      </c>
      <c r="CQ459" t="e">
        <f>CC157</f>
        <v>#N/A</v>
      </c>
      <c r="CR459">
        <f>IF(ISNUMBER(CP459),IFERROR(MAX(0,CD157-CP459),0),0)</f>
        <v>0</v>
      </c>
      <c r="CS459">
        <f>IF(ISNUMBER(CP459),IFERROR(MAX(0,CP459-CD157),0),0)</f>
        <v>0</v>
      </c>
      <c r="CT459">
        <f>IF(ISNUMBER(CQ459),IFERROR(MAX(0,CE157-CQ459),0),0)</f>
        <v>0</v>
      </c>
      <c r="CU459">
        <f>IF(ISNUMBER(CQ459),IFERROR(MAX(0,CQ459-CE157),0),0)</f>
        <v>0</v>
      </c>
    </row>
    <row r="460" spans="21:99" x14ac:dyDescent="0.3">
      <c r="U460">
        <v>454</v>
      </c>
      <c r="V460">
        <f t="shared" si="444"/>
        <v>114</v>
      </c>
      <c r="W460">
        <f t="shared" si="445"/>
        <v>2</v>
      </c>
      <c r="X460">
        <f t="shared" si="446"/>
        <v>0</v>
      </c>
      <c r="Y460">
        <f>IF(X460&lt;&gt;1,9999,CHOOSE(W460,INDEX(Gantt!$BQ$7:$BQ$119,V460),INDEX(Gantt!$BR$7:$BR$119,V460),INDEX(Gantt!$BT$7:$BT$119,V460),INDEX(Gantt!$BU$7:$BU$119,V460)))</f>
        <v>9999</v>
      </c>
      <c r="Z460">
        <f t="shared" si="447"/>
        <v>0</v>
      </c>
      <c r="AA460" t="e">
        <f t="shared" si="448"/>
        <v>#N/A</v>
      </c>
      <c r="AB460" t="e">
        <f t="shared" si="449"/>
        <v>#N/A</v>
      </c>
      <c r="AC460" t="e">
        <f t="shared" si="450"/>
        <v>#N/A</v>
      </c>
      <c r="AD460" t="e">
        <f t="shared" si="451"/>
        <v>#N/A</v>
      </c>
      <c r="AE460" t="e">
        <f t="shared" si="452"/>
        <v>#N/A</v>
      </c>
      <c r="AF460" t="e">
        <f t="shared" si="453"/>
        <v>#N/A</v>
      </c>
      <c r="AG460" t="e">
        <f t="shared" si="454"/>
        <v>#N/A</v>
      </c>
      <c r="AH460" t="e">
        <f t="shared" si="455"/>
        <v>#N/A</v>
      </c>
      <c r="AI460" t="e">
        <f t="shared" si="456"/>
        <v>#N/A</v>
      </c>
      <c r="AJ460" t="e">
        <f t="shared" si="457"/>
        <v>#N/A</v>
      </c>
      <c r="AK460" t="e">
        <f t="shared" si="458"/>
        <v>#N/A</v>
      </c>
      <c r="AL460" t="e">
        <f t="shared" si="459"/>
        <v>#N/A</v>
      </c>
      <c r="AM460" t="e">
        <f t="shared" si="460"/>
        <v>#N/A</v>
      </c>
      <c r="AN460" t="e">
        <f t="shared" si="461"/>
        <v>#N/A</v>
      </c>
      <c r="AO460" t="e">
        <f t="shared" si="462"/>
        <v>#N/A</v>
      </c>
      <c r="AP460" t="e">
        <f t="shared" si="463"/>
        <v>#N/A</v>
      </c>
      <c r="AQ460" t="e">
        <f t="shared" si="464"/>
        <v>#N/A</v>
      </c>
      <c r="AR460" t="e">
        <f t="shared" si="465"/>
        <v>#N/A</v>
      </c>
      <c r="AS460" t="e">
        <f t="shared" si="466"/>
        <v>#N/A</v>
      </c>
      <c r="AT460" t="e">
        <f t="shared" si="467"/>
        <v>#N/A</v>
      </c>
      <c r="AU460" t="e">
        <f t="shared" si="468"/>
        <v>#N/A</v>
      </c>
      <c r="AV460" t="e">
        <f t="shared" si="469"/>
        <v>#N/A</v>
      </c>
      <c r="AW460" t="e">
        <f t="shared" si="470"/>
        <v>#N/A</v>
      </c>
      <c r="AX460" t="e">
        <f t="shared" si="471"/>
        <v>#N/A</v>
      </c>
      <c r="AY460" t="e">
        <f t="shared" si="472"/>
        <v>#N/A</v>
      </c>
      <c r="BE460" t="e">
        <f>IF(Z460=1,IF(INDEX($C$7:$C$126,V460)&gt;=Gantt!$BF$6,NA(),MATCH(INDEX($C$7:$C$126,V460),Gantt!$J$6:$BE$6,1)),NA())</f>
        <v>#N/A</v>
      </c>
      <c r="BF460" t="e">
        <f>IF(Z460=1,IF((INDEX($D$7:$D$126,AA460)-1)&gt;=Gantt!$BF$6,NA(),IF((INDEX($D$7:$D$126,AA460)-1)&lt;Gantt!$J$6,0,MATCH((INDEX($D$7:$D$126,AA460)-1),Gantt!$J$6:$BE$6,1))),NA())</f>
        <v>#N/A</v>
      </c>
      <c r="BG460" t="e">
        <f t="shared" si="473"/>
        <v>#N/A</v>
      </c>
      <c r="BH460" t="e">
        <f t="shared" si="474"/>
        <v>#N/A</v>
      </c>
      <c r="BI460" t="e">
        <f t="shared" si="475"/>
        <v>#N/A</v>
      </c>
      <c r="BJ460" t="e">
        <f t="shared" si="476"/>
        <v>#N/A</v>
      </c>
      <c r="BK460" t="e">
        <f t="shared" si="477"/>
        <v>#N/A</v>
      </c>
      <c r="BL460" t="e">
        <f t="shared" si="478"/>
        <v>#N/A</v>
      </c>
      <c r="BM460" t="e">
        <f t="shared" si="479"/>
        <v>#N/A</v>
      </c>
      <c r="BN460" t="e">
        <f t="shared" si="480"/>
        <v>#N/A</v>
      </c>
      <c r="BO460" t="e">
        <f t="shared" si="481"/>
        <v>#N/A</v>
      </c>
      <c r="BP460" t="e">
        <f t="shared" si="482"/>
        <v>#N/A</v>
      </c>
      <c r="BQ460" t="e">
        <f t="shared" si="483"/>
        <v>#N/A</v>
      </c>
      <c r="BR460" t="e">
        <f t="shared" si="484"/>
        <v>#N/A</v>
      </c>
      <c r="BS460" t="e">
        <f t="shared" si="485"/>
        <v>#N/A</v>
      </c>
      <c r="BT460" t="e">
        <f t="shared" si="486"/>
        <v>#N/A</v>
      </c>
      <c r="BU460" t="e">
        <f t="shared" si="487"/>
        <v>#N/A</v>
      </c>
      <c r="BV460" t="e">
        <f t="shared" si="488"/>
        <v>#N/A</v>
      </c>
      <c r="BW460" t="e">
        <f t="shared" si="489"/>
        <v>#N/A</v>
      </c>
      <c r="BX460" t="e">
        <f t="shared" si="490"/>
        <v>#N/A</v>
      </c>
      <c r="BY460" t="e">
        <f t="shared" si="491"/>
        <v>#N/A</v>
      </c>
      <c r="BZ460" t="e">
        <f t="shared" si="492"/>
        <v>#N/A</v>
      </c>
      <c r="CA460" t="e">
        <f t="shared" si="493"/>
        <v>#N/A</v>
      </c>
      <c r="CB460" t="e">
        <f t="shared" si="494"/>
        <v>#N/A</v>
      </c>
      <c r="CC460" t="e">
        <f t="shared" si="495"/>
        <v>#N/A</v>
      </c>
      <c r="CD460" t="e">
        <f t="shared" si="496"/>
        <v>#N/A</v>
      </c>
      <c r="CE460" t="e">
        <f t="shared" si="497"/>
        <v>#N/A</v>
      </c>
      <c r="CF460" t="e">
        <f t="shared" si="498"/>
        <v>#N/A</v>
      </c>
      <c r="CG460" t="e">
        <f t="shared" si="499"/>
        <v>#N/A</v>
      </c>
      <c r="CI460" t="e">
        <f>AL158</f>
        <v>#N/A</v>
      </c>
      <c r="CJ460" t="e">
        <f>AM158</f>
        <v>#N/A</v>
      </c>
      <c r="CK460">
        <f>IF(ISNUMBER(CI460),IFERROR(MAX(0,AN158-CI460),0),0)</f>
        <v>0</v>
      </c>
      <c r="CL460">
        <f>IF(ISNUMBER(CI460),IFERROR(MAX(0,CI460-AN158),0),0)</f>
        <v>0</v>
      </c>
      <c r="CM460">
        <f>IF(ISNUMBER(CJ460),IFERROR(MAX(0,AO158-CJ460),0),0)</f>
        <v>0</v>
      </c>
      <c r="CN460">
        <f>IF(ISNUMBER(CJ460),IFERROR(MAX(0,CJ460-AO158),0),0)</f>
        <v>0</v>
      </c>
      <c r="CP460" t="e">
        <f>BT158</f>
        <v>#N/A</v>
      </c>
      <c r="CQ460" t="e">
        <f>BU158</f>
        <v>#N/A</v>
      </c>
      <c r="CR460">
        <f>IF(ISNUMBER(CP460),IFERROR(MAX(0,BV158-CP460),0),0)</f>
        <v>0</v>
      </c>
      <c r="CS460">
        <f>IF(ISNUMBER(CP460),IFERROR(MAX(0,CP460-BV158),0),0)</f>
        <v>0</v>
      </c>
      <c r="CT460">
        <f>IF(ISNUMBER(CQ460),IFERROR(MAX(0,BW158-CQ460),0),0)</f>
        <v>0</v>
      </c>
      <c r="CU460">
        <f>IF(ISNUMBER(CQ460),IFERROR(MAX(0,CQ460-BW158),0),0)</f>
        <v>0</v>
      </c>
    </row>
    <row r="461" spans="21:99" x14ac:dyDescent="0.3">
      <c r="U461">
        <v>455</v>
      </c>
      <c r="V461">
        <f t="shared" si="444"/>
        <v>114</v>
      </c>
      <c r="W461">
        <f t="shared" si="445"/>
        <v>3</v>
      </c>
      <c r="X461">
        <f t="shared" si="446"/>
        <v>0</v>
      </c>
      <c r="Y461">
        <f>IF(X461&lt;&gt;1,9999,CHOOSE(W461,INDEX(Gantt!$BQ$7:$BQ$119,V461),INDEX(Gantt!$BR$7:$BR$119,V461),INDEX(Gantt!$BT$7:$BT$119,V461),INDEX(Gantt!$BU$7:$BU$119,V461)))</f>
        <v>9999</v>
      </c>
      <c r="Z461">
        <f t="shared" si="447"/>
        <v>0</v>
      </c>
      <c r="AA461" t="e">
        <f t="shared" si="448"/>
        <v>#N/A</v>
      </c>
      <c r="AB461" t="e">
        <f t="shared" si="449"/>
        <v>#N/A</v>
      </c>
      <c r="AC461" t="e">
        <f t="shared" si="450"/>
        <v>#N/A</v>
      </c>
      <c r="AD461" t="e">
        <f t="shared" si="451"/>
        <v>#N/A</v>
      </c>
      <c r="AE461" t="e">
        <f t="shared" si="452"/>
        <v>#N/A</v>
      </c>
      <c r="AF461" t="e">
        <f t="shared" si="453"/>
        <v>#N/A</v>
      </c>
      <c r="AG461" t="e">
        <f t="shared" si="454"/>
        <v>#N/A</v>
      </c>
      <c r="AH461" t="e">
        <f t="shared" si="455"/>
        <v>#N/A</v>
      </c>
      <c r="AI461" t="e">
        <f t="shared" si="456"/>
        <v>#N/A</v>
      </c>
      <c r="AJ461" t="e">
        <f t="shared" si="457"/>
        <v>#N/A</v>
      </c>
      <c r="AK461" t="e">
        <f t="shared" si="458"/>
        <v>#N/A</v>
      </c>
      <c r="AL461" t="e">
        <f t="shared" si="459"/>
        <v>#N/A</v>
      </c>
      <c r="AM461" t="e">
        <f t="shared" si="460"/>
        <v>#N/A</v>
      </c>
      <c r="AN461" t="e">
        <f t="shared" si="461"/>
        <v>#N/A</v>
      </c>
      <c r="AO461" t="e">
        <f t="shared" si="462"/>
        <v>#N/A</v>
      </c>
      <c r="AP461" t="e">
        <f t="shared" si="463"/>
        <v>#N/A</v>
      </c>
      <c r="AQ461" t="e">
        <f t="shared" si="464"/>
        <v>#N/A</v>
      </c>
      <c r="AR461" t="e">
        <f t="shared" si="465"/>
        <v>#N/A</v>
      </c>
      <c r="AS461" t="e">
        <f t="shared" si="466"/>
        <v>#N/A</v>
      </c>
      <c r="AT461" t="e">
        <f t="shared" si="467"/>
        <v>#N/A</v>
      </c>
      <c r="AU461" t="e">
        <f t="shared" si="468"/>
        <v>#N/A</v>
      </c>
      <c r="AV461" t="e">
        <f t="shared" si="469"/>
        <v>#N/A</v>
      </c>
      <c r="AW461" t="e">
        <f t="shared" si="470"/>
        <v>#N/A</v>
      </c>
      <c r="AX461" t="e">
        <f t="shared" si="471"/>
        <v>#N/A</v>
      </c>
      <c r="AY461" t="e">
        <f t="shared" si="472"/>
        <v>#N/A</v>
      </c>
      <c r="BE461" t="e">
        <f>IF(Z461=1,IF(INDEX($C$7:$C$126,V461)&gt;=Gantt!$BF$6,NA(),MATCH(INDEX($C$7:$C$126,V461),Gantt!$J$6:$BE$6,1)),NA())</f>
        <v>#N/A</v>
      </c>
      <c r="BF461" t="e">
        <f>IF(Z461=1,IF((INDEX($D$7:$D$126,AA461)-1)&gt;=Gantt!$BF$6,NA(),IF((INDEX($D$7:$D$126,AA461)-1)&lt;Gantt!$J$6,0,MATCH((INDEX($D$7:$D$126,AA461)-1),Gantt!$J$6:$BE$6,1))),NA())</f>
        <v>#N/A</v>
      </c>
      <c r="BG461" t="e">
        <f t="shared" si="473"/>
        <v>#N/A</v>
      </c>
      <c r="BH461" t="e">
        <f t="shared" si="474"/>
        <v>#N/A</v>
      </c>
      <c r="BI461" t="e">
        <f t="shared" si="475"/>
        <v>#N/A</v>
      </c>
      <c r="BJ461" t="e">
        <f t="shared" si="476"/>
        <v>#N/A</v>
      </c>
      <c r="BK461" t="e">
        <f t="shared" si="477"/>
        <v>#N/A</v>
      </c>
      <c r="BL461" t="e">
        <f t="shared" si="478"/>
        <v>#N/A</v>
      </c>
      <c r="BM461" t="e">
        <f t="shared" si="479"/>
        <v>#N/A</v>
      </c>
      <c r="BN461" t="e">
        <f t="shared" si="480"/>
        <v>#N/A</v>
      </c>
      <c r="BO461" t="e">
        <f t="shared" si="481"/>
        <v>#N/A</v>
      </c>
      <c r="BP461" t="e">
        <f t="shared" si="482"/>
        <v>#N/A</v>
      </c>
      <c r="BQ461" t="e">
        <f t="shared" si="483"/>
        <v>#N/A</v>
      </c>
      <c r="BR461" t="e">
        <f t="shared" si="484"/>
        <v>#N/A</v>
      </c>
      <c r="BS461" t="e">
        <f t="shared" si="485"/>
        <v>#N/A</v>
      </c>
      <c r="BT461" t="e">
        <f t="shared" si="486"/>
        <v>#N/A</v>
      </c>
      <c r="BU461" t="e">
        <f t="shared" si="487"/>
        <v>#N/A</v>
      </c>
      <c r="BV461" t="e">
        <f t="shared" si="488"/>
        <v>#N/A</v>
      </c>
      <c r="BW461" t="e">
        <f t="shared" si="489"/>
        <v>#N/A</v>
      </c>
      <c r="BX461" t="e">
        <f t="shared" si="490"/>
        <v>#N/A</v>
      </c>
      <c r="BY461" t="e">
        <f t="shared" si="491"/>
        <v>#N/A</v>
      </c>
      <c r="BZ461" t="e">
        <f t="shared" si="492"/>
        <v>#N/A</v>
      </c>
      <c r="CA461" t="e">
        <f t="shared" si="493"/>
        <v>#N/A</v>
      </c>
      <c r="CB461" t="e">
        <f t="shared" si="494"/>
        <v>#N/A</v>
      </c>
      <c r="CC461" t="e">
        <f t="shared" si="495"/>
        <v>#N/A</v>
      </c>
      <c r="CD461" t="e">
        <f t="shared" si="496"/>
        <v>#N/A</v>
      </c>
      <c r="CE461" t="e">
        <f t="shared" si="497"/>
        <v>#N/A</v>
      </c>
      <c r="CF461" t="e">
        <f t="shared" si="498"/>
        <v>#N/A</v>
      </c>
      <c r="CG461" t="e">
        <f t="shared" si="499"/>
        <v>#N/A</v>
      </c>
      <c r="CI461" t="e">
        <f>AP158</f>
        <v>#N/A</v>
      </c>
      <c r="CJ461" t="e">
        <f>AQ158</f>
        <v>#N/A</v>
      </c>
      <c r="CK461">
        <f>IF(ISNUMBER(CI461),IFERROR(MAX(0,AR158-CI461),0),0)</f>
        <v>0</v>
      </c>
      <c r="CL461">
        <f>IF(ISNUMBER(CI461),IFERROR(MAX(0,CI461-AR158),0),0)</f>
        <v>0</v>
      </c>
      <c r="CM461">
        <f>IF(ISNUMBER(CJ461),IFERROR(MAX(0,AS158-CJ461),0),0)</f>
        <v>0</v>
      </c>
      <c r="CN461">
        <f>IF(ISNUMBER(CJ461),IFERROR(MAX(0,CJ461-AS158),0),0)</f>
        <v>0</v>
      </c>
      <c r="CP461" t="e">
        <f>BX158</f>
        <v>#N/A</v>
      </c>
      <c r="CQ461" t="e">
        <f>BY158</f>
        <v>#N/A</v>
      </c>
      <c r="CR461">
        <f>IF(ISNUMBER(CP461),IFERROR(MAX(0,BZ158-CP461),0),0)</f>
        <v>0</v>
      </c>
      <c r="CS461">
        <f>IF(ISNUMBER(CP461),IFERROR(MAX(0,CP461-BZ158),0),0)</f>
        <v>0</v>
      </c>
      <c r="CT461">
        <f>IF(ISNUMBER(CQ461),IFERROR(MAX(0,CA158-CQ461),0),0)</f>
        <v>0</v>
      </c>
      <c r="CU461">
        <f>IF(ISNUMBER(CQ461),IFERROR(MAX(0,CQ461-CA158),0),0)</f>
        <v>0</v>
      </c>
    </row>
    <row r="462" spans="21:99" x14ac:dyDescent="0.3">
      <c r="U462">
        <v>456</v>
      </c>
      <c r="V462">
        <f t="shared" si="444"/>
        <v>114</v>
      </c>
      <c r="W462">
        <f t="shared" si="445"/>
        <v>4</v>
      </c>
      <c r="X462">
        <f t="shared" si="446"/>
        <v>0</v>
      </c>
      <c r="Y462">
        <f>IF(X462&lt;&gt;1,9999,CHOOSE(W462,INDEX(Gantt!$BQ$7:$BQ$119,V462),INDEX(Gantt!$BR$7:$BR$119,V462),INDEX(Gantt!$BT$7:$BT$119,V462),INDEX(Gantt!$BU$7:$BU$119,V462)))</f>
        <v>9999</v>
      </c>
      <c r="Z462">
        <f t="shared" si="447"/>
        <v>0</v>
      </c>
      <c r="AA462" t="e">
        <f t="shared" si="448"/>
        <v>#N/A</v>
      </c>
      <c r="AB462" t="e">
        <f t="shared" si="449"/>
        <v>#N/A</v>
      </c>
      <c r="AC462" t="e">
        <f t="shared" si="450"/>
        <v>#N/A</v>
      </c>
      <c r="AD462" t="e">
        <f t="shared" si="451"/>
        <v>#N/A</v>
      </c>
      <c r="AE462" t="e">
        <f t="shared" si="452"/>
        <v>#N/A</v>
      </c>
      <c r="AF462" t="e">
        <f t="shared" si="453"/>
        <v>#N/A</v>
      </c>
      <c r="AG462" t="e">
        <f t="shared" si="454"/>
        <v>#N/A</v>
      </c>
      <c r="AH462" t="e">
        <f t="shared" si="455"/>
        <v>#N/A</v>
      </c>
      <c r="AI462" t="e">
        <f t="shared" si="456"/>
        <v>#N/A</v>
      </c>
      <c r="AJ462" t="e">
        <f t="shared" si="457"/>
        <v>#N/A</v>
      </c>
      <c r="AK462" t="e">
        <f t="shared" si="458"/>
        <v>#N/A</v>
      </c>
      <c r="AL462" t="e">
        <f t="shared" si="459"/>
        <v>#N/A</v>
      </c>
      <c r="AM462" t="e">
        <f t="shared" si="460"/>
        <v>#N/A</v>
      </c>
      <c r="AN462" t="e">
        <f t="shared" si="461"/>
        <v>#N/A</v>
      </c>
      <c r="AO462" t="e">
        <f t="shared" si="462"/>
        <v>#N/A</v>
      </c>
      <c r="AP462" t="e">
        <f t="shared" si="463"/>
        <v>#N/A</v>
      </c>
      <c r="AQ462" t="e">
        <f t="shared" si="464"/>
        <v>#N/A</v>
      </c>
      <c r="AR462" t="e">
        <f t="shared" si="465"/>
        <v>#N/A</v>
      </c>
      <c r="AS462" t="e">
        <f t="shared" si="466"/>
        <v>#N/A</v>
      </c>
      <c r="AT462" t="e">
        <f t="shared" si="467"/>
        <v>#N/A</v>
      </c>
      <c r="AU462" t="e">
        <f t="shared" si="468"/>
        <v>#N/A</v>
      </c>
      <c r="AV462" t="e">
        <f t="shared" si="469"/>
        <v>#N/A</v>
      </c>
      <c r="AW462" t="e">
        <f t="shared" si="470"/>
        <v>#N/A</v>
      </c>
      <c r="AX462" t="e">
        <f t="shared" si="471"/>
        <v>#N/A</v>
      </c>
      <c r="AY462" t="e">
        <f t="shared" si="472"/>
        <v>#N/A</v>
      </c>
      <c r="BE462" t="e">
        <f>IF(Z462=1,IF(INDEX($C$7:$C$126,V462)&gt;=Gantt!$BF$6,NA(),MATCH(INDEX($C$7:$C$126,V462),Gantt!$J$6:$BE$6,1)),NA())</f>
        <v>#N/A</v>
      </c>
      <c r="BF462" t="e">
        <f>IF(Z462=1,IF((INDEX($D$7:$D$126,AA462)-1)&gt;=Gantt!$BF$6,NA(),IF((INDEX($D$7:$D$126,AA462)-1)&lt;Gantt!$J$6,0,MATCH((INDEX($D$7:$D$126,AA462)-1),Gantt!$J$6:$BE$6,1))),NA())</f>
        <v>#N/A</v>
      </c>
      <c r="BG462" t="e">
        <f t="shared" si="473"/>
        <v>#N/A</v>
      </c>
      <c r="BH462" t="e">
        <f t="shared" si="474"/>
        <v>#N/A</v>
      </c>
      <c r="BI462" t="e">
        <f t="shared" si="475"/>
        <v>#N/A</v>
      </c>
      <c r="BJ462" t="e">
        <f t="shared" si="476"/>
        <v>#N/A</v>
      </c>
      <c r="BK462" t="e">
        <f t="shared" si="477"/>
        <v>#N/A</v>
      </c>
      <c r="BL462" t="e">
        <f t="shared" si="478"/>
        <v>#N/A</v>
      </c>
      <c r="BM462" t="e">
        <f t="shared" si="479"/>
        <v>#N/A</v>
      </c>
      <c r="BN462" t="e">
        <f t="shared" si="480"/>
        <v>#N/A</v>
      </c>
      <c r="BO462" t="e">
        <f t="shared" si="481"/>
        <v>#N/A</v>
      </c>
      <c r="BP462" t="e">
        <f t="shared" si="482"/>
        <v>#N/A</v>
      </c>
      <c r="BQ462" t="e">
        <f t="shared" si="483"/>
        <v>#N/A</v>
      </c>
      <c r="BR462" t="e">
        <f t="shared" si="484"/>
        <v>#N/A</v>
      </c>
      <c r="BS462" t="e">
        <f t="shared" si="485"/>
        <v>#N/A</v>
      </c>
      <c r="BT462" t="e">
        <f t="shared" si="486"/>
        <v>#N/A</v>
      </c>
      <c r="BU462" t="e">
        <f t="shared" si="487"/>
        <v>#N/A</v>
      </c>
      <c r="BV462" t="e">
        <f t="shared" si="488"/>
        <v>#N/A</v>
      </c>
      <c r="BW462" t="e">
        <f t="shared" si="489"/>
        <v>#N/A</v>
      </c>
      <c r="BX462" t="e">
        <f t="shared" si="490"/>
        <v>#N/A</v>
      </c>
      <c r="BY462" t="e">
        <f t="shared" si="491"/>
        <v>#N/A</v>
      </c>
      <c r="BZ462" t="e">
        <f t="shared" si="492"/>
        <v>#N/A</v>
      </c>
      <c r="CA462" t="e">
        <f t="shared" si="493"/>
        <v>#N/A</v>
      </c>
      <c r="CB462" t="e">
        <f t="shared" si="494"/>
        <v>#N/A</v>
      </c>
      <c r="CC462" t="e">
        <f t="shared" si="495"/>
        <v>#N/A</v>
      </c>
      <c r="CD462" t="e">
        <f t="shared" si="496"/>
        <v>#N/A</v>
      </c>
      <c r="CE462" t="e">
        <f t="shared" si="497"/>
        <v>#N/A</v>
      </c>
      <c r="CF462" t="e">
        <f t="shared" si="498"/>
        <v>#N/A</v>
      </c>
      <c r="CG462" t="e">
        <f t="shared" si="499"/>
        <v>#N/A</v>
      </c>
      <c r="CI462" t="e">
        <f>AT158</f>
        <v>#N/A</v>
      </c>
      <c r="CJ462" t="e">
        <f>AU158</f>
        <v>#N/A</v>
      </c>
      <c r="CK462">
        <f>IF(ISNUMBER(CI462),IFERROR(MAX(0,AV158-CI462),0),0)</f>
        <v>0</v>
      </c>
      <c r="CL462">
        <f>IF(ISNUMBER(CI462),IFERROR(MAX(0,CI462-AV158),0),0)</f>
        <v>0</v>
      </c>
      <c r="CM462">
        <f>IF(ISNUMBER(CJ462),IFERROR(MAX(0,AW158-CJ462),0),0)</f>
        <v>0</v>
      </c>
      <c r="CN462">
        <f>IF(ISNUMBER(CJ462),IFERROR(MAX(0,CJ462-AW158),0),0)</f>
        <v>0</v>
      </c>
      <c r="CP462" t="e">
        <f>CB158</f>
        <v>#N/A</v>
      </c>
      <c r="CQ462" t="e">
        <f>CC158</f>
        <v>#N/A</v>
      </c>
      <c r="CR462">
        <f>IF(ISNUMBER(CP462),IFERROR(MAX(0,CD158-CP462),0),0)</f>
        <v>0</v>
      </c>
      <c r="CS462">
        <f>IF(ISNUMBER(CP462),IFERROR(MAX(0,CP462-CD158),0),0)</f>
        <v>0</v>
      </c>
      <c r="CT462">
        <f>IF(ISNUMBER(CQ462),IFERROR(MAX(0,CE158-CQ462),0),0)</f>
        <v>0</v>
      </c>
      <c r="CU462">
        <f>IF(ISNUMBER(CQ462),IFERROR(MAX(0,CQ462-CE158),0),0)</f>
        <v>0</v>
      </c>
    </row>
    <row r="463" spans="21:99" x14ac:dyDescent="0.3">
      <c r="U463">
        <v>457</v>
      </c>
      <c r="V463">
        <f t="shared" si="444"/>
        <v>115</v>
      </c>
      <c r="W463">
        <f t="shared" si="445"/>
        <v>1</v>
      </c>
      <c r="X463">
        <f t="shared" si="446"/>
        <v>0</v>
      </c>
      <c r="Y463">
        <f>IF(X463&lt;&gt;1,9999,CHOOSE(W463,INDEX(Gantt!$BQ$7:$BQ$119,V463),INDEX(Gantt!$BR$7:$BR$119,V463),INDEX(Gantt!$BT$7:$BT$119,V463),INDEX(Gantt!$BU$7:$BU$119,V463)))</f>
        <v>9999</v>
      </c>
      <c r="Z463">
        <f t="shared" si="447"/>
        <v>0</v>
      </c>
      <c r="AA463" t="e">
        <f t="shared" si="448"/>
        <v>#N/A</v>
      </c>
      <c r="AB463" t="e">
        <f t="shared" si="449"/>
        <v>#N/A</v>
      </c>
      <c r="AC463" t="e">
        <f t="shared" si="450"/>
        <v>#N/A</v>
      </c>
      <c r="AD463" t="e">
        <f t="shared" si="451"/>
        <v>#N/A</v>
      </c>
      <c r="AE463" t="e">
        <f t="shared" si="452"/>
        <v>#N/A</v>
      </c>
      <c r="AF463" t="e">
        <f t="shared" si="453"/>
        <v>#N/A</v>
      </c>
      <c r="AG463" t="e">
        <f t="shared" si="454"/>
        <v>#N/A</v>
      </c>
      <c r="AH463" t="e">
        <f t="shared" si="455"/>
        <v>#N/A</v>
      </c>
      <c r="AI463" t="e">
        <f t="shared" si="456"/>
        <v>#N/A</v>
      </c>
      <c r="AJ463" t="e">
        <f t="shared" si="457"/>
        <v>#N/A</v>
      </c>
      <c r="AK463" t="e">
        <f t="shared" si="458"/>
        <v>#N/A</v>
      </c>
      <c r="AL463" t="e">
        <f t="shared" si="459"/>
        <v>#N/A</v>
      </c>
      <c r="AM463" t="e">
        <f t="shared" si="460"/>
        <v>#N/A</v>
      </c>
      <c r="AN463" t="e">
        <f t="shared" si="461"/>
        <v>#N/A</v>
      </c>
      <c r="AO463" t="e">
        <f t="shared" si="462"/>
        <v>#N/A</v>
      </c>
      <c r="AP463" t="e">
        <f t="shared" si="463"/>
        <v>#N/A</v>
      </c>
      <c r="AQ463" t="e">
        <f t="shared" si="464"/>
        <v>#N/A</v>
      </c>
      <c r="AR463" t="e">
        <f t="shared" si="465"/>
        <v>#N/A</v>
      </c>
      <c r="AS463" t="e">
        <f t="shared" si="466"/>
        <v>#N/A</v>
      </c>
      <c r="AT463" t="e">
        <f t="shared" si="467"/>
        <v>#N/A</v>
      </c>
      <c r="AU463" t="e">
        <f t="shared" si="468"/>
        <v>#N/A</v>
      </c>
      <c r="AV463" t="e">
        <f t="shared" si="469"/>
        <v>#N/A</v>
      </c>
      <c r="AW463" t="e">
        <f t="shared" si="470"/>
        <v>#N/A</v>
      </c>
      <c r="AX463" t="e">
        <f t="shared" si="471"/>
        <v>#N/A</v>
      </c>
      <c r="AY463" t="e">
        <f t="shared" si="472"/>
        <v>#N/A</v>
      </c>
      <c r="BE463" t="e">
        <f>IF(Z463=1,IF(INDEX($C$7:$C$126,V463)&gt;=Gantt!$BF$6,NA(),MATCH(INDEX($C$7:$C$126,V463),Gantt!$J$6:$BE$6,1)),NA())</f>
        <v>#N/A</v>
      </c>
      <c r="BF463" t="e">
        <f>IF(Z463=1,IF((INDEX($D$7:$D$126,AA463)-1)&gt;=Gantt!$BF$6,NA(),IF((INDEX($D$7:$D$126,AA463)-1)&lt;Gantt!$J$6,0,MATCH((INDEX($D$7:$D$126,AA463)-1),Gantt!$J$6:$BE$6,1))),NA())</f>
        <v>#N/A</v>
      </c>
      <c r="BG463" t="e">
        <f t="shared" si="473"/>
        <v>#N/A</v>
      </c>
      <c r="BH463" t="e">
        <f t="shared" si="474"/>
        <v>#N/A</v>
      </c>
      <c r="BI463" t="e">
        <f t="shared" si="475"/>
        <v>#N/A</v>
      </c>
      <c r="BJ463" t="e">
        <f t="shared" si="476"/>
        <v>#N/A</v>
      </c>
      <c r="BK463" t="e">
        <f t="shared" si="477"/>
        <v>#N/A</v>
      </c>
      <c r="BL463" t="e">
        <f t="shared" si="478"/>
        <v>#N/A</v>
      </c>
      <c r="BM463" t="e">
        <f t="shared" si="479"/>
        <v>#N/A</v>
      </c>
      <c r="BN463" t="e">
        <f t="shared" si="480"/>
        <v>#N/A</v>
      </c>
      <c r="BO463" t="e">
        <f t="shared" si="481"/>
        <v>#N/A</v>
      </c>
      <c r="BP463" t="e">
        <f t="shared" si="482"/>
        <v>#N/A</v>
      </c>
      <c r="BQ463" t="e">
        <f t="shared" si="483"/>
        <v>#N/A</v>
      </c>
      <c r="BR463" t="e">
        <f t="shared" si="484"/>
        <v>#N/A</v>
      </c>
      <c r="BS463" t="e">
        <f t="shared" si="485"/>
        <v>#N/A</v>
      </c>
      <c r="BT463" t="e">
        <f t="shared" si="486"/>
        <v>#N/A</v>
      </c>
      <c r="BU463" t="e">
        <f t="shared" si="487"/>
        <v>#N/A</v>
      </c>
      <c r="BV463" t="e">
        <f t="shared" si="488"/>
        <v>#N/A</v>
      </c>
      <c r="BW463" t="e">
        <f t="shared" si="489"/>
        <v>#N/A</v>
      </c>
      <c r="BX463" t="e">
        <f t="shared" si="490"/>
        <v>#N/A</v>
      </c>
      <c r="BY463" t="e">
        <f t="shared" si="491"/>
        <v>#N/A</v>
      </c>
      <c r="BZ463" t="e">
        <f t="shared" si="492"/>
        <v>#N/A</v>
      </c>
      <c r="CA463" t="e">
        <f t="shared" si="493"/>
        <v>#N/A</v>
      </c>
      <c r="CB463" t="e">
        <f t="shared" si="494"/>
        <v>#N/A</v>
      </c>
      <c r="CC463" t="e">
        <f t="shared" si="495"/>
        <v>#N/A</v>
      </c>
      <c r="CD463" t="e">
        <f t="shared" si="496"/>
        <v>#N/A</v>
      </c>
      <c r="CE463" t="e">
        <f t="shared" si="497"/>
        <v>#N/A</v>
      </c>
      <c r="CF463" t="e">
        <f t="shared" si="498"/>
        <v>#N/A</v>
      </c>
      <c r="CG463" t="e">
        <f t="shared" si="499"/>
        <v>#N/A</v>
      </c>
      <c r="CI463" t="e">
        <f>AL159</f>
        <v>#N/A</v>
      </c>
      <c r="CJ463" t="e">
        <f>AM159</f>
        <v>#N/A</v>
      </c>
      <c r="CK463">
        <f>IF(ISNUMBER(CI463),IFERROR(MAX(0,AN159-CI463),0),0)</f>
        <v>0</v>
      </c>
      <c r="CL463">
        <f>IF(ISNUMBER(CI463),IFERROR(MAX(0,CI463-AN159),0),0)</f>
        <v>0</v>
      </c>
      <c r="CM463">
        <f>IF(ISNUMBER(CJ463),IFERROR(MAX(0,AO159-CJ463),0),0)</f>
        <v>0</v>
      </c>
      <c r="CN463">
        <f>IF(ISNUMBER(CJ463),IFERROR(MAX(0,CJ463-AO159),0),0)</f>
        <v>0</v>
      </c>
      <c r="CP463" t="e">
        <f>BT159</f>
        <v>#N/A</v>
      </c>
      <c r="CQ463" t="e">
        <f>BU159</f>
        <v>#N/A</v>
      </c>
      <c r="CR463">
        <f>IF(ISNUMBER(CP463),IFERROR(MAX(0,BV159-CP463),0),0)</f>
        <v>0</v>
      </c>
      <c r="CS463">
        <f>IF(ISNUMBER(CP463),IFERROR(MAX(0,CP463-BV159),0),0)</f>
        <v>0</v>
      </c>
      <c r="CT463">
        <f>IF(ISNUMBER(CQ463),IFERROR(MAX(0,BW159-CQ463),0),0)</f>
        <v>0</v>
      </c>
      <c r="CU463">
        <f>IF(ISNUMBER(CQ463),IFERROR(MAX(0,CQ463-BW159),0),0)</f>
        <v>0</v>
      </c>
    </row>
    <row r="464" spans="21:99" x14ac:dyDescent="0.3">
      <c r="U464">
        <v>458</v>
      </c>
      <c r="V464">
        <f t="shared" si="444"/>
        <v>115</v>
      </c>
      <c r="W464">
        <f t="shared" si="445"/>
        <v>2</v>
      </c>
      <c r="X464">
        <f t="shared" si="446"/>
        <v>0</v>
      </c>
      <c r="Y464">
        <f>IF(X464&lt;&gt;1,9999,CHOOSE(W464,INDEX(Gantt!$BQ$7:$BQ$119,V464),INDEX(Gantt!$BR$7:$BR$119,V464),INDEX(Gantt!$BT$7:$BT$119,V464),INDEX(Gantt!$BU$7:$BU$119,V464)))</f>
        <v>9999</v>
      </c>
      <c r="Z464">
        <f t="shared" si="447"/>
        <v>0</v>
      </c>
      <c r="AA464" t="e">
        <f t="shared" si="448"/>
        <v>#N/A</v>
      </c>
      <c r="AB464" t="e">
        <f t="shared" si="449"/>
        <v>#N/A</v>
      </c>
      <c r="AC464" t="e">
        <f t="shared" si="450"/>
        <v>#N/A</v>
      </c>
      <c r="AD464" t="e">
        <f t="shared" si="451"/>
        <v>#N/A</v>
      </c>
      <c r="AE464" t="e">
        <f t="shared" si="452"/>
        <v>#N/A</v>
      </c>
      <c r="AF464" t="e">
        <f t="shared" si="453"/>
        <v>#N/A</v>
      </c>
      <c r="AG464" t="e">
        <f t="shared" si="454"/>
        <v>#N/A</v>
      </c>
      <c r="AH464" t="e">
        <f t="shared" si="455"/>
        <v>#N/A</v>
      </c>
      <c r="AI464" t="e">
        <f t="shared" si="456"/>
        <v>#N/A</v>
      </c>
      <c r="AJ464" t="e">
        <f t="shared" si="457"/>
        <v>#N/A</v>
      </c>
      <c r="AK464" t="e">
        <f t="shared" si="458"/>
        <v>#N/A</v>
      </c>
      <c r="AL464" t="e">
        <f t="shared" si="459"/>
        <v>#N/A</v>
      </c>
      <c r="AM464" t="e">
        <f t="shared" si="460"/>
        <v>#N/A</v>
      </c>
      <c r="AN464" t="e">
        <f t="shared" si="461"/>
        <v>#N/A</v>
      </c>
      <c r="AO464" t="e">
        <f t="shared" si="462"/>
        <v>#N/A</v>
      </c>
      <c r="AP464" t="e">
        <f t="shared" si="463"/>
        <v>#N/A</v>
      </c>
      <c r="AQ464" t="e">
        <f t="shared" si="464"/>
        <v>#N/A</v>
      </c>
      <c r="AR464" t="e">
        <f t="shared" si="465"/>
        <v>#N/A</v>
      </c>
      <c r="AS464" t="e">
        <f t="shared" si="466"/>
        <v>#N/A</v>
      </c>
      <c r="AT464" t="e">
        <f t="shared" si="467"/>
        <v>#N/A</v>
      </c>
      <c r="AU464" t="e">
        <f t="shared" si="468"/>
        <v>#N/A</v>
      </c>
      <c r="AV464" t="e">
        <f t="shared" si="469"/>
        <v>#N/A</v>
      </c>
      <c r="AW464" t="e">
        <f t="shared" si="470"/>
        <v>#N/A</v>
      </c>
      <c r="AX464" t="e">
        <f t="shared" si="471"/>
        <v>#N/A</v>
      </c>
      <c r="AY464" t="e">
        <f t="shared" si="472"/>
        <v>#N/A</v>
      </c>
      <c r="BE464" t="e">
        <f>IF(Z464=1,IF(INDEX($C$7:$C$126,V464)&gt;=Gantt!$BF$6,NA(),MATCH(INDEX($C$7:$C$126,V464),Gantt!$J$6:$BE$6,1)),NA())</f>
        <v>#N/A</v>
      </c>
      <c r="BF464" t="e">
        <f>IF(Z464=1,IF((INDEX($D$7:$D$126,AA464)-1)&gt;=Gantt!$BF$6,NA(),IF((INDEX($D$7:$D$126,AA464)-1)&lt;Gantt!$J$6,0,MATCH((INDEX($D$7:$D$126,AA464)-1),Gantt!$J$6:$BE$6,1))),NA())</f>
        <v>#N/A</v>
      </c>
      <c r="BG464" t="e">
        <f t="shared" si="473"/>
        <v>#N/A</v>
      </c>
      <c r="BH464" t="e">
        <f t="shared" si="474"/>
        <v>#N/A</v>
      </c>
      <c r="BI464" t="e">
        <f t="shared" si="475"/>
        <v>#N/A</v>
      </c>
      <c r="BJ464" t="e">
        <f t="shared" si="476"/>
        <v>#N/A</v>
      </c>
      <c r="BK464" t="e">
        <f t="shared" si="477"/>
        <v>#N/A</v>
      </c>
      <c r="BL464" t="e">
        <f t="shared" si="478"/>
        <v>#N/A</v>
      </c>
      <c r="BM464" t="e">
        <f t="shared" si="479"/>
        <v>#N/A</v>
      </c>
      <c r="BN464" t="e">
        <f t="shared" si="480"/>
        <v>#N/A</v>
      </c>
      <c r="BO464" t="e">
        <f t="shared" si="481"/>
        <v>#N/A</v>
      </c>
      <c r="BP464" t="e">
        <f t="shared" si="482"/>
        <v>#N/A</v>
      </c>
      <c r="BQ464" t="e">
        <f t="shared" si="483"/>
        <v>#N/A</v>
      </c>
      <c r="BR464" t="e">
        <f t="shared" si="484"/>
        <v>#N/A</v>
      </c>
      <c r="BS464" t="e">
        <f t="shared" si="485"/>
        <v>#N/A</v>
      </c>
      <c r="BT464" t="e">
        <f t="shared" si="486"/>
        <v>#N/A</v>
      </c>
      <c r="BU464" t="e">
        <f t="shared" si="487"/>
        <v>#N/A</v>
      </c>
      <c r="BV464" t="e">
        <f t="shared" si="488"/>
        <v>#N/A</v>
      </c>
      <c r="BW464" t="e">
        <f t="shared" si="489"/>
        <v>#N/A</v>
      </c>
      <c r="BX464" t="e">
        <f t="shared" si="490"/>
        <v>#N/A</v>
      </c>
      <c r="BY464" t="e">
        <f t="shared" si="491"/>
        <v>#N/A</v>
      </c>
      <c r="BZ464" t="e">
        <f t="shared" si="492"/>
        <v>#N/A</v>
      </c>
      <c r="CA464" t="e">
        <f t="shared" si="493"/>
        <v>#N/A</v>
      </c>
      <c r="CB464" t="e">
        <f t="shared" si="494"/>
        <v>#N/A</v>
      </c>
      <c r="CC464" t="e">
        <f t="shared" si="495"/>
        <v>#N/A</v>
      </c>
      <c r="CD464" t="e">
        <f t="shared" si="496"/>
        <v>#N/A</v>
      </c>
      <c r="CE464" t="e">
        <f t="shared" si="497"/>
        <v>#N/A</v>
      </c>
      <c r="CF464" t="e">
        <f t="shared" si="498"/>
        <v>#N/A</v>
      </c>
      <c r="CG464" t="e">
        <f t="shared" si="499"/>
        <v>#N/A</v>
      </c>
      <c r="CI464" t="e">
        <f>AP159</f>
        <v>#N/A</v>
      </c>
      <c r="CJ464" t="e">
        <f>AQ159</f>
        <v>#N/A</v>
      </c>
      <c r="CK464">
        <f>IF(ISNUMBER(CI464),IFERROR(MAX(0,AR159-CI464),0),0)</f>
        <v>0</v>
      </c>
      <c r="CL464">
        <f>IF(ISNUMBER(CI464),IFERROR(MAX(0,CI464-AR159),0),0)</f>
        <v>0</v>
      </c>
      <c r="CM464">
        <f>IF(ISNUMBER(CJ464),IFERROR(MAX(0,AS159-CJ464),0),0)</f>
        <v>0</v>
      </c>
      <c r="CN464">
        <f>IF(ISNUMBER(CJ464),IFERROR(MAX(0,CJ464-AS159),0),0)</f>
        <v>0</v>
      </c>
      <c r="CP464" t="e">
        <f>BX159</f>
        <v>#N/A</v>
      </c>
      <c r="CQ464" t="e">
        <f>BY159</f>
        <v>#N/A</v>
      </c>
      <c r="CR464">
        <f>IF(ISNUMBER(CP464),IFERROR(MAX(0,BZ159-CP464),0),0)</f>
        <v>0</v>
      </c>
      <c r="CS464">
        <f>IF(ISNUMBER(CP464),IFERROR(MAX(0,CP464-BZ159),0),0)</f>
        <v>0</v>
      </c>
      <c r="CT464">
        <f>IF(ISNUMBER(CQ464),IFERROR(MAX(0,CA159-CQ464),0),0)</f>
        <v>0</v>
      </c>
      <c r="CU464">
        <f>IF(ISNUMBER(CQ464),IFERROR(MAX(0,CQ464-CA159),0),0)</f>
        <v>0</v>
      </c>
    </row>
    <row r="465" spans="21:99" x14ac:dyDescent="0.3">
      <c r="U465">
        <v>459</v>
      </c>
      <c r="V465">
        <f t="shared" si="444"/>
        <v>115</v>
      </c>
      <c r="W465">
        <f t="shared" si="445"/>
        <v>3</v>
      </c>
      <c r="X465">
        <f t="shared" si="446"/>
        <v>0</v>
      </c>
      <c r="Y465">
        <f>IF(X465&lt;&gt;1,9999,CHOOSE(W465,INDEX(Gantt!$BQ$7:$BQ$119,V465),INDEX(Gantt!$BR$7:$BR$119,V465),INDEX(Gantt!$BT$7:$BT$119,V465),INDEX(Gantt!$BU$7:$BU$119,V465)))</f>
        <v>9999</v>
      </c>
      <c r="Z465">
        <f t="shared" si="447"/>
        <v>0</v>
      </c>
      <c r="AA465" t="e">
        <f t="shared" si="448"/>
        <v>#N/A</v>
      </c>
      <c r="AB465" t="e">
        <f t="shared" si="449"/>
        <v>#N/A</v>
      </c>
      <c r="AC465" t="e">
        <f t="shared" si="450"/>
        <v>#N/A</v>
      </c>
      <c r="AD465" t="e">
        <f t="shared" si="451"/>
        <v>#N/A</v>
      </c>
      <c r="AE465" t="e">
        <f t="shared" si="452"/>
        <v>#N/A</v>
      </c>
      <c r="AF465" t="e">
        <f t="shared" si="453"/>
        <v>#N/A</v>
      </c>
      <c r="AG465" t="e">
        <f t="shared" si="454"/>
        <v>#N/A</v>
      </c>
      <c r="AH465" t="e">
        <f t="shared" si="455"/>
        <v>#N/A</v>
      </c>
      <c r="AI465" t="e">
        <f t="shared" si="456"/>
        <v>#N/A</v>
      </c>
      <c r="AJ465" t="e">
        <f t="shared" si="457"/>
        <v>#N/A</v>
      </c>
      <c r="AK465" t="e">
        <f t="shared" si="458"/>
        <v>#N/A</v>
      </c>
      <c r="AL465" t="e">
        <f t="shared" si="459"/>
        <v>#N/A</v>
      </c>
      <c r="AM465" t="e">
        <f t="shared" si="460"/>
        <v>#N/A</v>
      </c>
      <c r="AN465" t="e">
        <f t="shared" si="461"/>
        <v>#N/A</v>
      </c>
      <c r="AO465" t="e">
        <f t="shared" si="462"/>
        <v>#N/A</v>
      </c>
      <c r="AP465" t="e">
        <f t="shared" si="463"/>
        <v>#N/A</v>
      </c>
      <c r="AQ465" t="e">
        <f t="shared" si="464"/>
        <v>#N/A</v>
      </c>
      <c r="AR465" t="e">
        <f t="shared" si="465"/>
        <v>#N/A</v>
      </c>
      <c r="AS465" t="e">
        <f t="shared" si="466"/>
        <v>#N/A</v>
      </c>
      <c r="AT465" t="e">
        <f t="shared" si="467"/>
        <v>#N/A</v>
      </c>
      <c r="AU465" t="e">
        <f t="shared" si="468"/>
        <v>#N/A</v>
      </c>
      <c r="AV465" t="e">
        <f t="shared" si="469"/>
        <v>#N/A</v>
      </c>
      <c r="AW465" t="e">
        <f t="shared" si="470"/>
        <v>#N/A</v>
      </c>
      <c r="AX465" t="e">
        <f t="shared" si="471"/>
        <v>#N/A</v>
      </c>
      <c r="AY465" t="e">
        <f t="shared" si="472"/>
        <v>#N/A</v>
      </c>
      <c r="BE465" t="e">
        <f>IF(Z465=1,IF(INDEX($C$7:$C$126,V465)&gt;=Gantt!$BF$6,NA(),MATCH(INDEX($C$7:$C$126,V465),Gantt!$J$6:$BE$6,1)),NA())</f>
        <v>#N/A</v>
      </c>
      <c r="BF465" t="e">
        <f>IF(Z465=1,IF((INDEX($D$7:$D$126,AA465)-1)&gt;=Gantt!$BF$6,NA(),IF((INDEX($D$7:$D$126,AA465)-1)&lt;Gantt!$J$6,0,MATCH((INDEX($D$7:$D$126,AA465)-1),Gantt!$J$6:$BE$6,1))),NA())</f>
        <v>#N/A</v>
      </c>
      <c r="BG465" t="e">
        <f t="shared" si="473"/>
        <v>#N/A</v>
      </c>
      <c r="BH465" t="e">
        <f t="shared" si="474"/>
        <v>#N/A</v>
      </c>
      <c r="BI465" t="e">
        <f t="shared" si="475"/>
        <v>#N/A</v>
      </c>
      <c r="BJ465" t="e">
        <f t="shared" si="476"/>
        <v>#N/A</v>
      </c>
      <c r="BK465" t="e">
        <f t="shared" si="477"/>
        <v>#N/A</v>
      </c>
      <c r="BL465" t="e">
        <f t="shared" si="478"/>
        <v>#N/A</v>
      </c>
      <c r="BM465" t="e">
        <f t="shared" si="479"/>
        <v>#N/A</v>
      </c>
      <c r="BN465" t="e">
        <f t="shared" si="480"/>
        <v>#N/A</v>
      </c>
      <c r="BO465" t="e">
        <f t="shared" si="481"/>
        <v>#N/A</v>
      </c>
      <c r="BP465" t="e">
        <f t="shared" si="482"/>
        <v>#N/A</v>
      </c>
      <c r="BQ465" t="e">
        <f t="shared" si="483"/>
        <v>#N/A</v>
      </c>
      <c r="BR465" t="e">
        <f t="shared" si="484"/>
        <v>#N/A</v>
      </c>
      <c r="BS465" t="e">
        <f t="shared" si="485"/>
        <v>#N/A</v>
      </c>
      <c r="BT465" t="e">
        <f t="shared" si="486"/>
        <v>#N/A</v>
      </c>
      <c r="BU465" t="e">
        <f t="shared" si="487"/>
        <v>#N/A</v>
      </c>
      <c r="BV465" t="e">
        <f t="shared" si="488"/>
        <v>#N/A</v>
      </c>
      <c r="BW465" t="e">
        <f t="shared" si="489"/>
        <v>#N/A</v>
      </c>
      <c r="BX465" t="e">
        <f t="shared" si="490"/>
        <v>#N/A</v>
      </c>
      <c r="BY465" t="e">
        <f t="shared" si="491"/>
        <v>#N/A</v>
      </c>
      <c r="BZ465" t="e">
        <f t="shared" si="492"/>
        <v>#N/A</v>
      </c>
      <c r="CA465" t="e">
        <f t="shared" si="493"/>
        <v>#N/A</v>
      </c>
      <c r="CB465" t="e">
        <f t="shared" si="494"/>
        <v>#N/A</v>
      </c>
      <c r="CC465" t="e">
        <f t="shared" si="495"/>
        <v>#N/A</v>
      </c>
      <c r="CD465" t="e">
        <f t="shared" si="496"/>
        <v>#N/A</v>
      </c>
      <c r="CE465" t="e">
        <f t="shared" si="497"/>
        <v>#N/A</v>
      </c>
      <c r="CF465" t="e">
        <f t="shared" si="498"/>
        <v>#N/A</v>
      </c>
      <c r="CG465" t="e">
        <f t="shared" si="499"/>
        <v>#N/A</v>
      </c>
      <c r="CI465" t="e">
        <f>AT159</f>
        <v>#N/A</v>
      </c>
      <c r="CJ465" t="e">
        <f>AU159</f>
        <v>#N/A</v>
      </c>
      <c r="CK465">
        <f>IF(ISNUMBER(CI465),IFERROR(MAX(0,AV159-CI465),0),0)</f>
        <v>0</v>
      </c>
      <c r="CL465">
        <f>IF(ISNUMBER(CI465),IFERROR(MAX(0,CI465-AV159),0),0)</f>
        <v>0</v>
      </c>
      <c r="CM465">
        <f>IF(ISNUMBER(CJ465),IFERROR(MAX(0,AW159-CJ465),0),0)</f>
        <v>0</v>
      </c>
      <c r="CN465">
        <f>IF(ISNUMBER(CJ465),IFERROR(MAX(0,CJ465-AW159),0),0)</f>
        <v>0</v>
      </c>
      <c r="CP465" t="e">
        <f>CB159</f>
        <v>#N/A</v>
      </c>
      <c r="CQ465" t="e">
        <f>CC159</f>
        <v>#N/A</v>
      </c>
      <c r="CR465">
        <f>IF(ISNUMBER(CP465),IFERROR(MAX(0,CD159-CP465),0),0)</f>
        <v>0</v>
      </c>
      <c r="CS465">
        <f>IF(ISNUMBER(CP465),IFERROR(MAX(0,CP465-CD159),0),0)</f>
        <v>0</v>
      </c>
      <c r="CT465">
        <f>IF(ISNUMBER(CQ465),IFERROR(MAX(0,CE159-CQ465),0),0)</f>
        <v>0</v>
      </c>
      <c r="CU465">
        <f>IF(ISNUMBER(CQ465),IFERROR(MAX(0,CQ465-CE159),0),0)</f>
        <v>0</v>
      </c>
    </row>
    <row r="466" spans="21:99" x14ac:dyDescent="0.3">
      <c r="U466">
        <v>460</v>
      </c>
      <c r="V466">
        <f t="shared" si="444"/>
        <v>115</v>
      </c>
      <c r="W466">
        <f t="shared" si="445"/>
        <v>4</v>
      </c>
      <c r="X466">
        <f t="shared" si="446"/>
        <v>0</v>
      </c>
      <c r="Y466">
        <f>IF(X466&lt;&gt;1,9999,CHOOSE(W466,INDEX(Gantt!$BQ$7:$BQ$119,V466),INDEX(Gantt!$BR$7:$BR$119,V466),INDEX(Gantt!$BT$7:$BT$119,V466),INDEX(Gantt!$BU$7:$BU$119,V466)))</f>
        <v>9999</v>
      </c>
      <c r="Z466">
        <f t="shared" si="447"/>
        <v>0</v>
      </c>
      <c r="AA466" t="e">
        <f t="shared" si="448"/>
        <v>#N/A</v>
      </c>
      <c r="AB466" t="e">
        <f t="shared" si="449"/>
        <v>#N/A</v>
      </c>
      <c r="AC466" t="e">
        <f t="shared" si="450"/>
        <v>#N/A</v>
      </c>
      <c r="AD466" t="e">
        <f t="shared" si="451"/>
        <v>#N/A</v>
      </c>
      <c r="AE466" t="e">
        <f t="shared" si="452"/>
        <v>#N/A</v>
      </c>
      <c r="AF466" t="e">
        <f t="shared" si="453"/>
        <v>#N/A</v>
      </c>
      <c r="AG466" t="e">
        <f t="shared" si="454"/>
        <v>#N/A</v>
      </c>
      <c r="AH466" t="e">
        <f t="shared" si="455"/>
        <v>#N/A</v>
      </c>
      <c r="AI466" t="e">
        <f t="shared" si="456"/>
        <v>#N/A</v>
      </c>
      <c r="AJ466" t="e">
        <f t="shared" si="457"/>
        <v>#N/A</v>
      </c>
      <c r="AK466" t="e">
        <f t="shared" si="458"/>
        <v>#N/A</v>
      </c>
      <c r="AL466" t="e">
        <f t="shared" si="459"/>
        <v>#N/A</v>
      </c>
      <c r="AM466" t="e">
        <f t="shared" si="460"/>
        <v>#N/A</v>
      </c>
      <c r="AN466" t="e">
        <f t="shared" si="461"/>
        <v>#N/A</v>
      </c>
      <c r="AO466" t="e">
        <f t="shared" si="462"/>
        <v>#N/A</v>
      </c>
      <c r="AP466" t="e">
        <f t="shared" si="463"/>
        <v>#N/A</v>
      </c>
      <c r="AQ466" t="e">
        <f t="shared" si="464"/>
        <v>#N/A</v>
      </c>
      <c r="AR466" t="e">
        <f t="shared" si="465"/>
        <v>#N/A</v>
      </c>
      <c r="AS466" t="e">
        <f t="shared" si="466"/>
        <v>#N/A</v>
      </c>
      <c r="AT466" t="e">
        <f t="shared" si="467"/>
        <v>#N/A</v>
      </c>
      <c r="AU466" t="e">
        <f t="shared" si="468"/>
        <v>#N/A</v>
      </c>
      <c r="AV466" t="e">
        <f t="shared" si="469"/>
        <v>#N/A</v>
      </c>
      <c r="AW466" t="e">
        <f t="shared" si="470"/>
        <v>#N/A</v>
      </c>
      <c r="AX466" t="e">
        <f t="shared" si="471"/>
        <v>#N/A</v>
      </c>
      <c r="AY466" t="e">
        <f t="shared" si="472"/>
        <v>#N/A</v>
      </c>
      <c r="BE466" t="e">
        <f>IF(Z466=1,IF(INDEX($C$7:$C$126,V466)&gt;=Gantt!$BF$6,NA(),MATCH(INDEX($C$7:$C$126,V466),Gantt!$J$6:$BE$6,1)),NA())</f>
        <v>#N/A</v>
      </c>
      <c r="BF466" t="e">
        <f>IF(Z466=1,IF((INDEX($D$7:$D$126,AA466)-1)&gt;=Gantt!$BF$6,NA(),IF((INDEX($D$7:$D$126,AA466)-1)&lt;Gantt!$J$6,0,MATCH((INDEX($D$7:$D$126,AA466)-1),Gantt!$J$6:$BE$6,1))),NA())</f>
        <v>#N/A</v>
      </c>
      <c r="BG466" t="e">
        <f t="shared" si="473"/>
        <v>#N/A</v>
      </c>
      <c r="BH466" t="e">
        <f t="shared" si="474"/>
        <v>#N/A</v>
      </c>
      <c r="BI466" t="e">
        <f t="shared" si="475"/>
        <v>#N/A</v>
      </c>
      <c r="BJ466" t="e">
        <f t="shared" si="476"/>
        <v>#N/A</v>
      </c>
      <c r="BK466" t="e">
        <f t="shared" si="477"/>
        <v>#N/A</v>
      </c>
      <c r="BL466" t="e">
        <f t="shared" si="478"/>
        <v>#N/A</v>
      </c>
      <c r="BM466" t="e">
        <f t="shared" si="479"/>
        <v>#N/A</v>
      </c>
      <c r="BN466" t="e">
        <f t="shared" si="480"/>
        <v>#N/A</v>
      </c>
      <c r="BO466" t="e">
        <f t="shared" si="481"/>
        <v>#N/A</v>
      </c>
      <c r="BP466" t="e">
        <f t="shared" si="482"/>
        <v>#N/A</v>
      </c>
      <c r="BQ466" t="e">
        <f t="shared" si="483"/>
        <v>#N/A</v>
      </c>
      <c r="BR466" t="e">
        <f t="shared" si="484"/>
        <v>#N/A</v>
      </c>
      <c r="BS466" t="e">
        <f t="shared" si="485"/>
        <v>#N/A</v>
      </c>
      <c r="BT466" t="e">
        <f t="shared" si="486"/>
        <v>#N/A</v>
      </c>
      <c r="BU466" t="e">
        <f t="shared" si="487"/>
        <v>#N/A</v>
      </c>
      <c r="BV466" t="e">
        <f t="shared" si="488"/>
        <v>#N/A</v>
      </c>
      <c r="BW466" t="e">
        <f t="shared" si="489"/>
        <v>#N/A</v>
      </c>
      <c r="BX466" t="e">
        <f t="shared" si="490"/>
        <v>#N/A</v>
      </c>
      <c r="BY466" t="e">
        <f t="shared" si="491"/>
        <v>#N/A</v>
      </c>
      <c r="BZ466" t="e">
        <f t="shared" si="492"/>
        <v>#N/A</v>
      </c>
      <c r="CA466" t="e">
        <f t="shared" si="493"/>
        <v>#N/A</v>
      </c>
      <c r="CB466" t="e">
        <f t="shared" si="494"/>
        <v>#N/A</v>
      </c>
      <c r="CC466" t="e">
        <f t="shared" si="495"/>
        <v>#N/A</v>
      </c>
      <c r="CD466" t="e">
        <f t="shared" si="496"/>
        <v>#N/A</v>
      </c>
      <c r="CE466" t="e">
        <f t="shared" si="497"/>
        <v>#N/A</v>
      </c>
      <c r="CF466" t="e">
        <f t="shared" si="498"/>
        <v>#N/A</v>
      </c>
      <c r="CG466" t="e">
        <f t="shared" si="499"/>
        <v>#N/A</v>
      </c>
      <c r="CI466" t="e">
        <f>AL160</f>
        <v>#N/A</v>
      </c>
      <c r="CJ466" t="e">
        <f>AM160</f>
        <v>#N/A</v>
      </c>
      <c r="CK466">
        <f>IF(ISNUMBER(CI466),IFERROR(MAX(0,AN160-CI466),0),0)</f>
        <v>0</v>
      </c>
      <c r="CL466">
        <f>IF(ISNUMBER(CI466),IFERROR(MAX(0,CI466-AN160),0),0)</f>
        <v>0</v>
      </c>
      <c r="CM466">
        <f>IF(ISNUMBER(CJ466),IFERROR(MAX(0,AO160-CJ466),0),0)</f>
        <v>0</v>
      </c>
      <c r="CN466">
        <f>IF(ISNUMBER(CJ466),IFERROR(MAX(0,CJ466-AO160),0),0)</f>
        <v>0</v>
      </c>
      <c r="CP466" t="e">
        <f>BT160</f>
        <v>#N/A</v>
      </c>
      <c r="CQ466" t="e">
        <f>BU160</f>
        <v>#N/A</v>
      </c>
      <c r="CR466">
        <f>IF(ISNUMBER(CP466),IFERROR(MAX(0,BV160-CP466),0),0)</f>
        <v>0</v>
      </c>
      <c r="CS466">
        <f>IF(ISNUMBER(CP466),IFERROR(MAX(0,CP466-BV160),0),0)</f>
        <v>0</v>
      </c>
      <c r="CT466">
        <f>IF(ISNUMBER(CQ466),IFERROR(MAX(0,BW160-CQ466),0),0)</f>
        <v>0</v>
      </c>
      <c r="CU466">
        <f>IF(ISNUMBER(CQ466),IFERROR(MAX(0,CQ466-BW160),0),0)</f>
        <v>0</v>
      </c>
    </row>
    <row r="467" spans="21:99" x14ac:dyDescent="0.3">
      <c r="U467">
        <v>461</v>
      </c>
      <c r="V467">
        <f t="shared" si="444"/>
        <v>116</v>
      </c>
      <c r="W467">
        <f t="shared" si="445"/>
        <v>1</v>
      </c>
      <c r="X467">
        <f t="shared" si="446"/>
        <v>0</v>
      </c>
      <c r="Y467">
        <f>IF(X467&lt;&gt;1,9999,CHOOSE(W467,INDEX(Gantt!$BQ$7:$BQ$119,V467),INDEX(Gantt!$BR$7:$BR$119,V467),INDEX(Gantt!$BT$7:$BT$119,V467),INDEX(Gantt!$BU$7:$BU$119,V467)))</f>
        <v>9999</v>
      </c>
      <c r="Z467">
        <f t="shared" si="447"/>
        <v>0</v>
      </c>
      <c r="AA467" t="e">
        <f t="shared" si="448"/>
        <v>#N/A</v>
      </c>
      <c r="AB467" t="e">
        <f t="shared" si="449"/>
        <v>#N/A</v>
      </c>
      <c r="AC467" t="e">
        <f t="shared" si="450"/>
        <v>#N/A</v>
      </c>
      <c r="AD467" t="e">
        <f t="shared" si="451"/>
        <v>#N/A</v>
      </c>
      <c r="AE467" t="e">
        <f t="shared" si="452"/>
        <v>#N/A</v>
      </c>
      <c r="AF467" t="e">
        <f t="shared" si="453"/>
        <v>#N/A</v>
      </c>
      <c r="AG467" t="e">
        <f t="shared" si="454"/>
        <v>#N/A</v>
      </c>
      <c r="AH467" t="e">
        <f t="shared" si="455"/>
        <v>#N/A</v>
      </c>
      <c r="AI467" t="e">
        <f t="shared" si="456"/>
        <v>#N/A</v>
      </c>
      <c r="AJ467" t="e">
        <f t="shared" si="457"/>
        <v>#N/A</v>
      </c>
      <c r="AK467" t="e">
        <f t="shared" si="458"/>
        <v>#N/A</v>
      </c>
      <c r="AL467" t="e">
        <f t="shared" si="459"/>
        <v>#N/A</v>
      </c>
      <c r="AM467" t="e">
        <f t="shared" si="460"/>
        <v>#N/A</v>
      </c>
      <c r="AN467" t="e">
        <f t="shared" si="461"/>
        <v>#N/A</v>
      </c>
      <c r="AO467" t="e">
        <f t="shared" si="462"/>
        <v>#N/A</v>
      </c>
      <c r="AP467" t="e">
        <f t="shared" si="463"/>
        <v>#N/A</v>
      </c>
      <c r="AQ467" t="e">
        <f t="shared" si="464"/>
        <v>#N/A</v>
      </c>
      <c r="AR467" t="e">
        <f t="shared" si="465"/>
        <v>#N/A</v>
      </c>
      <c r="AS467" t="e">
        <f t="shared" si="466"/>
        <v>#N/A</v>
      </c>
      <c r="AT467" t="e">
        <f t="shared" si="467"/>
        <v>#N/A</v>
      </c>
      <c r="AU467" t="e">
        <f t="shared" si="468"/>
        <v>#N/A</v>
      </c>
      <c r="AV467" t="e">
        <f t="shared" si="469"/>
        <v>#N/A</v>
      </c>
      <c r="AW467" t="e">
        <f t="shared" si="470"/>
        <v>#N/A</v>
      </c>
      <c r="AX467" t="e">
        <f t="shared" si="471"/>
        <v>#N/A</v>
      </c>
      <c r="AY467" t="e">
        <f t="shared" si="472"/>
        <v>#N/A</v>
      </c>
      <c r="BE467" t="e">
        <f>IF(Z467=1,IF(INDEX($C$7:$C$126,V467)&gt;=Gantt!$BF$6,NA(),MATCH(INDEX($C$7:$C$126,V467),Gantt!$J$6:$BE$6,1)),NA())</f>
        <v>#N/A</v>
      </c>
      <c r="BF467" t="e">
        <f>IF(Z467=1,IF((INDEX($D$7:$D$126,AA467)-1)&gt;=Gantt!$BF$6,NA(),IF((INDEX($D$7:$D$126,AA467)-1)&lt;Gantt!$J$6,0,MATCH((INDEX($D$7:$D$126,AA467)-1),Gantt!$J$6:$BE$6,1))),NA())</f>
        <v>#N/A</v>
      </c>
      <c r="BG467" t="e">
        <f t="shared" si="473"/>
        <v>#N/A</v>
      </c>
      <c r="BH467" t="e">
        <f t="shared" si="474"/>
        <v>#N/A</v>
      </c>
      <c r="BI467" t="e">
        <f t="shared" si="475"/>
        <v>#N/A</v>
      </c>
      <c r="BJ467" t="e">
        <f t="shared" si="476"/>
        <v>#N/A</v>
      </c>
      <c r="BK467" t="e">
        <f t="shared" si="477"/>
        <v>#N/A</v>
      </c>
      <c r="BL467" t="e">
        <f t="shared" si="478"/>
        <v>#N/A</v>
      </c>
      <c r="BM467" t="e">
        <f t="shared" si="479"/>
        <v>#N/A</v>
      </c>
      <c r="BN467" t="e">
        <f t="shared" si="480"/>
        <v>#N/A</v>
      </c>
      <c r="BO467" t="e">
        <f t="shared" si="481"/>
        <v>#N/A</v>
      </c>
      <c r="BP467" t="e">
        <f t="shared" si="482"/>
        <v>#N/A</v>
      </c>
      <c r="BQ467" t="e">
        <f t="shared" si="483"/>
        <v>#N/A</v>
      </c>
      <c r="BR467" t="e">
        <f t="shared" si="484"/>
        <v>#N/A</v>
      </c>
      <c r="BS467" t="e">
        <f t="shared" si="485"/>
        <v>#N/A</v>
      </c>
      <c r="BT467" t="e">
        <f t="shared" si="486"/>
        <v>#N/A</v>
      </c>
      <c r="BU467" t="e">
        <f t="shared" si="487"/>
        <v>#N/A</v>
      </c>
      <c r="BV467" t="e">
        <f t="shared" si="488"/>
        <v>#N/A</v>
      </c>
      <c r="BW467" t="e">
        <f t="shared" si="489"/>
        <v>#N/A</v>
      </c>
      <c r="BX467" t="e">
        <f t="shared" si="490"/>
        <v>#N/A</v>
      </c>
      <c r="BY467" t="e">
        <f t="shared" si="491"/>
        <v>#N/A</v>
      </c>
      <c r="BZ467" t="e">
        <f t="shared" si="492"/>
        <v>#N/A</v>
      </c>
      <c r="CA467" t="e">
        <f t="shared" si="493"/>
        <v>#N/A</v>
      </c>
      <c r="CB467" t="e">
        <f t="shared" si="494"/>
        <v>#N/A</v>
      </c>
      <c r="CC467" t="e">
        <f t="shared" si="495"/>
        <v>#N/A</v>
      </c>
      <c r="CD467" t="e">
        <f t="shared" si="496"/>
        <v>#N/A</v>
      </c>
      <c r="CE467" t="e">
        <f t="shared" si="497"/>
        <v>#N/A</v>
      </c>
      <c r="CF467" t="e">
        <f t="shared" si="498"/>
        <v>#N/A</v>
      </c>
      <c r="CG467" t="e">
        <f t="shared" si="499"/>
        <v>#N/A</v>
      </c>
      <c r="CI467" t="e">
        <f>AP160</f>
        <v>#N/A</v>
      </c>
      <c r="CJ467" t="e">
        <f>AQ160</f>
        <v>#N/A</v>
      </c>
      <c r="CK467">
        <f>IF(ISNUMBER(CI467),IFERROR(MAX(0,AR160-CI467),0),0)</f>
        <v>0</v>
      </c>
      <c r="CL467">
        <f>IF(ISNUMBER(CI467),IFERROR(MAX(0,CI467-AR160),0),0)</f>
        <v>0</v>
      </c>
      <c r="CM467">
        <f>IF(ISNUMBER(CJ467),IFERROR(MAX(0,AS160-CJ467),0),0)</f>
        <v>0</v>
      </c>
      <c r="CN467">
        <f>IF(ISNUMBER(CJ467),IFERROR(MAX(0,CJ467-AS160),0),0)</f>
        <v>0</v>
      </c>
      <c r="CP467" t="e">
        <f>BX160</f>
        <v>#N/A</v>
      </c>
      <c r="CQ467" t="e">
        <f>BY160</f>
        <v>#N/A</v>
      </c>
      <c r="CR467">
        <f>IF(ISNUMBER(CP467),IFERROR(MAX(0,BZ160-CP467),0),0)</f>
        <v>0</v>
      </c>
      <c r="CS467">
        <f>IF(ISNUMBER(CP467),IFERROR(MAX(0,CP467-BZ160),0),0)</f>
        <v>0</v>
      </c>
      <c r="CT467">
        <f>IF(ISNUMBER(CQ467),IFERROR(MAX(0,CA160-CQ467),0),0)</f>
        <v>0</v>
      </c>
      <c r="CU467">
        <f>IF(ISNUMBER(CQ467),IFERROR(MAX(0,CQ467-CA160),0),0)</f>
        <v>0</v>
      </c>
    </row>
    <row r="468" spans="21:99" x14ac:dyDescent="0.3">
      <c r="U468">
        <v>462</v>
      </c>
      <c r="V468">
        <f t="shared" si="444"/>
        <v>116</v>
      </c>
      <c r="W468">
        <f t="shared" si="445"/>
        <v>2</v>
      </c>
      <c r="X468">
        <f t="shared" si="446"/>
        <v>0</v>
      </c>
      <c r="Y468">
        <f>IF(X468&lt;&gt;1,9999,CHOOSE(W468,INDEX(Gantt!$BQ$7:$BQ$119,V468),INDEX(Gantt!$BR$7:$BR$119,V468),INDEX(Gantt!$BT$7:$BT$119,V468),INDEX(Gantt!$BU$7:$BU$119,V468)))</f>
        <v>9999</v>
      </c>
      <c r="Z468">
        <f t="shared" si="447"/>
        <v>0</v>
      </c>
      <c r="AA468" t="e">
        <f t="shared" si="448"/>
        <v>#N/A</v>
      </c>
      <c r="AB468" t="e">
        <f t="shared" si="449"/>
        <v>#N/A</v>
      </c>
      <c r="AC468" t="e">
        <f t="shared" si="450"/>
        <v>#N/A</v>
      </c>
      <c r="AD468" t="e">
        <f t="shared" si="451"/>
        <v>#N/A</v>
      </c>
      <c r="AE468" t="e">
        <f t="shared" si="452"/>
        <v>#N/A</v>
      </c>
      <c r="AF468" t="e">
        <f t="shared" si="453"/>
        <v>#N/A</v>
      </c>
      <c r="AG468" t="e">
        <f t="shared" si="454"/>
        <v>#N/A</v>
      </c>
      <c r="AH468" t="e">
        <f t="shared" si="455"/>
        <v>#N/A</v>
      </c>
      <c r="AI468" t="e">
        <f t="shared" si="456"/>
        <v>#N/A</v>
      </c>
      <c r="AJ468" t="e">
        <f t="shared" si="457"/>
        <v>#N/A</v>
      </c>
      <c r="AK468" t="e">
        <f t="shared" si="458"/>
        <v>#N/A</v>
      </c>
      <c r="AL468" t="e">
        <f t="shared" si="459"/>
        <v>#N/A</v>
      </c>
      <c r="AM468" t="e">
        <f t="shared" si="460"/>
        <v>#N/A</v>
      </c>
      <c r="AN468" t="e">
        <f t="shared" si="461"/>
        <v>#N/A</v>
      </c>
      <c r="AO468" t="e">
        <f t="shared" si="462"/>
        <v>#N/A</v>
      </c>
      <c r="AP468" t="e">
        <f t="shared" si="463"/>
        <v>#N/A</v>
      </c>
      <c r="AQ468" t="e">
        <f t="shared" si="464"/>
        <v>#N/A</v>
      </c>
      <c r="AR468" t="e">
        <f t="shared" si="465"/>
        <v>#N/A</v>
      </c>
      <c r="AS468" t="e">
        <f t="shared" si="466"/>
        <v>#N/A</v>
      </c>
      <c r="AT468" t="e">
        <f t="shared" si="467"/>
        <v>#N/A</v>
      </c>
      <c r="AU468" t="e">
        <f t="shared" si="468"/>
        <v>#N/A</v>
      </c>
      <c r="AV468" t="e">
        <f t="shared" si="469"/>
        <v>#N/A</v>
      </c>
      <c r="AW468" t="e">
        <f t="shared" si="470"/>
        <v>#N/A</v>
      </c>
      <c r="AX468" t="e">
        <f t="shared" si="471"/>
        <v>#N/A</v>
      </c>
      <c r="AY468" t="e">
        <f t="shared" si="472"/>
        <v>#N/A</v>
      </c>
      <c r="BE468" t="e">
        <f>IF(Z468=1,IF(INDEX($C$7:$C$126,V468)&gt;=Gantt!$BF$6,NA(),MATCH(INDEX($C$7:$C$126,V468),Gantt!$J$6:$BE$6,1)),NA())</f>
        <v>#N/A</v>
      </c>
      <c r="BF468" t="e">
        <f>IF(Z468=1,IF((INDEX($D$7:$D$126,AA468)-1)&gt;=Gantt!$BF$6,NA(),IF((INDEX($D$7:$D$126,AA468)-1)&lt;Gantt!$J$6,0,MATCH((INDEX($D$7:$D$126,AA468)-1),Gantt!$J$6:$BE$6,1))),NA())</f>
        <v>#N/A</v>
      </c>
      <c r="BG468" t="e">
        <f t="shared" si="473"/>
        <v>#N/A</v>
      </c>
      <c r="BH468" t="e">
        <f t="shared" si="474"/>
        <v>#N/A</v>
      </c>
      <c r="BI468" t="e">
        <f t="shared" si="475"/>
        <v>#N/A</v>
      </c>
      <c r="BJ468" t="e">
        <f t="shared" si="476"/>
        <v>#N/A</v>
      </c>
      <c r="BK468" t="e">
        <f t="shared" si="477"/>
        <v>#N/A</v>
      </c>
      <c r="BL468" t="e">
        <f t="shared" si="478"/>
        <v>#N/A</v>
      </c>
      <c r="BM468" t="e">
        <f t="shared" si="479"/>
        <v>#N/A</v>
      </c>
      <c r="BN468" t="e">
        <f t="shared" si="480"/>
        <v>#N/A</v>
      </c>
      <c r="BO468" t="e">
        <f t="shared" si="481"/>
        <v>#N/A</v>
      </c>
      <c r="BP468" t="e">
        <f t="shared" si="482"/>
        <v>#N/A</v>
      </c>
      <c r="BQ468" t="e">
        <f t="shared" si="483"/>
        <v>#N/A</v>
      </c>
      <c r="BR468" t="e">
        <f t="shared" si="484"/>
        <v>#N/A</v>
      </c>
      <c r="BS468" t="e">
        <f t="shared" si="485"/>
        <v>#N/A</v>
      </c>
      <c r="BT468" t="e">
        <f t="shared" si="486"/>
        <v>#N/A</v>
      </c>
      <c r="BU468" t="e">
        <f t="shared" si="487"/>
        <v>#N/A</v>
      </c>
      <c r="BV468" t="e">
        <f t="shared" si="488"/>
        <v>#N/A</v>
      </c>
      <c r="BW468" t="e">
        <f t="shared" si="489"/>
        <v>#N/A</v>
      </c>
      <c r="BX468" t="e">
        <f t="shared" si="490"/>
        <v>#N/A</v>
      </c>
      <c r="BY468" t="e">
        <f t="shared" si="491"/>
        <v>#N/A</v>
      </c>
      <c r="BZ468" t="e">
        <f t="shared" si="492"/>
        <v>#N/A</v>
      </c>
      <c r="CA468" t="e">
        <f t="shared" si="493"/>
        <v>#N/A</v>
      </c>
      <c r="CB468" t="e">
        <f t="shared" si="494"/>
        <v>#N/A</v>
      </c>
      <c r="CC468" t="e">
        <f t="shared" si="495"/>
        <v>#N/A</v>
      </c>
      <c r="CD468" t="e">
        <f t="shared" si="496"/>
        <v>#N/A</v>
      </c>
      <c r="CE468" t="e">
        <f t="shared" si="497"/>
        <v>#N/A</v>
      </c>
      <c r="CF468" t="e">
        <f t="shared" si="498"/>
        <v>#N/A</v>
      </c>
      <c r="CG468" t="e">
        <f t="shared" si="499"/>
        <v>#N/A</v>
      </c>
      <c r="CI468" t="e">
        <f>AT160</f>
        <v>#N/A</v>
      </c>
      <c r="CJ468" t="e">
        <f>AU160</f>
        <v>#N/A</v>
      </c>
      <c r="CK468">
        <f>IF(ISNUMBER(CI468),IFERROR(MAX(0,AV160-CI468),0),0)</f>
        <v>0</v>
      </c>
      <c r="CL468">
        <f>IF(ISNUMBER(CI468),IFERROR(MAX(0,CI468-AV160),0),0)</f>
        <v>0</v>
      </c>
      <c r="CM468">
        <f>IF(ISNUMBER(CJ468),IFERROR(MAX(0,AW160-CJ468),0),0)</f>
        <v>0</v>
      </c>
      <c r="CN468">
        <f>IF(ISNUMBER(CJ468),IFERROR(MAX(0,CJ468-AW160),0),0)</f>
        <v>0</v>
      </c>
      <c r="CP468" t="e">
        <f>CB160</f>
        <v>#N/A</v>
      </c>
      <c r="CQ468" t="e">
        <f>CC160</f>
        <v>#N/A</v>
      </c>
      <c r="CR468">
        <f>IF(ISNUMBER(CP468),IFERROR(MAX(0,CD160-CP468),0),0)</f>
        <v>0</v>
      </c>
      <c r="CS468">
        <f>IF(ISNUMBER(CP468),IFERROR(MAX(0,CP468-CD160),0),0)</f>
        <v>0</v>
      </c>
      <c r="CT468">
        <f>IF(ISNUMBER(CQ468),IFERROR(MAX(0,CE160-CQ468),0),0)</f>
        <v>0</v>
      </c>
      <c r="CU468">
        <f>IF(ISNUMBER(CQ468),IFERROR(MAX(0,CQ468-CE160),0),0)</f>
        <v>0</v>
      </c>
    </row>
    <row r="469" spans="21:99" x14ac:dyDescent="0.3">
      <c r="U469">
        <v>463</v>
      </c>
      <c r="V469">
        <f t="shared" si="444"/>
        <v>116</v>
      </c>
      <c r="W469">
        <f t="shared" si="445"/>
        <v>3</v>
      </c>
      <c r="X469">
        <f t="shared" si="446"/>
        <v>0</v>
      </c>
      <c r="Y469">
        <f>IF(X469&lt;&gt;1,9999,CHOOSE(W469,INDEX(Gantt!$BQ$7:$BQ$119,V469),INDEX(Gantt!$BR$7:$BR$119,V469),INDEX(Gantt!$BT$7:$BT$119,V469),INDEX(Gantt!$BU$7:$BU$119,V469)))</f>
        <v>9999</v>
      </c>
      <c r="Z469">
        <f t="shared" si="447"/>
        <v>0</v>
      </c>
      <c r="AA469" t="e">
        <f t="shared" si="448"/>
        <v>#N/A</v>
      </c>
      <c r="AB469" t="e">
        <f t="shared" si="449"/>
        <v>#N/A</v>
      </c>
      <c r="AC469" t="e">
        <f t="shared" si="450"/>
        <v>#N/A</v>
      </c>
      <c r="AD469" t="e">
        <f t="shared" si="451"/>
        <v>#N/A</v>
      </c>
      <c r="AE469" t="e">
        <f t="shared" si="452"/>
        <v>#N/A</v>
      </c>
      <c r="AF469" t="e">
        <f t="shared" si="453"/>
        <v>#N/A</v>
      </c>
      <c r="AG469" t="e">
        <f t="shared" si="454"/>
        <v>#N/A</v>
      </c>
      <c r="AH469" t="e">
        <f t="shared" si="455"/>
        <v>#N/A</v>
      </c>
      <c r="AI469" t="e">
        <f t="shared" si="456"/>
        <v>#N/A</v>
      </c>
      <c r="AJ469" t="e">
        <f t="shared" si="457"/>
        <v>#N/A</v>
      </c>
      <c r="AK469" t="e">
        <f t="shared" si="458"/>
        <v>#N/A</v>
      </c>
      <c r="AL469" t="e">
        <f t="shared" si="459"/>
        <v>#N/A</v>
      </c>
      <c r="AM469" t="e">
        <f t="shared" si="460"/>
        <v>#N/A</v>
      </c>
      <c r="AN469" t="e">
        <f t="shared" si="461"/>
        <v>#N/A</v>
      </c>
      <c r="AO469" t="e">
        <f t="shared" si="462"/>
        <v>#N/A</v>
      </c>
      <c r="AP469" t="e">
        <f t="shared" si="463"/>
        <v>#N/A</v>
      </c>
      <c r="AQ469" t="e">
        <f t="shared" si="464"/>
        <v>#N/A</v>
      </c>
      <c r="AR469" t="e">
        <f t="shared" si="465"/>
        <v>#N/A</v>
      </c>
      <c r="AS469" t="e">
        <f t="shared" si="466"/>
        <v>#N/A</v>
      </c>
      <c r="AT469" t="e">
        <f t="shared" si="467"/>
        <v>#N/A</v>
      </c>
      <c r="AU469" t="e">
        <f t="shared" si="468"/>
        <v>#N/A</v>
      </c>
      <c r="AV469" t="e">
        <f t="shared" si="469"/>
        <v>#N/A</v>
      </c>
      <c r="AW469" t="e">
        <f t="shared" si="470"/>
        <v>#N/A</v>
      </c>
      <c r="AX469" t="e">
        <f t="shared" si="471"/>
        <v>#N/A</v>
      </c>
      <c r="AY469" t="e">
        <f t="shared" si="472"/>
        <v>#N/A</v>
      </c>
      <c r="BE469" t="e">
        <f>IF(Z469=1,IF(INDEX($C$7:$C$126,V469)&gt;=Gantt!$BF$6,NA(),MATCH(INDEX($C$7:$C$126,V469),Gantt!$J$6:$BE$6,1)),NA())</f>
        <v>#N/A</v>
      </c>
      <c r="BF469" t="e">
        <f>IF(Z469=1,IF((INDEX($D$7:$D$126,AA469)-1)&gt;=Gantt!$BF$6,NA(),IF((INDEX($D$7:$D$126,AA469)-1)&lt;Gantt!$J$6,0,MATCH((INDEX($D$7:$D$126,AA469)-1),Gantt!$J$6:$BE$6,1))),NA())</f>
        <v>#N/A</v>
      </c>
      <c r="BG469" t="e">
        <f t="shared" si="473"/>
        <v>#N/A</v>
      </c>
      <c r="BH469" t="e">
        <f t="shared" si="474"/>
        <v>#N/A</v>
      </c>
      <c r="BI469" t="e">
        <f t="shared" si="475"/>
        <v>#N/A</v>
      </c>
      <c r="BJ469" t="e">
        <f t="shared" si="476"/>
        <v>#N/A</v>
      </c>
      <c r="BK469" t="e">
        <f t="shared" si="477"/>
        <v>#N/A</v>
      </c>
      <c r="BL469" t="e">
        <f t="shared" si="478"/>
        <v>#N/A</v>
      </c>
      <c r="BM469" t="e">
        <f t="shared" si="479"/>
        <v>#N/A</v>
      </c>
      <c r="BN469" t="e">
        <f t="shared" si="480"/>
        <v>#N/A</v>
      </c>
      <c r="BO469" t="e">
        <f t="shared" si="481"/>
        <v>#N/A</v>
      </c>
      <c r="BP469" t="e">
        <f t="shared" si="482"/>
        <v>#N/A</v>
      </c>
      <c r="BQ469" t="e">
        <f t="shared" si="483"/>
        <v>#N/A</v>
      </c>
      <c r="BR469" t="e">
        <f t="shared" si="484"/>
        <v>#N/A</v>
      </c>
      <c r="BS469" t="e">
        <f t="shared" si="485"/>
        <v>#N/A</v>
      </c>
      <c r="BT469" t="e">
        <f t="shared" si="486"/>
        <v>#N/A</v>
      </c>
      <c r="BU469" t="e">
        <f t="shared" si="487"/>
        <v>#N/A</v>
      </c>
      <c r="BV469" t="e">
        <f t="shared" si="488"/>
        <v>#N/A</v>
      </c>
      <c r="BW469" t="e">
        <f t="shared" si="489"/>
        <v>#N/A</v>
      </c>
      <c r="BX469" t="e">
        <f t="shared" si="490"/>
        <v>#N/A</v>
      </c>
      <c r="BY469" t="e">
        <f t="shared" si="491"/>
        <v>#N/A</v>
      </c>
      <c r="BZ469" t="e">
        <f t="shared" si="492"/>
        <v>#N/A</v>
      </c>
      <c r="CA469" t="e">
        <f t="shared" si="493"/>
        <v>#N/A</v>
      </c>
      <c r="CB469" t="e">
        <f t="shared" si="494"/>
        <v>#N/A</v>
      </c>
      <c r="CC469" t="e">
        <f t="shared" si="495"/>
        <v>#N/A</v>
      </c>
      <c r="CD469" t="e">
        <f t="shared" si="496"/>
        <v>#N/A</v>
      </c>
      <c r="CE469" t="e">
        <f t="shared" si="497"/>
        <v>#N/A</v>
      </c>
      <c r="CF469" t="e">
        <f t="shared" si="498"/>
        <v>#N/A</v>
      </c>
      <c r="CG469" t="e">
        <f t="shared" si="499"/>
        <v>#N/A</v>
      </c>
      <c r="CI469" t="e">
        <f>AL161</f>
        <v>#N/A</v>
      </c>
      <c r="CJ469" t="e">
        <f>AM161</f>
        <v>#N/A</v>
      </c>
      <c r="CK469">
        <f>IF(ISNUMBER(CI469),IFERROR(MAX(0,AN161-CI469),0),0)</f>
        <v>0</v>
      </c>
      <c r="CL469">
        <f>IF(ISNUMBER(CI469),IFERROR(MAX(0,CI469-AN161),0),0)</f>
        <v>0</v>
      </c>
      <c r="CM469">
        <f>IF(ISNUMBER(CJ469),IFERROR(MAX(0,AO161-CJ469),0),0)</f>
        <v>0</v>
      </c>
      <c r="CN469">
        <f>IF(ISNUMBER(CJ469),IFERROR(MAX(0,CJ469-AO161),0),0)</f>
        <v>0</v>
      </c>
      <c r="CP469" t="e">
        <f>BT161</f>
        <v>#N/A</v>
      </c>
      <c r="CQ469" t="e">
        <f>BU161</f>
        <v>#N/A</v>
      </c>
      <c r="CR469">
        <f>IF(ISNUMBER(CP469),IFERROR(MAX(0,BV161-CP469),0),0)</f>
        <v>0</v>
      </c>
      <c r="CS469">
        <f>IF(ISNUMBER(CP469),IFERROR(MAX(0,CP469-BV161),0),0)</f>
        <v>0</v>
      </c>
      <c r="CT469">
        <f>IF(ISNUMBER(CQ469),IFERROR(MAX(0,BW161-CQ469),0),0)</f>
        <v>0</v>
      </c>
      <c r="CU469">
        <f>IF(ISNUMBER(CQ469),IFERROR(MAX(0,CQ469-BW161),0),0)</f>
        <v>0</v>
      </c>
    </row>
    <row r="470" spans="21:99" x14ac:dyDescent="0.3">
      <c r="U470">
        <v>464</v>
      </c>
      <c r="V470">
        <f t="shared" si="444"/>
        <v>116</v>
      </c>
      <c r="W470">
        <f t="shared" si="445"/>
        <v>4</v>
      </c>
      <c r="X470">
        <f t="shared" si="446"/>
        <v>0</v>
      </c>
      <c r="Y470">
        <f>IF(X470&lt;&gt;1,9999,CHOOSE(W470,INDEX(Gantt!$BQ$7:$BQ$119,V470),INDEX(Gantt!$BR$7:$BR$119,V470),INDEX(Gantt!$BT$7:$BT$119,V470),INDEX(Gantt!$BU$7:$BU$119,V470)))</f>
        <v>9999</v>
      </c>
      <c r="Z470">
        <f t="shared" si="447"/>
        <v>0</v>
      </c>
      <c r="AA470" t="e">
        <f t="shared" si="448"/>
        <v>#N/A</v>
      </c>
      <c r="AB470" t="e">
        <f t="shared" si="449"/>
        <v>#N/A</v>
      </c>
      <c r="AC470" t="e">
        <f t="shared" si="450"/>
        <v>#N/A</v>
      </c>
      <c r="AD470" t="e">
        <f t="shared" si="451"/>
        <v>#N/A</v>
      </c>
      <c r="AE470" t="e">
        <f t="shared" si="452"/>
        <v>#N/A</v>
      </c>
      <c r="AF470" t="e">
        <f t="shared" si="453"/>
        <v>#N/A</v>
      </c>
      <c r="AG470" t="e">
        <f t="shared" si="454"/>
        <v>#N/A</v>
      </c>
      <c r="AH470" t="e">
        <f t="shared" si="455"/>
        <v>#N/A</v>
      </c>
      <c r="AI470" t="e">
        <f t="shared" si="456"/>
        <v>#N/A</v>
      </c>
      <c r="AJ470" t="e">
        <f t="shared" si="457"/>
        <v>#N/A</v>
      </c>
      <c r="AK470" t="e">
        <f t="shared" si="458"/>
        <v>#N/A</v>
      </c>
      <c r="AL470" t="e">
        <f t="shared" si="459"/>
        <v>#N/A</v>
      </c>
      <c r="AM470" t="e">
        <f t="shared" si="460"/>
        <v>#N/A</v>
      </c>
      <c r="AN470" t="e">
        <f t="shared" si="461"/>
        <v>#N/A</v>
      </c>
      <c r="AO470" t="e">
        <f t="shared" si="462"/>
        <v>#N/A</v>
      </c>
      <c r="AP470" t="e">
        <f t="shared" si="463"/>
        <v>#N/A</v>
      </c>
      <c r="AQ470" t="e">
        <f t="shared" si="464"/>
        <v>#N/A</v>
      </c>
      <c r="AR470" t="e">
        <f t="shared" si="465"/>
        <v>#N/A</v>
      </c>
      <c r="AS470" t="e">
        <f t="shared" si="466"/>
        <v>#N/A</v>
      </c>
      <c r="AT470" t="e">
        <f t="shared" si="467"/>
        <v>#N/A</v>
      </c>
      <c r="AU470" t="e">
        <f t="shared" si="468"/>
        <v>#N/A</v>
      </c>
      <c r="AV470" t="e">
        <f t="shared" si="469"/>
        <v>#N/A</v>
      </c>
      <c r="AW470" t="e">
        <f t="shared" si="470"/>
        <v>#N/A</v>
      </c>
      <c r="AX470" t="e">
        <f t="shared" si="471"/>
        <v>#N/A</v>
      </c>
      <c r="AY470" t="e">
        <f t="shared" si="472"/>
        <v>#N/A</v>
      </c>
      <c r="BE470" t="e">
        <f>IF(Z470=1,IF(INDEX($C$7:$C$126,V470)&gt;=Gantt!$BF$6,NA(),MATCH(INDEX($C$7:$C$126,V470),Gantt!$J$6:$BE$6,1)),NA())</f>
        <v>#N/A</v>
      </c>
      <c r="BF470" t="e">
        <f>IF(Z470=1,IF((INDEX($D$7:$D$126,AA470)-1)&gt;=Gantt!$BF$6,NA(),IF((INDEX($D$7:$D$126,AA470)-1)&lt;Gantt!$J$6,0,MATCH((INDEX($D$7:$D$126,AA470)-1),Gantt!$J$6:$BE$6,1))),NA())</f>
        <v>#N/A</v>
      </c>
      <c r="BG470" t="e">
        <f t="shared" si="473"/>
        <v>#N/A</v>
      </c>
      <c r="BH470" t="e">
        <f t="shared" si="474"/>
        <v>#N/A</v>
      </c>
      <c r="BI470" t="e">
        <f t="shared" si="475"/>
        <v>#N/A</v>
      </c>
      <c r="BJ470" t="e">
        <f t="shared" si="476"/>
        <v>#N/A</v>
      </c>
      <c r="BK470" t="e">
        <f t="shared" si="477"/>
        <v>#N/A</v>
      </c>
      <c r="BL470" t="e">
        <f t="shared" si="478"/>
        <v>#N/A</v>
      </c>
      <c r="BM470" t="e">
        <f t="shared" si="479"/>
        <v>#N/A</v>
      </c>
      <c r="BN470" t="e">
        <f t="shared" si="480"/>
        <v>#N/A</v>
      </c>
      <c r="BO470" t="e">
        <f t="shared" si="481"/>
        <v>#N/A</v>
      </c>
      <c r="BP470" t="e">
        <f t="shared" si="482"/>
        <v>#N/A</v>
      </c>
      <c r="BQ470" t="e">
        <f t="shared" si="483"/>
        <v>#N/A</v>
      </c>
      <c r="BR470" t="e">
        <f t="shared" si="484"/>
        <v>#N/A</v>
      </c>
      <c r="BS470" t="e">
        <f t="shared" si="485"/>
        <v>#N/A</v>
      </c>
      <c r="BT470" t="e">
        <f t="shared" si="486"/>
        <v>#N/A</v>
      </c>
      <c r="BU470" t="e">
        <f t="shared" si="487"/>
        <v>#N/A</v>
      </c>
      <c r="BV470" t="e">
        <f t="shared" si="488"/>
        <v>#N/A</v>
      </c>
      <c r="BW470" t="e">
        <f t="shared" si="489"/>
        <v>#N/A</v>
      </c>
      <c r="BX470" t="e">
        <f t="shared" si="490"/>
        <v>#N/A</v>
      </c>
      <c r="BY470" t="e">
        <f t="shared" si="491"/>
        <v>#N/A</v>
      </c>
      <c r="BZ470" t="e">
        <f t="shared" si="492"/>
        <v>#N/A</v>
      </c>
      <c r="CA470" t="e">
        <f t="shared" si="493"/>
        <v>#N/A</v>
      </c>
      <c r="CB470" t="e">
        <f t="shared" si="494"/>
        <v>#N/A</v>
      </c>
      <c r="CC470" t="e">
        <f t="shared" si="495"/>
        <v>#N/A</v>
      </c>
      <c r="CD470" t="e">
        <f t="shared" si="496"/>
        <v>#N/A</v>
      </c>
      <c r="CE470" t="e">
        <f t="shared" si="497"/>
        <v>#N/A</v>
      </c>
      <c r="CF470" t="e">
        <f t="shared" si="498"/>
        <v>#N/A</v>
      </c>
      <c r="CG470" t="e">
        <f t="shared" si="499"/>
        <v>#N/A</v>
      </c>
      <c r="CI470" t="e">
        <f>AP161</f>
        <v>#N/A</v>
      </c>
      <c r="CJ470" t="e">
        <f>AQ161</f>
        <v>#N/A</v>
      </c>
      <c r="CK470">
        <f>IF(ISNUMBER(CI470),IFERROR(MAX(0,AR161-CI470),0),0)</f>
        <v>0</v>
      </c>
      <c r="CL470">
        <f>IF(ISNUMBER(CI470),IFERROR(MAX(0,CI470-AR161),0),0)</f>
        <v>0</v>
      </c>
      <c r="CM470">
        <f>IF(ISNUMBER(CJ470),IFERROR(MAX(0,AS161-CJ470),0),0)</f>
        <v>0</v>
      </c>
      <c r="CN470">
        <f>IF(ISNUMBER(CJ470),IFERROR(MAX(0,CJ470-AS161),0),0)</f>
        <v>0</v>
      </c>
      <c r="CP470" t="e">
        <f>BX161</f>
        <v>#N/A</v>
      </c>
      <c r="CQ470" t="e">
        <f>BY161</f>
        <v>#N/A</v>
      </c>
      <c r="CR470">
        <f>IF(ISNUMBER(CP470),IFERROR(MAX(0,BZ161-CP470),0),0)</f>
        <v>0</v>
      </c>
      <c r="CS470">
        <f>IF(ISNUMBER(CP470),IFERROR(MAX(0,CP470-BZ161),0),0)</f>
        <v>0</v>
      </c>
      <c r="CT470">
        <f>IF(ISNUMBER(CQ470),IFERROR(MAX(0,CA161-CQ470),0),0)</f>
        <v>0</v>
      </c>
      <c r="CU470">
        <f>IF(ISNUMBER(CQ470),IFERROR(MAX(0,CQ470-CA161),0),0)</f>
        <v>0</v>
      </c>
    </row>
    <row r="471" spans="21:99" x14ac:dyDescent="0.3">
      <c r="U471">
        <v>465</v>
      </c>
      <c r="V471">
        <f t="shared" si="444"/>
        <v>117</v>
      </c>
      <c r="W471">
        <f t="shared" si="445"/>
        <v>1</v>
      </c>
      <c r="X471">
        <f t="shared" si="446"/>
        <v>0</v>
      </c>
      <c r="Y471">
        <f>IF(X471&lt;&gt;1,9999,CHOOSE(W471,INDEX(Gantt!$BQ$7:$BQ$119,V471),INDEX(Gantt!$BR$7:$BR$119,V471),INDEX(Gantt!$BT$7:$BT$119,V471),INDEX(Gantt!$BU$7:$BU$119,V471)))</f>
        <v>9999</v>
      </c>
      <c r="Z471">
        <f t="shared" si="447"/>
        <v>0</v>
      </c>
      <c r="AA471" t="e">
        <f t="shared" si="448"/>
        <v>#N/A</v>
      </c>
      <c r="AB471" t="e">
        <f t="shared" si="449"/>
        <v>#N/A</v>
      </c>
      <c r="AC471" t="e">
        <f t="shared" si="450"/>
        <v>#N/A</v>
      </c>
      <c r="AD471" t="e">
        <f t="shared" si="451"/>
        <v>#N/A</v>
      </c>
      <c r="AE471" t="e">
        <f t="shared" si="452"/>
        <v>#N/A</v>
      </c>
      <c r="AF471" t="e">
        <f t="shared" si="453"/>
        <v>#N/A</v>
      </c>
      <c r="AG471" t="e">
        <f t="shared" si="454"/>
        <v>#N/A</v>
      </c>
      <c r="AH471" t="e">
        <f t="shared" si="455"/>
        <v>#N/A</v>
      </c>
      <c r="AI471" t="e">
        <f t="shared" si="456"/>
        <v>#N/A</v>
      </c>
      <c r="AJ471" t="e">
        <f t="shared" si="457"/>
        <v>#N/A</v>
      </c>
      <c r="AK471" t="e">
        <f t="shared" si="458"/>
        <v>#N/A</v>
      </c>
      <c r="AL471" t="e">
        <f t="shared" si="459"/>
        <v>#N/A</v>
      </c>
      <c r="AM471" t="e">
        <f t="shared" si="460"/>
        <v>#N/A</v>
      </c>
      <c r="AN471" t="e">
        <f t="shared" si="461"/>
        <v>#N/A</v>
      </c>
      <c r="AO471" t="e">
        <f t="shared" si="462"/>
        <v>#N/A</v>
      </c>
      <c r="AP471" t="e">
        <f t="shared" si="463"/>
        <v>#N/A</v>
      </c>
      <c r="AQ471" t="e">
        <f t="shared" si="464"/>
        <v>#N/A</v>
      </c>
      <c r="AR471" t="e">
        <f t="shared" si="465"/>
        <v>#N/A</v>
      </c>
      <c r="AS471" t="e">
        <f t="shared" si="466"/>
        <v>#N/A</v>
      </c>
      <c r="AT471" t="e">
        <f t="shared" si="467"/>
        <v>#N/A</v>
      </c>
      <c r="AU471" t="e">
        <f t="shared" si="468"/>
        <v>#N/A</v>
      </c>
      <c r="AV471" t="e">
        <f t="shared" si="469"/>
        <v>#N/A</v>
      </c>
      <c r="AW471" t="e">
        <f t="shared" si="470"/>
        <v>#N/A</v>
      </c>
      <c r="AX471" t="e">
        <f t="shared" si="471"/>
        <v>#N/A</v>
      </c>
      <c r="AY471" t="e">
        <f t="shared" si="472"/>
        <v>#N/A</v>
      </c>
      <c r="BE471" t="e">
        <f>IF(Z471=1,IF(INDEX($C$7:$C$126,V471)&gt;=Gantt!$BF$6,NA(),MATCH(INDEX($C$7:$C$126,V471),Gantt!$J$6:$BE$6,1)),NA())</f>
        <v>#N/A</v>
      </c>
      <c r="BF471" t="e">
        <f>IF(Z471=1,IF((INDEX($D$7:$D$126,AA471)-1)&gt;=Gantt!$BF$6,NA(),IF((INDEX($D$7:$D$126,AA471)-1)&lt;Gantt!$J$6,0,MATCH((INDEX($D$7:$D$126,AA471)-1),Gantt!$J$6:$BE$6,1))),NA())</f>
        <v>#N/A</v>
      </c>
      <c r="BG471" t="e">
        <f t="shared" si="473"/>
        <v>#N/A</v>
      </c>
      <c r="BH471" t="e">
        <f t="shared" si="474"/>
        <v>#N/A</v>
      </c>
      <c r="BI471" t="e">
        <f t="shared" si="475"/>
        <v>#N/A</v>
      </c>
      <c r="BJ471" t="e">
        <f t="shared" si="476"/>
        <v>#N/A</v>
      </c>
      <c r="BK471" t="e">
        <f t="shared" si="477"/>
        <v>#N/A</v>
      </c>
      <c r="BL471" t="e">
        <f t="shared" si="478"/>
        <v>#N/A</v>
      </c>
      <c r="BM471" t="e">
        <f t="shared" si="479"/>
        <v>#N/A</v>
      </c>
      <c r="BN471" t="e">
        <f t="shared" si="480"/>
        <v>#N/A</v>
      </c>
      <c r="BO471" t="e">
        <f t="shared" si="481"/>
        <v>#N/A</v>
      </c>
      <c r="BP471" t="e">
        <f t="shared" si="482"/>
        <v>#N/A</v>
      </c>
      <c r="BQ471" t="e">
        <f t="shared" si="483"/>
        <v>#N/A</v>
      </c>
      <c r="BR471" t="e">
        <f t="shared" si="484"/>
        <v>#N/A</v>
      </c>
      <c r="BS471" t="e">
        <f t="shared" si="485"/>
        <v>#N/A</v>
      </c>
      <c r="BT471" t="e">
        <f t="shared" si="486"/>
        <v>#N/A</v>
      </c>
      <c r="BU471" t="e">
        <f t="shared" si="487"/>
        <v>#N/A</v>
      </c>
      <c r="BV471" t="e">
        <f t="shared" si="488"/>
        <v>#N/A</v>
      </c>
      <c r="BW471" t="e">
        <f t="shared" si="489"/>
        <v>#N/A</v>
      </c>
      <c r="BX471" t="e">
        <f t="shared" si="490"/>
        <v>#N/A</v>
      </c>
      <c r="BY471" t="e">
        <f t="shared" si="491"/>
        <v>#N/A</v>
      </c>
      <c r="BZ471" t="e">
        <f t="shared" si="492"/>
        <v>#N/A</v>
      </c>
      <c r="CA471" t="e">
        <f t="shared" si="493"/>
        <v>#N/A</v>
      </c>
      <c r="CB471" t="e">
        <f t="shared" si="494"/>
        <v>#N/A</v>
      </c>
      <c r="CC471" t="e">
        <f t="shared" si="495"/>
        <v>#N/A</v>
      </c>
      <c r="CD471" t="e">
        <f t="shared" si="496"/>
        <v>#N/A</v>
      </c>
      <c r="CE471" t="e">
        <f t="shared" si="497"/>
        <v>#N/A</v>
      </c>
      <c r="CF471" t="e">
        <f t="shared" si="498"/>
        <v>#N/A</v>
      </c>
      <c r="CG471" t="e">
        <f t="shared" si="499"/>
        <v>#N/A</v>
      </c>
      <c r="CI471" t="e">
        <f>AT161</f>
        <v>#N/A</v>
      </c>
      <c r="CJ471" t="e">
        <f>AU161</f>
        <v>#N/A</v>
      </c>
      <c r="CK471">
        <f>IF(ISNUMBER(CI471),IFERROR(MAX(0,AV161-CI471),0),0)</f>
        <v>0</v>
      </c>
      <c r="CL471">
        <f>IF(ISNUMBER(CI471),IFERROR(MAX(0,CI471-AV161),0),0)</f>
        <v>0</v>
      </c>
      <c r="CM471">
        <f>IF(ISNUMBER(CJ471),IFERROR(MAX(0,AW161-CJ471),0),0)</f>
        <v>0</v>
      </c>
      <c r="CN471">
        <f>IF(ISNUMBER(CJ471),IFERROR(MAX(0,CJ471-AW161),0),0)</f>
        <v>0</v>
      </c>
      <c r="CP471" t="e">
        <f>CB161</f>
        <v>#N/A</v>
      </c>
      <c r="CQ471" t="e">
        <f>CC161</f>
        <v>#N/A</v>
      </c>
      <c r="CR471">
        <f>IF(ISNUMBER(CP471),IFERROR(MAX(0,CD161-CP471),0),0)</f>
        <v>0</v>
      </c>
      <c r="CS471">
        <f>IF(ISNUMBER(CP471),IFERROR(MAX(0,CP471-CD161),0),0)</f>
        <v>0</v>
      </c>
      <c r="CT471">
        <f>IF(ISNUMBER(CQ471),IFERROR(MAX(0,CE161-CQ471),0),0)</f>
        <v>0</v>
      </c>
      <c r="CU471">
        <f>IF(ISNUMBER(CQ471),IFERROR(MAX(0,CQ471-CE161),0),0)</f>
        <v>0</v>
      </c>
    </row>
    <row r="472" spans="21:99" x14ac:dyDescent="0.3">
      <c r="U472">
        <v>466</v>
      </c>
      <c r="V472">
        <f t="shared" si="444"/>
        <v>117</v>
      </c>
      <c r="W472">
        <f t="shared" si="445"/>
        <v>2</v>
      </c>
      <c r="X472">
        <f t="shared" si="446"/>
        <v>0</v>
      </c>
      <c r="Y472">
        <f>IF(X472&lt;&gt;1,9999,CHOOSE(W472,INDEX(Gantt!$BQ$7:$BQ$119,V472),INDEX(Gantt!$BR$7:$BR$119,V472),INDEX(Gantt!$BT$7:$BT$119,V472),INDEX(Gantt!$BU$7:$BU$119,V472)))</f>
        <v>9999</v>
      </c>
      <c r="Z472">
        <f t="shared" si="447"/>
        <v>0</v>
      </c>
      <c r="AA472" t="e">
        <f t="shared" si="448"/>
        <v>#N/A</v>
      </c>
      <c r="AB472" t="e">
        <f t="shared" si="449"/>
        <v>#N/A</v>
      </c>
      <c r="AC472" t="e">
        <f t="shared" si="450"/>
        <v>#N/A</v>
      </c>
      <c r="AD472" t="e">
        <f t="shared" si="451"/>
        <v>#N/A</v>
      </c>
      <c r="AE472" t="e">
        <f t="shared" si="452"/>
        <v>#N/A</v>
      </c>
      <c r="AF472" t="e">
        <f t="shared" si="453"/>
        <v>#N/A</v>
      </c>
      <c r="AG472" t="e">
        <f t="shared" si="454"/>
        <v>#N/A</v>
      </c>
      <c r="AH472" t="e">
        <f t="shared" si="455"/>
        <v>#N/A</v>
      </c>
      <c r="AI472" t="e">
        <f t="shared" si="456"/>
        <v>#N/A</v>
      </c>
      <c r="AJ472" t="e">
        <f t="shared" si="457"/>
        <v>#N/A</v>
      </c>
      <c r="AK472" t="e">
        <f t="shared" si="458"/>
        <v>#N/A</v>
      </c>
      <c r="AL472" t="e">
        <f t="shared" si="459"/>
        <v>#N/A</v>
      </c>
      <c r="AM472" t="e">
        <f t="shared" si="460"/>
        <v>#N/A</v>
      </c>
      <c r="AN472" t="e">
        <f t="shared" si="461"/>
        <v>#N/A</v>
      </c>
      <c r="AO472" t="e">
        <f t="shared" si="462"/>
        <v>#N/A</v>
      </c>
      <c r="AP472" t="e">
        <f t="shared" si="463"/>
        <v>#N/A</v>
      </c>
      <c r="AQ472" t="e">
        <f t="shared" si="464"/>
        <v>#N/A</v>
      </c>
      <c r="AR472" t="e">
        <f t="shared" si="465"/>
        <v>#N/A</v>
      </c>
      <c r="AS472" t="e">
        <f t="shared" si="466"/>
        <v>#N/A</v>
      </c>
      <c r="AT472" t="e">
        <f t="shared" si="467"/>
        <v>#N/A</v>
      </c>
      <c r="AU472" t="e">
        <f t="shared" si="468"/>
        <v>#N/A</v>
      </c>
      <c r="AV472" t="e">
        <f t="shared" si="469"/>
        <v>#N/A</v>
      </c>
      <c r="AW472" t="e">
        <f t="shared" si="470"/>
        <v>#N/A</v>
      </c>
      <c r="AX472" t="e">
        <f t="shared" si="471"/>
        <v>#N/A</v>
      </c>
      <c r="AY472" t="e">
        <f t="shared" si="472"/>
        <v>#N/A</v>
      </c>
      <c r="BE472" t="e">
        <f>IF(Z472=1,IF(INDEX($C$7:$C$126,V472)&gt;=Gantt!$BF$6,NA(),MATCH(INDEX($C$7:$C$126,V472),Gantt!$J$6:$BE$6,1)),NA())</f>
        <v>#N/A</v>
      </c>
      <c r="BF472" t="e">
        <f>IF(Z472=1,IF((INDEX($D$7:$D$126,AA472)-1)&gt;=Gantt!$BF$6,NA(),IF((INDEX($D$7:$D$126,AA472)-1)&lt;Gantt!$J$6,0,MATCH((INDEX($D$7:$D$126,AA472)-1),Gantt!$J$6:$BE$6,1))),NA())</f>
        <v>#N/A</v>
      </c>
      <c r="BG472" t="e">
        <f t="shared" si="473"/>
        <v>#N/A</v>
      </c>
      <c r="BH472" t="e">
        <f t="shared" si="474"/>
        <v>#N/A</v>
      </c>
      <c r="BI472" t="e">
        <f t="shared" si="475"/>
        <v>#N/A</v>
      </c>
      <c r="BJ472" t="e">
        <f t="shared" si="476"/>
        <v>#N/A</v>
      </c>
      <c r="BK472" t="e">
        <f t="shared" si="477"/>
        <v>#N/A</v>
      </c>
      <c r="BL472" t="e">
        <f t="shared" si="478"/>
        <v>#N/A</v>
      </c>
      <c r="BM472" t="e">
        <f t="shared" si="479"/>
        <v>#N/A</v>
      </c>
      <c r="BN472" t="e">
        <f t="shared" si="480"/>
        <v>#N/A</v>
      </c>
      <c r="BO472" t="e">
        <f t="shared" si="481"/>
        <v>#N/A</v>
      </c>
      <c r="BP472" t="e">
        <f t="shared" si="482"/>
        <v>#N/A</v>
      </c>
      <c r="BQ472" t="e">
        <f t="shared" si="483"/>
        <v>#N/A</v>
      </c>
      <c r="BR472" t="e">
        <f t="shared" si="484"/>
        <v>#N/A</v>
      </c>
      <c r="BS472" t="e">
        <f t="shared" si="485"/>
        <v>#N/A</v>
      </c>
      <c r="BT472" t="e">
        <f t="shared" si="486"/>
        <v>#N/A</v>
      </c>
      <c r="BU472" t="e">
        <f t="shared" si="487"/>
        <v>#N/A</v>
      </c>
      <c r="BV472" t="e">
        <f t="shared" si="488"/>
        <v>#N/A</v>
      </c>
      <c r="BW472" t="e">
        <f t="shared" si="489"/>
        <v>#N/A</v>
      </c>
      <c r="BX472" t="e">
        <f t="shared" si="490"/>
        <v>#N/A</v>
      </c>
      <c r="BY472" t="e">
        <f t="shared" si="491"/>
        <v>#N/A</v>
      </c>
      <c r="BZ472" t="e">
        <f t="shared" si="492"/>
        <v>#N/A</v>
      </c>
      <c r="CA472" t="e">
        <f t="shared" si="493"/>
        <v>#N/A</v>
      </c>
      <c r="CB472" t="e">
        <f t="shared" si="494"/>
        <v>#N/A</v>
      </c>
      <c r="CC472" t="e">
        <f t="shared" si="495"/>
        <v>#N/A</v>
      </c>
      <c r="CD472" t="e">
        <f t="shared" si="496"/>
        <v>#N/A</v>
      </c>
      <c r="CE472" t="e">
        <f t="shared" si="497"/>
        <v>#N/A</v>
      </c>
      <c r="CF472" t="e">
        <f t="shared" si="498"/>
        <v>#N/A</v>
      </c>
      <c r="CG472" t="e">
        <f t="shared" si="499"/>
        <v>#N/A</v>
      </c>
      <c r="CI472" t="e">
        <f>AL162</f>
        <v>#N/A</v>
      </c>
      <c r="CJ472" t="e">
        <f>AM162</f>
        <v>#N/A</v>
      </c>
      <c r="CK472">
        <f>IF(ISNUMBER(CI472),IFERROR(MAX(0,AN162-CI472),0),0)</f>
        <v>0</v>
      </c>
      <c r="CL472">
        <f>IF(ISNUMBER(CI472),IFERROR(MAX(0,CI472-AN162),0),0)</f>
        <v>0</v>
      </c>
      <c r="CM472">
        <f>IF(ISNUMBER(CJ472),IFERROR(MAX(0,AO162-CJ472),0),0)</f>
        <v>0</v>
      </c>
      <c r="CN472">
        <f>IF(ISNUMBER(CJ472),IFERROR(MAX(0,CJ472-AO162),0),0)</f>
        <v>0</v>
      </c>
      <c r="CP472" t="e">
        <f>BT162</f>
        <v>#N/A</v>
      </c>
      <c r="CQ472" t="e">
        <f>BU162</f>
        <v>#N/A</v>
      </c>
      <c r="CR472">
        <f>IF(ISNUMBER(CP472),IFERROR(MAX(0,BV162-CP472),0),0)</f>
        <v>0</v>
      </c>
      <c r="CS472">
        <f>IF(ISNUMBER(CP472),IFERROR(MAX(0,CP472-BV162),0),0)</f>
        <v>0</v>
      </c>
      <c r="CT472">
        <f>IF(ISNUMBER(CQ472),IFERROR(MAX(0,BW162-CQ472),0),0)</f>
        <v>0</v>
      </c>
      <c r="CU472">
        <f>IF(ISNUMBER(CQ472),IFERROR(MAX(0,CQ472-BW162),0),0)</f>
        <v>0</v>
      </c>
    </row>
    <row r="473" spans="21:99" x14ac:dyDescent="0.3">
      <c r="U473">
        <v>467</v>
      </c>
      <c r="V473">
        <f t="shared" si="444"/>
        <v>117</v>
      </c>
      <c r="W473">
        <f t="shared" si="445"/>
        <v>3</v>
      </c>
      <c r="X473">
        <f t="shared" si="446"/>
        <v>0</v>
      </c>
      <c r="Y473">
        <f>IF(X473&lt;&gt;1,9999,CHOOSE(W473,INDEX(Gantt!$BQ$7:$BQ$119,V473),INDEX(Gantt!$BR$7:$BR$119,V473),INDEX(Gantt!$BT$7:$BT$119,V473),INDEX(Gantt!$BU$7:$BU$119,V473)))</f>
        <v>9999</v>
      </c>
      <c r="Z473">
        <f t="shared" si="447"/>
        <v>0</v>
      </c>
      <c r="AA473" t="e">
        <f t="shared" si="448"/>
        <v>#N/A</v>
      </c>
      <c r="AB473" t="e">
        <f t="shared" si="449"/>
        <v>#N/A</v>
      </c>
      <c r="AC473" t="e">
        <f t="shared" si="450"/>
        <v>#N/A</v>
      </c>
      <c r="AD473" t="e">
        <f t="shared" si="451"/>
        <v>#N/A</v>
      </c>
      <c r="AE473" t="e">
        <f t="shared" si="452"/>
        <v>#N/A</v>
      </c>
      <c r="AF473" t="e">
        <f t="shared" si="453"/>
        <v>#N/A</v>
      </c>
      <c r="AG473" t="e">
        <f t="shared" si="454"/>
        <v>#N/A</v>
      </c>
      <c r="AH473" t="e">
        <f t="shared" si="455"/>
        <v>#N/A</v>
      </c>
      <c r="AI473" t="e">
        <f t="shared" si="456"/>
        <v>#N/A</v>
      </c>
      <c r="AJ473" t="e">
        <f t="shared" si="457"/>
        <v>#N/A</v>
      </c>
      <c r="AK473" t="e">
        <f t="shared" si="458"/>
        <v>#N/A</v>
      </c>
      <c r="AL473" t="e">
        <f t="shared" si="459"/>
        <v>#N/A</v>
      </c>
      <c r="AM473" t="e">
        <f t="shared" si="460"/>
        <v>#N/A</v>
      </c>
      <c r="AN473" t="e">
        <f t="shared" si="461"/>
        <v>#N/A</v>
      </c>
      <c r="AO473" t="e">
        <f t="shared" si="462"/>
        <v>#N/A</v>
      </c>
      <c r="AP473" t="e">
        <f t="shared" si="463"/>
        <v>#N/A</v>
      </c>
      <c r="AQ473" t="e">
        <f t="shared" si="464"/>
        <v>#N/A</v>
      </c>
      <c r="AR473" t="e">
        <f t="shared" si="465"/>
        <v>#N/A</v>
      </c>
      <c r="AS473" t="e">
        <f t="shared" si="466"/>
        <v>#N/A</v>
      </c>
      <c r="AT473" t="e">
        <f t="shared" si="467"/>
        <v>#N/A</v>
      </c>
      <c r="AU473" t="e">
        <f t="shared" si="468"/>
        <v>#N/A</v>
      </c>
      <c r="AV473" t="e">
        <f t="shared" si="469"/>
        <v>#N/A</v>
      </c>
      <c r="AW473" t="e">
        <f t="shared" si="470"/>
        <v>#N/A</v>
      </c>
      <c r="AX473" t="e">
        <f t="shared" si="471"/>
        <v>#N/A</v>
      </c>
      <c r="AY473" t="e">
        <f t="shared" si="472"/>
        <v>#N/A</v>
      </c>
      <c r="BE473" t="e">
        <f>IF(Z473=1,IF(INDEX($C$7:$C$126,V473)&gt;=Gantt!$BF$6,NA(),MATCH(INDEX($C$7:$C$126,V473),Gantt!$J$6:$BE$6,1)),NA())</f>
        <v>#N/A</v>
      </c>
      <c r="BF473" t="e">
        <f>IF(Z473=1,IF((INDEX($D$7:$D$126,AA473)-1)&gt;=Gantt!$BF$6,NA(),IF((INDEX($D$7:$D$126,AA473)-1)&lt;Gantt!$J$6,0,MATCH((INDEX($D$7:$D$126,AA473)-1),Gantt!$J$6:$BE$6,1))),NA())</f>
        <v>#N/A</v>
      </c>
      <c r="BG473" t="e">
        <f t="shared" si="473"/>
        <v>#N/A</v>
      </c>
      <c r="BH473" t="e">
        <f t="shared" si="474"/>
        <v>#N/A</v>
      </c>
      <c r="BI473" t="e">
        <f t="shared" si="475"/>
        <v>#N/A</v>
      </c>
      <c r="BJ473" t="e">
        <f t="shared" si="476"/>
        <v>#N/A</v>
      </c>
      <c r="BK473" t="e">
        <f t="shared" si="477"/>
        <v>#N/A</v>
      </c>
      <c r="BL473" t="e">
        <f t="shared" si="478"/>
        <v>#N/A</v>
      </c>
      <c r="BM473" t="e">
        <f t="shared" si="479"/>
        <v>#N/A</v>
      </c>
      <c r="BN473" t="e">
        <f t="shared" si="480"/>
        <v>#N/A</v>
      </c>
      <c r="BO473" t="e">
        <f t="shared" si="481"/>
        <v>#N/A</v>
      </c>
      <c r="BP473" t="e">
        <f t="shared" si="482"/>
        <v>#N/A</v>
      </c>
      <c r="BQ473" t="e">
        <f t="shared" si="483"/>
        <v>#N/A</v>
      </c>
      <c r="BR473" t="e">
        <f t="shared" si="484"/>
        <v>#N/A</v>
      </c>
      <c r="BS473" t="e">
        <f t="shared" si="485"/>
        <v>#N/A</v>
      </c>
      <c r="BT473" t="e">
        <f t="shared" si="486"/>
        <v>#N/A</v>
      </c>
      <c r="BU473" t="e">
        <f t="shared" si="487"/>
        <v>#N/A</v>
      </c>
      <c r="BV473" t="e">
        <f t="shared" si="488"/>
        <v>#N/A</v>
      </c>
      <c r="BW473" t="e">
        <f t="shared" si="489"/>
        <v>#N/A</v>
      </c>
      <c r="BX473" t="e">
        <f t="shared" si="490"/>
        <v>#N/A</v>
      </c>
      <c r="BY473" t="e">
        <f t="shared" si="491"/>
        <v>#N/A</v>
      </c>
      <c r="BZ473" t="e">
        <f t="shared" si="492"/>
        <v>#N/A</v>
      </c>
      <c r="CA473" t="e">
        <f t="shared" si="493"/>
        <v>#N/A</v>
      </c>
      <c r="CB473" t="e">
        <f t="shared" si="494"/>
        <v>#N/A</v>
      </c>
      <c r="CC473" t="e">
        <f t="shared" si="495"/>
        <v>#N/A</v>
      </c>
      <c r="CD473" t="e">
        <f t="shared" si="496"/>
        <v>#N/A</v>
      </c>
      <c r="CE473" t="e">
        <f t="shared" si="497"/>
        <v>#N/A</v>
      </c>
      <c r="CF473" t="e">
        <f t="shared" si="498"/>
        <v>#N/A</v>
      </c>
      <c r="CG473" t="e">
        <f t="shared" si="499"/>
        <v>#N/A</v>
      </c>
      <c r="CI473" t="e">
        <f>AP162</f>
        <v>#N/A</v>
      </c>
      <c r="CJ473" t="e">
        <f>AQ162</f>
        <v>#N/A</v>
      </c>
      <c r="CK473">
        <f>IF(ISNUMBER(CI473),IFERROR(MAX(0,AR162-CI473),0),0)</f>
        <v>0</v>
      </c>
      <c r="CL473">
        <f>IF(ISNUMBER(CI473),IFERROR(MAX(0,CI473-AR162),0),0)</f>
        <v>0</v>
      </c>
      <c r="CM473">
        <f>IF(ISNUMBER(CJ473),IFERROR(MAX(0,AS162-CJ473),0),0)</f>
        <v>0</v>
      </c>
      <c r="CN473">
        <f>IF(ISNUMBER(CJ473),IFERROR(MAX(0,CJ473-AS162),0),0)</f>
        <v>0</v>
      </c>
      <c r="CP473" t="e">
        <f>BX162</f>
        <v>#N/A</v>
      </c>
      <c r="CQ473" t="e">
        <f>BY162</f>
        <v>#N/A</v>
      </c>
      <c r="CR473">
        <f>IF(ISNUMBER(CP473),IFERROR(MAX(0,BZ162-CP473),0),0)</f>
        <v>0</v>
      </c>
      <c r="CS473">
        <f>IF(ISNUMBER(CP473),IFERROR(MAX(0,CP473-BZ162),0),0)</f>
        <v>0</v>
      </c>
      <c r="CT473">
        <f>IF(ISNUMBER(CQ473),IFERROR(MAX(0,CA162-CQ473),0),0)</f>
        <v>0</v>
      </c>
      <c r="CU473">
        <f>IF(ISNUMBER(CQ473),IFERROR(MAX(0,CQ473-CA162),0),0)</f>
        <v>0</v>
      </c>
    </row>
    <row r="474" spans="21:99" x14ac:dyDescent="0.3">
      <c r="U474">
        <v>468</v>
      </c>
      <c r="V474">
        <f t="shared" si="444"/>
        <v>117</v>
      </c>
      <c r="W474">
        <f t="shared" si="445"/>
        <v>4</v>
      </c>
      <c r="X474">
        <f t="shared" si="446"/>
        <v>0</v>
      </c>
      <c r="Y474">
        <f>IF(X474&lt;&gt;1,9999,CHOOSE(W474,INDEX(Gantt!$BQ$7:$BQ$119,V474),INDEX(Gantt!$BR$7:$BR$119,V474),INDEX(Gantt!$BT$7:$BT$119,V474),INDEX(Gantt!$BU$7:$BU$119,V474)))</f>
        <v>9999</v>
      </c>
      <c r="Z474">
        <f t="shared" si="447"/>
        <v>0</v>
      </c>
      <c r="AA474" t="e">
        <f t="shared" si="448"/>
        <v>#N/A</v>
      </c>
      <c r="AB474" t="e">
        <f t="shared" si="449"/>
        <v>#N/A</v>
      </c>
      <c r="AC474" t="e">
        <f t="shared" si="450"/>
        <v>#N/A</v>
      </c>
      <c r="AD474" t="e">
        <f t="shared" si="451"/>
        <v>#N/A</v>
      </c>
      <c r="AE474" t="e">
        <f t="shared" si="452"/>
        <v>#N/A</v>
      </c>
      <c r="AF474" t="e">
        <f t="shared" si="453"/>
        <v>#N/A</v>
      </c>
      <c r="AG474" t="e">
        <f t="shared" si="454"/>
        <v>#N/A</v>
      </c>
      <c r="AH474" t="e">
        <f t="shared" si="455"/>
        <v>#N/A</v>
      </c>
      <c r="AI474" t="e">
        <f t="shared" si="456"/>
        <v>#N/A</v>
      </c>
      <c r="AJ474" t="e">
        <f t="shared" si="457"/>
        <v>#N/A</v>
      </c>
      <c r="AK474" t="e">
        <f t="shared" si="458"/>
        <v>#N/A</v>
      </c>
      <c r="AL474" t="e">
        <f t="shared" si="459"/>
        <v>#N/A</v>
      </c>
      <c r="AM474" t="e">
        <f t="shared" si="460"/>
        <v>#N/A</v>
      </c>
      <c r="AN474" t="e">
        <f t="shared" si="461"/>
        <v>#N/A</v>
      </c>
      <c r="AO474" t="e">
        <f t="shared" si="462"/>
        <v>#N/A</v>
      </c>
      <c r="AP474" t="e">
        <f t="shared" si="463"/>
        <v>#N/A</v>
      </c>
      <c r="AQ474" t="e">
        <f t="shared" si="464"/>
        <v>#N/A</v>
      </c>
      <c r="AR474" t="e">
        <f t="shared" si="465"/>
        <v>#N/A</v>
      </c>
      <c r="AS474" t="e">
        <f t="shared" si="466"/>
        <v>#N/A</v>
      </c>
      <c r="AT474" t="e">
        <f t="shared" si="467"/>
        <v>#N/A</v>
      </c>
      <c r="AU474" t="e">
        <f t="shared" si="468"/>
        <v>#N/A</v>
      </c>
      <c r="AV474" t="e">
        <f t="shared" si="469"/>
        <v>#N/A</v>
      </c>
      <c r="AW474" t="e">
        <f t="shared" si="470"/>
        <v>#N/A</v>
      </c>
      <c r="AX474" t="e">
        <f t="shared" si="471"/>
        <v>#N/A</v>
      </c>
      <c r="AY474" t="e">
        <f t="shared" si="472"/>
        <v>#N/A</v>
      </c>
      <c r="BE474" t="e">
        <f>IF(Z474=1,IF(INDEX($C$7:$C$126,V474)&gt;=Gantt!$BF$6,NA(),MATCH(INDEX($C$7:$C$126,V474),Gantt!$J$6:$BE$6,1)),NA())</f>
        <v>#N/A</v>
      </c>
      <c r="BF474" t="e">
        <f>IF(Z474=1,IF((INDEX($D$7:$D$126,AA474)-1)&gt;=Gantt!$BF$6,NA(),IF((INDEX($D$7:$D$126,AA474)-1)&lt;Gantt!$J$6,0,MATCH((INDEX($D$7:$D$126,AA474)-1),Gantt!$J$6:$BE$6,1))),NA())</f>
        <v>#N/A</v>
      </c>
      <c r="BG474" t="e">
        <f t="shared" si="473"/>
        <v>#N/A</v>
      </c>
      <c r="BH474" t="e">
        <f t="shared" si="474"/>
        <v>#N/A</v>
      </c>
      <c r="BI474" t="e">
        <f t="shared" si="475"/>
        <v>#N/A</v>
      </c>
      <c r="BJ474" t="e">
        <f t="shared" si="476"/>
        <v>#N/A</v>
      </c>
      <c r="BK474" t="e">
        <f t="shared" si="477"/>
        <v>#N/A</v>
      </c>
      <c r="BL474" t="e">
        <f t="shared" si="478"/>
        <v>#N/A</v>
      </c>
      <c r="BM474" t="e">
        <f t="shared" si="479"/>
        <v>#N/A</v>
      </c>
      <c r="BN474" t="e">
        <f t="shared" si="480"/>
        <v>#N/A</v>
      </c>
      <c r="BO474" t="e">
        <f t="shared" si="481"/>
        <v>#N/A</v>
      </c>
      <c r="BP474" t="e">
        <f t="shared" si="482"/>
        <v>#N/A</v>
      </c>
      <c r="BQ474" t="e">
        <f t="shared" si="483"/>
        <v>#N/A</v>
      </c>
      <c r="BR474" t="e">
        <f t="shared" si="484"/>
        <v>#N/A</v>
      </c>
      <c r="BS474" t="e">
        <f t="shared" si="485"/>
        <v>#N/A</v>
      </c>
      <c r="BT474" t="e">
        <f t="shared" si="486"/>
        <v>#N/A</v>
      </c>
      <c r="BU474" t="e">
        <f t="shared" si="487"/>
        <v>#N/A</v>
      </c>
      <c r="BV474" t="e">
        <f t="shared" si="488"/>
        <v>#N/A</v>
      </c>
      <c r="BW474" t="e">
        <f t="shared" si="489"/>
        <v>#N/A</v>
      </c>
      <c r="BX474" t="e">
        <f t="shared" si="490"/>
        <v>#N/A</v>
      </c>
      <c r="BY474" t="e">
        <f t="shared" si="491"/>
        <v>#N/A</v>
      </c>
      <c r="BZ474" t="e">
        <f t="shared" si="492"/>
        <v>#N/A</v>
      </c>
      <c r="CA474" t="e">
        <f t="shared" si="493"/>
        <v>#N/A</v>
      </c>
      <c r="CB474" t="e">
        <f t="shared" si="494"/>
        <v>#N/A</v>
      </c>
      <c r="CC474" t="e">
        <f t="shared" si="495"/>
        <v>#N/A</v>
      </c>
      <c r="CD474" t="e">
        <f t="shared" si="496"/>
        <v>#N/A</v>
      </c>
      <c r="CE474" t="e">
        <f t="shared" si="497"/>
        <v>#N/A</v>
      </c>
      <c r="CF474" t="e">
        <f t="shared" si="498"/>
        <v>#N/A</v>
      </c>
      <c r="CG474" t="e">
        <f t="shared" si="499"/>
        <v>#N/A</v>
      </c>
      <c r="CI474" t="e">
        <f>AT162</f>
        <v>#N/A</v>
      </c>
      <c r="CJ474" t="e">
        <f>AU162</f>
        <v>#N/A</v>
      </c>
      <c r="CK474">
        <f>IF(ISNUMBER(CI474),IFERROR(MAX(0,AV162-CI474),0),0)</f>
        <v>0</v>
      </c>
      <c r="CL474">
        <f>IF(ISNUMBER(CI474),IFERROR(MAX(0,CI474-AV162),0),0)</f>
        <v>0</v>
      </c>
      <c r="CM474">
        <f>IF(ISNUMBER(CJ474),IFERROR(MAX(0,AW162-CJ474),0),0)</f>
        <v>0</v>
      </c>
      <c r="CN474">
        <f>IF(ISNUMBER(CJ474),IFERROR(MAX(0,CJ474-AW162),0),0)</f>
        <v>0</v>
      </c>
      <c r="CP474" t="e">
        <f>CB162</f>
        <v>#N/A</v>
      </c>
      <c r="CQ474" t="e">
        <f>CC162</f>
        <v>#N/A</v>
      </c>
      <c r="CR474">
        <f>IF(ISNUMBER(CP474),IFERROR(MAX(0,CD162-CP474),0),0)</f>
        <v>0</v>
      </c>
      <c r="CS474">
        <f>IF(ISNUMBER(CP474),IFERROR(MAX(0,CP474-CD162),0),0)</f>
        <v>0</v>
      </c>
      <c r="CT474">
        <f>IF(ISNUMBER(CQ474),IFERROR(MAX(0,CE162-CQ474),0),0)</f>
        <v>0</v>
      </c>
      <c r="CU474">
        <f>IF(ISNUMBER(CQ474),IFERROR(MAX(0,CQ474-CE162),0),0)</f>
        <v>0</v>
      </c>
    </row>
    <row r="475" spans="21:99" x14ac:dyDescent="0.3">
      <c r="U475">
        <v>469</v>
      </c>
      <c r="V475">
        <f t="shared" si="444"/>
        <v>118</v>
      </c>
      <c r="W475">
        <f t="shared" si="445"/>
        <v>1</v>
      </c>
      <c r="X475">
        <f t="shared" si="446"/>
        <v>0</v>
      </c>
      <c r="Y475">
        <f>IF(X475&lt;&gt;1,9999,CHOOSE(W475,INDEX(Gantt!$BQ$7:$BQ$119,V475),INDEX(Gantt!$BR$7:$BR$119,V475),INDEX(Gantt!$BT$7:$BT$119,V475),INDEX(Gantt!$BU$7:$BU$119,V475)))</f>
        <v>9999</v>
      </c>
      <c r="Z475">
        <f t="shared" si="447"/>
        <v>0</v>
      </c>
      <c r="AA475" t="e">
        <f t="shared" si="448"/>
        <v>#N/A</v>
      </c>
      <c r="AB475" t="e">
        <f t="shared" si="449"/>
        <v>#N/A</v>
      </c>
      <c r="AC475" t="e">
        <f t="shared" si="450"/>
        <v>#N/A</v>
      </c>
      <c r="AD475" t="e">
        <f t="shared" si="451"/>
        <v>#N/A</v>
      </c>
      <c r="AE475" t="e">
        <f t="shared" si="452"/>
        <v>#N/A</v>
      </c>
      <c r="AF475" t="e">
        <f t="shared" si="453"/>
        <v>#N/A</v>
      </c>
      <c r="AG475" t="e">
        <f t="shared" si="454"/>
        <v>#N/A</v>
      </c>
      <c r="AH475" t="e">
        <f t="shared" si="455"/>
        <v>#N/A</v>
      </c>
      <c r="AI475" t="e">
        <f t="shared" si="456"/>
        <v>#N/A</v>
      </c>
      <c r="AJ475" t="e">
        <f t="shared" si="457"/>
        <v>#N/A</v>
      </c>
      <c r="AK475" t="e">
        <f t="shared" si="458"/>
        <v>#N/A</v>
      </c>
      <c r="AL475" t="e">
        <f t="shared" si="459"/>
        <v>#N/A</v>
      </c>
      <c r="AM475" t="e">
        <f t="shared" si="460"/>
        <v>#N/A</v>
      </c>
      <c r="AN475" t="e">
        <f t="shared" si="461"/>
        <v>#N/A</v>
      </c>
      <c r="AO475" t="e">
        <f t="shared" si="462"/>
        <v>#N/A</v>
      </c>
      <c r="AP475" t="e">
        <f t="shared" si="463"/>
        <v>#N/A</v>
      </c>
      <c r="AQ475" t="e">
        <f t="shared" si="464"/>
        <v>#N/A</v>
      </c>
      <c r="AR475" t="e">
        <f t="shared" si="465"/>
        <v>#N/A</v>
      </c>
      <c r="AS475" t="e">
        <f t="shared" si="466"/>
        <v>#N/A</v>
      </c>
      <c r="AT475" t="e">
        <f t="shared" si="467"/>
        <v>#N/A</v>
      </c>
      <c r="AU475" t="e">
        <f t="shared" si="468"/>
        <v>#N/A</v>
      </c>
      <c r="AV475" t="e">
        <f t="shared" si="469"/>
        <v>#N/A</v>
      </c>
      <c r="AW475" t="e">
        <f t="shared" si="470"/>
        <v>#N/A</v>
      </c>
      <c r="AX475" t="e">
        <f t="shared" si="471"/>
        <v>#N/A</v>
      </c>
      <c r="AY475" t="e">
        <f t="shared" si="472"/>
        <v>#N/A</v>
      </c>
      <c r="BE475" t="e">
        <f>IF(Z475=1,IF(INDEX($C$7:$C$126,V475)&gt;=Gantt!$BF$6,NA(),MATCH(INDEX($C$7:$C$126,V475),Gantt!$J$6:$BE$6,1)),NA())</f>
        <v>#N/A</v>
      </c>
      <c r="BF475" t="e">
        <f>IF(Z475=1,IF((INDEX($D$7:$D$126,AA475)-1)&gt;=Gantt!$BF$6,NA(),IF((INDEX($D$7:$D$126,AA475)-1)&lt;Gantt!$J$6,0,MATCH((INDEX($D$7:$D$126,AA475)-1),Gantt!$J$6:$BE$6,1))),NA())</f>
        <v>#N/A</v>
      </c>
      <c r="BG475" t="e">
        <f t="shared" si="473"/>
        <v>#N/A</v>
      </c>
      <c r="BH475" t="e">
        <f t="shared" si="474"/>
        <v>#N/A</v>
      </c>
      <c r="BI475" t="e">
        <f t="shared" si="475"/>
        <v>#N/A</v>
      </c>
      <c r="BJ475" t="e">
        <f t="shared" si="476"/>
        <v>#N/A</v>
      </c>
      <c r="BK475" t="e">
        <f t="shared" si="477"/>
        <v>#N/A</v>
      </c>
      <c r="BL475" t="e">
        <f t="shared" si="478"/>
        <v>#N/A</v>
      </c>
      <c r="BM475" t="e">
        <f t="shared" si="479"/>
        <v>#N/A</v>
      </c>
      <c r="BN475" t="e">
        <f t="shared" si="480"/>
        <v>#N/A</v>
      </c>
      <c r="BO475" t="e">
        <f t="shared" si="481"/>
        <v>#N/A</v>
      </c>
      <c r="BP475" t="e">
        <f t="shared" si="482"/>
        <v>#N/A</v>
      </c>
      <c r="BQ475" t="e">
        <f t="shared" si="483"/>
        <v>#N/A</v>
      </c>
      <c r="BR475" t="e">
        <f t="shared" si="484"/>
        <v>#N/A</v>
      </c>
      <c r="BS475" t="e">
        <f t="shared" si="485"/>
        <v>#N/A</v>
      </c>
      <c r="BT475" t="e">
        <f t="shared" si="486"/>
        <v>#N/A</v>
      </c>
      <c r="BU475" t="e">
        <f t="shared" si="487"/>
        <v>#N/A</v>
      </c>
      <c r="BV475" t="e">
        <f t="shared" si="488"/>
        <v>#N/A</v>
      </c>
      <c r="BW475" t="e">
        <f t="shared" si="489"/>
        <v>#N/A</v>
      </c>
      <c r="BX475" t="e">
        <f t="shared" si="490"/>
        <v>#N/A</v>
      </c>
      <c r="BY475" t="e">
        <f t="shared" si="491"/>
        <v>#N/A</v>
      </c>
      <c r="BZ475" t="e">
        <f t="shared" si="492"/>
        <v>#N/A</v>
      </c>
      <c r="CA475" t="e">
        <f t="shared" si="493"/>
        <v>#N/A</v>
      </c>
      <c r="CB475" t="e">
        <f t="shared" si="494"/>
        <v>#N/A</v>
      </c>
      <c r="CC475" t="e">
        <f t="shared" si="495"/>
        <v>#N/A</v>
      </c>
      <c r="CD475" t="e">
        <f t="shared" si="496"/>
        <v>#N/A</v>
      </c>
      <c r="CE475" t="e">
        <f t="shared" si="497"/>
        <v>#N/A</v>
      </c>
      <c r="CF475" t="e">
        <f t="shared" si="498"/>
        <v>#N/A</v>
      </c>
      <c r="CG475" t="e">
        <f t="shared" si="499"/>
        <v>#N/A</v>
      </c>
      <c r="CI475" t="e">
        <f>AL163</f>
        <v>#N/A</v>
      </c>
      <c r="CJ475" t="e">
        <f>AM163</f>
        <v>#N/A</v>
      </c>
      <c r="CK475">
        <f>IF(ISNUMBER(CI475),IFERROR(MAX(0,AN163-CI475),0),0)</f>
        <v>0</v>
      </c>
      <c r="CL475">
        <f>IF(ISNUMBER(CI475),IFERROR(MAX(0,CI475-AN163),0),0)</f>
        <v>0</v>
      </c>
      <c r="CM475">
        <f>IF(ISNUMBER(CJ475),IFERROR(MAX(0,AO163-CJ475),0),0)</f>
        <v>0</v>
      </c>
      <c r="CN475">
        <f>IF(ISNUMBER(CJ475),IFERROR(MAX(0,CJ475-AO163),0),0)</f>
        <v>0</v>
      </c>
      <c r="CP475" t="e">
        <f>BT163</f>
        <v>#N/A</v>
      </c>
      <c r="CQ475" t="e">
        <f>BU163</f>
        <v>#N/A</v>
      </c>
      <c r="CR475">
        <f>IF(ISNUMBER(CP475),IFERROR(MAX(0,BV163-CP475),0),0)</f>
        <v>0</v>
      </c>
      <c r="CS475">
        <f>IF(ISNUMBER(CP475),IFERROR(MAX(0,CP475-BV163),0),0)</f>
        <v>0</v>
      </c>
      <c r="CT475">
        <f>IF(ISNUMBER(CQ475),IFERROR(MAX(0,BW163-CQ475),0),0)</f>
        <v>0</v>
      </c>
      <c r="CU475">
        <f>IF(ISNUMBER(CQ475),IFERROR(MAX(0,CQ475-BW163),0),0)</f>
        <v>0</v>
      </c>
    </row>
    <row r="476" spans="21:99" x14ac:dyDescent="0.3">
      <c r="U476">
        <v>470</v>
      </c>
      <c r="V476">
        <f t="shared" si="444"/>
        <v>118</v>
      </c>
      <c r="W476">
        <f t="shared" si="445"/>
        <v>2</v>
      </c>
      <c r="X476">
        <f t="shared" si="446"/>
        <v>0</v>
      </c>
      <c r="Y476">
        <f>IF(X476&lt;&gt;1,9999,CHOOSE(W476,INDEX(Gantt!$BQ$7:$BQ$119,V476),INDEX(Gantt!$BR$7:$BR$119,V476),INDEX(Gantt!$BT$7:$BT$119,V476),INDEX(Gantt!$BU$7:$BU$119,V476)))</f>
        <v>9999</v>
      </c>
      <c r="Z476">
        <f t="shared" si="447"/>
        <v>0</v>
      </c>
      <c r="AA476" t="e">
        <f t="shared" si="448"/>
        <v>#N/A</v>
      </c>
      <c r="AB476" t="e">
        <f t="shared" si="449"/>
        <v>#N/A</v>
      </c>
      <c r="AC476" t="e">
        <f t="shared" si="450"/>
        <v>#N/A</v>
      </c>
      <c r="AD476" t="e">
        <f t="shared" si="451"/>
        <v>#N/A</v>
      </c>
      <c r="AE476" t="e">
        <f t="shared" si="452"/>
        <v>#N/A</v>
      </c>
      <c r="AF476" t="e">
        <f t="shared" si="453"/>
        <v>#N/A</v>
      </c>
      <c r="AG476" t="e">
        <f t="shared" si="454"/>
        <v>#N/A</v>
      </c>
      <c r="AH476" t="e">
        <f t="shared" si="455"/>
        <v>#N/A</v>
      </c>
      <c r="AI476" t="e">
        <f t="shared" si="456"/>
        <v>#N/A</v>
      </c>
      <c r="AJ476" t="e">
        <f t="shared" si="457"/>
        <v>#N/A</v>
      </c>
      <c r="AK476" t="e">
        <f t="shared" si="458"/>
        <v>#N/A</v>
      </c>
      <c r="AL476" t="e">
        <f t="shared" si="459"/>
        <v>#N/A</v>
      </c>
      <c r="AM476" t="e">
        <f t="shared" si="460"/>
        <v>#N/A</v>
      </c>
      <c r="AN476" t="e">
        <f t="shared" si="461"/>
        <v>#N/A</v>
      </c>
      <c r="AO476" t="e">
        <f t="shared" si="462"/>
        <v>#N/A</v>
      </c>
      <c r="AP476" t="e">
        <f t="shared" si="463"/>
        <v>#N/A</v>
      </c>
      <c r="AQ476" t="e">
        <f t="shared" si="464"/>
        <v>#N/A</v>
      </c>
      <c r="AR476" t="e">
        <f t="shared" si="465"/>
        <v>#N/A</v>
      </c>
      <c r="AS476" t="e">
        <f t="shared" si="466"/>
        <v>#N/A</v>
      </c>
      <c r="AT476" t="e">
        <f t="shared" si="467"/>
        <v>#N/A</v>
      </c>
      <c r="AU476" t="e">
        <f t="shared" si="468"/>
        <v>#N/A</v>
      </c>
      <c r="AV476" t="e">
        <f t="shared" si="469"/>
        <v>#N/A</v>
      </c>
      <c r="AW476" t="e">
        <f t="shared" si="470"/>
        <v>#N/A</v>
      </c>
      <c r="AX476" t="e">
        <f t="shared" si="471"/>
        <v>#N/A</v>
      </c>
      <c r="AY476" t="e">
        <f t="shared" si="472"/>
        <v>#N/A</v>
      </c>
      <c r="BE476" t="e">
        <f>IF(Z476=1,IF(INDEX($C$7:$C$126,V476)&gt;=Gantt!$BF$6,NA(),MATCH(INDEX($C$7:$C$126,V476),Gantt!$J$6:$BE$6,1)),NA())</f>
        <v>#N/A</v>
      </c>
      <c r="BF476" t="e">
        <f>IF(Z476=1,IF((INDEX($D$7:$D$126,AA476)-1)&gt;=Gantt!$BF$6,NA(),IF((INDEX($D$7:$D$126,AA476)-1)&lt;Gantt!$J$6,0,MATCH((INDEX($D$7:$D$126,AA476)-1),Gantt!$J$6:$BE$6,1))),NA())</f>
        <v>#N/A</v>
      </c>
      <c r="BG476" t="e">
        <f t="shared" si="473"/>
        <v>#N/A</v>
      </c>
      <c r="BH476" t="e">
        <f t="shared" si="474"/>
        <v>#N/A</v>
      </c>
      <c r="BI476" t="e">
        <f t="shared" si="475"/>
        <v>#N/A</v>
      </c>
      <c r="BJ476" t="e">
        <f t="shared" si="476"/>
        <v>#N/A</v>
      </c>
      <c r="BK476" t="e">
        <f t="shared" si="477"/>
        <v>#N/A</v>
      </c>
      <c r="BL476" t="e">
        <f t="shared" si="478"/>
        <v>#N/A</v>
      </c>
      <c r="BM476" t="e">
        <f t="shared" si="479"/>
        <v>#N/A</v>
      </c>
      <c r="BN476" t="e">
        <f t="shared" si="480"/>
        <v>#N/A</v>
      </c>
      <c r="BO476" t="e">
        <f t="shared" si="481"/>
        <v>#N/A</v>
      </c>
      <c r="BP476" t="e">
        <f t="shared" si="482"/>
        <v>#N/A</v>
      </c>
      <c r="BQ476" t="e">
        <f t="shared" si="483"/>
        <v>#N/A</v>
      </c>
      <c r="BR476" t="e">
        <f t="shared" si="484"/>
        <v>#N/A</v>
      </c>
      <c r="BS476" t="e">
        <f t="shared" si="485"/>
        <v>#N/A</v>
      </c>
      <c r="BT476" t="e">
        <f t="shared" si="486"/>
        <v>#N/A</v>
      </c>
      <c r="BU476" t="e">
        <f t="shared" si="487"/>
        <v>#N/A</v>
      </c>
      <c r="BV476" t="e">
        <f t="shared" si="488"/>
        <v>#N/A</v>
      </c>
      <c r="BW476" t="e">
        <f t="shared" si="489"/>
        <v>#N/A</v>
      </c>
      <c r="BX476" t="e">
        <f t="shared" si="490"/>
        <v>#N/A</v>
      </c>
      <c r="BY476" t="e">
        <f t="shared" si="491"/>
        <v>#N/A</v>
      </c>
      <c r="BZ476" t="e">
        <f t="shared" si="492"/>
        <v>#N/A</v>
      </c>
      <c r="CA476" t="e">
        <f t="shared" si="493"/>
        <v>#N/A</v>
      </c>
      <c r="CB476" t="e">
        <f t="shared" si="494"/>
        <v>#N/A</v>
      </c>
      <c r="CC476" t="e">
        <f t="shared" si="495"/>
        <v>#N/A</v>
      </c>
      <c r="CD476" t="e">
        <f t="shared" si="496"/>
        <v>#N/A</v>
      </c>
      <c r="CE476" t="e">
        <f t="shared" si="497"/>
        <v>#N/A</v>
      </c>
      <c r="CF476" t="e">
        <f t="shared" si="498"/>
        <v>#N/A</v>
      </c>
      <c r="CG476" t="e">
        <f t="shared" si="499"/>
        <v>#N/A</v>
      </c>
      <c r="CI476" t="e">
        <f>AP163</f>
        <v>#N/A</v>
      </c>
      <c r="CJ476" t="e">
        <f>AQ163</f>
        <v>#N/A</v>
      </c>
      <c r="CK476">
        <f>IF(ISNUMBER(CI476),IFERROR(MAX(0,AR163-CI476),0),0)</f>
        <v>0</v>
      </c>
      <c r="CL476">
        <f>IF(ISNUMBER(CI476),IFERROR(MAX(0,CI476-AR163),0),0)</f>
        <v>0</v>
      </c>
      <c r="CM476">
        <f>IF(ISNUMBER(CJ476),IFERROR(MAX(0,AS163-CJ476),0),0)</f>
        <v>0</v>
      </c>
      <c r="CN476">
        <f>IF(ISNUMBER(CJ476),IFERROR(MAX(0,CJ476-AS163),0),0)</f>
        <v>0</v>
      </c>
      <c r="CP476" t="e">
        <f>BX163</f>
        <v>#N/A</v>
      </c>
      <c r="CQ476" t="e">
        <f>BY163</f>
        <v>#N/A</v>
      </c>
      <c r="CR476">
        <f>IF(ISNUMBER(CP476),IFERROR(MAX(0,BZ163-CP476),0),0)</f>
        <v>0</v>
      </c>
      <c r="CS476">
        <f>IF(ISNUMBER(CP476),IFERROR(MAX(0,CP476-BZ163),0),0)</f>
        <v>0</v>
      </c>
      <c r="CT476">
        <f>IF(ISNUMBER(CQ476),IFERROR(MAX(0,CA163-CQ476),0),0)</f>
        <v>0</v>
      </c>
      <c r="CU476">
        <f>IF(ISNUMBER(CQ476),IFERROR(MAX(0,CQ476-CA163),0),0)</f>
        <v>0</v>
      </c>
    </row>
    <row r="477" spans="21:99" x14ac:dyDescent="0.3">
      <c r="U477">
        <v>471</v>
      </c>
      <c r="V477">
        <f t="shared" si="444"/>
        <v>118</v>
      </c>
      <c r="W477">
        <f t="shared" si="445"/>
        <v>3</v>
      </c>
      <c r="X477">
        <f t="shared" si="446"/>
        <v>0</v>
      </c>
      <c r="Y477">
        <f>IF(X477&lt;&gt;1,9999,CHOOSE(W477,INDEX(Gantt!$BQ$7:$BQ$119,V477),INDEX(Gantt!$BR$7:$BR$119,V477),INDEX(Gantt!$BT$7:$BT$119,V477),INDEX(Gantt!$BU$7:$BU$119,V477)))</f>
        <v>9999</v>
      </c>
      <c r="Z477">
        <f t="shared" si="447"/>
        <v>0</v>
      </c>
      <c r="AA477" t="e">
        <f t="shared" si="448"/>
        <v>#N/A</v>
      </c>
      <c r="AB477" t="e">
        <f t="shared" si="449"/>
        <v>#N/A</v>
      </c>
      <c r="AC477" t="e">
        <f t="shared" si="450"/>
        <v>#N/A</v>
      </c>
      <c r="AD477" t="e">
        <f t="shared" si="451"/>
        <v>#N/A</v>
      </c>
      <c r="AE477" t="e">
        <f t="shared" si="452"/>
        <v>#N/A</v>
      </c>
      <c r="AF477" t="e">
        <f t="shared" si="453"/>
        <v>#N/A</v>
      </c>
      <c r="AG477" t="e">
        <f t="shared" si="454"/>
        <v>#N/A</v>
      </c>
      <c r="AH477" t="e">
        <f t="shared" si="455"/>
        <v>#N/A</v>
      </c>
      <c r="AI477" t="e">
        <f t="shared" si="456"/>
        <v>#N/A</v>
      </c>
      <c r="AJ477" t="e">
        <f t="shared" si="457"/>
        <v>#N/A</v>
      </c>
      <c r="AK477" t="e">
        <f t="shared" si="458"/>
        <v>#N/A</v>
      </c>
      <c r="AL477" t="e">
        <f t="shared" si="459"/>
        <v>#N/A</v>
      </c>
      <c r="AM477" t="e">
        <f t="shared" si="460"/>
        <v>#N/A</v>
      </c>
      <c r="AN477" t="e">
        <f t="shared" si="461"/>
        <v>#N/A</v>
      </c>
      <c r="AO477" t="e">
        <f t="shared" si="462"/>
        <v>#N/A</v>
      </c>
      <c r="AP477" t="e">
        <f t="shared" si="463"/>
        <v>#N/A</v>
      </c>
      <c r="AQ477" t="e">
        <f t="shared" si="464"/>
        <v>#N/A</v>
      </c>
      <c r="AR477" t="e">
        <f t="shared" si="465"/>
        <v>#N/A</v>
      </c>
      <c r="AS477" t="e">
        <f t="shared" si="466"/>
        <v>#N/A</v>
      </c>
      <c r="AT477" t="e">
        <f t="shared" si="467"/>
        <v>#N/A</v>
      </c>
      <c r="AU477" t="e">
        <f t="shared" si="468"/>
        <v>#N/A</v>
      </c>
      <c r="AV477" t="e">
        <f t="shared" si="469"/>
        <v>#N/A</v>
      </c>
      <c r="AW477" t="e">
        <f t="shared" si="470"/>
        <v>#N/A</v>
      </c>
      <c r="AX477" t="e">
        <f t="shared" si="471"/>
        <v>#N/A</v>
      </c>
      <c r="AY477" t="e">
        <f t="shared" si="472"/>
        <v>#N/A</v>
      </c>
      <c r="BE477" t="e">
        <f>IF(Z477=1,IF(INDEX($C$7:$C$126,V477)&gt;=Gantt!$BF$6,NA(),MATCH(INDEX($C$7:$C$126,V477),Gantt!$J$6:$BE$6,1)),NA())</f>
        <v>#N/A</v>
      </c>
      <c r="BF477" t="e">
        <f>IF(Z477=1,IF((INDEX($D$7:$D$126,AA477)-1)&gt;=Gantt!$BF$6,NA(),IF((INDEX($D$7:$D$126,AA477)-1)&lt;Gantt!$J$6,0,MATCH((INDEX($D$7:$D$126,AA477)-1),Gantt!$J$6:$BE$6,1))),NA())</f>
        <v>#N/A</v>
      </c>
      <c r="BG477" t="e">
        <f t="shared" si="473"/>
        <v>#N/A</v>
      </c>
      <c r="BH477" t="e">
        <f t="shared" si="474"/>
        <v>#N/A</v>
      </c>
      <c r="BI477" t="e">
        <f t="shared" si="475"/>
        <v>#N/A</v>
      </c>
      <c r="BJ477" t="e">
        <f t="shared" si="476"/>
        <v>#N/A</v>
      </c>
      <c r="BK477" t="e">
        <f t="shared" si="477"/>
        <v>#N/A</v>
      </c>
      <c r="BL477" t="e">
        <f t="shared" si="478"/>
        <v>#N/A</v>
      </c>
      <c r="BM477" t="e">
        <f t="shared" si="479"/>
        <v>#N/A</v>
      </c>
      <c r="BN477" t="e">
        <f t="shared" si="480"/>
        <v>#N/A</v>
      </c>
      <c r="BO477" t="e">
        <f t="shared" si="481"/>
        <v>#N/A</v>
      </c>
      <c r="BP477" t="e">
        <f t="shared" si="482"/>
        <v>#N/A</v>
      </c>
      <c r="BQ477" t="e">
        <f t="shared" si="483"/>
        <v>#N/A</v>
      </c>
      <c r="BR477" t="e">
        <f t="shared" si="484"/>
        <v>#N/A</v>
      </c>
      <c r="BS477" t="e">
        <f t="shared" si="485"/>
        <v>#N/A</v>
      </c>
      <c r="BT477" t="e">
        <f t="shared" si="486"/>
        <v>#N/A</v>
      </c>
      <c r="BU477" t="e">
        <f t="shared" si="487"/>
        <v>#N/A</v>
      </c>
      <c r="BV477" t="e">
        <f t="shared" si="488"/>
        <v>#N/A</v>
      </c>
      <c r="BW477" t="e">
        <f t="shared" si="489"/>
        <v>#N/A</v>
      </c>
      <c r="BX477" t="e">
        <f t="shared" si="490"/>
        <v>#N/A</v>
      </c>
      <c r="BY477" t="e">
        <f t="shared" si="491"/>
        <v>#N/A</v>
      </c>
      <c r="BZ477" t="e">
        <f t="shared" si="492"/>
        <v>#N/A</v>
      </c>
      <c r="CA477" t="e">
        <f t="shared" si="493"/>
        <v>#N/A</v>
      </c>
      <c r="CB477" t="e">
        <f t="shared" si="494"/>
        <v>#N/A</v>
      </c>
      <c r="CC477" t="e">
        <f t="shared" si="495"/>
        <v>#N/A</v>
      </c>
      <c r="CD477" t="e">
        <f t="shared" si="496"/>
        <v>#N/A</v>
      </c>
      <c r="CE477" t="e">
        <f t="shared" si="497"/>
        <v>#N/A</v>
      </c>
      <c r="CF477" t="e">
        <f t="shared" si="498"/>
        <v>#N/A</v>
      </c>
      <c r="CG477" t="e">
        <f t="shared" si="499"/>
        <v>#N/A</v>
      </c>
      <c r="CI477" t="e">
        <f>AT163</f>
        <v>#N/A</v>
      </c>
      <c r="CJ477" t="e">
        <f>AU163</f>
        <v>#N/A</v>
      </c>
      <c r="CK477">
        <f>IF(ISNUMBER(CI477),IFERROR(MAX(0,AV163-CI477),0),0)</f>
        <v>0</v>
      </c>
      <c r="CL477">
        <f>IF(ISNUMBER(CI477),IFERROR(MAX(0,CI477-AV163),0),0)</f>
        <v>0</v>
      </c>
      <c r="CM477">
        <f>IF(ISNUMBER(CJ477),IFERROR(MAX(0,AW163-CJ477),0),0)</f>
        <v>0</v>
      </c>
      <c r="CN477">
        <f>IF(ISNUMBER(CJ477),IFERROR(MAX(0,CJ477-AW163),0),0)</f>
        <v>0</v>
      </c>
      <c r="CP477" t="e">
        <f>CB163</f>
        <v>#N/A</v>
      </c>
      <c r="CQ477" t="e">
        <f>CC163</f>
        <v>#N/A</v>
      </c>
      <c r="CR477">
        <f>IF(ISNUMBER(CP477),IFERROR(MAX(0,CD163-CP477),0),0)</f>
        <v>0</v>
      </c>
      <c r="CS477">
        <f>IF(ISNUMBER(CP477),IFERROR(MAX(0,CP477-CD163),0),0)</f>
        <v>0</v>
      </c>
      <c r="CT477">
        <f>IF(ISNUMBER(CQ477),IFERROR(MAX(0,CE163-CQ477),0),0)</f>
        <v>0</v>
      </c>
      <c r="CU477">
        <f>IF(ISNUMBER(CQ477),IFERROR(MAX(0,CQ477-CE163),0),0)</f>
        <v>0</v>
      </c>
    </row>
    <row r="478" spans="21:99" x14ac:dyDescent="0.3">
      <c r="U478">
        <v>472</v>
      </c>
      <c r="V478">
        <f t="shared" si="444"/>
        <v>118</v>
      </c>
      <c r="W478">
        <f t="shared" si="445"/>
        <v>4</v>
      </c>
      <c r="X478">
        <f t="shared" si="446"/>
        <v>0</v>
      </c>
      <c r="Y478">
        <f>IF(X478&lt;&gt;1,9999,CHOOSE(W478,INDEX(Gantt!$BQ$7:$BQ$119,V478),INDEX(Gantt!$BR$7:$BR$119,V478),INDEX(Gantt!$BT$7:$BT$119,V478),INDEX(Gantt!$BU$7:$BU$119,V478)))</f>
        <v>9999</v>
      </c>
      <c r="Z478">
        <f t="shared" si="447"/>
        <v>0</v>
      </c>
      <c r="AA478" t="e">
        <f t="shared" si="448"/>
        <v>#N/A</v>
      </c>
      <c r="AB478" t="e">
        <f t="shared" si="449"/>
        <v>#N/A</v>
      </c>
      <c r="AC478" t="e">
        <f t="shared" si="450"/>
        <v>#N/A</v>
      </c>
      <c r="AD478" t="e">
        <f t="shared" si="451"/>
        <v>#N/A</v>
      </c>
      <c r="AE478" t="e">
        <f t="shared" si="452"/>
        <v>#N/A</v>
      </c>
      <c r="AF478" t="e">
        <f t="shared" si="453"/>
        <v>#N/A</v>
      </c>
      <c r="AG478" t="e">
        <f t="shared" si="454"/>
        <v>#N/A</v>
      </c>
      <c r="AH478" t="e">
        <f t="shared" si="455"/>
        <v>#N/A</v>
      </c>
      <c r="AI478" t="e">
        <f t="shared" si="456"/>
        <v>#N/A</v>
      </c>
      <c r="AJ478" t="e">
        <f t="shared" si="457"/>
        <v>#N/A</v>
      </c>
      <c r="AK478" t="e">
        <f t="shared" si="458"/>
        <v>#N/A</v>
      </c>
      <c r="AL478" t="e">
        <f t="shared" si="459"/>
        <v>#N/A</v>
      </c>
      <c r="AM478" t="e">
        <f t="shared" si="460"/>
        <v>#N/A</v>
      </c>
      <c r="AN478" t="e">
        <f t="shared" si="461"/>
        <v>#N/A</v>
      </c>
      <c r="AO478" t="e">
        <f t="shared" si="462"/>
        <v>#N/A</v>
      </c>
      <c r="AP478" t="e">
        <f t="shared" si="463"/>
        <v>#N/A</v>
      </c>
      <c r="AQ478" t="e">
        <f t="shared" si="464"/>
        <v>#N/A</v>
      </c>
      <c r="AR478" t="e">
        <f t="shared" si="465"/>
        <v>#N/A</v>
      </c>
      <c r="AS478" t="e">
        <f t="shared" si="466"/>
        <v>#N/A</v>
      </c>
      <c r="AT478" t="e">
        <f t="shared" si="467"/>
        <v>#N/A</v>
      </c>
      <c r="AU478" t="e">
        <f t="shared" si="468"/>
        <v>#N/A</v>
      </c>
      <c r="AV478" t="e">
        <f t="shared" si="469"/>
        <v>#N/A</v>
      </c>
      <c r="AW478" t="e">
        <f t="shared" si="470"/>
        <v>#N/A</v>
      </c>
      <c r="AX478" t="e">
        <f t="shared" si="471"/>
        <v>#N/A</v>
      </c>
      <c r="AY478" t="e">
        <f t="shared" si="472"/>
        <v>#N/A</v>
      </c>
      <c r="BE478" t="e">
        <f>IF(Z478=1,IF(INDEX($C$7:$C$126,V478)&gt;=Gantt!$BF$6,NA(),MATCH(INDEX($C$7:$C$126,V478),Gantt!$J$6:$BE$6,1)),NA())</f>
        <v>#N/A</v>
      </c>
      <c r="BF478" t="e">
        <f>IF(Z478=1,IF((INDEX($D$7:$D$126,AA478)-1)&gt;=Gantt!$BF$6,NA(),IF((INDEX($D$7:$D$126,AA478)-1)&lt;Gantt!$J$6,0,MATCH((INDEX($D$7:$D$126,AA478)-1),Gantt!$J$6:$BE$6,1))),NA())</f>
        <v>#N/A</v>
      </c>
      <c r="BG478" t="e">
        <f t="shared" si="473"/>
        <v>#N/A</v>
      </c>
      <c r="BH478" t="e">
        <f t="shared" si="474"/>
        <v>#N/A</v>
      </c>
      <c r="BI478" t="e">
        <f t="shared" si="475"/>
        <v>#N/A</v>
      </c>
      <c r="BJ478" t="e">
        <f t="shared" si="476"/>
        <v>#N/A</v>
      </c>
      <c r="BK478" t="e">
        <f t="shared" si="477"/>
        <v>#N/A</v>
      </c>
      <c r="BL478" t="e">
        <f t="shared" si="478"/>
        <v>#N/A</v>
      </c>
      <c r="BM478" t="e">
        <f t="shared" si="479"/>
        <v>#N/A</v>
      </c>
      <c r="BN478" t="e">
        <f t="shared" si="480"/>
        <v>#N/A</v>
      </c>
      <c r="BO478" t="e">
        <f t="shared" si="481"/>
        <v>#N/A</v>
      </c>
      <c r="BP478" t="e">
        <f t="shared" si="482"/>
        <v>#N/A</v>
      </c>
      <c r="BQ478" t="e">
        <f t="shared" si="483"/>
        <v>#N/A</v>
      </c>
      <c r="BR478" t="e">
        <f t="shared" si="484"/>
        <v>#N/A</v>
      </c>
      <c r="BS478" t="e">
        <f t="shared" si="485"/>
        <v>#N/A</v>
      </c>
      <c r="BT478" t="e">
        <f t="shared" si="486"/>
        <v>#N/A</v>
      </c>
      <c r="BU478" t="e">
        <f t="shared" si="487"/>
        <v>#N/A</v>
      </c>
      <c r="BV478" t="e">
        <f t="shared" si="488"/>
        <v>#N/A</v>
      </c>
      <c r="BW478" t="e">
        <f t="shared" si="489"/>
        <v>#N/A</v>
      </c>
      <c r="BX478" t="e">
        <f t="shared" si="490"/>
        <v>#N/A</v>
      </c>
      <c r="BY478" t="e">
        <f t="shared" si="491"/>
        <v>#N/A</v>
      </c>
      <c r="BZ478" t="e">
        <f t="shared" si="492"/>
        <v>#N/A</v>
      </c>
      <c r="CA478" t="e">
        <f t="shared" si="493"/>
        <v>#N/A</v>
      </c>
      <c r="CB478" t="e">
        <f t="shared" si="494"/>
        <v>#N/A</v>
      </c>
      <c r="CC478" t="e">
        <f t="shared" si="495"/>
        <v>#N/A</v>
      </c>
      <c r="CD478" t="e">
        <f t="shared" si="496"/>
        <v>#N/A</v>
      </c>
      <c r="CE478" t="e">
        <f t="shared" si="497"/>
        <v>#N/A</v>
      </c>
      <c r="CF478" t="e">
        <f t="shared" si="498"/>
        <v>#N/A</v>
      </c>
      <c r="CG478" t="e">
        <f t="shared" si="499"/>
        <v>#N/A</v>
      </c>
      <c r="CI478" t="e">
        <f>AL164</f>
        <v>#N/A</v>
      </c>
      <c r="CJ478" t="e">
        <f>AM164</f>
        <v>#N/A</v>
      </c>
      <c r="CK478">
        <f>IF(ISNUMBER(CI478),IFERROR(MAX(0,AN164-CI478),0),0)</f>
        <v>0</v>
      </c>
      <c r="CL478">
        <f>IF(ISNUMBER(CI478),IFERROR(MAX(0,CI478-AN164),0),0)</f>
        <v>0</v>
      </c>
      <c r="CM478">
        <f>IF(ISNUMBER(CJ478),IFERROR(MAX(0,AO164-CJ478),0),0)</f>
        <v>0</v>
      </c>
      <c r="CN478">
        <f>IF(ISNUMBER(CJ478),IFERROR(MAX(0,CJ478-AO164),0),0)</f>
        <v>0</v>
      </c>
      <c r="CP478" t="e">
        <f>BT164</f>
        <v>#N/A</v>
      </c>
      <c r="CQ478" t="e">
        <f>BU164</f>
        <v>#N/A</v>
      </c>
      <c r="CR478">
        <f>IF(ISNUMBER(CP478),IFERROR(MAX(0,BV164-CP478),0),0)</f>
        <v>0</v>
      </c>
      <c r="CS478">
        <f>IF(ISNUMBER(CP478),IFERROR(MAX(0,CP478-BV164),0),0)</f>
        <v>0</v>
      </c>
      <c r="CT478">
        <f>IF(ISNUMBER(CQ478),IFERROR(MAX(0,BW164-CQ478),0),0)</f>
        <v>0</v>
      </c>
      <c r="CU478">
        <f>IF(ISNUMBER(CQ478),IFERROR(MAX(0,CQ478-BW164),0),0)</f>
        <v>0</v>
      </c>
    </row>
    <row r="479" spans="21:99" x14ac:dyDescent="0.3">
      <c r="U479">
        <v>473</v>
      </c>
      <c r="V479">
        <f t="shared" si="444"/>
        <v>119</v>
      </c>
      <c r="W479">
        <f t="shared" si="445"/>
        <v>1</v>
      </c>
      <c r="X479">
        <f t="shared" si="446"/>
        <v>0</v>
      </c>
      <c r="Y479">
        <f>IF(X479&lt;&gt;1,9999,CHOOSE(W479,INDEX(Gantt!$BQ$7:$BQ$119,V479),INDEX(Gantt!$BR$7:$BR$119,V479),INDEX(Gantt!$BT$7:$BT$119,V479),INDEX(Gantt!$BU$7:$BU$119,V479)))</f>
        <v>9999</v>
      </c>
      <c r="Z479">
        <f t="shared" si="447"/>
        <v>0</v>
      </c>
      <c r="AA479" t="e">
        <f t="shared" si="448"/>
        <v>#N/A</v>
      </c>
      <c r="AB479" t="e">
        <f t="shared" si="449"/>
        <v>#N/A</v>
      </c>
      <c r="AC479" t="e">
        <f t="shared" si="450"/>
        <v>#N/A</v>
      </c>
      <c r="AD479" t="e">
        <f t="shared" si="451"/>
        <v>#N/A</v>
      </c>
      <c r="AE479" t="e">
        <f t="shared" si="452"/>
        <v>#N/A</v>
      </c>
      <c r="AF479" t="e">
        <f t="shared" si="453"/>
        <v>#N/A</v>
      </c>
      <c r="AG479" t="e">
        <f t="shared" si="454"/>
        <v>#N/A</v>
      </c>
      <c r="AH479" t="e">
        <f t="shared" si="455"/>
        <v>#N/A</v>
      </c>
      <c r="AI479" t="e">
        <f t="shared" si="456"/>
        <v>#N/A</v>
      </c>
      <c r="AJ479" t="e">
        <f t="shared" si="457"/>
        <v>#N/A</v>
      </c>
      <c r="AK479" t="e">
        <f t="shared" si="458"/>
        <v>#N/A</v>
      </c>
      <c r="AL479" t="e">
        <f t="shared" si="459"/>
        <v>#N/A</v>
      </c>
      <c r="AM479" t="e">
        <f t="shared" si="460"/>
        <v>#N/A</v>
      </c>
      <c r="AN479" t="e">
        <f t="shared" si="461"/>
        <v>#N/A</v>
      </c>
      <c r="AO479" t="e">
        <f t="shared" si="462"/>
        <v>#N/A</v>
      </c>
      <c r="AP479" t="e">
        <f t="shared" si="463"/>
        <v>#N/A</v>
      </c>
      <c r="AQ479" t="e">
        <f t="shared" si="464"/>
        <v>#N/A</v>
      </c>
      <c r="AR479" t="e">
        <f t="shared" si="465"/>
        <v>#N/A</v>
      </c>
      <c r="AS479" t="e">
        <f t="shared" si="466"/>
        <v>#N/A</v>
      </c>
      <c r="AT479" t="e">
        <f t="shared" si="467"/>
        <v>#N/A</v>
      </c>
      <c r="AU479" t="e">
        <f t="shared" si="468"/>
        <v>#N/A</v>
      </c>
      <c r="AV479" t="e">
        <f t="shared" si="469"/>
        <v>#N/A</v>
      </c>
      <c r="AW479" t="e">
        <f t="shared" si="470"/>
        <v>#N/A</v>
      </c>
      <c r="AX479" t="e">
        <f t="shared" si="471"/>
        <v>#N/A</v>
      </c>
      <c r="AY479" t="e">
        <f t="shared" si="472"/>
        <v>#N/A</v>
      </c>
      <c r="BE479" t="e">
        <f>IF(Z479=1,IF(INDEX($C$7:$C$126,V479)&gt;=Gantt!$BF$6,NA(),MATCH(INDEX($C$7:$C$126,V479),Gantt!$J$6:$BE$6,1)),NA())</f>
        <v>#N/A</v>
      </c>
      <c r="BF479" t="e">
        <f>IF(Z479=1,IF((INDEX($D$7:$D$126,AA479)-1)&gt;=Gantt!$BF$6,NA(),IF((INDEX($D$7:$D$126,AA479)-1)&lt;Gantt!$J$6,0,MATCH((INDEX($D$7:$D$126,AA479)-1),Gantt!$J$6:$BE$6,1))),NA())</f>
        <v>#N/A</v>
      </c>
      <c r="BG479" t="e">
        <f t="shared" si="473"/>
        <v>#N/A</v>
      </c>
      <c r="BH479" t="e">
        <f t="shared" si="474"/>
        <v>#N/A</v>
      </c>
      <c r="BI479" t="e">
        <f t="shared" si="475"/>
        <v>#N/A</v>
      </c>
      <c r="BJ479" t="e">
        <f t="shared" si="476"/>
        <v>#N/A</v>
      </c>
      <c r="BK479" t="e">
        <f t="shared" si="477"/>
        <v>#N/A</v>
      </c>
      <c r="BL479" t="e">
        <f t="shared" si="478"/>
        <v>#N/A</v>
      </c>
      <c r="BM479" t="e">
        <f t="shared" si="479"/>
        <v>#N/A</v>
      </c>
      <c r="BN479" t="e">
        <f t="shared" si="480"/>
        <v>#N/A</v>
      </c>
      <c r="BO479" t="e">
        <f t="shared" si="481"/>
        <v>#N/A</v>
      </c>
      <c r="BP479" t="e">
        <f t="shared" si="482"/>
        <v>#N/A</v>
      </c>
      <c r="BQ479" t="e">
        <f t="shared" si="483"/>
        <v>#N/A</v>
      </c>
      <c r="BR479" t="e">
        <f t="shared" si="484"/>
        <v>#N/A</v>
      </c>
      <c r="BS479" t="e">
        <f t="shared" si="485"/>
        <v>#N/A</v>
      </c>
      <c r="BT479" t="e">
        <f t="shared" si="486"/>
        <v>#N/A</v>
      </c>
      <c r="BU479" t="e">
        <f t="shared" si="487"/>
        <v>#N/A</v>
      </c>
      <c r="BV479" t="e">
        <f t="shared" si="488"/>
        <v>#N/A</v>
      </c>
      <c r="BW479" t="e">
        <f t="shared" si="489"/>
        <v>#N/A</v>
      </c>
      <c r="BX479" t="e">
        <f t="shared" si="490"/>
        <v>#N/A</v>
      </c>
      <c r="BY479" t="e">
        <f t="shared" si="491"/>
        <v>#N/A</v>
      </c>
      <c r="BZ479" t="e">
        <f t="shared" si="492"/>
        <v>#N/A</v>
      </c>
      <c r="CA479" t="e">
        <f t="shared" si="493"/>
        <v>#N/A</v>
      </c>
      <c r="CB479" t="e">
        <f t="shared" si="494"/>
        <v>#N/A</v>
      </c>
      <c r="CC479" t="e">
        <f t="shared" si="495"/>
        <v>#N/A</v>
      </c>
      <c r="CD479" t="e">
        <f t="shared" si="496"/>
        <v>#N/A</v>
      </c>
      <c r="CE479" t="e">
        <f t="shared" si="497"/>
        <v>#N/A</v>
      </c>
      <c r="CF479" t="e">
        <f t="shared" si="498"/>
        <v>#N/A</v>
      </c>
      <c r="CG479" t="e">
        <f t="shared" si="499"/>
        <v>#N/A</v>
      </c>
      <c r="CI479" t="e">
        <f>AP164</f>
        <v>#N/A</v>
      </c>
      <c r="CJ479" t="e">
        <f>AQ164</f>
        <v>#N/A</v>
      </c>
      <c r="CK479">
        <f>IF(ISNUMBER(CI479),IFERROR(MAX(0,AR164-CI479),0),0)</f>
        <v>0</v>
      </c>
      <c r="CL479">
        <f>IF(ISNUMBER(CI479),IFERROR(MAX(0,CI479-AR164),0),0)</f>
        <v>0</v>
      </c>
      <c r="CM479">
        <f>IF(ISNUMBER(CJ479),IFERROR(MAX(0,AS164-CJ479),0),0)</f>
        <v>0</v>
      </c>
      <c r="CN479">
        <f>IF(ISNUMBER(CJ479),IFERROR(MAX(0,CJ479-AS164),0),0)</f>
        <v>0</v>
      </c>
      <c r="CP479" t="e">
        <f>BX164</f>
        <v>#N/A</v>
      </c>
      <c r="CQ479" t="e">
        <f>BY164</f>
        <v>#N/A</v>
      </c>
      <c r="CR479">
        <f>IF(ISNUMBER(CP479),IFERROR(MAX(0,BZ164-CP479),0),0)</f>
        <v>0</v>
      </c>
      <c r="CS479">
        <f>IF(ISNUMBER(CP479),IFERROR(MAX(0,CP479-BZ164),0),0)</f>
        <v>0</v>
      </c>
      <c r="CT479">
        <f>IF(ISNUMBER(CQ479),IFERROR(MAX(0,CA164-CQ479),0),0)</f>
        <v>0</v>
      </c>
      <c r="CU479">
        <f>IF(ISNUMBER(CQ479),IFERROR(MAX(0,CQ479-CA164),0),0)</f>
        <v>0</v>
      </c>
    </row>
    <row r="480" spans="21:99" x14ac:dyDescent="0.3">
      <c r="U480">
        <v>474</v>
      </c>
      <c r="V480">
        <f t="shared" si="444"/>
        <v>119</v>
      </c>
      <c r="W480">
        <f t="shared" si="445"/>
        <v>2</v>
      </c>
      <c r="X480">
        <f t="shared" si="446"/>
        <v>0</v>
      </c>
      <c r="Y480">
        <f>IF(X480&lt;&gt;1,9999,CHOOSE(W480,INDEX(Gantt!$BQ$7:$BQ$119,V480),INDEX(Gantt!$BR$7:$BR$119,V480),INDEX(Gantt!$BT$7:$BT$119,V480),INDEX(Gantt!$BU$7:$BU$119,V480)))</f>
        <v>9999</v>
      </c>
      <c r="Z480">
        <f t="shared" si="447"/>
        <v>0</v>
      </c>
      <c r="AA480" t="e">
        <f t="shared" si="448"/>
        <v>#N/A</v>
      </c>
      <c r="AB480" t="e">
        <f t="shared" si="449"/>
        <v>#N/A</v>
      </c>
      <c r="AC480" t="e">
        <f t="shared" si="450"/>
        <v>#N/A</v>
      </c>
      <c r="AD480" t="e">
        <f t="shared" si="451"/>
        <v>#N/A</v>
      </c>
      <c r="AE480" t="e">
        <f t="shared" si="452"/>
        <v>#N/A</v>
      </c>
      <c r="AF480" t="e">
        <f t="shared" si="453"/>
        <v>#N/A</v>
      </c>
      <c r="AG480" t="e">
        <f t="shared" si="454"/>
        <v>#N/A</v>
      </c>
      <c r="AH480" t="e">
        <f t="shared" si="455"/>
        <v>#N/A</v>
      </c>
      <c r="AI480" t="e">
        <f t="shared" si="456"/>
        <v>#N/A</v>
      </c>
      <c r="AJ480" t="e">
        <f t="shared" si="457"/>
        <v>#N/A</v>
      </c>
      <c r="AK480" t="e">
        <f t="shared" si="458"/>
        <v>#N/A</v>
      </c>
      <c r="AL480" t="e">
        <f t="shared" si="459"/>
        <v>#N/A</v>
      </c>
      <c r="AM480" t="e">
        <f t="shared" si="460"/>
        <v>#N/A</v>
      </c>
      <c r="AN480" t="e">
        <f t="shared" si="461"/>
        <v>#N/A</v>
      </c>
      <c r="AO480" t="e">
        <f t="shared" si="462"/>
        <v>#N/A</v>
      </c>
      <c r="AP480" t="e">
        <f t="shared" si="463"/>
        <v>#N/A</v>
      </c>
      <c r="AQ480" t="e">
        <f t="shared" si="464"/>
        <v>#N/A</v>
      </c>
      <c r="AR480" t="e">
        <f t="shared" si="465"/>
        <v>#N/A</v>
      </c>
      <c r="AS480" t="e">
        <f t="shared" si="466"/>
        <v>#N/A</v>
      </c>
      <c r="AT480" t="e">
        <f t="shared" si="467"/>
        <v>#N/A</v>
      </c>
      <c r="AU480" t="e">
        <f t="shared" si="468"/>
        <v>#N/A</v>
      </c>
      <c r="AV480" t="e">
        <f t="shared" si="469"/>
        <v>#N/A</v>
      </c>
      <c r="AW480" t="e">
        <f t="shared" si="470"/>
        <v>#N/A</v>
      </c>
      <c r="AX480" t="e">
        <f t="shared" si="471"/>
        <v>#N/A</v>
      </c>
      <c r="AY480" t="e">
        <f t="shared" si="472"/>
        <v>#N/A</v>
      </c>
      <c r="BE480" t="e">
        <f>IF(Z480=1,IF(INDEX($C$7:$C$126,V480)&gt;=Gantt!$BF$6,NA(),MATCH(INDEX($C$7:$C$126,V480),Gantt!$J$6:$BE$6,1)),NA())</f>
        <v>#N/A</v>
      </c>
      <c r="BF480" t="e">
        <f>IF(Z480=1,IF((INDEX($D$7:$D$126,AA480)-1)&gt;=Gantt!$BF$6,NA(),IF((INDEX($D$7:$D$126,AA480)-1)&lt;Gantt!$J$6,0,MATCH((INDEX($D$7:$D$126,AA480)-1),Gantt!$J$6:$BE$6,1))),NA())</f>
        <v>#N/A</v>
      </c>
      <c r="BG480" t="e">
        <f t="shared" si="473"/>
        <v>#N/A</v>
      </c>
      <c r="BH480" t="e">
        <f t="shared" si="474"/>
        <v>#N/A</v>
      </c>
      <c r="BI480" t="e">
        <f t="shared" si="475"/>
        <v>#N/A</v>
      </c>
      <c r="BJ480" t="e">
        <f t="shared" si="476"/>
        <v>#N/A</v>
      </c>
      <c r="BK480" t="e">
        <f t="shared" si="477"/>
        <v>#N/A</v>
      </c>
      <c r="BL480" t="e">
        <f t="shared" si="478"/>
        <v>#N/A</v>
      </c>
      <c r="BM480" t="e">
        <f t="shared" si="479"/>
        <v>#N/A</v>
      </c>
      <c r="BN480" t="e">
        <f t="shared" si="480"/>
        <v>#N/A</v>
      </c>
      <c r="BO480" t="e">
        <f t="shared" si="481"/>
        <v>#N/A</v>
      </c>
      <c r="BP480" t="e">
        <f t="shared" si="482"/>
        <v>#N/A</v>
      </c>
      <c r="BQ480" t="e">
        <f t="shared" si="483"/>
        <v>#N/A</v>
      </c>
      <c r="BR480" t="e">
        <f t="shared" si="484"/>
        <v>#N/A</v>
      </c>
      <c r="BS480" t="e">
        <f t="shared" si="485"/>
        <v>#N/A</v>
      </c>
      <c r="BT480" t="e">
        <f t="shared" si="486"/>
        <v>#N/A</v>
      </c>
      <c r="BU480" t="e">
        <f t="shared" si="487"/>
        <v>#N/A</v>
      </c>
      <c r="BV480" t="e">
        <f t="shared" si="488"/>
        <v>#N/A</v>
      </c>
      <c r="BW480" t="e">
        <f t="shared" si="489"/>
        <v>#N/A</v>
      </c>
      <c r="BX480" t="e">
        <f t="shared" si="490"/>
        <v>#N/A</v>
      </c>
      <c r="BY480" t="e">
        <f t="shared" si="491"/>
        <v>#N/A</v>
      </c>
      <c r="BZ480" t="e">
        <f t="shared" si="492"/>
        <v>#N/A</v>
      </c>
      <c r="CA480" t="e">
        <f t="shared" si="493"/>
        <v>#N/A</v>
      </c>
      <c r="CB480" t="e">
        <f t="shared" si="494"/>
        <v>#N/A</v>
      </c>
      <c r="CC480" t="e">
        <f t="shared" si="495"/>
        <v>#N/A</v>
      </c>
      <c r="CD480" t="e">
        <f t="shared" si="496"/>
        <v>#N/A</v>
      </c>
      <c r="CE480" t="e">
        <f t="shared" si="497"/>
        <v>#N/A</v>
      </c>
      <c r="CF480" t="e">
        <f t="shared" si="498"/>
        <v>#N/A</v>
      </c>
      <c r="CG480" t="e">
        <f t="shared" si="499"/>
        <v>#N/A</v>
      </c>
      <c r="CI480" t="e">
        <f>AT164</f>
        <v>#N/A</v>
      </c>
      <c r="CJ480" t="e">
        <f>AU164</f>
        <v>#N/A</v>
      </c>
      <c r="CK480">
        <f>IF(ISNUMBER(CI480),IFERROR(MAX(0,AV164-CI480),0),0)</f>
        <v>0</v>
      </c>
      <c r="CL480">
        <f>IF(ISNUMBER(CI480),IFERROR(MAX(0,CI480-AV164),0),0)</f>
        <v>0</v>
      </c>
      <c r="CM480">
        <f>IF(ISNUMBER(CJ480),IFERROR(MAX(0,AW164-CJ480),0),0)</f>
        <v>0</v>
      </c>
      <c r="CN480">
        <f>IF(ISNUMBER(CJ480),IFERROR(MAX(0,CJ480-AW164),0),0)</f>
        <v>0</v>
      </c>
      <c r="CP480" t="e">
        <f>CB164</f>
        <v>#N/A</v>
      </c>
      <c r="CQ480" t="e">
        <f>CC164</f>
        <v>#N/A</v>
      </c>
      <c r="CR480">
        <f>IF(ISNUMBER(CP480),IFERROR(MAX(0,CD164-CP480),0),0)</f>
        <v>0</v>
      </c>
      <c r="CS480">
        <f>IF(ISNUMBER(CP480),IFERROR(MAX(0,CP480-CD164),0),0)</f>
        <v>0</v>
      </c>
      <c r="CT480">
        <f>IF(ISNUMBER(CQ480),IFERROR(MAX(0,CE164-CQ480),0),0)</f>
        <v>0</v>
      </c>
      <c r="CU480">
        <f>IF(ISNUMBER(CQ480),IFERROR(MAX(0,CQ480-CE164),0),0)</f>
        <v>0</v>
      </c>
    </row>
    <row r="481" spans="21:99" x14ac:dyDescent="0.3">
      <c r="U481">
        <v>475</v>
      </c>
      <c r="V481">
        <f t="shared" si="444"/>
        <v>119</v>
      </c>
      <c r="W481">
        <f t="shared" si="445"/>
        <v>3</v>
      </c>
      <c r="X481">
        <f t="shared" si="446"/>
        <v>0</v>
      </c>
      <c r="Y481">
        <f>IF(X481&lt;&gt;1,9999,CHOOSE(W481,INDEX(Gantt!$BQ$7:$BQ$119,V481),INDEX(Gantt!$BR$7:$BR$119,V481),INDEX(Gantt!$BT$7:$BT$119,V481),INDEX(Gantt!$BU$7:$BU$119,V481)))</f>
        <v>9999</v>
      </c>
      <c r="Z481">
        <f t="shared" si="447"/>
        <v>0</v>
      </c>
      <c r="AA481" t="e">
        <f t="shared" si="448"/>
        <v>#N/A</v>
      </c>
      <c r="AB481" t="e">
        <f t="shared" si="449"/>
        <v>#N/A</v>
      </c>
      <c r="AC481" t="e">
        <f t="shared" si="450"/>
        <v>#N/A</v>
      </c>
      <c r="AD481" t="e">
        <f t="shared" si="451"/>
        <v>#N/A</v>
      </c>
      <c r="AE481" t="e">
        <f t="shared" si="452"/>
        <v>#N/A</v>
      </c>
      <c r="AF481" t="e">
        <f t="shared" si="453"/>
        <v>#N/A</v>
      </c>
      <c r="AG481" t="e">
        <f t="shared" si="454"/>
        <v>#N/A</v>
      </c>
      <c r="AH481" t="e">
        <f t="shared" si="455"/>
        <v>#N/A</v>
      </c>
      <c r="AI481" t="e">
        <f t="shared" si="456"/>
        <v>#N/A</v>
      </c>
      <c r="AJ481" t="e">
        <f t="shared" si="457"/>
        <v>#N/A</v>
      </c>
      <c r="AK481" t="e">
        <f t="shared" si="458"/>
        <v>#N/A</v>
      </c>
      <c r="AL481" t="e">
        <f t="shared" si="459"/>
        <v>#N/A</v>
      </c>
      <c r="AM481" t="e">
        <f t="shared" si="460"/>
        <v>#N/A</v>
      </c>
      <c r="AN481" t="e">
        <f t="shared" si="461"/>
        <v>#N/A</v>
      </c>
      <c r="AO481" t="e">
        <f t="shared" si="462"/>
        <v>#N/A</v>
      </c>
      <c r="AP481" t="e">
        <f t="shared" si="463"/>
        <v>#N/A</v>
      </c>
      <c r="AQ481" t="e">
        <f t="shared" si="464"/>
        <v>#N/A</v>
      </c>
      <c r="AR481" t="e">
        <f t="shared" si="465"/>
        <v>#N/A</v>
      </c>
      <c r="AS481" t="e">
        <f t="shared" si="466"/>
        <v>#N/A</v>
      </c>
      <c r="AT481" t="e">
        <f t="shared" si="467"/>
        <v>#N/A</v>
      </c>
      <c r="AU481" t="e">
        <f t="shared" si="468"/>
        <v>#N/A</v>
      </c>
      <c r="AV481" t="e">
        <f t="shared" si="469"/>
        <v>#N/A</v>
      </c>
      <c r="AW481" t="e">
        <f t="shared" si="470"/>
        <v>#N/A</v>
      </c>
      <c r="AX481" t="e">
        <f t="shared" si="471"/>
        <v>#N/A</v>
      </c>
      <c r="AY481" t="e">
        <f t="shared" si="472"/>
        <v>#N/A</v>
      </c>
      <c r="BE481" t="e">
        <f>IF(Z481=1,IF(INDEX($C$7:$C$126,V481)&gt;=Gantt!$BF$6,NA(),MATCH(INDEX($C$7:$C$126,V481),Gantt!$J$6:$BE$6,1)),NA())</f>
        <v>#N/A</v>
      </c>
      <c r="BF481" t="e">
        <f>IF(Z481=1,IF((INDEX($D$7:$D$126,AA481)-1)&gt;=Gantt!$BF$6,NA(),IF((INDEX($D$7:$D$126,AA481)-1)&lt;Gantt!$J$6,0,MATCH((INDEX($D$7:$D$126,AA481)-1),Gantt!$J$6:$BE$6,1))),NA())</f>
        <v>#N/A</v>
      </c>
      <c r="BG481" t="e">
        <f t="shared" si="473"/>
        <v>#N/A</v>
      </c>
      <c r="BH481" t="e">
        <f t="shared" si="474"/>
        <v>#N/A</v>
      </c>
      <c r="BI481" t="e">
        <f t="shared" si="475"/>
        <v>#N/A</v>
      </c>
      <c r="BJ481" t="e">
        <f t="shared" si="476"/>
        <v>#N/A</v>
      </c>
      <c r="BK481" t="e">
        <f t="shared" si="477"/>
        <v>#N/A</v>
      </c>
      <c r="BL481" t="e">
        <f t="shared" si="478"/>
        <v>#N/A</v>
      </c>
      <c r="BM481" t="e">
        <f t="shared" si="479"/>
        <v>#N/A</v>
      </c>
      <c r="BN481" t="e">
        <f t="shared" si="480"/>
        <v>#N/A</v>
      </c>
      <c r="BO481" t="e">
        <f t="shared" si="481"/>
        <v>#N/A</v>
      </c>
      <c r="BP481" t="e">
        <f t="shared" si="482"/>
        <v>#N/A</v>
      </c>
      <c r="BQ481" t="e">
        <f t="shared" si="483"/>
        <v>#N/A</v>
      </c>
      <c r="BR481" t="e">
        <f t="shared" si="484"/>
        <v>#N/A</v>
      </c>
      <c r="BS481" t="e">
        <f t="shared" si="485"/>
        <v>#N/A</v>
      </c>
      <c r="BT481" t="e">
        <f t="shared" si="486"/>
        <v>#N/A</v>
      </c>
      <c r="BU481" t="e">
        <f t="shared" si="487"/>
        <v>#N/A</v>
      </c>
      <c r="BV481" t="e">
        <f t="shared" si="488"/>
        <v>#N/A</v>
      </c>
      <c r="BW481" t="e">
        <f t="shared" si="489"/>
        <v>#N/A</v>
      </c>
      <c r="BX481" t="e">
        <f t="shared" si="490"/>
        <v>#N/A</v>
      </c>
      <c r="BY481" t="e">
        <f t="shared" si="491"/>
        <v>#N/A</v>
      </c>
      <c r="BZ481" t="e">
        <f t="shared" si="492"/>
        <v>#N/A</v>
      </c>
      <c r="CA481" t="e">
        <f t="shared" si="493"/>
        <v>#N/A</v>
      </c>
      <c r="CB481" t="e">
        <f t="shared" si="494"/>
        <v>#N/A</v>
      </c>
      <c r="CC481" t="e">
        <f t="shared" si="495"/>
        <v>#N/A</v>
      </c>
      <c r="CD481" t="e">
        <f t="shared" si="496"/>
        <v>#N/A</v>
      </c>
      <c r="CE481" t="e">
        <f t="shared" si="497"/>
        <v>#N/A</v>
      </c>
      <c r="CF481" t="e">
        <f t="shared" si="498"/>
        <v>#N/A</v>
      </c>
      <c r="CG481" t="e">
        <f t="shared" si="499"/>
        <v>#N/A</v>
      </c>
      <c r="CI481" t="e">
        <f>AL165</f>
        <v>#N/A</v>
      </c>
      <c r="CJ481" t="e">
        <f>AM165</f>
        <v>#N/A</v>
      </c>
      <c r="CK481">
        <f>IF(ISNUMBER(CI481),IFERROR(MAX(0,AN165-CI481),0),0)</f>
        <v>0</v>
      </c>
      <c r="CL481">
        <f>IF(ISNUMBER(CI481),IFERROR(MAX(0,CI481-AN165),0),0)</f>
        <v>0</v>
      </c>
      <c r="CM481">
        <f>IF(ISNUMBER(CJ481),IFERROR(MAX(0,AO165-CJ481),0),0)</f>
        <v>0</v>
      </c>
      <c r="CN481">
        <f>IF(ISNUMBER(CJ481),IFERROR(MAX(0,CJ481-AO165),0),0)</f>
        <v>0</v>
      </c>
      <c r="CP481" t="e">
        <f>BT165</f>
        <v>#N/A</v>
      </c>
      <c r="CQ481" t="e">
        <f>BU165</f>
        <v>#N/A</v>
      </c>
      <c r="CR481">
        <f>IF(ISNUMBER(CP481),IFERROR(MAX(0,BV165-CP481),0),0)</f>
        <v>0</v>
      </c>
      <c r="CS481">
        <f>IF(ISNUMBER(CP481),IFERROR(MAX(0,CP481-BV165),0),0)</f>
        <v>0</v>
      </c>
      <c r="CT481">
        <f>IF(ISNUMBER(CQ481),IFERROR(MAX(0,BW165-CQ481),0),0)</f>
        <v>0</v>
      </c>
      <c r="CU481">
        <f>IF(ISNUMBER(CQ481),IFERROR(MAX(0,CQ481-BW165),0),0)</f>
        <v>0</v>
      </c>
    </row>
    <row r="482" spans="21:99" x14ac:dyDescent="0.3">
      <c r="U482">
        <v>476</v>
      </c>
      <c r="V482">
        <f t="shared" si="444"/>
        <v>119</v>
      </c>
      <c r="W482">
        <f t="shared" si="445"/>
        <v>4</v>
      </c>
      <c r="X482">
        <f t="shared" si="446"/>
        <v>0</v>
      </c>
      <c r="Y482">
        <f>IF(X482&lt;&gt;1,9999,CHOOSE(W482,INDEX(Gantt!$BQ$7:$BQ$119,V482),INDEX(Gantt!$BR$7:$BR$119,V482),INDEX(Gantt!$BT$7:$BT$119,V482),INDEX(Gantt!$BU$7:$BU$119,V482)))</f>
        <v>9999</v>
      </c>
      <c r="Z482">
        <f t="shared" si="447"/>
        <v>0</v>
      </c>
      <c r="AA482" t="e">
        <f t="shared" si="448"/>
        <v>#N/A</v>
      </c>
      <c r="AB482" t="e">
        <f t="shared" si="449"/>
        <v>#N/A</v>
      </c>
      <c r="AC482" t="e">
        <f t="shared" si="450"/>
        <v>#N/A</v>
      </c>
      <c r="AD482" t="e">
        <f t="shared" si="451"/>
        <v>#N/A</v>
      </c>
      <c r="AE482" t="e">
        <f t="shared" si="452"/>
        <v>#N/A</v>
      </c>
      <c r="AF482" t="e">
        <f t="shared" si="453"/>
        <v>#N/A</v>
      </c>
      <c r="AG482" t="e">
        <f t="shared" si="454"/>
        <v>#N/A</v>
      </c>
      <c r="AH482" t="e">
        <f t="shared" si="455"/>
        <v>#N/A</v>
      </c>
      <c r="AI482" t="e">
        <f t="shared" si="456"/>
        <v>#N/A</v>
      </c>
      <c r="AJ482" t="e">
        <f t="shared" si="457"/>
        <v>#N/A</v>
      </c>
      <c r="AK482" t="e">
        <f t="shared" si="458"/>
        <v>#N/A</v>
      </c>
      <c r="AL482" t="e">
        <f t="shared" si="459"/>
        <v>#N/A</v>
      </c>
      <c r="AM482" t="e">
        <f t="shared" si="460"/>
        <v>#N/A</v>
      </c>
      <c r="AN482" t="e">
        <f t="shared" si="461"/>
        <v>#N/A</v>
      </c>
      <c r="AO482" t="e">
        <f t="shared" si="462"/>
        <v>#N/A</v>
      </c>
      <c r="AP482" t="e">
        <f t="shared" si="463"/>
        <v>#N/A</v>
      </c>
      <c r="AQ482" t="e">
        <f t="shared" si="464"/>
        <v>#N/A</v>
      </c>
      <c r="AR482" t="e">
        <f t="shared" si="465"/>
        <v>#N/A</v>
      </c>
      <c r="AS482" t="e">
        <f t="shared" si="466"/>
        <v>#N/A</v>
      </c>
      <c r="AT482" t="e">
        <f t="shared" si="467"/>
        <v>#N/A</v>
      </c>
      <c r="AU482" t="e">
        <f t="shared" si="468"/>
        <v>#N/A</v>
      </c>
      <c r="AV482" t="e">
        <f t="shared" si="469"/>
        <v>#N/A</v>
      </c>
      <c r="AW482" t="e">
        <f t="shared" si="470"/>
        <v>#N/A</v>
      </c>
      <c r="AX482" t="e">
        <f t="shared" si="471"/>
        <v>#N/A</v>
      </c>
      <c r="AY482" t="e">
        <f t="shared" si="472"/>
        <v>#N/A</v>
      </c>
      <c r="BE482" t="e">
        <f>IF(Z482=1,IF(INDEX($C$7:$C$126,V482)&gt;=Gantt!$BF$6,NA(),MATCH(INDEX($C$7:$C$126,V482),Gantt!$J$6:$BE$6,1)),NA())</f>
        <v>#N/A</v>
      </c>
      <c r="BF482" t="e">
        <f>IF(Z482=1,IF((INDEX($D$7:$D$126,AA482)-1)&gt;=Gantt!$BF$6,NA(),IF((INDEX($D$7:$D$126,AA482)-1)&lt;Gantt!$J$6,0,MATCH((INDEX($D$7:$D$126,AA482)-1),Gantt!$J$6:$BE$6,1))),NA())</f>
        <v>#N/A</v>
      </c>
      <c r="BG482" t="e">
        <f t="shared" si="473"/>
        <v>#N/A</v>
      </c>
      <c r="BH482" t="e">
        <f t="shared" si="474"/>
        <v>#N/A</v>
      </c>
      <c r="BI482" t="e">
        <f t="shared" si="475"/>
        <v>#N/A</v>
      </c>
      <c r="BJ482" t="e">
        <f t="shared" si="476"/>
        <v>#N/A</v>
      </c>
      <c r="BK482" t="e">
        <f t="shared" si="477"/>
        <v>#N/A</v>
      </c>
      <c r="BL482" t="e">
        <f t="shared" si="478"/>
        <v>#N/A</v>
      </c>
      <c r="BM482" t="e">
        <f t="shared" si="479"/>
        <v>#N/A</v>
      </c>
      <c r="BN482" t="e">
        <f t="shared" si="480"/>
        <v>#N/A</v>
      </c>
      <c r="BO482" t="e">
        <f t="shared" si="481"/>
        <v>#N/A</v>
      </c>
      <c r="BP482" t="e">
        <f t="shared" si="482"/>
        <v>#N/A</v>
      </c>
      <c r="BQ482" t="e">
        <f t="shared" si="483"/>
        <v>#N/A</v>
      </c>
      <c r="BR482" t="e">
        <f t="shared" si="484"/>
        <v>#N/A</v>
      </c>
      <c r="BS482" t="e">
        <f t="shared" si="485"/>
        <v>#N/A</v>
      </c>
      <c r="BT482" t="e">
        <f t="shared" si="486"/>
        <v>#N/A</v>
      </c>
      <c r="BU482" t="e">
        <f t="shared" si="487"/>
        <v>#N/A</v>
      </c>
      <c r="BV482" t="e">
        <f t="shared" si="488"/>
        <v>#N/A</v>
      </c>
      <c r="BW482" t="e">
        <f t="shared" si="489"/>
        <v>#N/A</v>
      </c>
      <c r="BX482" t="e">
        <f t="shared" si="490"/>
        <v>#N/A</v>
      </c>
      <c r="BY482" t="e">
        <f t="shared" si="491"/>
        <v>#N/A</v>
      </c>
      <c r="BZ482" t="e">
        <f t="shared" si="492"/>
        <v>#N/A</v>
      </c>
      <c r="CA482" t="e">
        <f t="shared" si="493"/>
        <v>#N/A</v>
      </c>
      <c r="CB482" t="e">
        <f t="shared" si="494"/>
        <v>#N/A</v>
      </c>
      <c r="CC482" t="e">
        <f t="shared" si="495"/>
        <v>#N/A</v>
      </c>
      <c r="CD482" t="e">
        <f t="shared" si="496"/>
        <v>#N/A</v>
      </c>
      <c r="CE482" t="e">
        <f t="shared" si="497"/>
        <v>#N/A</v>
      </c>
      <c r="CF482" t="e">
        <f t="shared" si="498"/>
        <v>#N/A</v>
      </c>
      <c r="CG482" t="e">
        <f t="shared" si="499"/>
        <v>#N/A</v>
      </c>
      <c r="CI482" t="e">
        <f>AP165</f>
        <v>#N/A</v>
      </c>
      <c r="CJ482" t="e">
        <f>AQ165</f>
        <v>#N/A</v>
      </c>
      <c r="CK482">
        <f>IF(ISNUMBER(CI482),IFERROR(MAX(0,AR165-CI482),0),0)</f>
        <v>0</v>
      </c>
      <c r="CL482">
        <f>IF(ISNUMBER(CI482),IFERROR(MAX(0,CI482-AR165),0),0)</f>
        <v>0</v>
      </c>
      <c r="CM482">
        <f>IF(ISNUMBER(CJ482),IFERROR(MAX(0,AS165-CJ482),0),0)</f>
        <v>0</v>
      </c>
      <c r="CN482">
        <f>IF(ISNUMBER(CJ482),IFERROR(MAX(0,CJ482-AS165),0),0)</f>
        <v>0</v>
      </c>
      <c r="CP482" t="e">
        <f>BX165</f>
        <v>#N/A</v>
      </c>
      <c r="CQ482" t="e">
        <f>BY165</f>
        <v>#N/A</v>
      </c>
      <c r="CR482">
        <f>IF(ISNUMBER(CP482),IFERROR(MAX(0,BZ165-CP482),0),0)</f>
        <v>0</v>
      </c>
      <c r="CS482">
        <f>IF(ISNUMBER(CP482),IFERROR(MAX(0,CP482-BZ165),0),0)</f>
        <v>0</v>
      </c>
      <c r="CT482">
        <f>IF(ISNUMBER(CQ482),IFERROR(MAX(0,CA165-CQ482),0),0)</f>
        <v>0</v>
      </c>
      <c r="CU482">
        <f>IF(ISNUMBER(CQ482),IFERROR(MAX(0,CQ482-CA165),0),0)</f>
        <v>0</v>
      </c>
    </row>
    <row r="483" spans="21:99" x14ac:dyDescent="0.3">
      <c r="U483">
        <v>477</v>
      </c>
      <c r="V483">
        <f t="shared" si="444"/>
        <v>120</v>
      </c>
      <c r="W483">
        <f t="shared" si="445"/>
        <v>1</v>
      </c>
      <c r="X483">
        <f t="shared" si="446"/>
        <v>0</v>
      </c>
      <c r="Y483">
        <f>IF(X483&lt;&gt;1,9999,CHOOSE(W483,INDEX(Gantt!$BQ$7:$BQ$119,V483),INDEX(Gantt!$BR$7:$BR$119,V483),INDEX(Gantt!$BT$7:$BT$119,V483),INDEX(Gantt!$BU$7:$BU$119,V483)))</f>
        <v>9999</v>
      </c>
      <c r="Z483">
        <f t="shared" si="447"/>
        <v>0</v>
      </c>
      <c r="AA483" t="e">
        <f t="shared" si="448"/>
        <v>#N/A</v>
      </c>
      <c r="AB483" t="e">
        <f t="shared" si="449"/>
        <v>#N/A</v>
      </c>
      <c r="AC483" t="e">
        <f t="shared" si="450"/>
        <v>#N/A</v>
      </c>
      <c r="AD483" t="e">
        <f t="shared" si="451"/>
        <v>#N/A</v>
      </c>
      <c r="AE483" t="e">
        <f t="shared" si="452"/>
        <v>#N/A</v>
      </c>
      <c r="AF483" t="e">
        <f t="shared" si="453"/>
        <v>#N/A</v>
      </c>
      <c r="AG483" t="e">
        <f t="shared" si="454"/>
        <v>#N/A</v>
      </c>
      <c r="AH483" t="e">
        <f t="shared" si="455"/>
        <v>#N/A</v>
      </c>
      <c r="AI483" t="e">
        <f t="shared" si="456"/>
        <v>#N/A</v>
      </c>
      <c r="AJ483" t="e">
        <f t="shared" si="457"/>
        <v>#N/A</v>
      </c>
      <c r="AK483" t="e">
        <f t="shared" si="458"/>
        <v>#N/A</v>
      </c>
      <c r="AL483" t="e">
        <f t="shared" si="459"/>
        <v>#N/A</v>
      </c>
      <c r="AM483" t="e">
        <f t="shared" si="460"/>
        <v>#N/A</v>
      </c>
      <c r="AN483" t="e">
        <f t="shared" si="461"/>
        <v>#N/A</v>
      </c>
      <c r="AO483" t="e">
        <f t="shared" si="462"/>
        <v>#N/A</v>
      </c>
      <c r="AP483" t="e">
        <f t="shared" si="463"/>
        <v>#N/A</v>
      </c>
      <c r="AQ483" t="e">
        <f t="shared" si="464"/>
        <v>#N/A</v>
      </c>
      <c r="AR483" t="e">
        <f t="shared" si="465"/>
        <v>#N/A</v>
      </c>
      <c r="AS483" t="e">
        <f t="shared" si="466"/>
        <v>#N/A</v>
      </c>
      <c r="AT483" t="e">
        <f t="shared" si="467"/>
        <v>#N/A</v>
      </c>
      <c r="AU483" t="e">
        <f t="shared" si="468"/>
        <v>#N/A</v>
      </c>
      <c r="AV483" t="e">
        <f t="shared" si="469"/>
        <v>#N/A</v>
      </c>
      <c r="AW483" t="e">
        <f t="shared" si="470"/>
        <v>#N/A</v>
      </c>
      <c r="AX483" t="e">
        <f t="shared" si="471"/>
        <v>#N/A</v>
      </c>
      <c r="AY483" t="e">
        <f t="shared" si="472"/>
        <v>#N/A</v>
      </c>
      <c r="BE483" t="e">
        <f>IF(Z483=1,IF(INDEX($C$7:$C$126,V483)&gt;=Gantt!$BF$6,NA(),MATCH(INDEX($C$7:$C$126,V483),Gantt!$J$6:$BE$6,1)),NA())</f>
        <v>#N/A</v>
      </c>
      <c r="BF483" t="e">
        <f>IF(Z483=1,IF((INDEX($D$7:$D$126,AA483)-1)&gt;=Gantt!$BF$6,NA(),IF((INDEX($D$7:$D$126,AA483)-1)&lt;Gantt!$J$6,0,MATCH((INDEX($D$7:$D$126,AA483)-1),Gantt!$J$6:$BE$6,1))),NA())</f>
        <v>#N/A</v>
      </c>
      <c r="BG483" t="e">
        <f t="shared" si="473"/>
        <v>#N/A</v>
      </c>
      <c r="BH483" t="e">
        <f t="shared" si="474"/>
        <v>#N/A</v>
      </c>
      <c r="BI483" t="e">
        <f t="shared" si="475"/>
        <v>#N/A</v>
      </c>
      <c r="BJ483" t="e">
        <f t="shared" si="476"/>
        <v>#N/A</v>
      </c>
      <c r="BK483" t="e">
        <f t="shared" si="477"/>
        <v>#N/A</v>
      </c>
      <c r="BL483" t="e">
        <f t="shared" si="478"/>
        <v>#N/A</v>
      </c>
      <c r="BM483" t="e">
        <f t="shared" si="479"/>
        <v>#N/A</v>
      </c>
      <c r="BN483" t="e">
        <f t="shared" si="480"/>
        <v>#N/A</v>
      </c>
      <c r="BO483" t="e">
        <f t="shared" si="481"/>
        <v>#N/A</v>
      </c>
      <c r="BP483" t="e">
        <f t="shared" si="482"/>
        <v>#N/A</v>
      </c>
      <c r="BQ483" t="e">
        <f t="shared" si="483"/>
        <v>#N/A</v>
      </c>
      <c r="BR483" t="e">
        <f t="shared" si="484"/>
        <v>#N/A</v>
      </c>
      <c r="BS483" t="e">
        <f t="shared" si="485"/>
        <v>#N/A</v>
      </c>
      <c r="BT483" t="e">
        <f t="shared" si="486"/>
        <v>#N/A</v>
      </c>
      <c r="BU483" t="e">
        <f t="shared" si="487"/>
        <v>#N/A</v>
      </c>
      <c r="BV483" t="e">
        <f t="shared" si="488"/>
        <v>#N/A</v>
      </c>
      <c r="BW483" t="e">
        <f t="shared" si="489"/>
        <v>#N/A</v>
      </c>
      <c r="BX483" t="e">
        <f t="shared" si="490"/>
        <v>#N/A</v>
      </c>
      <c r="BY483" t="e">
        <f t="shared" si="491"/>
        <v>#N/A</v>
      </c>
      <c r="BZ483" t="e">
        <f t="shared" si="492"/>
        <v>#N/A</v>
      </c>
      <c r="CA483" t="e">
        <f t="shared" si="493"/>
        <v>#N/A</v>
      </c>
      <c r="CB483" t="e">
        <f t="shared" si="494"/>
        <v>#N/A</v>
      </c>
      <c r="CC483" t="e">
        <f t="shared" si="495"/>
        <v>#N/A</v>
      </c>
      <c r="CD483" t="e">
        <f t="shared" si="496"/>
        <v>#N/A</v>
      </c>
      <c r="CE483" t="e">
        <f t="shared" si="497"/>
        <v>#N/A</v>
      </c>
      <c r="CF483" t="e">
        <f t="shared" si="498"/>
        <v>#N/A</v>
      </c>
      <c r="CG483" t="e">
        <f t="shared" si="499"/>
        <v>#N/A</v>
      </c>
      <c r="CI483" t="e">
        <f>AT165</f>
        <v>#N/A</v>
      </c>
      <c r="CJ483" t="e">
        <f>AU165</f>
        <v>#N/A</v>
      </c>
      <c r="CK483">
        <f>IF(ISNUMBER(CI483),IFERROR(MAX(0,AV165-CI483),0),0)</f>
        <v>0</v>
      </c>
      <c r="CL483">
        <f>IF(ISNUMBER(CI483),IFERROR(MAX(0,CI483-AV165),0),0)</f>
        <v>0</v>
      </c>
      <c r="CM483">
        <f>IF(ISNUMBER(CJ483),IFERROR(MAX(0,AW165-CJ483),0),0)</f>
        <v>0</v>
      </c>
      <c r="CN483">
        <f>IF(ISNUMBER(CJ483),IFERROR(MAX(0,CJ483-AW165),0),0)</f>
        <v>0</v>
      </c>
      <c r="CP483" t="e">
        <f>CB165</f>
        <v>#N/A</v>
      </c>
      <c r="CQ483" t="e">
        <f>CC165</f>
        <v>#N/A</v>
      </c>
      <c r="CR483">
        <f>IF(ISNUMBER(CP483),IFERROR(MAX(0,CD165-CP483),0),0)</f>
        <v>0</v>
      </c>
      <c r="CS483">
        <f>IF(ISNUMBER(CP483),IFERROR(MAX(0,CP483-CD165),0),0)</f>
        <v>0</v>
      </c>
      <c r="CT483">
        <f>IF(ISNUMBER(CQ483),IFERROR(MAX(0,CE165-CQ483),0),0)</f>
        <v>0</v>
      </c>
      <c r="CU483">
        <f>IF(ISNUMBER(CQ483),IFERROR(MAX(0,CQ483-CE165),0),0)</f>
        <v>0</v>
      </c>
    </row>
    <row r="484" spans="21:99" x14ac:dyDescent="0.3">
      <c r="U484">
        <v>478</v>
      </c>
      <c r="V484">
        <f t="shared" si="444"/>
        <v>120</v>
      </c>
      <c r="W484">
        <f t="shared" si="445"/>
        <v>2</v>
      </c>
      <c r="X484">
        <f t="shared" si="446"/>
        <v>0</v>
      </c>
      <c r="Y484">
        <f>IF(X484&lt;&gt;1,9999,CHOOSE(W484,INDEX(Gantt!$BQ$7:$BQ$119,V484),INDEX(Gantt!$BR$7:$BR$119,V484),INDEX(Gantt!$BT$7:$BT$119,V484),INDEX(Gantt!$BU$7:$BU$119,V484)))</f>
        <v>9999</v>
      </c>
      <c r="Z484">
        <f t="shared" si="447"/>
        <v>0</v>
      </c>
      <c r="AA484" t="e">
        <f t="shared" si="448"/>
        <v>#N/A</v>
      </c>
      <c r="AB484" t="e">
        <f t="shared" si="449"/>
        <v>#N/A</v>
      </c>
      <c r="AC484" t="e">
        <f t="shared" si="450"/>
        <v>#N/A</v>
      </c>
      <c r="AD484" t="e">
        <f t="shared" si="451"/>
        <v>#N/A</v>
      </c>
      <c r="AE484" t="e">
        <f t="shared" si="452"/>
        <v>#N/A</v>
      </c>
      <c r="AF484" t="e">
        <f t="shared" si="453"/>
        <v>#N/A</v>
      </c>
      <c r="AG484" t="e">
        <f t="shared" si="454"/>
        <v>#N/A</v>
      </c>
      <c r="AH484" t="e">
        <f t="shared" si="455"/>
        <v>#N/A</v>
      </c>
      <c r="AI484" t="e">
        <f t="shared" si="456"/>
        <v>#N/A</v>
      </c>
      <c r="AJ484" t="e">
        <f t="shared" si="457"/>
        <v>#N/A</v>
      </c>
      <c r="AK484" t="e">
        <f t="shared" si="458"/>
        <v>#N/A</v>
      </c>
      <c r="AL484" t="e">
        <f t="shared" si="459"/>
        <v>#N/A</v>
      </c>
      <c r="AM484" t="e">
        <f t="shared" si="460"/>
        <v>#N/A</v>
      </c>
      <c r="AN484" t="e">
        <f t="shared" si="461"/>
        <v>#N/A</v>
      </c>
      <c r="AO484" t="e">
        <f t="shared" si="462"/>
        <v>#N/A</v>
      </c>
      <c r="AP484" t="e">
        <f t="shared" si="463"/>
        <v>#N/A</v>
      </c>
      <c r="AQ484" t="e">
        <f t="shared" si="464"/>
        <v>#N/A</v>
      </c>
      <c r="AR484" t="e">
        <f t="shared" si="465"/>
        <v>#N/A</v>
      </c>
      <c r="AS484" t="e">
        <f t="shared" si="466"/>
        <v>#N/A</v>
      </c>
      <c r="AT484" t="e">
        <f t="shared" si="467"/>
        <v>#N/A</v>
      </c>
      <c r="AU484" t="e">
        <f t="shared" si="468"/>
        <v>#N/A</v>
      </c>
      <c r="AV484" t="e">
        <f t="shared" si="469"/>
        <v>#N/A</v>
      </c>
      <c r="AW484" t="e">
        <f t="shared" si="470"/>
        <v>#N/A</v>
      </c>
      <c r="AX484" t="e">
        <f t="shared" si="471"/>
        <v>#N/A</v>
      </c>
      <c r="AY484" t="e">
        <f t="shared" si="472"/>
        <v>#N/A</v>
      </c>
      <c r="BE484" t="e">
        <f>IF(Z484=1,IF(INDEX($C$7:$C$126,V484)&gt;=Gantt!$BF$6,NA(),MATCH(INDEX($C$7:$C$126,V484),Gantt!$J$6:$BE$6,1)),NA())</f>
        <v>#N/A</v>
      </c>
      <c r="BF484" t="e">
        <f>IF(Z484=1,IF((INDEX($D$7:$D$126,AA484)-1)&gt;=Gantt!$BF$6,NA(),IF((INDEX($D$7:$D$126,AA484)-1)&lt;Gantt!$J$6,0,MATCH((INDEX($D$7:$D$126,AA484)-1),Gantt!$J$6:$BE$6,1))),NA())</f>
        <v>#N/A</v>
      </c>
      <c r="BG484" t="e">
        <f t="shared" si="473"/>
        <v>#N/A</v>
      </c>
      <c r="BH484" t="e">
        <f t="shared" si="474"/>
        <v>#N/A</v>
      </c>
      <c r="BI484" t="e">
        <f t="shared" si="475"/>
        <v>#N/A</v>
      </c>
      <c r="BJ484" t="e">
        <f t="shared" si="476"/>
        <v>#N/A</v>
      </c>
      <c r="BK484" t="e">
        <f t="shared" si="477"/>
        <v>#N/A</v>
      </c>
      <c r="BL484" t="e">
        <f t="shared" si="478"/>
        <v>#N/A</v>
      </c>
      <c r="BM484" t="e">
        <f t="shared" si="479"/>
        <v>#N/A</v>
      </c>
      <c r="BN484" t="e">
        <f t="shared" si="480"/>
        <v>#N/A</v>
      </c>
      <c r="BO484" t="e">
        <f t="shared" si="481"/>
        <v>#N/A</v>
      </c>
      <c r="BP484" t="e">
        <f t="shared" si="482"/>
        <v>#N/A</v>
      </c>
      <c r="BQ484" t="e">
        <f t="shared" si="483"/>
        <v>#N/A</v>
      </c>
      <c r="BR484" t="e">
        <f t="shared" si="484"/>
        <v>#N/A</v>
      </c>
      <c r="BS484" t="e">
        <f t="shared" si="485"/>
        <v>#N/A</v>
      </c>
      <c r="BT484" t="e">
        <f t="shared" si="486"/>
        <v>#N/A</v>
      </c>
      <c r="BU484" t="e">
        <f t="shared" si="487"/>
        <v>#N/A</v>
      </c>
      <c r="BV484" t="e">
        <f t="shared" si="488"/>
        <v>#N/A</v>
      </c>
      <c r="BW484" t="e">
        <f t="shared" si="489"/>
        <v>#N/A</v>
      </c>
      <c r="BX484" t="e">
        <f t="shared" si="490"/>
        <v>#N/A</v>
      </c>
      <c r="BY484" t="e">
        <f t="shared" si="491"/>
        <v>#N/A</v>
      </c>
      <c r="BZ484" t="e">
        <f t="shared" si="492"/>
        <v>#N/A</v>
      </c>
      <c r="CA484" t="e">
        <f t="shared" si="493"/>
        <v>#N/A</v>
      </c>
      <c r="CB484" t="e">
        <f t="shared" si="494"/>
        <v>#N/A</v>
      </c>
      <c r="CC484" t="e">
        <f t="shared" si="495"/>
        <v>#N/A</v>
      </c>
      <c r="CD484" t="e">
        <f t="shared" si="496"/>
        <v>#N/A</v>
      </c>
      <c r="CE484" t="e">
        <f t="shared" si="497"/>
        <v>#N/A</v>
      </c>
      <c r="CF484" t="e">
        <f t="shared" si="498"/>
        <v>#N/A</v>
      </c>
      <c r="CG484" t="e">
        <f t="shared" si="499"/>
        <v>#N/A</v>
      </c>
      <c r="CI484" t="e">
        <f>AL166</f>
        <v>#N/A</v>
      </c>
      <c r="CJ484" t="e">
        <f>AM166</f>
        <v>#N/A</v>
      </c>
      <c r="CK484">
        <f>IF(ISNUMBER(CI484),IFERROR(MAX(0,AN166-CI484),0),0)</f>
        <v>0</v>
      </c>
      <c r="CL484">
        <f>IF(ISNUMBER(CI484),IFERROR(MAX(0,CI484-AN166),0),0)</f>
        <v>0</v>
      </c>
      <c r="CM484">
        <f>IF(ISNUMBER(CJ484),IFERROR(MAX(0,AO166-CJ484),0),0)</f>
        <v>0</v>
      </c>
      <c r="CN484">
        <f>IF(ISNUMBER(CJ484),IFERROR(MAX(0,CJ484-AO166),0),0)</f>
        <v>0</v>
      </c>
      <c r="CP484" t="e">
        <f>BT166</f>
        <v>#N/A</v>
      </c>
      <c r="CQ484" t="e">
        <f>BU166</f>
        <v>#N/A</v>
      </c>
      <c r="CR484">
        <f>IF(ISNUMBER(CP484),IFERROR(MAX(0,BV166-CP484),0),0)</f>
        <v>0</v>
      </c>
      <c r="CS484">
        <f>IF(ISNUMBER(CP484),IFERROR(MAX(0,CP484-BV166),0),0)</f>
        <v>0</v>
      </c>
      <c r="CT484">
        <f>IF(ISNUMBER(CQ484),IFERROR(MAX(0,BW166-CQ484),0),0)</f>
        <v>0</v>
      </c>
      <c r="CU484">
        <f>IF(ISNUMBER(CQ484),IFERROR(MAX(0,CQ484-BW166),0),0)</f>
        <v>0</v>
      </c>
    </row>
    <row r="485" spans="21:99" x14ac:dyDescent="0.3">
      <c r="U485">
        <v>479</v>
      </c>
      <c r="V485">
        <f t="shared" si="444"/>
        <v>120</v>
      </c>
      <c r="W485">
        <f t="shared" si="445"/>
        <v>3</v>
      </c>
      <c r="X485">
        <f t="shared" si="446"/>
        <v>0</v>
      </c>
      <c r="Y485">
        <f>IF(X485&lt;&gt;1,9999,CHOOSE(W485,INDEX(Gantt!$BQ$7:$BQ$119,V485),INDEX(Gantt!$BR$7:$BR$119,V485),INDEX(Gantt!$BT$7:$BT$119,V485),INDEX(Gantt!$BU$7:$BU$119,V485)))</f>
        <v>9999</v>
      </c>
      <c r="Z485">
        <f t="shared" si="447"/>
        <v>0</v>
      </c>
      <c r="AA485" t="e">
        <f t="shared" si="448"/>
        <v>#N/A</v>
      </c>
      <c r="AB485" t="e">
        <f t="shared" si="449"/>
        <v>#N/A</v>
      </c>
      <c r="AC485" t="e">
        <f t="shared" si="450"/>
        <v>#N/A</v>
      </c>
      <c r="AD485" t="e">
        <f t="shared" si="451"/>
        <v>#N/A</v>
      </c>
      <c r="AE485" t="e">
        <f t="shared" si="452"/>
        <v>#N/A</v>
      </c>
      <c r="AF485" t="e">
        <f t="shared" si="453"/>
        <v>#N/A</v>
      </c>
      <c r="AG485" t="e">
        <f t="shared" si="454"/>
        <v>#N/A</v>
      </c>
      <c r="AH485" t="e">
        <f t="shared" si="455"/>
        <v>#N/A</v>
      </c>
      <c r="AI485" t="e">
        <f t="shared" si="456"/>
        <v>#N/A</v>
      </c>
      <c r="AJ485" t="e">
        <f t="shared" si="457"/>
        <v>#N/A</v>
      </c>
      <c r="AK485" t="e">
        <f t="shared" si="458"/>
        <v>#N/A</v>
      </c>
      <c r="AL485" t="e">
        <f t="shared" si="459"/>
        <v>#N/A</v>
      </c>
      <c r="AM485" t="e">
        <f t="shared" si="460"/>
        <v>#N/A</v>
      </c>
      <c r="AN485" t="e">
        <f t="shared" si="461"/>
        <v>#N/A</v>
      </c>
      <c r="AO485" t="e">
        <f t="shared" si="462"/>
        <v>#N/A</v>
      </c>
      <c r="AP485" t="e">
        <f t="shared" si="463"/>
        <v>#N/A</v>
      </c>
      <c r="AQ485" t="e">
        <f t="shared" si="464"/>
        <v>#N/A</v>
      </c>
      <c r="AR485" t="e">
        <f t="shared" si="465"/>
        <v>#N/A</v>
      </c>
      <c r="AS485" t="e">
        <f t="shared" si="466"/>
        <v>#N/A</v>
      </c>
      <c r="AT485" t="e">
        <f t="shared" si="467"/>
        <v>#N/A</v>
      </c>
      <c r="AU485" t="e">
        <f t="shared" si="468"/>
        <v>#N/A</v>
      </c>
      <c r="AV485" t="e">
        <f t="shared" si="469"/>
        <v>#N/A</v>
      </c>
      <c r="AW485" t="e">
        <f t="shared" si="470"/>
        <v>#N/A</v>
      </c>
      <c r="AX485" t="e">
        <f t="shared" si="471"/>
        <v>#N/A</v>
      </c>
      <c r="AY485" t="e">
        <f t="shared" si="472"/>
        <v>#N/A</v>
      </c>
      <c r="BE485" t="e">
        <f>IF(Z485=1,IF(INDEX($C$7:$C$126,V485)&gt;=Gantt!$BF$6,NA(),MATCH(INDEX($C$7:$C$126,V485),Gantt!$J$6:$BE$6,1)),NA())</f>
        <v>#N/A</v>
      </c>
      <c r="BF485" t="e">
        <f>IF(Z485=1,IF((INDEX($D$7:$D$126,AA485)-1)&gt;=Gantt!$BF$6,NA(),IF((INDEX($D$7:$D$126,AA485)-1)&lt;Gantt!$J$6,0,MATCH((INDEX($D$7:$D$126,AA485)-1),Gantt!$J$6:$BE$6,1))),NA())</f>
        <v>#N/A</v>
      </c>
      <c r="BG485" t="e">
        <f t="shared" si="473"/>
        <v>#N/A</v>
      </c>
      <c r="BH485" t="e">
        <f t="shared" si="474"/>
        <v>#N/A</v>
      </c>
      <c r="BI485" t="e">
        <f t="shared" si="475"/>
        <v>#N/A</v>
      </c>
      <c r="BJ485" t="e">
        <f t="shared" si="476"/>
        <v>#N/A</v>
      </c>
      <c r="BK485" t="e">
        <f t="shared" si="477"/>
        <v>#N/A</v>
      </c>
      <c r="BL485" t="e">
        <f t="shared" si="478"/>
        <v>#N/A</v>
      </c>
      <c r="BM485" t="e">
        <f t="shared" si="479"/>
        <v>#N/A</v>
      </c>
      <c r="BN485" t="e">
        <f t="shared" si="480"/>
        <v>#N/A</v>
      </c>
      <c r="BO485" t="e">
        <f t="shared" si="481"/>
        <v>#N/A</v>
      </c>
      <c r="BP485" t="e">
        <f t="shared" si="482"/>
        <v>#N/A</v>
      </c>
      <c r="BQ485" t="e">
        <f t="shared" si="483"/>
        <v>#N/A</v>
      </c>
      <c r="BR485" t="e">
        <f t="shared" si="484"/>
        <v>#N/A</v>
      </c>
      <c r="BS485" t="e">
        <f t="shared" si="485"/>
        <v>#N/A</v>
      </c>
      <c r="BT485" t="e">
        <f t="shared" si="486"/>
        <v>#N/A</v>
      </c>
      <c r="BU485" t="e">
        <f t="shared" si="487"/>
        <v>#N/A</v>
      </c>
      <c r="BV485" t="e">
        <f t="shared" si="488"/>
        <v>#N/A</v>
      </c>
      <c r="BW485" t="e">
        <f t="shared" si="489"/>
        <v>#N/A</v>
      </c>
      <c r="BX485" t="e">
        <f t="shared" si="490"/>
        <v>#N/A</v>
      </c>
      <c r="BY485" t="e">
        <f t="shared" si="491"/>
        <v>#N/A</v>
      </c>
      <c r="BZ485" t="e">
        <f t="shared" si="492"/>
        <v>#N/A</v>
      </c>
      <c r="CA485" t="e">
        <f t="shared" si="493"/>
        <v>#N/A</v>
      </c>
      <c r="CB485" t="e">
        <f t="shared" si="494"/>
        <v>#N/A</v>
      </c>
      <c r="CC485" t="e">
        <f t="shared" si="495"/>
        <v>#N/A</v>
      </c>
      <c r="CD485" t="e">
        <f t="shared" si="496"/>
        <v>#N/A</v>
      </c>
      <c r="CE485" t="e">
        <f t="shared" si="497"/>
        <v>#N/A</v>
      </c>
      <c r="CF485" t="e">
        <f t="shared" si="498"/>
        <v>#N/A</v>
      </c>
      <c r="CG485" t="e">
        <f t="shared" si="499"/>
        <v>#N/A</v>
      </c>
      <c r="CI485" t="e">
        <f>AP166</f>
        <v>#N/A</v>
      </c>
      <c r="CJ485" t="e">
        <f>AQ166</f>
        <v>#N/A</v>
      </c>
      <c r="CK485">
        <f>IF(ISNUMBER(CI485),IFERROR(MAX(0,AR166-CI485),0),0)</f>
        <v>0</v>
      </c>
      <c r="CL485">
        <f>IF(ISNUMBER(CI485),IFERROR(MAX(0,CI485-AR166),0),0)</f>
        <v>0</v>
      </c>
      <c r="CM485">
        <f>IF(ISNUMBER(CJ485),IFERROR(MAX(0,AS166-CJ485),0),0)</f>
        <v>0</v>
      </c>
      <c r="CN485">
        <f>IF(ISNUMBER(CJ485),IFERROR(MAX(0,CJ485-AS166),0),0)</f>
        <v>0</v>
      </c>
      <c r="CP485" t="e">
        <f>BX166</f>
        <v>#N/A</v>
      </c>
      <c r="CQ485" t="e">
        <f>BY166</f>
        <v>#N/A</v>
      </c>
      <c r="CR485">
        <f>IF(ISNUMBER(CP485),IFERROR(MAX(0,BZ166-CP485),0),0)</f>
        <v>0</v>
      </c>
      <c r="CS485">
        <f>IF(ISNUMBER(CP485),IFERROR(MAX(0,CP485-BZ166),0),0)</f>
        <v>0</v>
      </c>
      <c r="CT485">
        <f>IF(ISNUMBER(CQ485),IFERROR(MAX(0,CA166-CQ485),0),0)</f>
        <v>0</v>
      </c>
      <c r="CU485">
        <f>IF(ISNUMBER(CQ485),IFERROR(MAX(0,CQ485-CA166),0),0)</f>
        <v>0</v>
      </c>
    </row>
    <row r="486" spans="21:99" x14ac:dyDescent="0.3">
      <c r="U486">
        <v>480</v>
      </c>
      <c r="V486">
        <f t="shared" si="444"/>
        <v>120</v>
      </c>
      <c r="W486">
        <f t="shared" si="445"/>
        <v>4</v>
      </c>
      <c r="X486">
        <f t="shared" si="446"/>
        <v>0</v>
      </c>
      <c r="Y486">
        <f>IF(X486&lt;&gt;1,9999,CHOOSE(W486,INDEX(Gantt!$BQ$7:$BQ$119,V486),INDEX(Gantt!$BR$7:$BR$119,V486),INDEX(Gantt!$BT$7:$BT$119,V486),INDEX(Gantt!$BU$7:$BU$119,V486)))</f>
        <v>9999</v>
      </c>
      <c r="Z486">
        <f t="shared" si="447"/>
        <v>0</v>
      </c>
      <c r="AA486" t="e">
        <f t="shared" si="448"/>
        <v>#N/A</v>
      </c>
      <c r="AB486" t="e">
        <f t="shared" si="449"/>
        <v>#N/A</v>
      </c>
      <c r="AC486" t="e">
        <f t="shared" si="450"/>
        <v>#N/A</v>
      </c>
      <c r="AD486" t="e">
        <f t="shared" si="451"/>
        <v>#N/A</v>
      </c>
      <c r="AE486" t="e">
        <f t="shared" si="452"/>
        <v>#N/A</v>
      </c>
      <c r="AF486" t="e">
        <f t="shared" si="453"/>
        <v>#N/A</v>
      </c>
      <c r="AG486" t="e">
        <f t="shared" si="454"/>
        <v>#N/A</v>
      </c>
      <c r="AH486" t="e">
        <f t="shared" si="455"/>
        <v>#N/A</v>
      </c>
      <c r="AI486" t="e">
        <f t="shared" si="456"/>
        <v>#N/A</v>
      </c>
      <c r="AJ486" t="e">
        <f t="shared" si="457"/>
        <v>#N/A</v>
      </c>
      <c r="AK486" t="e">
        <f t="shared" si="458"/>
        <v>#N/A</v>
      </c>
      <c r="AL486" t="e">
        <f t="shared" si="459"/>
        <v>#N/A</v>
      </c>
      <c r="AM486" t="e">
        <f t="shared" si="460"/>
        <v>#N/A</v>
      </c>
      <c r="AN486" t="e">
        <f t="shared" si="461"/>
        <v>#N/A</v>
      </c>
      <c r="AO486" t="e">
        <f t="shared" si="462"/>
        <v>#N/A</v>
      </c>
      <c r="AP486" t="e">
        <f t="shared" si="463"/>
        <v>#N/A</v>
      </c>
      <c r="AQ486" t="e">
        <f t="shared" si="464"/>
        <v>#N/A</v>
      </c>
      <c r="AR486" t="e">
        <f t="shared" si="465"/>
        <v>#N/A</v>
      </c>
      <c r="AS486" t="e">
        <f t="shared" si="466"/>
        <v>#N/A</v>
      </c>
      <c r="AT486" t="e">
        <f t="shared" si="467"/>
        <v>#N/A</v>
      </c>
      <c r="AU486" t="e">
        <f t="shared" si="468"/>
        <v>#N/A</v>
      </c>
      <c r="AV486" t="e">
        <f t="shared" si="469"/>
        <v>#N/A</v>
      </c>
      <c r="AW486" t="e">
        <f t="shared" si="470"/>
        <v>#N/A</v>
      </c>
      <c r="AX486" t="e">
        <f t="shared" si="471"/>
        <v>#N/A</v>
      </c>
      <c r="AY486" t="e">
        <f t="shared" si="472"/>
        <v>#N/A</v>
      </c>
      <c r="BE486" t="e">
        <f>IF(Z486=1,IF(INDEX($C$7:$C$126,V486)&gt;=Gantt!$BF$6,NA(),MATCH(INDEX($C$7:$C$126,V486),Gantt!$J$6:$BE$6,1)),NA())</f>
        <v>#N/A</v>
      </c>
      <c r="BF486" t="e">
        <f>IF(Z486=1,IF((INDEX($D$7:$D$126,AA486)-1)&gt;=Gantt!$BF$6,NA(),IF((INDEX($D$7:$D$126,AA486)-1)&lt;Gantt!$J$6,0,MATCH((INDEX($D$7:$D$126,AA486)-1),Gantt!$J$6:$BE$6,1))),NA())</f>
        <v>#N/A</v>
      </c>
      <c r="BG486" t="e">
        <f t="shared" si="473"/>
        <v>#N/A</v>
      </c>
      <c r="BH486" t="e">
        <f t="shared" si="474"/>
        <v>#N/A</v>
      </c>
      <c r="BI486" t="e">
        <f t="shared" si="475"/>
        <v>#N/A</v>
      </c>
      <c r="BJ486" t="e">
        <f t="shared" si="476"/>
        <v>#N/A</v>
      </c>
      <c r="BK486" t="e">
        <f t="shared" si="477"/>
        <v>#N/A</v>
      </c>
      <c r="BL486" t="e">
        <f t="shared" si="478"/>
        <v>#N/A</v>
      </c>
      <c r="BM486" t="e">
        <f t="shared" si="479"/>
        <v>#N/A</v>
      </c>
      <c r="BN486" t="e">
        <f t="shared" si="480"/>
        <v>#N/A</v>
      </c>
      <c r="BO486" t="e">
        <f t="shared" si="481"/>
        <v>#N/A</v>
      </c>
      <c r="BP486" t="e">
        <f t="shared" si="482"/>
        <v>#N/A</v>
      </c>
      <c r="BQ486" t="e">
        <f t="shared" si="483"/>
        <v>#N/A</v>
      </c>
      <c r="BR486" t="e">
        <f t="shared" si="484"/>
        <v>#N/A</v>
      </c>
      <c r="BS486" t="e">
        <f t="shared" si="485"/>
        <v>#N/A</v>
      </c>
      <c r="BT486" t="e">
        <f t="shared" si="486"/>
        <v>#N/A</v>
      </c>
      <c r="BU486" t="e">
        <f t="shared" si="487"/>
        <v>#N/A</v>
      </c>
      <c r="BV486" t="e">
        <f t="shared" si="488"/>
        <v>#N/A</v>
      </c>
      <c r="BW486" t="e">
        <f t="shared" si="489"/>
        <v>#N/A</v>
      </c>
      <c r="BX486" t="e">
        <f t="shared" si="490"/>
        <v>#N/A</v>
      </c>
      <c r="BY486" t="e">
        <f t="shared" si="491"/>
        <v>#N/A</v>
      </c>
      <c r="BZ486" t="e">
        <f t="shared" si="492"/>
        <v>#N/A</v>
      </c>
      <c r="CA486" t="e">
        <f t="shared" si="493"/>
        <v>#N/A</v>
      </c>
      <c r="CB486" t="e">
        <f t="shared" si="494"/>
        <v>#N/A</v>
      </c>
      <c r="CC486" t="e">
        <f t="shared" si="495"/>
        <v>#N/A</v>
      </c>
      <c r="CD486" t="e">
        <f t="shared" si="496"/>
        <v>#N/A</v>
      </c>
      <c r="CE486" t="e">
        <f t="shared" si="497"/>
        <v>#N/A</v>
      </c>
      <c r="CF486" t="e">
        <f t="shared" si="498"/>
        <v>#N/A</v>
      </c>
      <c r="CG486" t="e">
        <f t="shared" si="499"/>
        <v>#N/A</v>
      </c>
      <c r="CI486" t="e">
        <f>AT166</f>
        <v>#N/A</v>
      </c>
      <c r="CJ486" t="e">
        <f>AU166</f>
        <v>#N/A</v>
      </c>
      <c r="CK486">
        <f>IF(ISNUMBER(CI486),IFERROR(MAX(0,AV166-CI486),0),0)</f>
        <v>0</v>
      </c>
      <c r="CL486">
        <f>IF(ISNUMBER(CI486),IFERROR(MAX(0,CI486-AV166),0),0)</f>
        <v>0</v>
      </c>
      <c r="CM486">
        <f>IF(ISNUMBER(CJ486),IFERROR(MAX(0,AW166-CJ486),0),0)</f>
        <v>0</v>
      </c>
      <c r="CN486">
        <f>IF(ISNUMBER(CJ486),IFERROR(MAX(0,CJ486-AW166),0),0)</f>
        <v>0</v>
      </c>
      <c r="CP486" t="e">
        <f>CB166</f>
        <v>#N/A</v>
      </c>
      <c r="CQ486" t="e">
        <f>CC166</f>
        <v>#N/A</v>
      </c>
      <c r="CR486">
        <f>IF(ISNUMBER(CP486),IFERROR(MAX(0,CD166-CP486),0),0)</f>
        <v>0</v>
      </c>
      <c r="CS486">
        <f>IF(ISNUMBER(CP486),IFERROR(MAX(0,CP486-CD166),0),0)</f>
        <v>0</v>
      </c>
      <c r="CT486">
        <f>IF(ISNUMBER(CQ486),IFERROR(MAX(0,CE166-CQ486),0),0)</f>
        <v>0</v>
      </c>
      <c r="CU486">
        <f>IF(ISNUMBER(CQ486),IFERROR(MAX(0,CQ486-CE166),0),0)</f>
        <v>0</v>
      </c>
    </row>
    <row r="487" spans="21:99" x14ac:dyDescent="0.3">
      <c r="CI487" t="e">
        <f>AL167</f>
        <v>#N/A</v>
      </c>
      <c r="CJ487" t="e">
        <f>AM167</f>
        <v>#N/A</v>
      </c>
      <c r="CK487">
        <f>IF(ISNUMBER(CI487),IFERROR(MAX(0,AN167-CI487),0),0)</f>
        <v>0</v>
      </c>
      <c r="CL487">
        <f>IF(ISNUMBER(CI487),IFERROR(MAX(0,CI487-AN167),0),0)</f>
        <v>0</v>
      </c>
      <c r="CM487">
        <f>IF(ISNUMBER(CJ487),IFERROR(MAX(0,AO167-CJ487),0),0)</f>
        <v>0</v>
      </c>
      <c r="CN487">
        <f>IF(ISNUMBER(CJ487),IFERROR(MAX(0,CJ487-AO167),0),0)</f>
        <v>0</v>
      </c>
      <c r="CP487" t="e">
        <f>BT167</f>
        <v>#N/A</v>
      </c>
      <c r="CQ487" t="e">
        <f>BU167</f>
        <v>#N/A</v>
      </c>
      <c r="CR487">
        <f>IF(ISNUMBER(CP487),IFERROR(MAX(0,BV167-CP487),0),0)</f>
        <v>0</v>
      </c>
      <c r="CS487">
        <f>IF(ISNUMBER(CP487),IFERROR(MAX(0,CP487-BV167),0),0)</f>
        <v>0</v>
      </c>
      <c r="CT487">
        <f>IF(ISNUMBER(CQ487),IFERROR(MAX(0,BW167-CQ487),0),0)</f>
        <v>0</v>
      </c>
      <c r="CU487">
        <f>IF(ISNUMBER(CQ487),IFERROR(MAX(0,CQ487-BW167),0),0)</f>
        <v>0</v>
      </c>
    </row>
    <row r="488" spans="21:99" x14ac:dyDescent="0.3">
      <c r="CI488" t="e">
        <f>AP167</f>
        <v>#N/A</v>
      </c>
      <c r="CJ488" t="e">
        <f>AQ167</f>
        <v>#N/A</v>
      </c>
      <c r="CK488">
        <f>IF(ISNUMBER(CI488),IFERROR(MAX(0,AR167-CI488),0),0)</f>
        <v>0</v>
      </c>
      <c r="CL488">
        <f>IF(ISNUMBER(CI488),IFERROR(MAX(0,CI488-AR167),0),0)</f>
        <v>0</v>
      </c>
      <c r="CM488">
        <f>IF(ISNUMBER(CJ488),IFERROR(MAX(0,AS167-CJ488),0),0)</f>
        <v>0</v>
      </c>
      <c r="CN488">
        <f>IF(ISNUMBER(CJ488),IFERROR(MAX(0,CJ488-AS167),0),0)</f>
        <v>0</v>
      </c>
      <c r="CP488" t="e">
        <f>BX167</f>
        <v>#N/A</v>
      </c>
      <c r="CQ488" t="e">
        <f>BY167</f>
        <v>#N/A</v>
      </c>
      <c r="CR488">
        <f>IF(ISNUMBER(CP488),IFERROR(MAX(0,BZ167-CP488),0),0)</f>
        <v>0</v>
      </c>
      <c r="CS488">
        <f>IF(ISNUMBER(CP488),IFERROR(MAX(0,CP488-BZ167),0),0)</f>
        <v>0</v>
      </c>
      <c r="CT488">
        <f>IF(ISNUMBER(CQ488),IFERROR(MAX(0,CA167-CQ488),0),0)</f>
        <v>0</v>
      </c>
      <c r="CU488">
        <f>IF(ISNUMBER(CQ488),IFERROR(MAX(0,CQ488-CA167),0),0)</f>
        <v>0</v>
      </c>
    </row>
    <row r="489" spans="21:99" x14ac:dyDescent="0.3">
      <c r="CI489" t="e">
        <f>AT167</f>
        <v>#N/A</v>
      </c>
      <c r="CJ489" t="e">
        <f>AU167</f>
        <v>#N/A</v>
      </c>
      <c r="CK489">
        <f>IF(ISNUMBER(CI489),IFERROR(MAX(0,AV167-CI489),0),0)</f>
        <v>0</v>
      </c>
      <c r="CL489">
        <f>IF(ISNUMBER(CI489),IFERROR(MAX(0,CI489-AV167),0),0)</f>
        <v>0</v>
      </c>
      <c r="CM489">
        <f>IF(ISNUMBER(CJ489),IFERROR(MAX(0,AW167-CJ489),0),0)</f>
        <v>0</v>
      </c>
      <c r="CN489">
        <f>IF(ISNUMBER(CJ489),IFERROR(MAX(0,CJ489-AW167),0),0)</f>
        <v>0</v>
      </c>
      <c r="CP489" t="e">
        <f>CB167</f>
        <v>#N/A</v>
      </c>
      <c r="CQ489" t="e">
        <f>CC167</f>
        <v>#N/A</v>
      </c>
      <c r="CR489">
        <f>IF(ISNUMBER(CP489),IFERROR(MAX(0,CD167-CP489),0),0)</f>
        <v>0</v>
      </c>
      <c r="CS489">
        <f>IF(ISNUMBER(CP489),IFERROR(MAX(0,CP489-CD167),0),0)</f>
        <v>0</v>
      </c>
      <c r="CT489">
        <f>IF(ISNUMBER(CQ489),IFERROR(MAX(0,CE167-CQ489),0),0)</f>
        <v>0</v>
      </c>
      <c r="CU489">
        <f>IF(ISNUMBER(CQ489),IFERROR(MAX(0,CQ489-CE167),0),0)</f>
        <v>0</v>
      </c>
    </row>
    <row r="490" spans="21:99" x14ac:dyDescent="0.3">
      <c r="CI490" t="e">
        <f>AL168</f>
        <v>#N/A</v>
      </c>
      <c r="CJ490" t="e">
        <f>AM168</f>
        <v>#N/A</v>
      </c>
      <c r="CK490">
        <f>IF(ISNUMBER(CI490),IFERROR(MAX(0,AN168-CI490),0),0)</f>
        <v>0</v>
      </c>
      <c r="CL490">
        <f>IF(ISNUMBER(CI490),IFERROR(MAX(0,CI490-AN168),0),0)</f>
        <v>0</v>
      </c>
      <c r="CM490">
        <f>IF(ISNUMBER(CJ490),IFERROR(MAX(0,AO168-CJ490),0),0)</f>
        <v>0</v>
      </c>
      <c r="CN490">
        <f>IF(ISNUMBER(CJ490),IFERROR(MAX(0,CJ490-AO168),0),0)</f>
        <v>0</v>
      </c>
      <c r="CP490" t="e">
        <f>BT168</f>
        <v>#N/A</v>
      </c>
      <c r="CQ490" t="e">
        <f>BU168</f>
        <v>#N/A</v>
      </c>
      <c r="CR490">
        <f>IF(ISNUMBER(CP490),IFERROR(MAX(0,BV168-CP490),0),0)</f>
        <v>0</v>
      </c>
      <c r="CS490">
        <f>IF(ISNUMBER(CP490),IFERROR(MAX(0,CP490-BV168),0),0)</f>
        <v>0</v>
      </c>
      <c r="CT490">
        <f>IF(ISNUMBER(CQ490),IFERROR(MAX(0,BW168-CQ490),0),0)</f>
        <v>0</v>
      </c>
      <c r="CU490">
        <f>IF(ISNUMBER(CQ490),IFERROR(MAX(0,CQ490-BW168),0),0)</f>
        <v>0</v>
      </c>
    </row>
    <row r="491" spans="21:99" x14ac:dyDescent="0.3">
      <c r="CI491" t="e">
        <f>AP168</f>
        <v>#N/A</v>
      </c>
      <c r="CJ491" t="e">
        <f>AQ168</f>
        <v>#N/A</v>
      </c>
      <c r="CK491">
        <f>IF(ISNUMBER(CI491),IFERROR(MAX(0,AR168-CI491),0),0)</f>
        <v>0</v>
      </c>
      <c r="CL491">
        <f>IF(ISNUMBER(CI491),IFERROR(MAX(0,CI491-AR168),0),0)</f>
        <v>0</v>
      </c>
      <c r="CM491">
        <f>IF(ISNUMBER(CJ491),IFERROR(MAX(0,AS168-CJ491),0),0)</f>
        <v>0</v>
      </c>
      <c r="CN491">
        <f>IF(ISNUMBER(CJ491),IFERROR(MAX(0,CJ491-AS168),0),0)</f>
        <v>0</v>
      </c>
      <c r="CP491" t="e">
        <f>BX168</f>
        <v>#N/A</v>
      </c>
      <c r="CQ491" t="e">
        <f>BY168</f>
        <v>#N/A</v>
      </c>
      <c r="CR491">
        <f>IF(ISNUMBER(CP491),IFERROR(MAX(0,BZ168-CP491),0),0)</f>
        <v>0</v>
      </c>
      <c r="CS491">
        <f>IF(ISNUMBER(CP491),IFERROR(MAX(0,CP491-BZ168),0),0)</f>
        <v>0</v>
      </c>
      <c r="CT491">
        <f>IF(ISNUMBER(CQ491),IFERROR(MAX(0,CA168-CQ491),0),0)</f>
        <v>0</v>
      </c>
      <c r="CU491">
        <f>IF(ISNUMBER(CQ491),IFERROR(MAX(0,CQ491-CA168),0),0)</f>
        <v>0</v>
      </c>
    </row>
    <row r="492" spans="21:99" x14ac:dyDescent="0.3">
      <c r="CI492" t="e">
        <f>AT168</f>
        <v>#N/A</v>
      </c>
      <c r="CJ492" t="e">
        <f>AU168</f>
        <v>#N/A</v>
      </c>
      <c r="CK492">
        <f>IF(ISNUMBER(CI492),IFERROR(MAX(0,AV168-CI492),0),0)</f>
        <v>0</v>
      </c>
      <c r="CL492">
        <f>IF(ISNUMBER(CI492),IFERROR(MAX(0,CI492-AV168),0),0)</f>
        <v>0</v>
      </c>
      <c r="CM492">
        <f>IF(ISNUMBER(CJ492),IFERROR(MAX(0,AW168-CJ492),0),0)</f>
        <v>0</v>
      </c>
      <c r="CN492">
        <f>IF(ISNUMBER(CJ492),IFERROR(MAX(0,CJ492-AW168),0),0)</f>
        <v>0</v>
      </c>
      <c r="CP492" t="e">
        <f>CB168</f>
        <v>#N/A</v>
      </c>
      <c r="CQ492" t="e">
        <f>CC168</f>
        <v>#N/A</v>
      </c>
      <c r="CR492">
        <f>IF(ISNUMBER(CP492),IFERROR(MAX(0,CD168-CP492),0),0)</f>
        <v>0</v>
      </c>
      <c r="CS492">
        <f>IF(ISNUMBER(CP492),IFERROR(MAX(0,CP492-CD168),0),0)</f>
        <v>0</v>
      </c>
      <c r="CT492">
        <f>IF(ISNUMBER(CQ492),IFERROR(MAX(0,CE168-CQ492),0),0)</f>
        <v>0</v>
      </c>
      <c r="CU492">
        <f>IF(ISNUMBER(CQ492),IFERROR(MAX(0,CQ492-CE168),0),0)</f>
        <v>0</v>
      </c>
    </row>
    <row r="493" spans="21:99" x14ac:dyDescent="0.3">
      <c r="CI493" t="e">
        <f>AL169</f>
        <v>#N/A</v>
      </c>
      <c r="CJ493" t="e">
        <f>AM169</f>
        <v>#N/A</v>
      </c>
      <c r="CK493">
        <f>IF(ISNUMBER(CI493),IFERROR(MAX(0,AN169-CI493),0),0)</f>
        <v>0</v>
      </c>
      <c r="CL493">
        <f>IF(ISNUMBER(CI493),IFERROR(MAX(0,CI493-AN169),0),0)</f>
        <v>0</v>
      </c>
      <c r="CM493">
        <f>IF(ISNUMBER(CJ493),IFERROR(MAX(0,AO169-CJ493),0),0)</f>
        <v>0</v>
      </c>
      <c r="CN493">
        <f>IF(ISNUMBER(CJ493),IFERROR(MAX(0,CJ493-AO169),0),0)</f>
        <v>0</v>
      </c>
      <c r="CP493" t="e">
        <f>BT169</f>
        <v>#N/A</v>
      </c>
      <c r="CQ493" t="e">
        <f>BU169</f>
        <v>#N/A</v>
      </c>
      <c r="CR493">
        <f>IF(ISNUMBER(CP493),IFERROR(MAX(0,BV169-CP493),0),0)</f>
        <v>0</v>
      </c>
      <c r="CS493">
        <f>IF(ISNUMBER(CP493),IFERROR(MAX(0,CP493-BV169),0),0)</f>
        <v>0</v>
      </c>
      <c r="CT493">
        <f>IF(ISNUMBER(CQ493),IFERROR(MAX(0,BW169-CQ493),0),0)</f>
        <v>0</v>
      </c>
      <c r="CU493">
        <f>IF(ISNUMBER(CQ493),IFERROR(MAX(0,CQ493-BW169),0),0)</f>
        <v>0</v>
      </c>
    </row>
    <row r="494" spans="21:99" x14ac:dyDescent="0.3">
      <c r="CI494" t="e">
        <f>AP169</f>
        <v>#N/A</v>
      </c>
      <c r="CJ494" t="e">
        <f>AQ169</f>
        <v>#N/A</v>
      </c>
      <c r="CK494">
        <f>IF(ISNUMBER(CI494),IFERROR(MAX(0,AR169-CI494),0),0)</f>
        <v>0</v>
      </c>
      <c r="CL494">
        <f>IF(ISNUMBER(CI494),IFERROR(MAX(0,CI494-AR169),0),0)</f>
        <v>0</v>
      </c>
      <c r="CM494">
        <f>IF(ISNUMBER(CJ494),IFERROR(MAX(0,AS169-CJ494),0),0)</f>
        <v>0</v>
      </c>
      <c r="CN494">
        <f>IF(ISNUMBER(CJ494),IFERROR(MAX(0,CJ494-AS169),0),0)</f>
        <v>0</v>
      </c>
      <c r="CP494" t="e">
        <f>BX169</f>
        <v>#N/A</v>
      </c>
      <c r="CQ494" t="e">
        <f>BY169</f>
        <v>#N/A</v>
      </c>
      <c r="CR494">
        <f>IF(ISNUMBER(CP494),IFERROR(MAX(0,BZ169-CP494),0),0)</f>
        <v>0</v>
      </c>
      <c r="CS494">
        <f>IF(ISNUMBER(CP494),IFERROR(MAX(0,CP494-BZ169),0),0)</f>
        <v>0</v>
      </c>
      <c r="CT494">
        <f>IF(ISNUMBER(CQ494),IFERROR(MAX(0,CA169-CQ494),0),0)</f>
        <v>0</v>
      </c>
      <c r="CU494">
        <f>IF(ISNUMBER(CQ494),IFERROR(MAX(0,CQ494-CA169),0),0)</f>
        <v>0</v>
      </c>
    </row>
    <row r="495" spans="21:99" x14ac:dyDescent="0.3">
      <c r="CI495" t="e">
        <f>AT169</f>
        <v>#N/A</v>
      </c>
      <c r="CJ495" t="e">
        <f>AU169</f>
        <v>#N/A</v>
      </c>
      <c r="CK495">
        <f>IF(ISNUMBER(CI495),IFERROR(MAX(0,AV169-CI495),0),0)</f>
        <v>0</v>
      </c>
      <c r="CL495">
        <f>IF(ISNUMBER(CI495),IFERROR(MAX(0,CI495-AV169),0),0)</f>
        <v>0</v>
      </c>
      <c r="CM495">
        <f>IF(ISNUMBER(CJ495),IFERROR(MAX(0,AW169-CJ495),0),0)</f>
        <v>0</v>
      </c>
      <c r="CN495">
        <f>IF(ISNUMBER(CJ495),IFERROR(MAX(0,CJ495-AW169),0),0)</f>
        <v>0</v>
      </c>
      <c r="CP495" t="e">
        <f>CB169</f>
        <v>#N/A</v>
      </c>
      <c r="CQ495" t="e">
        <f>CC169</f>
        <v>#N/A</v>
      </c>
      <c r="CR495">
        <f>IF(ISNUMBER(CP495),IFERROR(MAX(0,CD169-CP495),0),0)</f>
        <v>0</v>
      </c>
      <c r="CS495">
        <f>IF(ISNUMBER(CP495),IFERROR(MAX(0,CP495-CD169),0),0)</f>
        <v>0</v>
      </c>
      <c r="CT495">
        <f>IF(ISNUMBER(CQ495),IFERROR(MAX(0,CE169-CQ495),0),0)</f>
        <v>0</v>
      </c>
      <c r="CU495">
        <f>IF(ISNUMBER(CQ495),IFERROR(MAX(0,CQ495-CE169),0),0)</f>
        <v>0</v>
      </c>
    </row>
    <row r="496" spans="21:99" x14ac:dyDescent="0.3">
      <c r="CI496" t="e">
        <f>AL170</f>
        <v>#N/A</v>
      </c>
      <c r="CJ496" t="e">
        <f>AM170</f>
        <v>#N/A</v>
      </c>
      <c r="CK496">
        <f>IF(ISNUMBER(CI496),IFERROR(MAX(0,AN170-CI496),0),0)</f>
        <v>0</v>
      </c>
      <c r="CL496">
        <f>IF(ISNUMBER(CI496),IFERROR(MAX(0,CI496-AN170),0),0)</f>
        <v>0</v>
      </c>
      <c r="CM496">
        <f>IF(ISNUMBER(CJ496),IFERROR(MAX(0,AO170-CJ496),0),0)</f>
        <v>0</v>
      </c>
      <c r="CN496">
        <f>IF(ISNUMBER(CJ496),IFERROR(MAX(0,CJ496-AO170),0),0)</f>
        <v>0</v>
      </c>
      <c r="CP496" t="e">
        <f>BT170</f>
        <v>#N/A</v>
      </c>
      <c r="CQ496" t="e">
        <f>BU170</f>
        <v>#N/A</v>
      </c>
      <c r="CR496">
        <f>IF(ISNUMBER(CP496),IFERROR(MAX(0,BV170-CP496),0),0)</f>
        <v>0</v>
      </c>
      <c r="CS496">
        <f>IF(ISNUMBER(CP496),IFERROR(MAX(0,CP496-BV170),0),0)</f>
        <v>0</v>
      </c>
      <c r="CT496">
        <f>IF(ISNUMBER(CQ496),IFERROR(MAX(0,BW170-CQ496),0),0)</f>
        <v>0</v>
      </c>
      <c r="CU496">
        <f>IF(ISNUMBER(CQ496),IFERROR(MAX(0,CQ496-BW170),0),0)</f>
        <v>0</v>
      </c>
    </row>
    <row r="497" spans="87:99" x14ac:dyDescent="0.3">
      <c r="CI497" t="e">
        <f>AP170</f>
        <v>#N/A</v>
      </c>
      <c r="CJ497" t="e">
        <f>AQ170</f>
        <v>#N/A</v>
      </c>
      <c r="CK497">
        <f>IF(ISNUMBER(CI497),IFERROR(MAX(0,AR170-CI497),0),0)</f>
        <v>0</v>
      </c>
      <c r="CL497">
        <f>IF(ISNUMBER(CI497),IFERROR(MAX(0,CI497-AR170),0),0)</f>
        <v>0</v>
      </c>
      <c r="CM497">
        <f>IF(ISNUMBER(CJ497),IFERROR(MAX(0,AS170-CJ497),0),0)</f>
        <v>0</v>
      </c>
      <c r="CN497">
        <f>IF(ISNUMBER(CJ497),IFERROR(MAX(0,CJ497-AS170),0),0)</f>
        <v>0</v>
      </c>
      <c r="CP497" t="e">
        <f>BX170</f>
        <v>#N/A</v>
      </c>
      <c r="CQ497" t="e">
        <f>BY170</f>
        <v>#N/A</v>
      </c>
      <c r="CR497">
        <f>IF(ISNUMBER(CP497),IFERROR(MAX(0,BZ170-CP497),0),0)</f>
        <v>0</v>
      </c>
      <c r="CS497">
        <f>IF(ISNUMBER(CP497),IFERROR(MAX(0,CP497-BZ170),0),0)</f>
        <v>0</v>
      </c>
      <c r="CT497">
        <f>IF(ISNUMBER(CQ497),IFERROR(MAX(0,CA170-CQ497),0),0)</f>
        <v>0</v>
      </c>
      <c r="CU497">
        <f>IF(ISNUMBER(CQ497),IFERROR(MAX(0,CQ497-CA170),0),0)</f>
        <v>0</v>
      </c>
    </row>
    <row r="498" spans="87:99" x14ac:dyDescent="0.3">
      <c r="CI498" t="e">
        <f>AT170</f>
        <v>#N/A</v>
      </c>
      <c r="CJ498" t="e">
        <f>AU170</f>
        <v>#N/A</v>
      </c>
      <c r="CK498">
        <f>IF(ISNUMBER(CI498),IFERROR(MAX(0,AV170-CI498),0),0)</f>
        <v>0</v>
      </c>
      <c r="CL498">
        <f>IF(ISNUMBER(CI498),IFERROR(MAX(0,CI498-AV170),0),0)</f>
        <v>0</v>
      </c>
      <c r="CM498">
        <f>IF(ISNUMBER(CJ498),IFERROR(MAX(0,AW170-CJ498),0),0)</f>
        <v>0</v>
      </c>
      <c r="CN498">
        <f>IF(ISNUMBER(CJ498),IFERROR(MAX(0,CJ498-AW170),0),0)</f>
        <v>0</v>
      </c>
      <c r="CP498" t="e">
        <f>CB170</f>
        <v>#N/A</v>
      </c>
      <c r="CQ498" t="e">
        <f>CC170</f>
        <v>#N/A</v>
      </c>
      <c r="CR498">
        <f>IF(ISNUMBER(CP498),IFERROR(MAX(0,CD170-CP498),0),0)</f>
        <v>0</v>
      </c>
      <c r="CS498">
        <f>IF(ISNUMBER(CP498),IFERROR(MAX(0,CP498-CD170),0),0)</f>
        <v>0</v>
      </c>
      <c r="CT498">
        <f>IF(ISNUMBER(CQ498),IFERROR(MAX(0,CE170-CQ498),0),0)</f>
        <v>0</v>
      </c>
      <c r="CU498">
        <f>IF(ISNUMBER(CQ498),IFERROR(MAX(0,CQ498-CE170),0),0)</f>
        <v>0</v>
      </c>
    </row>
    <row r="499" spans="87:99" x14ac:dyDescent="0.3">
      <c r="CI499" t="e">
        <f>AL171</f>
        <v>#N/A</v>
      </c>
      <c r="CJ499" t="e">
        <f>AM171</f>
        <v>#N/A</v>
      </c>
      <c r="CK499">
        <f>IF(ISNUMBER(CI499),IFERROR(MAX(0,AN171-CI499),0),0)</f>
        <v>0</v>
      </c>
      <c r="CL499">
        <f>IF(ISNUMBER(CI499),IFERROR(MAX(0,CI499-AN171),0),0)</f>
        <v>0</v>
      </c>
      <c r="CM499">
        <f>IF(ISNUMBER(CJ499),IFERROR(MAX(0,AO171-CJ499),0),0)</f>
        <v>0</v>
      </c>
      <c r="CN499">
        <f>IF(ISNUMBER(CJ499),IFERROR(MAX(0,CJ499-AO171),0),0)</f>
        <v>0</v>
      </c>
      <c r="CP499" t="e">
        <f>BT171</f>
        <v>#N/A</v>
      </c>
      <c r="CQ499" t="e">
        <f>BU171</f>
        <v>#N/A</v>
      </c>
      <c r="CR499">
        <f>IF(ISNUMBER(CP499),IFERROR(MAX(0,BV171-CP499),0),0)</f>
        <v>0</v>
      </c>
      <c r="CS499">
        <f>IF(ISNUMBER(CP499),IFERROR(MAX(0,CP499-BV171),0),0)</f>
        <v>0</v>
      </c>
      <c r="CT499">
        <f>IF(ISNUMBER(CQ499),IFERROR(MAX(0,BW171-CQ499),0),0)</f>
        <v>0</v>
      </c>
      <c r="CU499">
        <f>IF(ISNUMBER(CQ499),IFERROR(MAX(0,CQ499-BW171),0),0)</f>
        <v>0</v>
      </c>
    </row>
    <row r="500" spans="87:99" x14ac:dyDescent="0.3">
      <c r="CI500" t="e">
        <f>AP171</f>
        <v>#N/A</v>
      </c>
      <c r="CJ500" t="e">
        <f>AQ171</f>
        <v>#N/A</v>
      </c>
      <c r="CK500">
        <f>IF(ISNUMBER(CI500),IFERROR(MAX(0,AR171-CI500),0),0)</f>
        <v>0</v>
      </c>
      <c r="CL500">
        <f>IF(ISNUMBER(CI500),IFERROR(MAX(0,CI500-AR171),0),0)</f>
        <v>0</v>
      </c>
      <c r="CM500">
        <f>IF(ISNUMBER(CJ500),IFERROR(MAX(0,AS171-CJ500),0),0)</f>
        <v>0</v>
      </c>
      <c r="CN500">
        <f>IF(ISNUMBER(CJ500),IFERROR(MAX(0,CJ500-AS171),0),0)</f>
        <v>0</v>
      </c>
      <c r="CP500" t="e">
        <f>BX171</f>
        <v>#N/A</v>
      </c>
      <c r="CQ500" t="e">
        <f>BY171</f>
        <v>#N/A</v>
      </c>
      <c r="CR500">
        <f>IF(ISNUMBER(CP500),IFERROR(MAX(0,BZ171-CP500),0),0)</f>
        <v>0</v>
      </c>
      <c r="CS500">
        <f>IF(ISNUMBER(CP500),IFERROR(MAX(0,CP500-BZ171),0),0)</f>
        <v>0</v>
      </c>
      <c r="CT500">
        <f>IF(ISNUMBER(CQ500),IFERROR(MAX(0,CA171-CQ500),0),0)</f>
        <v>0</v>
      </c>
      <c r="CU500">
        <f>IF(ISNUMBER(CQ500),IFERROR(MAX(0,CQ500-CA171),0),0)</f>
        <v>0</v>
      </c>
    </row>
    <row r="501" spans="87:99" x14ac:dyDescent="0.3">
      <c r="CI501" t="e">
        <f>AT171</f>
        <v>#N/A</v>
      </c>
      <c r="CJ501" t="e">
        <f>AU171</f>
        <v>#N/A</v>
      </c>
      <c r="CK501">
        <f>IF(ISNUMBER(CI501),IFERROR(MAX(0,AV171-CI501),0),0)</f>
        <v>0</v>
      </c>
      <c r="CL501">
        <f>IF(ISNUMBER(CI501),IFERROR(MAX(0,CI501-AV171),0),0)</f>
        <v>0</v>
      </c>
      <c r="CM501">
        <f>IF(ISNUMBER(CJ501),IFERROR(MAX(0,AW171-CJ501),0),0)</f>
        <v>0</v>
      </c>
      <c r="CN501">
        <f>IF(ISNUMBER(CJ501),IFERROR(MAX(0,CJ501-AW171),0),0)</f>
        <v>0</v>
      </c>
      <c r="CP501" t="e">
        <f>CB171</f>
        <v>#N/A</v>
      </c>
      <c r="CQ501" t="e">
        <f>CC171</f>
        <v>#N/A</v>
      </c>
      <c r="CR501">
        <f>IF(ISNUMBER(CP501),IFERROR(MAX(0,CD171-CP501),0),0)</f>
        <v>0</v>
      </c>
      <c r="CS501">
        <f>IF(ISNUMBER(CP501),IFERROR(MAX(0,CP501-CD171),0),0)</f>
        <v>0</v>
      </c>
      <c r="CT501">
        <f>IF(ISNUMBER(CQ501),IFERROR(MAX(0,CE171-CQ501),0),0)</f>
        <v>0</v>
      </c>
      <c r="CU501">
        <f>IF(ISNUMBER(CQ501),IFERROR(MAX(0,CQ501-CE171),0),0)</f>
        <v>0</v>
      </c>
    </row>
    <row r="502" spans="87:99" x14ac:dyDescent="0.3">
      <c r="CI502" t="e">
        <f>AL172</f>
        <v>#N/A</v>
      </c>
      <c r="CJ502" t="e">
        <f>AM172</f>
        <v>#N/A</v>
      </c>
      <c r="CK502">
        <f>IF(ISNUMBER(CI502),IFERROR(MAX(0,AN172-CI502),0),0)</f>
        <v>0</v>
      </c>
      <c r="CL502">
        <f>IF(ISNUMBER(CI502),IFERROR(MAX(0,CI502-AN172),0),0)</f>
        <v>0</v>
      </c>
      <c r="CM502">
        <f>IF(ISNUMBER(CJ502),IFERROR(MAX(0,AO172-CJ502),0),0)</f>
        <v>0</v>
      </c>
      <c r="CN502">
        <f>IF(ISNUMBER(CJ502),IFERROR(MAX(0,CJ502-AO172),0),0)</f>
        <v>0</v>
      </c>
      <c r="CP502" t="e">
        <f>BT172</f>
        <v>#N/A</v>
      </c>
      <c r="CQ502" t="e">
        <f>BU172</f>
        <v>#N/A</v>
      </c>
      <c r="CR502">
        <f>IF(ISNUMBER(CP502),IFERROR(MAX(0,BV172-CP502),0),0)</f>
        <v>0</v>
      </c>
      <c r="CS502">
        <f>IF(ISNUMBER(CP502),IFERROR(MAX(0,CP502-BV172),0),0)</f>
        <v>0</v>
      </c>
      <c r="CT502">
        <f>IF(ISNUMBER(CQ502),IFERROR(MAX(0,BW172-CQ502),0),0)</f>
        <v>0</v>
      </c>
      <c r="CU502">
        <f>IF(ISNUMBER(CQ502),IFERROR(MAX(0,CQ502-BW172),0),0)</f>
        <v>0</v>
      </c>
    </row>
    <row r="503" spans="87:99" x14ac:dyDescent="0.3">
      <c r="CI503" t="e">
        <f>AP172</f>
        <v>#N/A</v>
      </c>
      <c r="CJ503" t="e">
        <f>AQ172</f>
        <v>#N/A</v>
      </c>
      <c r="CK503">
        <f>IF(ISNUMBER(CI503),IFERROR(MAX(0,AR172-CI503),0),0)</f>
        <v>0</v>
      </c>
      <c r="CL503">
        <f>IF(ISNUMBER(CI503),IFERROR(MAX(0,CI503-AR172),0),0)</f>
        <v>0</v>
      </c>
      <c r="CM503">
        <f>IF(ISNUMBER(CJ503),IFERROR(MAX(0,AS172-CJ503),0),0)</f>
        <v>0</v>
      </c>
      <c r="CN503">
        <f>IF(ISNUMBER(CJ503),IFERROR(MAX(0,CJ503-AS172),0),0)</f>
        <v>0</v>
      </c>
      <c r="CP503" t="e">
        <f>BX172</f>
        <v>#N/A</v>
      </c>
      <c r="CQ503" t="e">
        <f>BY172</f>
        <v>#N/A</v>
      </c>
      <c r="CR503">
        <f>IF(ISNUMBER(CP503),IFERROR(MAX(0,BZ172-CP503),0),0)</f>
        <v>0</v>
      </c>
      <c r="CS503">
        <f>IF(ISNUMBER(CP503),IFERROR(MAX(0,CP503-BZ172),0),0)</f>
        <v>0</v>
      </c>
      <c r="CT503">
        <f>IF(ISNUMBER(CQ503),IFERROR(MAX(0,CA172-CQ503),0),0)</f>
        <v>0</v>
      </c>
      <c r="CU503">
        <f>IF(ISNUMBER(CQ503),IFERROR(MAX(0,CQ503-CA172),0),0)</f>
        <v>0</v>
      </c>
    </row>
    <row r="504" spans="87:99" x14ac:dyDescent="0.3">
      <c r="CI504" t="e">
        <f>AT172</f>
        <v>#N/A</v>
      </c>
      <c r="CJ504" t="e">
        <f>AU172</f>
        <v>#N/A</v>
      </c>
      <c r="CK504">
        <f>IF(ISNUMBER(CI504),IFERROR(MAX(0,AV172-CI504),0),0)</f>
        <v>0</v>
      </c>
      <c r="CL504">
        <f>IF(ISNUMBER(CI504),IFERROR(MAX(0,CI504-AV172),0),0)</f>
        <v>0</v>
      </c>
      <c r="CM504">
        <f>IF(ISNUMBER(CJ504),IFERROR(MAX(0,AW172-CJ504),0),0)</f>
        <v>0</v>
      </c>
      <c r="CN504">
        <f>IF(ISNUMBER(CJ504),IFERROR(MAX(0,CJ504-AW172),0),0)</f>
        <v>0</v>
      </c>
      <c r="CP504" t="e">
        <f>CB172</f>
        <v>#N/A</v>
      </c>
      <c r="CQ504" t="e">
        <f>CC172</f>
        <v>#N/A</v>
      </c>
      <c r="CR504">
        <f>IF(ISNUMBER(CP504),IFERROR(MAX(0,CD172-CP504),0),0)</f>
        <v>0</v>
      </c>
      <c r="CS504">
        <f>IF(ISNUMBER(CP504),IFERROR(MAX(0,CP504-CD172),0),0)</f>
        <v>0</v>
      </c>
      <c r="CT504">
        <f>IF(ISNUMBER(CQ504),IFERROR(MAX(0,CE172-CQ504),0),0)</f>
        <v>0</v>
      </c>
      <c r="CU504">
        <f>IF(ISNUMBER(CQ504),IFERROR(MAX(0,CQ504-CE172),0),0)</f>
        <v>0</v>
      </c>
    </row>
    <row r="505" spans="87:99" x14ac:dyDescent="0.3">
      <c r="CI505" t="e">
        <f>AL173</f>
        <v>#N/A</v>
      </c>
      <c r="CJ505" t="e">
        <f>AM173</f>
        <v>#N/A</v>
      </c>
      <c r="CK505">
        <f>IF(ISNUMBER(CI505),IFERROR(MAX(0,AN173-CI505),0),0)</f>
        <v>0</v>
      </c>
      <c r="CL505">
        <f>IF(ISNUMBER(CI505),IFERROR(MAX(0,CI505-AN173),0),0)</f>
        <v>0</v>
      </c>
      <c r="CM505">
        <f>IF(ISNUMBER(CJ505),IFERROR(MAX(0,AO173-CJ505),0),0)</f>
        <v>0</v>
      </c>
      <c r="CN505">
        <f>IF(ISNUMBER(CJ505),IFERROR(MAX(0,CJ505-AO173),0),0)</f>
        <v>0</v>
      </c>
      <c r="CP505" t="e">
        <f>BT173</f>
        <v>#N/A</v>
      </c>
      <c r="CQ505" t="e">
        <f>BU173</f>
        <v>#N/A</v>
      </c>
      <c r="CR505">
        <f>IF(ISNUMBER(CP505),IFERROR(MAX(0,BV173-CP505),0),0)</f>
        <v>0</v>
      </c>
      <c r="CS505">
        <f>IF(ISNUMBER(CP505),IFERROR(MAX(0,CP505-BV173),0),0)</f>
        <v>0</v>
      </c>
      <c r="CT505">
        <f>IF(ISNUMBER(CQ505),IFERROR(MAX(0,BW173-CQ505),0),0)</f>
        <v>0</v>
      </c>
      <c r="CU505">
        <f>IF(ISNUMBER(CQ505),IFERROR(MAX(0,CQ505-BW173),0),0)</f>
        <v>0</v>
      </c>
    </row>
    <row r="506" spans="87:99" x14ac:dyDescent="0.3">
      <c r="CI506" t="e">
        <f>AP173</f>
        <v>#N/A</v>
      </c>
      <c r="CJ506" t="e">
        <f>AQ173</f>
        <v>#N/A</v>
      </c>
      <c r="CK506">
        <f>IF(ISNUMBER(CI506),IFERROR(MAX(0,AR173-CI506),0),0)</f>
        <v>0</v>
      </c>
      <c r="CL506">
        <f>IF(ISNUMBER(CI506),IFERROR(MAX(0,CI506-AR173),0),0)</f>
        <v>0</v>
      </c>
      <c r="CM506">
        <f>IF(ISNUMBER(CJ506),IFERROR(MAX(0,AS173-CJ506),0),0)</f>
        <v>0</v>
      </c>
      <c r="CN506">
        <f>IF(ISNUMBER(CJ506),IFERROR(MAX(0,CJ506-AS173),0),0)</f>
        <v>0</v>
      </c>
      <c r="CP506" t="e">
        <f>BX173</f>
        <v>#N/A</v>
      </c>
      <c r="CQ506" t="e">
        <f>BY173</f>
        <v>#N/A</v>
      </c>
      <c r="CR506">
        <f>IF(ISNUMBER(CP506),IFERROR(MAX(0,BZ173-CP506),0),0)</f>
        <v>0</v>
      </c>
      <c r="CS506">
        <f>IF(ISNUMBER(CP506),IFERROR(MAX(0,CP506-BZ173),0),0)</f>
        <v>0</v>
      </c>
      <c r="CT506">
        <f>IF(ISNUMBER(CQ506),IFERROR(MAX(0,CA173-CQ506),0),0)</f>
        <v>0</v>
      </c>
      <c r="CU506">
        <f>IF(ISNUMBER(CQ506),IFERROR(MAX(0,CQ506-CA173),0),0)</f>
        <v>0</v>
      </c>
    </row>
    <row r="507" spans="87:99" x14ac:dyDescent="0.3">
      <c r="CI507" t="e">
        <f>AT173</f>
        <v>#N/A</v>
      </c>
      <c r="CJ507" t="e">
        <f>AU173</f>
        <v>#N/A</v>
      </c>
      <c r="CK507">
        <f>IF(ISNUMBER(CI507),IFERROR(MAX(0,AV173-CI507),0),0)</f>
        <v>0</v>
      </c>
      <c r="CL507">
        <f>IF(ISNUMBER(CI507),IFERROR(MAX(0,CI507-AV173),0),0)</f>
        <v>0</v>
      </c>
      <c r="CM507">
        <f>IF(ISNUMBER(CJ507),IFERROR(MAX(0,AW173-CJ507),0),0)</f>
        <v>0</v>
      </c>
      <c r="CN507">
        <f>IF(ISNUMBER(CJ507),IFERROR(MAX(0,CJ507-AW173),0),0)</f>
        <v>0</v>
      </c>
      <c r="CP507" t="e">
        <f>CB173</f>
        <v>#N/A</v>
      </c>
      <c r="CQ507" t="e">
        <f>CC173</f>
        <v>#N/A</v>
      </c>
      <c r="CR507">
        <f>IF(ISNUMBER(CP507),IFERROR(MAX(0,CD173-CP507),0),0)</f>
        <v>0</v>
      </c>
      <c r="CS507">
        <f>IF(ISNUMBER(CP507),IFERROR(MAX(0,CP507-CD173),0),0)</f>
        <v>0</v>
      </c>
      <c r="CT507">
        <f>IF(ISNUMBER(CQ507),IFERROR(MAX(0,CE173-CQ507),0),0)</f>
        <v>0</v>
      </c>
      <c r="CU507">
        <f>IF(ISNUMBER(CQ507),IFERROR(MAX(0,CQ507-CE173),0),0)</f>
        <v>0</v>
      </c>
    </row>
    <row r="508" spans="87:99" x14ac:dyDescent="0.3">
      <c r="CI508" t="e">
        <f>AL174</f>
        <v>#N/A</v>
      </c>
      <c r="CJ508" t="e">
        <f>AM174</f>
        <v>#N/A</v>
      </c>
      <c r="CK508">
        <f>IF(ISNUMBER(CI508),IFERROR(MAX(0,AN174-CI508),0),0)</f>
        <v>0</v>
      </c>
      <c r="CL508">
        <f>IF(ISNUMBER(CI508),IFERROR(MAX(0,CI508-AN174),0),0)</f>
        <v>0</v>
      </c>
      <c r="CM508">
        <f>IF(ISNUMBER(CJ508),IFERROR(MAX(0,AO174-CJ508),0),0)</f>
        <v>0</v>
      </c>
      <c r="CN508">
        <f>IF(ISNUMBER(CJ508),IFERROR(MAX(0,CJ508-AO174),0),0)</f>
        <v>0</v>
      </c>
      <c r="CP508" t="e">
        <f>BT174</f>
        <v>#N/A</v>
      </c>
      <c r="CQ508" t="e">
        <f>BU174</f>
        <v>#N/A</v>
      </c>
      <c r="CR508">
        <f>IF(ISNUMBER(CP508),IFERROR(MAX(0,BV174-CP508),0),0)</f>
        <v>0</v>
      </c>
      <c r="CS508">
        <f>IF(ISNUMBER(CP508),IFERROR(MAX(0,CP508-BV174),0),0)</f>
        <v>0</v>
      </c>
      <c r="CT508">
        <f>IF(ISNUMBER(CQ508),IFERROR(MAX(0,BW174-CQ508),0),0)</f>
        <v>0</v>
      </c>
      <c r="CU508">
        <f>IF(ISNUMBER(CQ508),IFERROR(MAX(0,CQ508-BW174),0),0)</f>
        <v>0</v>
      </c>
    </row>
    <row r="509" spans="87:99" x14ac:dyDescent="0.3">
      <c r="CI509" t="e">
        <f>AP174</f>
        <v>#N/A</v>
      </c>
      <c r="CJ509" t="e">
        <f>AQ174</f>
        <v>#N/A</v>
      </c>
      <c r="CK509">
        <f>IF(ISNUMBER(CI509),IFERROR(MAX(0,AR174-CI509),0),0)</f>
        <v>0</v>
      </c>
      <c r="CL509">
        <f>IF(ISNUMBER(CI509),IFERROR(MAX(0,CI509-AR174),0),0)</f>
        <v>0</v>
      </c>
      <c r="CM509">
        <f>IF(ISNUMBER(CJ509),IFERROR(MAX(0,AS174-CJ509),0),0)</f>
        <v>0</v>
      </c>
      <c r="CN509">
        <f>IF(ISNUMBER(CJ509),IFERROR(MAX(0,CJ509-AS174),0),0)</f>
        <v>0</v>
      </c>
      <c r="CP509" t="e">
        <f>BX174</f>
        <v>#N/A</v>
      </c>
      <c r="CQ509" t="e">
        <f>BY174</f>
        <v>#N/A</v>
      </c>
      <c r="CR509">
        <f>IF(ISNUMBER(CP509),IFERROR(MAX(0,BZ174-CP509),0),0)</f>
        <v>0</v>
      </c>
      <c r="CS509">
        <f>IF(ISNUMBER(CP509),IFERROR(MAX(0,CP509-BZ174),0),0)</f>
        <v>0</v>
      </c>
      <c r="CT509">
        <f>IF(ISNUMBER(CQ509),IFERROR(MAX(0,CA174-CQ509),0),0)</f>
        <v>0</v>
      </c>
      <c r="CU509">
        <f>IF(ISNUMBER(CQ509),IFERROR(MAX(0,CQ509-CA174),0),0)</f>
        <v>0</v>
      </c>
    </row>
    <row r="510" spans="87:99" x14ac:dyDescent="0.3">
      <c r="CI510" t="e">
        <f>AT174</f>
        <v>#N/A</v>
      </c>
      <c r="CJ510" t="e">
        <f>AU174</f>
        <v>#N/A</v>
      </c>
      <c r="CK510">
        <f>IF(ISNUMBER(CI510),IFERROR(MAX(0,AV174-CI510),0),0)</f>
        <v>0</v>
      </c>
      <c r="CL510">
        <f>IF(ISNUMBER(CI510),IFERROR(MAX(0,CI510-AV174),0),0)</f>
        <v>0</v>
      </c>
      <c r="CM510">
        <f>IF(ISNUMBER(CJ510),IFERROR(MAX(0,AW174-CJ510),0),0)</f>
        <v>0</v>
      </c>
      <c r="CN510">
        <f>IF(ISNUMBER(CJ510),IFERROR(MAX(0,CJ510-AW174),0),0)</f>
        <v>0</v>
      </c>
      <c r="CP510" t="e">
        <f>CB174</f>
        <v>#N/A</v>
      </c>
      <c r="CQ510" t="e">
        <f>CC174</f>
        <v>#N/A</v>
      </c>
      <c r="CR510">
        <f>IF(ISNUMBER(CP510),IFERROR(MAX(0,CD174-CP510),0),0)</f>
        <v>0</v>
      </c>
      <c r="CS510">
        <f>IF(ISNUMBER(CP510),IFERROR(MAX(0,CP510-CD174),0),0)</f>
        <v>0</v>
      </c>
      <c r="CT510">
        <f>IF(ISNUMBER(CQ510),IFERROR(MAX(0,CE174-CQ510),0),0)</f>
        <v>0</v>
      </c>
      <c r="CU510">
        <f>IF(ISNUMBER(CQ510),IFERROR(MAX(0,CQ510-CE174),0),0)</f>
        <v>0</v>
      </c>
    </row>
    <row r="511" spans="87:99" x14ac:dyDescent="0.3">
      <c r="CI511" t="e">
        <f>AL175</f>
        <v>#N/A</v>
      </c>
      <c r="CJ511" t="e">
        <f>AM175</f>
        <v>#N/A</v>
      </c>
      <c r="CK511">
        <f>IF(ISNUMBER(CI511),IFERROR(MAX(0,AN175-CI511),0),0)</f>
        <v>0</v>
      </c>
      <c r="CL511">
        <f>IF(ISNUMBER(CI511),IFERROR(MAX(0,CI511-AN175),0),0)</f>
        <v>0</v>
      </c>
      <c r="CM511">
        <f>IF(ISNUMBER(CJ511),IFERROR(MAX(0,AO175-CJ511),0),0)</f>
        <v>0</v>
      </c>
      <c r="CN511">
        <f>IF(ISNUMBER(CJ511),IFERROR(MAX(0,CJ511-AO175),0),0)</f>
        <v>0</v>
      </c>
      <c r="CP511" t="e">
        <f>BT175</f>
        <v>#N/A</v>
      </c>
      <c r="CQ511" t="e">
        <f>BU175</f>
        <v>#N/A</v>
      </c>
      <c r="CR511">
        <f>IF(ISNUMBER(CP511),IFERROR(MAX(0,BV175-CP511),0),0)</f>
        <v>0</v>
      </c>
      <c r="CS511">
        <f>IF(ISNUMBER(CP511),IFERROR(MAX(0,CP511-BV175),0),0)</f>
        <v>0</v>
      </c>
      <c r="CT511">
        <f>IF(ISNUMBER(CQ511),IFERROR(MAX(0,BW175-CQ511),0),0)</f>
        <v>0</v>
      </c>
      <c r="CU511">
        <f>IF(ISNUMBER(CQ511),IFERROR(MAX(0,CQ511-BW175),0),0)</f>
        <v>0</v>
      </c>
    </row>
    <row r="512" spans="87:99" x14ac:dyDescent="0.3">
      <c r="CI512" t="e">
        <f>AP175</f>
        <v>#N/A</v>
      </c>
      <c r="CJ512" t="e">
        <f>AQ175</f>
        <v>#N/A</v>
      </c>
      <c r="CK512">
        <f>IF(ISNUMBER(CI512),IFERROR(MAX(0,AR175-CI512),0),0)</f>
        <v>0</v>
      </c>
      <c r="CL512">
        <f>IF(ISNUMBER(CI512),IFERROR(MAX(0,CI512-AR175),0),0)</f>
        <v>0</v>
      </c>
      <c r="CM512">
        <f>IF(ISNUMBER(CJ512),IFERROR(MAX(0,AS175-CJ512),0),0)</f>
        <v>0</v>
      </c>
      <c r="CN512">
        <f>IF(ISNUMBER(CJ512),IFERROR(MAX(0,CJ512-AS175),0),0)</f>
        <v>0</v>
      </c>
      <c r="CP512" t="e">
        <f>BX175</f>
        <v>#N/A</v>
      </c>
      <c r="CQ512" t="e">
        <f>BY175</f>
        <v>#N/A</v>
      </c>
      <c r="CR512">
        <f>IF(ISNUMBER(CP512),IFERROR(MAX(0,BZ175-CP512),0),0)</f>
        <v>0</v>
      </c>
      <c r="CS512">
        <f>IF(ISNUMBER(CP512),IFERROR(MAX(0,CP512-BZ175),0),0)</f>
        <v>0</v>
      </c>
      <c r="CT512">
        <f>IF(ISNUMBER(CQ512),IFERROR(MAX(0,CA175-CQ512),0),0)</f>
        <v>0</v>
      </c>
      <c r="CU512">
        <f>IF(ISNUMBER(CQ512),IFERROR(MAX(0,CQ512-CA175),0),0)</f>
        <v>0</v>
      </c>
    </row>
    <row r="513" spans="87:99" x14ac:dyDescent="0.3">
      <c r="CI513" t="e">
        <f>AT175</f>
        <v>#N/A</v>
      </c>
      <c r="CJ513" t="e">
        <f>AU175</f>
        <v>#N/A</v>
      </c>
      <c r="CK513">
        <f>IF(ISNUMBER(CI513),IFERROR(MAX(0,AV175-CI513),0),0)</f>
        <v>0</v>
      </c>
      <c r="CL513">
        <f>IF(ISNUMBER(CI513),IFERROR(MAX(0,CI513-AV175),0),0)</f>
        <v>0</v>
      </c>
      <c r="CM513">
        <f>IF(ISNUMBER(CJ513),IFERROR(MAX(0,AW175-CJ513),0),0)</f>
        <v>0</v>
      </c>
      <c r="CN513">
        <f>IF(ISNUMBER(CJ513),IFERROR(MAX(0,CJ513-AW175),0),0)</f>
        <v>0</v>
      </c>
      <c r="CP513" t="e">
        <f>CB175</f>
        <v>#N/A</v>
      </c>
      <c r="CQ513" t="e">
        <f>CC175</f>
        <v>#N/A</v>
      </c>
      <c r="CR513">
        <f>IF(ISNUMBER(CP513),IFERROR(MAX(0,CD175-CP513),0),0)</f>
        <v>0</v>
      </c>
      <c r="CS513">
        <f>IF(ISNUMBER(CP513),IFERROR(MAX(0,CP513-CD175),0),0)</f>
        <v>0</v>
      </c>
      <c r="CT513">
        <f>IF(ISNUMBER(CQ513),IFERROR(MAX(0,CE175-CQ513),0),0)</f>
        <v>0</v>
      </c>
      <c r="CU513">
        <f>IF(ISNUMBER(CQ513),IFERROR(MAX(0,CQ513-CE175),0),0)</f>
        <v>0</v>
      </c>
    </row>
    <row r="514" spans="87:99" x14ac:dyDescent="0.3">
      <c r="CI514" t="e">
        <f>AL176</f>
        <v>#N/A</v>
      </c>
      <c r="CJ514" t="e">
        <f>AM176</f>
        <v>#N/A</v>
      </c>
      <c r="CK514">
        <f>IF(ISNUMBER(CI514),IFERROR(MAX(0,AN176-CI514),0),0)</f>
        <v>0</v>
      </c>
      <c r="CL514">
        <f>IF(ISNUMBER(CI514),IFERROR(MAX(0,CI514-AN176),0),0)</f>
        <v>0</v>
      </c>
      <c r="CM514">
        <f>IF(ISNUMBER(CJ514),IFERROR(MAX(0,AO176-CJ514),0),0)</f>
        <v>0</v>
      </c>
      <c r="CN514">
        <f>IF(ISNUMBER(CJ514),IFERROR(MAX(0,CJ514-AO176),0),0)</f>
        <v>0</v>
      </c>
      <c r="CP514" t="e">
        <f>BT176</f>
        <v>#N/A</v>
      </c>
      <c r="CQ514" t="e">
        <f>BU176</f>
        <v>#N/A</v>
      </c>
      <c r="CR514">
        <f>IF(ISNUMBER(CP514),IFERROR(MAX(0,BV176-CP514),0),0)</f>
        <v>0</v>
      </c>
      <c r="CS514">
        <f>IF(ISNUMBER(CP514),IFERROR(MAX(0,CP514-BV176),0),0)</f>
        <v>0</v>
      </c>
      <c r="CT514">
        <f>IF(ISNUMBER(CQ514),IFERROR(MAX(0,BW176-CQ514),0),0)</f>
        <v>0</v>
      </c>
      <c r="CU514">
        <f>IF(ISNUMBER(CQ514),IFERROR(MAX(0,CQ514-BW176),0),0)</f>
        <v>0</v>
      </c>
    </row>
    <row r="515" spans="87:99" x14ac:dyDescent="0.3">
      <c r="CI515" t="e">
        <f>AP176</f>
        <v>#N/A</v>
      </c>
      <c r="CJ515" t="e">
        <f>AQ176</f>
        <v>#N/A</v>
      </c>
      <c r="CK515">
        <f>IF(ISNUMBER(CI515),IFERROR(MAX(0,AR176-CI515),0),0)</f>
        <v>0</v>
      </c>
      <c r="CL515">
        <f>IF(ISNUMBER(CI515),IFERROR(MAX(0,CI515-AR176),0),0)</f>
        <v>0</v>
      </c>
      <c r="CM515">
        <f>IF(ISNUMBER(CJ515),IFERROR(MAX(0,AS176-CJ515),0),0)</f>
        <v>0</v>
      </c>
      <c r="CN515">
        <f>IF(ISNUMBER(CJ515),IFERROR(MAX(0,CJ515-AS176),0),0)</f>
        <v>0</v>
      </c>
      <c r="CP515" t="e">
        <f>BX176</f>
        <v>#N/A</v>
      </c>
      <c r="CQ515" t="e">
        <f>BY176</f>
        <v>#N/A</v>
      </c>
      <c r="CR515">
        <f>IF(ISNUMBER(CP515),IFERROR(MAX(0,BZ176-CP515),0),0)</f>
        <v>0</v>
      </c>
      <c r="CS515">
        <f>IF(ISNUMBER(CP515),IFERROR(MAX(0,CP515-BZ176),0),0)</f>
        <v>0</v>
      </c>
      <c r="CT515">
        <f>IF(ISNUMBER(CQ515),IFERROR(MAX(0,CA176-CQ515),0),0)</f>
        <v>0</v>
      </c>
      <c r="CU515">
        <f>IF(ISNUMBER(CQ515),IFERROR(MAX(0,CQ515-CA176),0),0)</f>
        <v>0</v>
      </c>
    </row>
    <row r="516" spans="87:99" x14ac:dyDescent="0.3">
      <c r="CI516" t="e">
        <f>AT176</f>
        <v>#N/A</v>
      </c>
      <c r="CJ516" t="e">
        <f>AU176</f>
        <v>#N/A</v>
      </c>
      <c r="CK516">
        <f>IF(ISNUMBER(CI516),IFERROR(MAX(0,AV176-CI516),0),0)</f>
        <v>0</v>
      </c>
      <c r="CL516">
        <f>IF(ISNUMBER(CI516),IFERROR(MAX(0,CI516-AV176),0),0)</f>
        <v>0</v>
      </c>
      <c r="CM516">
        <f>IF(ISNUMBER(CJ516),IFERROR(MAX(0,AW176-CJ516),0),0)</f>
        <v>0</v>
      </c>
      <c r="CN516">
        <f>IF(ISNUMBER(CJ516),IFERROR(MAX(0,CJ516-AW176),0),0)</f>
        <v>0</v>
      </c>
      <c r="CP516" t="e">
        <f>CB176</f>
        <v>#N/A</v>
      </c>
      <c r="CQ516" t="e">
        <f>CC176</f>
        <v>#N/A</v>
      </c>
      <c r="CR516">
        <f>IF(ISNUMBER(CP516),IFERROR(MAX(0,CD176-CP516),0),0)</f>
        <v>0</v>
      </c>
      <c r="CS516">
        <f>IF(ISNUMBER(CP516),IFERROR(MAX(0,CP516-CD176),0),0)</f>
        <v>0</v>
      </c>
      <c r="CT516">
        <f>IF(ISNUMBER(CQ516),IFERROR(MAX(0,CE176-CQ516),0),0)</f>
        <v>0</v>
      </c>
      <c r="CU516">
        <f>IF(ISNUMBER(CQ516),IFERROR(MAX(0,CQ516-CE176),0),0)</f>
        <v>0</v>
      </c>
    </row>
    <row r="517" spans="87:99" x14ac:dyDescent="0.3">
      <c r="CI517" t="e">
        <f>AL177</f>
        <v>#N/A</v>
      </c>
      <c r="CJ517" t="e">
        <f>AM177</f>
        <v>#N/A</v>
      </c>
      <c r="CK517">
        <f>IF(ISNUMBER(CI517),IFERROR(MAX(0,AN177-CI517),0),0)</f>
        <v>0</v>
      </c>
      <c r="CL517">
        <f>IF(ISNUMBER(CI517),IFERROR(MAX(0,CI517-AN177),0),0)</f>
        <v>0</v>
      </c>
      <c r="CM517">
        <f>IF(ISNUMBER(CJ517),IFERROR(MAX(0,AO177-CJ517),0),0)</f>
        <v>0</v>
      </c>
      <c r="CN517">
        <f>IF(ISNUMBER(CJ517),IFERROR(MAX(0,CJ517-AO177),0),0)</f>
        <v>0</v>
      </c>
      <c r="CP517" t="e">
        <f>BT177</f>
        <v>#N/A</v>
      </c>
      <c r="CQ517" t="e">
        <f>BU177</f>
        <v>#N/A</v>
      </c>
      <c r="CR517">
        <f>IF(ISNUMBER(CP517),IFERROR(MAX(0,BV177-CP517),0),0)</f>
        <v>0</v>
      </c>
      <c r="CS517">
        <f>IF(ISNUMBER(CP517),IFERROR(MAX(0,CP517-BV177),0),0)</f>
        <v>0</v>
      </c>
      <c r="CT517">
        <f>IF(ISNUMBER(CQ517),IFERROR(MAX(0,BW177-CQ517),0),0)</f>
        <v>0</v>
      </c>
      <c r="CU517">
        <f>IF(ISNUMBER(CQ517),IFERROR(MAX(0,CQ517-BW177),0),0)</f>
        <v>0</v>
      </c>
    </row>
    <row r="518" spans="87:99" x14ac:dyDescent="0.3">
      <c r="CI518" t="e">
        <f>AP177</f>
        <v>#N/A</v>
      </c>
      <c r="CJ518" t="e">
        <f>AQ177</f>
        <v>#N/A</v>
      </c>
      <c r="CK518">
        <f>IF(ISNUMBER(CI518),IFERROR(MAX(0,AR177-CI518),0),0)</f>
        <v>0</v>
      </c>
      <c r="CL518">
        <f>IF(ISNUMBER(CI518),IFERROR(MAX(0,CI518-AR177),0),0)</f>
        <v>0</v>
      </c>
      <c r="CM518">
        <f>IF(ISNUMBER(CJ518),IFERROR(MAX(0,AS177-CJ518),0),0)</f>
        <v>0</v>
      </c>
      <c r="CN518">
        <f>IF(ISNUMBER(CJ518),IFERROR(MAX(0,CJ518-AS177),0),0)</f>
        <v>0</v>
      </c>
      <c r="CP518" t="e">
        <f>BX177</f>
        <v>#N/A</v>
      </c>
      <c r="CQ518" t="e">
        <f>BY177</f>
        <v>#N/A</v>
      </c>
      <c r="CR518">
        <f>IF(ISNUMBER(CP518),IFERROR(MAX(0,BZ177-CP518),0),0)</f>
        <v>0</v>
      </c>
      <c r="CS518">
        <f>IF(ISNUMBER(CP518),IFERROR(MAX(0,CP518-BZ177),0),0)</f>
        <v>0</v>
      </c>
      <c r="CT518">
        <f>IF(ISNUMBER(CQ518),IFERROR(MAX(0,CA177-CQ518),0),0)</f>
        <v>0</v>
      </c>
      <c r="CU518">
        <f>IF(ISNUMBER(CQ518),IFERROR(MAX(0,CQ518-CA177),0),0)</f>
        <v>0</v>
      </c>
    </row>
    <row r="519" spans="87:99" x14ac:dyDescent="0.3">
      <c r="CI519" t="e">
        <f>AT177</f>
        <v>#N/A</v>
      </c>
      <c r="CJ519" t="e">
        <f>AU177</f>
        <v>#N/A</v>
      </c>
      <c r="CK519">
        <f>IF(ISNUMBER(CI519),IFERROR(MAX(0,AV177-CI519),0),0)</f>
        <v>0</v>
      </c>
      <c r="CL519">
        <f>IF(ISNUMBER(CI519),IFERROR(MAX(0,CI519-AV177),0),0)</f>
        <v>0</v>
      </c>
      <c r="CM519">
        <f>IF(ISNUMBER(CJ519),IFERROR(MAX(0,AW177-CJ519),0),0)</f>
        <v>0</v>
      </c>
      <c r="CN519">
        <f>IF(ISNUMBER(CJ519),IFERROR(MAX(0,CJ519-AW177),0),0)</f>
        <v>0</v>
      </c>
      <c r="CP519" t="e">
        <f>CB177</f>
        <v>#N/A</v>
      </c>
      <c r="CQ519" t="e">
        <f>CC177</f>
        <v>#N/A</v>
      </c>
      <c r="CR519">
        <f>IF(ISNUMBER(CP519),IFERROR(MAX(0,CD177-CP519),0),0)</f>
        <v>0</v>
      </c>
      <c r="CS519">
        <f>IF(ISNUMBER(CP519),IFERROR(MAX(0,CP519-CD177),0),0)</f>
        <v>0</v>
      </c>
      <c r="CT519">
        <f>IF(ISNUMBER(CQ519),IFERROR(MAX(0,CE177-CQ519),0),0)</f>
        <v>0</v>
      </c>
      <c r="CU519">
        <f>IF(ISNUMBER(CQ519),IFERROR(MAX(0,CQ519-CE177),0),0)</f>
        <v>0</v>
      </c>
    </row>
    <row r="520" spans="87:99" x14ac:dyDescent="0.3">
      <c r="CI520" t="e">
        <f>AL178</f>
        <v>#N/A</v>
      </c>
      <c r="CJ520" t="e">
        <f>AM178</f>
        <v>#N/A</v>
      </c>
      <c r="CK520">
        <f>IF(ISNUMBER(CI520),IFERROR(MAX(0,AN178-CI520),0),0)</f>
        <v>0</v>
      </c>
      <c r="CL520">
        <f>IF(ISNUMBER(CI520),IFERROR(MAX(0,CI520-AN178),0),0)</f>
        <v>0</v>
      </c>
      <c r="CM520">
        <f>IF(ISNUMBER(CJ520),IFERROR(MAX(0,AO178-CJ520),0),0)</f>
        <v>0</v>
      </c>
      <c r="CN520">
        <f>IF(ISNUMBER(CJ520),IFERROR(MAX(0,CJ520-AO178),0),0)</f>
        <v>0</v>
      </c>
      <c r="CP520" t="e">
        <f>BT178</f>
        <v>#N/A</v>
      </c>
      <c r="CQ520" t="e">
        <f>BU178</f>
        <v>#N/A</v>
      </c>
      <c r="CR520">
        <f>IF(ISNUMBER(CP520),IFERROR(MAX(0,BV178-CP520),0),0)</f>
        <v>0</v>
      </c>
      <c r="CS520">
        <f>IF(ISNUMBER(CP520),IFERROR(MAX(0,CP520-BV178),0),0)</f>
        <v>0</v>
      </c>
      <c r="CT520">
        <f>IF(ISNUMBER(CQ520),IFERROR(MAX(0,BW178-CQ520),0),0)</f>
        <v>0</v>
      </c>
      <c r="CU520">
        <f>IF(ISNUMBER(CQ520),IFERROR(MAX(0,CQ520-BW178),0),0)</f>
        <v>0</v>
      </c>
    </row>
    <row r="521" spans="87:99" x14ac:dyDescent="0.3">
      <c r="CI521" t="e">
        <f>AP178</f>
        <v>#N/A</v>
      </c>
      <c r="CJ521" t="e">
        <f>AQ178</f>
        <v>#N/A</v>
      </c>
      <c r="CK521">
        <f>IF(ISNUMBER(CI521),IFERROR(MAX(0,AR178-CI521),0),0)</f>
        <v>0</v>
      </c>
      <c r="CL521">
        <f>IF(ISNUMBER(CI521),IFERROR(MAX(0,CI521-AR178),0),0)</f>
        <v>0</v>
      </c>
      <c r="CM521">
        <f>IF(ISNUMBER(CJ521),IFERROR(MAX(0,AS178-CJ521),0),0)</f>
        <v>0</v>
      </c>
      <c r="CN521">
        <f>IF(ISNUMBER(CJ521),IFERROR(MAX(0,CJ521-AS178),0),0)</f>
        <v>0</v>
      </c>
      <c r="CP521" t="e">
        <f>BX178</f>
        <v>#N/A</v>
      </c>
      <c r="CQ521" t="e">
        <f>BY178</f>
        <v>#N/A</v>
      </c>
      <c r="CR521">
        <f>IF(ISNUMBER(CP521),IFERROR(MAX(0,BZ178-CP521),0),0)</f>
        <v>0</v>
      </c>
      <c r="CS521">
        <f>IF(ISNUMBER(CP521),IFERROR(MAX(0,CP521-BZ178),0),0)</f>
        <v>0</v>
      </c>
      <c r="CT521">
        <f>IF(ISNUMBER(CQ521),IFERROR(MAX(0,CA178-CQ521),0),0)</f>
        <v>0</v>
      </c>
      <c r="CU521">
        <f>IF(ISNUMBER(CQ521),IFERROR(MAX(0,CQ521-CA178),0),0)</f>
        <v>0</v>
      </c>
    </row>
    <row r="522" spans="87:99" x14ac:dyDescent="0.3">
      <c r="CI522" t="e">
        <f>AT178</f>
        <v>#N/A</v>
      </c>
      <c r="CJ522" t="e">
        <f>AU178</f>
        <v>#N/A</v>
      </c>
      <c r="CK522">
        <f>IF(ISNUMBER(CI522),IFERROR(MAX(0,AV178-CI522),0),0)</f>
        <v>0</v>
      </c>
      <c r="CL522">
        <f>IF(ISNUMBER(CI522),IFERROR(MAX(0,CI522-AV178),0),0)</f>
        <v>0</v>
      </c>
      <c r="CM522">
        <f>IF(ISNUMBER(CJ522),IFERROR(MAX(0,AW178-CJ522),0),0)</f>
        <v>0</v>
      </c>
      <c r="CN522">
        <f>IF(ISNUMBER(CJ522),IFERROR(MAX(0,CJ522-AW178),0),0)</f>
        <v>0</v>
      </c>
      <c r="CP522" t="e">
        <f>CB178</f>
        <v>#N/A</v>
      </c>
      <c r="CQ522" t="e">
        <f>CC178</f>
        <v>#N/A</v>
      </c>
      <c r="CR522">
        <f>IF(ISNUMBER(CP522),IFERROR(MAX(0,CD178-CP522),0),0)</f>
        <v>0</v>
      </c>
      <c r="CS522">
        <f>IF(ISNUMBER(CP522),IFERROR(MAX(0,CP522-CD178),0),0)</f>
        <v>0</v>
      </c>
      <c r="CT522">
        <f>IF(ISNUMBER(CQ522),IFERROR(MAX(0,CE178-CQ522),0),0)</f>
        <v>0</v>
      </c>
      <c r="CU522">
        <f>IF(ISNUMBER(CQ522),IFERROR(MAX(0,CQ522-CE178),0),0)</f>
        <v>0</v>
      </c>
    </row>
    <row r="523" spans="87:99" x14ac:dyDescent="0.3">
      <c r="CI523" t="e">
        <f>AL179</f>
        <v>#N/A</v>
      </c>
      <c r="CJ523" t="e">
        <f>AM179</f>
        <v>#N/A</v>
      </c>
      <c r="CK523">
        <f>IF(ISNUMBER(CI523),IFERROR(MAX(0,AN179-CI523),0),0)</f>
        <v>0</v>
      </c>
      <c r="CL523">
        <f>IF(ISNUMBER(CI523),IFERROR(MAX(0,CI523-AN179),0),0)</f>
        <v>0</v>
      </c>
      <c r="CM523">
        <f>IF(ISNUMBER(CJ523),IFERROR(MAX(0,AO179-CJ523),0),0)</f>
        <v>0</v>
      </c>
      <c r="CN523">
        <f>IF(ISNUMBER(CJ523),IFERROR(MAX(0,CJ523-AO179),0),0)</f>
        <v>0</v>
      </c>
      <c r="CP523" t="e">
        <f>BT179</f>
        <v>#N/A</v>
      </c>
      <c r="CQ523" t="e">
        <f>BU179</f>
        <v>#N/A</v>
      </c>
      <c r="CR523">
        <f>IF(ISNUMBER(CP523),IFERROR(MAX(0,BV179-CP523),0),0)</f>
        <v>0</v>
      </c>
      <c r="CS523">
        <f>IF(ISNUMBER(CP523),IFERROR(MAX(0,CP523-BV179),0),0)</f>
        <v>0</v>
      </c>
      <c r="CT523">
        <f>IF(ISNUMBER(CQ523),IFERROR(MAX(0,BW179-CQ523),0),0)</f>
        <v>0</v>
      </c>
      <c r="CU523">
        <f>IF(ISNUMBER(CQ523),IFERROR(MAX(0,CQ523-BW179),0),0)</f>
        <v>0</v>
      </c>
    </row>
    <row r="524" spans="87:99" x14ac:dyDescent="0.3">
      <c r="CI524" t="e">
        <f>AP179</f>
        <v>#N/A</v>
      </c>
      <c r="CJ524" t="e">
        <f>AQ179</f>
        <v>#N/A</v>
      </c>
      <c r="CK524">
        <f>IF(ISNUMBER(CI524),IFERROR(MAX(0,AR179-CI524),0),0)</f>
        <v>0</v>
      </c>
      <c r="CL524">
        <f>IF(ISNUMBER(CI524),IFERROR(MAX(0,CI524-AR179),0),0)</f>
        <v>0</v>
      </c>
      <c r="CM524">
        <f>IF(ISNUMBER(CJ524),IFERROR(MAX(0,AS179-CJ524),0),0)</f>
        <v>0</v>
      </c>
      <c r="CN524">
        <f>IF(ISNUMBER(CJ524),IFERROR(MAX(0,CJ524-AS179),0),0)</f>
        <v>0</v>
      </c>
      <c r="CP524" t="e">
        <f>BX179</f>
        <v>#N/A</v>
      </c>
      <c r="CQ524" t="e">
        <f>BY179</f>
        <v>#N/A</v>
      </c>
      <c r="CR524">
        <f>IF(ISNUMBER(CP524),IFERROR(MAX(0,BZ179-CP524),0),0)</f>
        <v>0</v>
      </c>
      <c r="CS524">
        <f>IF(ISNUMBER(CP524),IFERROR(MAX(0,CP524-BZ179),0),0)</f>
        <v>0</v>
      </c>
      <c r="CT524">
        <f>IF(ISNUMBER(CQ524),IFERROR(MAX(0,CA179-CQ524),0),0)</f>
        <v>0</v>
      </c>
      <c r="CU524">
        <f>IF(ISNUMBER(CQ524),IFERROR(MAX(0,CQ524-CA179),0),0)</f>
        <v>0</v>
      </c>
    </row>
    <row r="525" spans="87:99" x14ac:dyDescent="0.3">
      <c r="CI525" t="e">
        <f>AT179</f>
        <v>#N/A</v>
      </c>
      <c r="CJ525" t="e">
        <f>AU179</f>
        <v>#N/A</v>
      </c>
      <c r="CK525">
        <f>IF(ISNUMBER(CI525),IFERROR(MAX(0,AV179-CI525),0),0)</f>
        <v>0</v>
      </c>
      <c r="CL525">
        <f>IF(ISNUMBER(CI525),IFERROR(MAX(0,CI525-AV179),0),0)</f>
        <v>0</v>
      </c>
      <c r="CM525">
        <f>IF(ISNUMBER(CJ525),IFERROR(MAX(0,AW179-CJ525),0),0)</f>
        <v>0</v>
      </c>
      <c r="CN525">
        <f>IF(ISNUMBER(CJ525),IFERROR(MAX(0,CJ525-AW179),0),0)</f>
        <v>0</v>
      </c>
      <c r="CP525" t="e">
        <f>CB179</f>
        <v>#N/A</v>
      </c>
      <c r="CQ525" t="e">
        <f>CC179</f>
        <v>#N/A</v>
      </c>
      <c r="CR525">
        <f>IF(ISNUMBER(CP525),IFERROR(MAX(0,CD179-CP525),0),0)</f>
        <v>0</v>
      </c>
      <c r="CS525">
        <f>IF(ISNUMBER(CP525),IFERROR(MAX(0,CP525-CD179),0),0)</f>
        <v>0</v>
      </c>
      <c r="CT525">
        <f>IF(ISNUMBER(CQ525),IFERROR(MAX(0,CE179-CQ525),0),0)</f>
        <v>0</v>
      </c>
      <c r="CU525">
        <f>IF(ISNUMBER(CQ525),IFERROR(MAX(0,CQ525-CE179),0),0)</f>
        <v>0</v>
      </c>
    </row>
    <row r="526" spans="87:99" x14ac:dyDescent="0.3">
      <c r="CI526" t="e">
        <f>AL180</f>
        <v>#N/A</v>
      </c>
      <c r="CJ526" t="e">
        <f>AM180</f>
        <v>#N/A</v>
      </c>
      <c r="CK526">
        <f>IF(ISNUMBER(CI526),IFERROR(MAX(0,AN180-CI526),0),0)</f>
        <v>0</v>
      </c>
      <c r="CL526">
        <f>IF(ISNUMBER(CI526),IFERROR(MAX(0,CI526-AN180),0),0)</f>
        <v>0</v>
      </c>
      <c r="CM526">
        <f>IF(ISNUMBER(CJ526),IFERROR(MAX(0,AO180-CJ526),0),0)</f>
        <v>0</v>
      </c>
      <c r="CN526">
        <f>IF(ISNUMBER(CJ526),IFERROR(MAX(0,CJ526-AO180),0),0)</f>
        <v>0</v>
      </c>
      <c r="CP526" t="e">
        <f>BT180</f>
        <v>#N/A</v>
      </c>
      <c r="CQ526" t="e">
        <f>BU180</f>
        <v>#N/A</v>
      </c>
      <c r="CR526">
        <f>IF(ISNUMBER(CP526),IFERROR(MAX(0,BV180-CP526),0),0)</f>
        <v>0</v>
      </c>
      <c r="CS526">
        <f>IF(ISNUMBER(CP526),IFERROR(MAX(0,CP526-BV180),0),0)</f>
        <v>0</v>
      </c>
      <c r="CT526">
        <f>IF(ISNUMBER(CQ526),IFERROR(MAX(0,BW180-CQ526),0),0)</f>
        <v>0</v>
      </c>
      <c r="CU526">
        <f>IF(ISNUMBER(CQ526),IFERROR(MAX(0,CQ526-BW180),0),0)</f>
        <v>0</v>
      </c>
    </row>
    <row r="527" spans="87:99" x14ac:dyDescent="0.3">
      <c r="CI527" t="e">
        <f>AP180</f>
        <v>#N/A</v>
      </c>
      <c r="CJ527" t="e">
        <f>AQ180</f>
        <v>#N/A</v>
      </c>
      <c r="CK527">
        <f>IF(ISNUMBER(CI527),IFERROR(MAX(0,AR180-CI527),0),0)</f>
        <v>0</v>
      </c>
      <c r="CL527">
        <f>IF(ISNUMBER(CI527),IFERROR(MAX(0,CI527-AR180),0),0)</f>
        <v>0</v>
      </c>
      <c r="CM527">
        <f>IF(ISNUMBER(CJ527),IFERROR(MAX(0,AS180-CJ527),0),0)</f>
        <v>0</v>
      </c>
      <c r="CN527">
        <f>IF(ISNUMBER(CJ527),IFERROR(MAX(0,CJ527-AS180),0),0)</f>
        <v>0</v>
      </c>
      <c r="CP527" t="e">
        <f>BX180</f>
        <v>#N/A</v>
      </c>
      <c r="CQ527" t="e">
        <f>BY180</f>
        <v>#N/A</v>
      </c>
      <c r="CR527">
        <f>IF(ISNUMBER(CP527),IFERROR(MAX(0,BZ180-CP527),0),0)</f>
        <v>0</v>
      </c>
      <c r="CS527">
        <f>IF(ISNUMBER(CP527),IFERROR(MAX(0,CP527-BZ180),0),0)</f>
        <v>0</v>
      </c>
      <c r="CT527">
        <f>IF(ISNUMBER(CQ527),IFERROR(MAX(0,CA180-CQ527),0),0)</f>
        <v>0</v>
      </c>
      <c r="CU527">
        <f>IF(ISNUMBER(CQ527),IFERROR(MAX(0,CQ527-CA180),0),0)</f>
        <v>0</v>
      </c>
    </row>
    <row r="528" spans="87:99" x14ac:dyDescent="0.3">
      <c r="CI528" t="e">
        <f>AT180</f>
        <v>#N/A</v>
      </c>
      <c r="CJ528" t="e">
        <f>AU180</f>
        <v>#N/A</v>
      </c>
      <c r="CK528">
        <f>IF(ISNUMBER(CI528),IFERROR(MAX(0,AV180-CI528),0),0)</f>
        <v>0</v>
      </c>
      <c r="CL528">
        <f>IF(ISNUMBER(CI528),IFERROR(MAX(0,CI528-AV180),0),0)</f>
        <v>0</v>
      </c>
      <c r="CM528">
        <f>IF(ISNUMBER(CJ528),IFERROR(MAX(0,AW180-CJ528),0),0)</f>
        <v>0</v>
      </c>
      <c r="CN528">
        <f>IF(ISNUMBER(CJ528),IFERROR(MAX(0,CJ528-AW180),0),0)</f>
        <v>0</v>
      </c>
      <c r="CP528" t="e">
        <f>CB180</f>
        <v>#N/A</v>
      </c>
      <c r="CQ528" t="e">
        <f>CC180</f>
        <v>#N/A</v>
      </c>
      <c r="CR528">
        <f>IF(ISNUMBER(CP528),IFERROR(MAX(0,CD180-CP528),0),0)</f>
        <v>0</v>
      </c>
      <c r="CS528">
        <f>IF(ISNUMBER(CP528),IFERROR(MAX(0,CP528-CD180),0),0)</f>
        <v>0</v>
      </c>
      <c r="CT528">
        <f>IF(ISNUMBER(CQ528),IFERROR(MAX(0,CE180-CQ528),0),0)</f>
        <v>0</v>
      </c>
      <c r="CU528">
        <f>IF(ISNUMBER(CQ528),IFERROR(MAX(0,CQ528-CE180),0),0)</f>
        <v>0</v>
      </c>
    </row>
    <row r="529" spans="87:99" x14ac:dyDescent="0.3">
      <c r="CI529" t="e">
        <f>AL181</f>
        <v>#N/A</v>
      </c>
      <c r="CJ529" t="e">
        <f>AM181</f>
        <v>#N/A</v>
      </c>
      <c r="CK529">
        <f>IF(ISNUMBER(CI529),IFERROR(MAX(0,AN181-CI529),0),0)</f>
        <v>0</v>
      </c>
      <c r="CL529">
        <f>IF(ISNUMBER(CI529),IFERROR(MAX(0,CI529-AN181),0),0)</f>
        <v>0</v>
      </c>
      <c r="CM529">
        <f>IF(ISNUMBER(CJ529),IFERROR(MAX(0,AO181-CJ529),0),0)</f>
        <v>0</v>
      </c>
      <c r="CN529">
        <f>IF(ISNUMBER(CJ529),IFERROR(MAX(0,CJ529-AO181),0),0)</f>
        <v>0</v>
      </c>
      <c r="CP529" t="e">
        <f>BT181</f>
        <v>#N/A</v>
      </c>
      <c r="CQ529" t="e">
        <f>BU181</f>
        <v>#N/A</v>
      </c>
      <c r="CR529">
        <f>IF(ISNUMBER(CP529),IFERROR(MAX(0,BV181-CP529),0),0)</f>
        <v>0</v>
      </c>
      <c r="CS529">
        <f>IF(ISNUMBER(CP529),IFERROR(MAX(0,CP529-BV181),0),0)</f>
        <v>0</v>
      </c>
      <c r="CT529">
        <f>IF(ISNUMBER(CQ529),IFERROR(MAX(0,BW181-CQ529),0),0)</f>
        <v>0</v>
      </c>
      <c r="CU529">
        <f>IF(ISNUMBER(CQ529),IFERROR(MAX(0,CQ529-BW181),0),0)</f>
        <v>0</v>
      </c>
    </row>
    <row r="530" spans="87:99" x14ac:dyDescent="0.3">
      <c r="CI530" t="e">
        <f>AP181</f>
        <v>#N/A</v>
      </c>
      <c r="CJ530" t="e">
        <f>AQ181</f>
        <v>#N/A</v>
      </c>
      <c r="CK530">
        <f>IF(ISNUMBER(CI530),IFERROR(MAX(0,AR181-CI530),0),0)</f>
        <v>0</v>
      </c>
      <c r="CL530">
        <f>IF(ISNUMBER(CI530),IFERROR(MAX(0,CI530-AR181),0),0)</f>
        <v>0</v>
      </c>
      <c r="CM530">
        <f>IF(ISNUMBER(CJ530),IFERROR(MAX(0,AS181-CJ530),0),0)</f>
        <v>0</v>
      </c>
      <c r="CN530">
        <f>IF(ISNUMBER(CJ530),IFERROR(MAX(0,CJ530-AS181),0),0)</f>
        <v>0</v>
      </c>
      <c r="CP530" t="e">
        <f>BX181</f>
        <v>#N/A</v>
      </c>
      <c r="CQ530" t="e">
        <f>BY181</f>
        <v>#N/A</v>
      </c>
      <c r="CR530">
        <f>IF(ISNUMBER(CP530),IFERROR(MAX(0,BZ181-CP530),0),0)</f>
        <v>0</v>
      </c>
      <c r="CS530">
        <f>IF(ISNUMBER(CP530),IFERROR(MAX(0,CP530-BZ181),0),0)</f>
        <v>0</v>
      </c>
      <c r="CT530">
        <f>IF(ISNUMBER(CQ530),IFERROR(MAX(0,CA181-CQ530),0),0)</f>
        <v>0</v>
      </c>
      <c r="CU530">
        <f>IF(ISNUMBER(CQ530),IFERROR(MAX(0,CQ530-CA181),0),0)</f>
        <v>0</v>
      </c>
    </row>
    <row r="531" spans="87:99" x14ac:dyDescent="0.3">
      <c r="CI531" t="e">
        <f>AT181</f>
        <v>#N/A</v>
      </c>
      <c r="CJ531" t="e">
        <f>AU181</f>
        <v>#N/A</v>
      </c>
      <c r="CK531">
        <f>IF(ISNUMBER(CI531),IFERROR(MAX(0,AV181-CI531),0),0)</f>
        <v>0</v>
      </c>
      <c r="CL531">
        <f>IF(ISNUMBER(CI531),IFERROR(MAX(0,CI531-AV181),0),0)</f>
        <v>0</v>
      </c>
      <c r="CM531">
        <f>IF(ISNUMBER(CJ531),IFERROR(MAX(0,AW181-CJ531),0),0)</f>
        <v>0</v>
      </c>
      <c r="CN531">
        <f>IF(ISNUMBER(CJ531),IFERROR(MAX(0,CJ531-AW181),0),0)</f>
        <v>0</v>
      </c>
      <c r="CP531" t="e">
        <f>CB181</f>
        <v>#N/A</v>
      </c>
      <c r="CQ531" t="e">
        <f>CC181</f>
        <v>#N/A</v>
      </c>
      <c r="CR531">
        <f>IF(ISNUMBER(CP531),IFERROR(MAX(0,CD181-CP531),0),0)</f>
        <v>0</v>
      </c>
      <c r="CS531">
        <f>IF(ISNUMBER(CP531),IFERROR(MAX(0,CP531-CD181),0),0)</f>
        <v>0</v>
      </c>
      <c r="CT531">
        <f>IF(ISNUMBER(CQ531),IFERROR(MAX(0,CE181-CQ531),0),0)</f>
        <v>0</v>
      </c>
      <c r="CU531">
        <f>IF(ISNUMBER(CQ531),IFERROR(MAX(0,CQ531-CE181),0),0)</f>
        <v>0</v>
      </c>
    </row>
    <row r="532" spans="87:99" x14ac:dyDescent="0.3">
      <c r="CI532" t="e">
        <f>AL182</f>
        <v>#N/A</v>
      </c>
      <c r="CJ532" t="e">
        <f>AM182</f>
        <v>#N/A</v>
      </c>
      <c r="CK532">
        <f>IF(ISNUMBER(CI532),IFERROR(MAX(0,AN182-CI532),0),0)</f>
        <v>0</v>
      </c>
      <c r="CL532">
        <f>IF(ISNUMBER(CI532),IFERROR(MAX(0,CI532-AN182),0),0)</f>
        <v>0</v>
      </c>
      <c r="CM532">
        <f>IF(ISNUMBER(CJ532),IFERROR(MAX(0,AO182-CJ532),0),0)</f>
        <v>0</v>
      </c>
      <c r="CN532">
        <f>IF(ISNUMBER(CJ532),IFERROR(MAX(0,CJ532-AO182),0),0)</f>
        <v>0</v>
      </c>
      <c r="CP532" t="e">
        <f>BT182</f>
        <v>#N/A</v>
      </c>
      <c r="CQ532" t="e">
        <f>BU182</f>
        <v>#N/A</v>
      </c>
      <c r="CR532">
        <f>IF(ISNUMBER(CP532),IFERROR(MAX(0,BV182-CP532),0),0)</f>
        <v>0</v>
      </c>
      <c r="CS532">
        <f>IF(ISNUMBER(CP532),IFERROR(MAX(0,CP532-BV182),0),0)</f>
        <v>0</v>
      </c>
      <c r="CT532">
        <f>IF(ISNUMBER(CQ532),IFERROR(MAX(0,BW182-CQ532),0),0)</f>
        <v>0</v>
      </c>
      <c r="CU532">
        <f>IF(ISNUMBER(CQ532),IFERROR(MAX(0,CQ532-BW182),0),0)</f>
        <v>0</v>
      </c>
    </row>
    <row r="533" spans="87:99" x14ac:dyDescent="0.3">
      <c r="CI533" t="e">
        <f>AP182</f>
        <v>#N/A</v>
      </c>
      <c r="CJ533" t="e">
        <f>AQ182</f>
        <v>#N/A</v>
      </c>
      <c r="CK533">
        <f>IF(ISNUMBER(CI533),IFERROR(MAX(0,AR182-CI533),0),0)</f>
        <v>0</v>
      </c>
      <c r="CL533">
        <f>IF(ISNUMBER(CI533),IFERROR(MAX(0,CI533-AR182),0),0)</f>
        <v>0</v>
      </c>
      <c r="CM533">
        <f>IF(ISNUMBER(CJ533),IFERROR(MAX(0,AS182-CJ533),0),0)</f>
        <v>0</v>
      </c>
      <c r="CN533">
        <f>IF(ISNUMBER(CJ533),IFERROR(MAX(0,CJ533-AS182),0),0)</f>
        <v>0</v>
      </c>
      <c r="CP533" t="e">
        <f>BX182</f>
        <v>#N/A</v>
      </c>
      <c r="CQ533" t="e">
        <f>BY182</f>
        <v>#N/A</v>
      </c>
      <c r="CR533">
        <f>IF(ISNUMBER(CP533),IFERROR(MAX(0,BZ182-CP533),0),0)</f>
        <v>0</v>
      </c>
      <c r="CS533">
        <f>IF(ISNUMBER(CP533),IFERROR(MAX(0,CP533-BZ182),0),0)</f>
        <v>0</v>
      </c>
      <c r="CT533">
        <f>IF(ISNUMBER(CQ533),IFERROR(MAX(0,CA182-CQ533),0),0)</f>
        <v>0</v>
      </c>
      <c r="CU533">
        <f>IF(ISNUMBER(CQ533),IFERROR(MAX(0,CQ533-CA182),0),0)</f>
        <v>0</v>
      </c>
    </row>
    <row r="534" spans="87:99" x14ac:dyDescent="0.3">
      <c r="CI534" t="e">
        <f>AT182</f>
        <v>#N/A</v>
      </c>
      <c r="CJ534" t="e">
        <f>AU182</f>
        <v>#N/A</v>
      </c>
      <c r="CK534">
        <f>IF(ISNUMBER(CI534),IFERROR(MAX(0,AV182-CI534),0),0)</f>
        <v>0</v>
      </c>
      <c r="CL534">
        <f>IF(ISNUMBER(CI534),IFERROR(MAX(0,CI534-AV182),0),0)</f>
        <v>0</v>
      </c>
      <c r="CM534">
        <f>IF(ISNUMBER(CJ534),IFERROR(MAX(0,AW182-CJ534),0),0)</f>
        <v>0</v>
      </c>
      <c r="CN534">
        <f>IF(ISNUMBER(CJ534),IFERROR(MAX(0,CJ534-AW182),0),0)</f>
        <v>0</v>
      </c>
      <c r="CP534" t="e">
        <f>CB182</f>
        <v>#N/A</v>
      </c>
      <c r="CQ534" t="e">
        <f>CC182</f>
        <v>#N/A</v>
      </c>
      <c r="CR534">
        <f>IF(ISNUMBER(CP534),IFERROR(MAX(0,CD182-CP534),0),0)</f>
        <v>0</v>
      </c>
      <c r="CS534">
        <f>IF(ISNUMBER(CP534),IFERROR(MAX(0,CP534-CD182),0),0)</f>
        <v>0</v>
      </c>
      <c r="CT534">
        <f>IF(ISNUMBER(CQ534),IFERROR(MAX(0,CE182-CQ534),0),0)</f>
        <v>0</v>
      </c>
      <c r="CU534">
        <f>IF(ISNUMBER(CQ534),IFERROR(MAX(0,CQ534-CE182),0),0)</f>
        <v>0</v>
      </c>
    </row>
    <row r="535" spans="87:99" x14ac:dyDescent="0.3">
      <c r="CI535" t="e">
        <f>AL183</f>
        <v>#N/A</v>
      </c>
      <c r="CJ535" t="e">
        <f>AM183</f>
        <v>#N/A</v>
      </c>
      <c r="CK535">
        <f>IF(ISNUMBER(CI535),IFERROR(MAX(0,AN183-CI535),0),0)</f>
        <v>0</v>
      </c>
      <c r="CL535">
        <f>IF(ISNUMBER(CI535),IFERROR(MAX(0,CI535-AN183),0),0)</f>
        <v>0</v>
      </c>
      <c r="CM535">
        <f>IF(ISNUMBER(CJ535),IFERROR(MAX(0,AO183-CJ535),0),0)</f>
        <v>0</v>
      </c>
      <c r="CN535">
        <f>IF(ISNUMBER(CJ535),IFERROR(MAX(0,CJ535-AO183),0),0)</f>
        <v>0</v>
      </c>
      <c r="CP535" t="e">
        <f>BT183</f>
        <v>#N/A</v>
      </c>
      <c r="CQ535" t="e">
        <f>BU183</f>
        <v>#N/A</v>
      </c>
      <c r="CR535">
        <f>IF(ISNUMBER(CP535),IFERROR(MAX(0,BV183-CP535),0),0)</f>
        <v>0</v>
      </c>
      <c r="CS535">
        <f>IF(ISNUMBER(CP535),IFERROR(MAX(0,CP535-BV183),0),0)</f>
        <v>0</v>
      </c>
      <c r="CT535">
        <f>IF(ISNUMBER(CQ535),IFERROR(MAX(0,BW183-CQ535),0),0)</f>
        <v>0</v>
      </c>
      <c r="CU535">
        <f>IF(ISNUMBER(CQ535),IFERROR(MAX(0,CQ535-BW183),0),0)</f>
        <v>0</v>
      </c>
    </row>
    <row r="536" spans="87:99" x14ac:dyDescent="0.3">
      <c r="CI536" t="e">
        <f>AP183</f>
        <v>#N/A</v>
      </c>
      <c r="CJ536" t="e">
        <f>AQ183</f>
        <v>#N/A</v>
      </c>
      <c r="CK536">
        <f>IF(ISNUMBER(CI536),IFERROR(MAX(0,AR183-CI536),0),0)</f>
        <v>0</v>
      </c>
      <c r="CL536">
        <f>IF(ISNUMBER(CI536),IFERROR(MAX(0,CI536-AR183),0),0)</f>
        <v>0</v>
      </c>
      <c r="CM536">
        <f>IF(ISNUMBER(CJ536),IFERROR(MAX(0,AS183-CJ536),0),0)</f>
        <v>0</v>
      </c>
      <c r="CN536">
        <f>IF(ISNUMBER(CJ536),IFERROR(MAX(0,CJ536-AS183),0),0)</f>
        <v>0</v>
      </c>
      <c r="CP536" t="e">
        <f>BX183</f>
        <v>#N/A</v>
      </c>
      <c r="CQ536" t="e">
        <f>BY183</f>
        <v>#N/A</v>
      </c>
      <c r="CR536">
        <f>IF(ISNUMBER(CP536),IFERROR(MAX(0,BZ183-CP536),0),0)</f>
        <v>0</v>
      </c>
      <c r="CS536">
        <f>IF(ISNUMBER(CP536),IFERROR(MAX(0,CP536-BZ183),0),0)</f>
        <v>0</v>
      </c>
      <c r="CT536">
        <f>IF(ISNUMBER(CQ536),IFERROR(MAX(0,CA183-CQ536),0),0)</f>
        <v>0</v>
      </c>
      <c r="CU536">
        <f>IF(ISNUMBER(CQ536),IFERROR(MAX(0,CQ536-CA183),0),0)</f>
        <v>0</v>
      </c>
    </row>
    <row r="537" spans="87:99" x14ac:dyDescent="0.3">
      <c r="CI537" t="e">
        <f>AT183</f>
        <v>#N/A</v>
      </c>
      <c r="CJ537" t="e">
        <f>AU183</f>
        <v>#N/A</v>
      </c>
      <c r="CK537">
        <f>IF(ISNUMBER(CI537),IFERROR(MAX(0,AV183-CI537),0),0)</f>
        <v>0</v>
      </c>
      <c r="CL537">
        <f>IF(ISNUMBER(CI537),IFERROR(MAX(0,CI537-AV183),0),0)</f>
        <v>0</v>
      </c>
      <c r="CM537">
        <f>IF(ISNUMBER(CJ537),IFERROR(MAX(0,AW183-CJ537),0),0)</f>
        <v>0</v>
      </c>
      <c r="CN537">
        <f>IF(ISNUMBER(CJ537),IFERROR(MAX(0,CJ537-AW183),0),0)</f>
        <v>0</v>
      </c>
      <c r="CP537" t="e">
        <f>CB183</f>
        <v>#N/A</v>
      </c>
      <c r="CQ537" t="e">
        <f>CC183</f>
        <v>#N/A</v>
      </c>
      <c r="CR537">
        <f>IF(ISNUMBER(CP537),IFERROR(MAX(0,CD183-CP537),0),0)</f>
        <v>0</v>
      </c>
      <c r="CS537">
        <f>IF(ISNUMBER(CP537),IFERROR(MAX(0,CP537-CD183),0),0)</f>
        <v>0</v>
      </c>
      <c r="CT537">
        <f>IF(ISNUMBER(CQ537),IFERROR(MAX(0,CE183-CQ537),0),0)</f>
        <v>0</v>
      </c>
      <c r="CU537">
        <f>IF(ISNUMBER(CQ537),IFERROR(MAX(0,CQ537-CE183),0),0)</f>
        <v>0</v>
      </c>
    </row>
    <row r="538" spans="87:99" x14ac:dyDescent="0.3">
      <c r="CI538" t="e">
        <f>AL184</f>
        <v>#N/A</v>
      </c>
      <c r="CJ538" t="e">
        <f>AM184</f>
        <v>#N/A</v>
      </c>
      <c r="CK538">
        <f>IF(ISNUMBER(CI538),IFERROR(MAX(0,AN184-CI538),0),0)</f>
        <v>0</v>
      </c>
      <c r="CL538">
        <f>IF(ISNUMBER(CI538),IFERROR(MAX(0,CI538-AN184),0),0)</f>
        <v>0</v>
      </c>
      <c r="CM538">
        <f>IF(ISNUMBER(CJ538),IFERROR(MAX(0,AO184-CJ538),0),0)</f>
        <v>0</v>
      </c>
      <c r="CN538">
        <f>IF(ISNUMBER(CJ538),IFERROR(MAX(0,CJ538-AO184),0),0)</f>
        <v>0</v>
      </c>
      <c r="CP538" t="e">
        <f>BT184</f>
        <v>#N/A</v>
      </c>
      <c r="CQ538" t="e">
        <f>BU184</f>
        <v>#N/A</v>
      </c>
      <c r="CR538">
        <f>IF(ISNUMBER(CP538),IFERROR(MAX(0,BV184-CP538),0),0)</f>
        <v>0</v>
      </c>
      <c r="CS538">
        <f>IF(ISNUMBER(CP538),IFERROR(MAX(0,CP538-BV184),0),0)</f>
        <v>0</v>
      </c>
      <c r="CT538">
        <f>IF(ISNUMBER(CQ538),IFERROR(MAX(0,BW184-CQ538),0),0)</f>
        <v>0</v>
      </c>
      <c r="CU538">
        <f>IF(ISNUMBER(CQ538),IFERROR(MAX(0,CQ538-BW184),0),0)</f>
        <v>0</v>
      </c>
    </row>
    <row r="539" spans="87:99" x14ac:dyDescent="0.3">
      <c r="CI539" t="e">
        <f>AP184</f>
        <v>#N/A</v>
      </c>
      <c r="CJ539" t="e">
        <f>AQ184</f>
        <v>#N/A</v>
      </c>
      <c r="CK539">
        <f>IF(ISNUMBER(CI539),IFERROR(MAX(0,AR184-CI539),0),0)</f>
        <v>0</v>
      </c>
      <c r="CL539">
        <f>IF(ISNUMBER(CI539),IFERROR(MAX(0,CI539-AR184),0),0)</f>
        <v>0</v>
      </c>
      <c r="CM539">
        <f>IF(ISNUMBER(CJ539),IFERROR(MAX(0,AS184-CJ539),0),0)</f>
        <v>0</v>
      </c>
      <c r="CN539">
        <f>IF(ISNUMBER(CJ539),IFERROR(MAX(0,CJ539-AS184),0),0)</f>
        <v>0</v>
      </c>
      <c r="CP539" t="e">
        <f>BX184</f>
        <v>#N/A</v>
      </c>
      <c r="CQ539" t="e">
        <f>BY184</f>
        <v>#N/A</v>
      </c>
      <c r="CR539">
        <f>IF(ISNUMBER(CP539),IFERROR(MAX(0,BZ184-CP539),0),0)</f>
        <v>0</v>
      </c>
      <c r="CS539">
        <f>IF(ISNUMBER(CP539),IFERROR(MAX(0,CP539-BZ184),0),0)</f>
        <v>0</v>
      </c>
      <c r="CT539">
        <f>IF(ISNUMBER(CQ539),IFERROR(MAX(0,CA184-CQ539),0),0)</f>
        <v>0</v>
      </c>
      <c r="CU539">
        <f>IF(ISNUMBER(CQ539),IFERROR(MAX(0,CQ539-CA184),0),0)</f>
        <v>0</v>
      </c>
    </row>
    <row r="540" spans="87:99" x14ac:dyDescent="0.3">
      <c r="CI540" t="e">
        <f>AT184</f>
        <v>#N/A</v>
      </c>
      <c r="CJ540" t="e">
        <f>AU184</f>
        <v>#N/A</v>
      </c>
      <c r="CK540">
        <f>IF(ISNUMBER(CI540),IFERROR(MAX(0,AV184-CI540),0),0)</f>
        <v>0</v>
      </c>
      <c r="CL540">
        <f>IF(ISNUMBER(CI540),IFERROR(MAX(0,CI540-AV184),0),0)</f>
        <v>0</v>
      </c>
      <c r="CM540">
        <f>IF(ISNUMBER(CJ540),IFERROR(MAX(0,AW184-CJ540),0),0)</f>
        <v>0</v>
      </c>
      <c r="CN540">
        <f>IF(ISNUMBER(CJ540),IFERROR(MAX(0,CJ540-AW184),0),0)</f>
        <v>0</v>
      </c>
      <c r="CP540" t="e">
        <f>CB184</f>
        <v>#N/A</v>
      </c>
      <c r="CQ540" t="e">
        <f>CC184</f>
        <v>#N/A</v>
      </c>
      <c r="CR540">
        <f>IF(ISNUMBER(CP540),IFERROR(MAX(0,CD184-CP540),0),0)</f>
        <v>0</v>
      </c>
      <c r="CS540">
        <f>IF(ISNUMBER(CP540),IFERROR(MAX(0,CP540-CD184),0),0)</f>
        <v>0</v>
      </c>
      <c r="CT540">
        <f>IF(ISNUMBER(CQ540),IFERROR(MAX(0,CE184-CQ540),0),0)</f>
        <v>0</v>
      </c>
      <c r="CU540">
        <f>IF(ISNUMBER(CQ540),IFERROR(MAX(0,CQ540-CE184),0),0)</f>
        <v>0</v>
      </c>
    </row>
    <row r="541" spans="87:99" x14ac:dyDescent="0.3">
      <c r="CI541" t="e">
        <f>AL185</f>
        <v>#N/A</v>
      </c>
      <c r="CJ541" t="e">
        <f>AM185</f>
        <v>#N/A</v>
      </c>
      <c r="CK541">
        <f>IF(ISNUMBER(CI541),IFERROR(MAX(0,AN185-CI541),0),0)</f>
        <v>0</v>
      </c>
      <c r="CL541">
        <f>IF(ISNUMBER(CI541),IFERROR(MAX(0,CI541-AN185),0),0)</f>
        <v>0</v>
      </c>
      <c r="CM541">
        <f>IF(ISNUMBER(CJ541),IFERROR(MAX(0,AO185-CJ541),0),0)</f>
        <v>0</v>
      </c>
      <c r="CN541">
        <f>IF(ISNUMBER(CJ541),IFERROR(MAX(0,CJ541-AO185),0),0)</f>
        <v>0</v>
      </c>
      <c r="CP541" t="e">
        <f>BT185</f>
        <v>#N/A</v>
      </c>
      <c r="CQ541" t="e">
        <f>BU185</f>
        <v>#N/A</v>
      </c>
      <c r="CR541">
        <f>IF(ISNUMBER(CP541),IFERROR(MAX(0,BV185-CP541),0),0)</f>
        <v>0</v>
      </c>
      <c r="CS541">
        <f>IF(ISNUMBER(CP541),IFERROR(MAX(0,CP541-BV185),0),0)</f>
        <v>0</v>
      </c>
      <c r="CT541">
        <f>IF(ISNUMBER(CQ541),IFERROR(MAX(0,BW185-CQ541),0),0)</f>
        <v>0</v>
      </c>
      <c r="CU541">
        <f>IF(ISNUMBER(CQ541),IFERROR(MAX(0,CQ541-BW185),0),0)</f>
        <v>0</v>
      </c>
    </row>
    <row r="542" spans="87:99" x14ac:dyDescent="0.3">
      <c r="CI542" t="e">
        <f>AP185</f>
        <v>#N/A</v>
      </c>
      <c r="CJ542" t="e">
        <f>AQ185</f>
        <v>#N/A</v>
      </c>
      <c r="CK542">
        <f>IF(ISNUMBER(CI542),IFERROR(MAX(0,AR185-CI542),0),0)</f>
        <v>0</v>
      </c>
      <c r="CL542">
        <f>IF(ISNUMBER(CI542),IFERROR(MAX(0,CI542-AR185),0),0)</f>
        <v>0</v>
      </c>
      <c r="CM542">
        <f>IF(ISNUMBER(CJ542),IFERROR(MAX(0,AS185-CJ542),0),0)</f>
        <v>0</v>
      </c>
      <c r="CN542">
        <f>IF(ISNUMBER(CJ542),IFERROR(MAX(0,CJ542-AS185),0),0)</f>
        <v>0</v>
      </c>
      <c r="CP542" t="e">
        <f>BX185</f>
        <v>#N/A</v>
      </c>
      <c r="CQ542" t="e">
        <f>BY185</f>
        <v>#N/A</v>
      </c>
      <c r="CR542">
        <f>IF(ISNUMBER(CP542),IFERROR(MAX(0,BZ185-CP542),0),0)</f>
        <v>0</v>
      </c>
      <c r="CS542">
        <f>IF(ISNUMBER(CP542),IFERROR(MAX(0,CP542-BZ185),0),0)</f>
        <v>0</v>
      </c>
      <c r="CT542">
        <f>IF(ISNUMBER(CQ542),IFERROR(MAX(0,CA185-CQ542),0),0)</f>
        <v>0</v>
      </c>
      <c r="CU542">
        <f>IF(ISNUMBER(CQ542),IFERROR(MAX(0,CQ542-CA185),0),0)</f>
        <v>0</v>
      </c>
    </row>
    <row r="543" spans="87:99" x14ac:dyDescent="0.3">
      <c r="CI543" t="e">
        <f>AT185</f>
        <v>#N/A</v>
      </c>
      <c r="CJ543" t="e">
        <f>AU185</f>
        <v>#N/A</v>
      </c>
      <c r="CK543">
        <f>IF(ISNUMBER(CI543),IFERROR(MAX(0,AV185-CI543),0),0)</f>
        <v>0</v>
      </c>
      <c r="CL543">
        <f>IF(ISNUMBER(CI543),IFERROR(MAX(0,CI543-AV185),0),0)</f>
        <v>0</v>
      </c>
      <c r="CM543">
        <f>IF(ISNUMBER(CJ543),IFERROR(MAX(0,AW185-CJ543),0),0)</f>
        <v>0</v>
      </c>
      <c r="CN543">
        <f>IF(ISNUMBER(CJ543),IFERROR(MAX(0,CJ543-AW185),0),0)</f>
        <v>0</v>
      </c>
      <c r="CP543" t="e">
        <f>CB185</f>
        <v>#N/A</v>
      </c>
      <c r="CQ543" t="e">
        <f>CC185</f>
        <v>#N/A</v>
      </c>
      <c r="CR543">
        <f>IF(ISNUMBER(CP543),IFERROR(MAX(0,CD185-CP543),0),0)</f>
        <v>0</v>
      </c>
      <c r="CS543">
        <f>IF(ISNUMBER(CP543),IFERROR(MAX(0,CP543-CD185),0),0)</f>
        <v>0</v>
      </c>
      <c r="CT543">
        <f>IF(ISNUMBER(CQ543),IFERROR(MAX(0,CE185-CQ543),0),0)</f>
        <v>0</v>
      </c>
      <c r="CU543">
        <f>IF(ISNUMBER(CQ543),IFERROR(MAX(0,CQ543-CE185),0),0)</f>
        <v>0</v>
      </c>
    </row>
    <row r="544" spans="87:99" x14ac:dyDescent="0.3">
      <c r="CI544" t="e">
        <f>AL186</f>
        <v>#N/A</v>
      </c>
      <c r="CJ544" t="e">
        <f>AM186</f>
        <v>#N/A</v>
      </c>
      <c r="CK544">
        <f>IF(ISNUMBER(CI544),IFERROR(MAX(0,AN186-CI544),0),0)</f>
        <v>0</v>
      </c>
      <c r="CL544">
        <f>IF(ISNUMBER(CI544),IFERROR(MAX(0,CI544-AN186),0),0)</f>
        <v>0</v>
      </c>
      <c r="CM544">
        <f>IF(ISNUMBER(CJ544),IFERROR(MAX(0,AO186-CJ544),0),0)</f>
        <v>0</v>
      </c>
      <c r="CN544">
        <f>IF(ISNUMBER(CJ544),IFERROR(MAX(0,CJ544-AO186),0),0)</f>
        <v>0</v>
      </c>
      <c r="CP544" t="e">
        <f>BT186</f>
        <v>#N/A</v>
      </c>
      <c r="CQ544" t="e">
        <f>BU186</f>
        <v>#N/A</v>
      </c>
      <c r="CR544">
        <f>IF(ISNUMBER(CP544),IFERROR(MAX(0,BV186-CP544),0),0)</f>
        <v>0</v>
      </c>
      <c r="CS544">
        <f>IF(ISNUMBER(CP544),IFERROR(MAX(0,CP544-BV186),0),0)</f>
        <v>0</v>
      </c>
      <c r="CT544">
        <f>IF(ISNUMBER(CQ544),IFERROR(MAX(0,BW186-CQ544),0),0)</f>
        <v>0</v>
      </c>
      <c r="CU544">
        <f>IF(ISNUMBER(CQ544),IFERROR(MAX(0,CQ544-BW186),0),0)</f>
        <v>0</v>
      </c>
    </row>
    <row r="545" spans="87:99" x14ac:dyDescent="0.3">
      <c r="CI545" t="e">
        <f>AP186</f>
        <v>#N/A</v>
      </c>
      <c r="CJ545" t="e">
        <f>AQ186</f>
        <v>#N/A</v>
      </c>
      <c r="CK545">
        <f>IF(ISNUMBER(CI545),IFERROR(MAX(0,AR186-CI545),0),0)</f>
        <v>0</v>
      </c>
      <c r="CL545">
        <f>IF(ISNUMBER(CI545),IFERROR(MAX(0,CI545-AR186),0),0)</f>
        <v>0</v>
      </c>
      <c r="CM545">
        <f>IF(ISNUMBER(CJ545),IFERROR(MAX(0,AS186-CJ545),0),0)</f>
        <v>0</v>
      </c>
      <c r="CN545">
        <f>IF(ISNUMBER(CJ545),IFERROR(MAX(0,CJ545-AS186),0),0)</f>
        <v>0</v>
      </c>
      <c r="CP545" t="e">
        <f>BX186</f>
        <v>#N/A</v>
      </c>
      <c r="CQ545" t="e">
        <f>BY186</f>
        <v>#N/A</v>
      </c>
      <c r="CR545">
        <f>IF(ISNUMBER(CP545),IFERROR(MAX(0,BZ186-CP545),0),0)</f>
        <v>0</v>
      </c>
      <c r="CS545">
        <f>IF(ISNUMBER(CP545),IFERROR(MAX(0,CP545-BZ186),0),0)</f>
        <v>0</v>
      </c>
      <c r="CT545">
        <f>IF(ISNUMBER(CQ545),IFERROR(MAX(0,CA186-CQ545),0),0)</f>
        <v>0</v>
      </c>
      <c r="CU545">
        <f>IF(ISNUMBER(CQ545),IFERROR(MAX(0,CQ545-CA186),0),0)</f>
        <v>0</v>
      </c>
    </row>
    <row r="546" spans="87:99" x14ac:dyDescent="0.3">
      <c r="CI546" t="e">
        <f>AT186</f>
        <v>#N/A</v>
      </c>
      <c r="CJ546" t="e">
        <f>AU186</f>
        <v>#N/A</v>
      </c>
      <c r="CK546">
        <f>IF(ISNUMBER(CI546),IFERROR(MAX(0,AV186-CI546),0),0)</f>
        <v>0</v>
      </c>
      <c r="CL546">
        <f>IF(ISNUMBER(CI546),IFERROR(MAX(0,CI546-AV186),0),0)</f>
        <v>0</v>
      </c>
      <c r="CM546">
        <f>IF(ISNUMBER(CJ546),IFERROR(MAX(0,AW186-CJ546),0),0)</f>
        <v>0</v>
      </c>
      <c r="CN546">
        <f>IF(ISNUMBER(CJ546),IFERROR(MAX(0,CJ546-AW186),0),0)</f>
        <v>0</v>
      </c>
      <c r="CP546" t="e">
        <f>CB186</f>
        <v>#N/A</v>
      </c>
      <c r="CQ546" t="e">
        <f>CC186</f>
        <v>#N/A</v>
      </c>
      <c r="CR546">
        <f>IF(ISNUMBER(CP546),IFERROR(MAX(0,CD186-CP546),0),0)</f>
        <v>0</v>
      </c>
      <c r="CS546">
        <f>IF(ISNUMBER(CP546),IFERROR(MAX(0,CP546-CD186),0),0)</f>
        <v>0</v>
      </c>
      <c r="CT546">
        <f>IF(ISNUMBER(CQ546),IFERROR(MAX(0,CE186-CQ546),0),0)</f>
        <v>0</v>
      </c>
      <c r="CU546">
        <f>IF(ISNUMBER(CQ546),IFERROR(MAX(0,CQ546-CE186),0),0)</f>
        <v>0</v>
      </c>
    </row>
    <row r="547" spans="87:99" x14ac:dyDescent="0.3">
      <c r="CI547" t="e">
        <f>AL187</f>
        <v>#N/A</v>
      </c>
      <c r="CJ547" t="e">
        <f>AM187</f>
        <v>#N/A</v>
      </c>
      <c r="CK547">
        <f>IF(ISNUMBER(CI547),IFERROR(MAX(0,AN187-CI547),0),0)</f>
        <v>0</v>
      </c>
      <c r="CL547">
        <f>IF(ISNUMBER(CI547),IFERROR(MAX(0,CI547-AN187),0),0)</f>
        <v>0</v>
      </c>
      <c r="CM547">
        <f>IF(ISNUMBER(CJ547),IFERROR(MAX(0,AO187-CJ547),0),0)</f>
        <v>0</v>
      </c>
      <c r="CN547">
        <f>IF(ISNUMBER(CJ547),IFERROR(MAX(0,CJ547-AO187),0),0)</f>
        <v>0</v>
      </c>
      <c r="CP547" t="e">
        <f>BT187</f>
        <v>#N/A</v>
      </c>
      <c r="CQ547" t="e">
        <f>BU187</f>
        <v>#N/A</v>
      </c>
      <c r="CR547">
        <f>IF(ISNUMBER(CP547),IFERROR(MAX(0,BV187-CP547),0),0)</f>
        <v>0</v>
      </c>
      <c r="CS547">
        <f>IF(ISNUMBER(CP547),IFERROR(MAX(0,CP547-BV187),0),0)</f>
        <v>0</v>
      </c>
      <c r="CT547">
        <f>IF(ISNUMBER(CQ547),IFERROR(MAX(0,BW187-CQ547),0),0)</f>
        <v>0</v>
      </c>
      <c r="CU547">
        <f>IF(ISNUMBER(CQ547),IFERROR(MAX(0,CQ547-BW187),0),0)</f>
        <v>0</v>
      </c>
    </row>
    <row r="548" spans="87:99" x14ac:dyDescent="0.3">
      <c r="CI548" t="e">
        <f>AP187</f>
        <v>#N/A</v>
      </c>
      <c r="CJ548" t="e">
        <f>AQ187</f>
        <v>#N/A</v>
      </c>
      <c r="CK548">
        <f>IF(ISNUMBER(CI548),IFERROR(MAX(0,AR187-CI548),0),0)</f>
        <v>0</v>
      </c>
      <c r="CL548">
        <f>IF(ISNUMBER(CI548),IFERROR(MAX(0,CI548-AR187),0),0)</f>
        <v>0</v>
      </c>
      <c r="CM548">
        <f>IF(ISNUMBER(CJ548),IFERROR(MAX(0,AS187-CJ548),0),0)</f>
        <v>0</v>
      </c>
      <c r="CN548">
        <f>IF(ISNUMBER(CJ548),IFERROR(MAX(0,CJ548-AS187),0),0)</f>
        <v>0</v>
      </c>
      <c r="CP548" t="e">
        <f>BX187</f>
        <v>#N/A</v>
      </c>
      <c r="CQ548" t="e">
        <f>BY187</f>
        <v>#N/A</v>
      </c>
      <c r="CR548">
        <f>IF(ISNUMBER(CP548),IFERROR(MAX(0,BZ187-CP548),0),0)</f>
        <v>0</v>
      </c>
      <c r="CS548">
        <f>IF(ISNUMBER(CP548),IFERROR(MAX(0,CP548-BZ187),0),0)</f>
        <v>0</v>
      </c>
      <c r="CT548">
        <f>IF(ISNUMBER(CQ548),IFERROR(MAX(0,CA187-CQ548),0),0)</f>
        <v>0</v>
      </c>
      <c r="CU548">
        <f>IF(ISNUMBER(CQ548),IFERROR(MAX(0,CQ548-CA187),0),0)</f>
        <v>0</v>
      </c>
    </row>
    <row r="549" spans="87:99" x14ac:dyDescent="0.3">
      <c r="CI549" t="e">
        <f>AT187</f>
        <v>#N/A</v>
      </c>
      <c r="CJ549" t="e">
        <f>AU187</f>
        <v>#N/A</v>
      </c>
      <c r="CK549">
        <f>IF(ISNUMBER(CI549),IFERROR(MAX(0,AV187-CI549),0),0)</f>
        <v>0</v>
      </c>
      <c r="CL549">
        <f>IF(ISNUMBER(CI549),IFERROR(MAX(0,CI549-AV187),0),0)</f>
        <v>0</v>
      </c>
      <c r="CM549">
        <f>IF(ISNUMBER(CJ549),IFERROR(MAX(0,AW187-CJ549),0),0)</f>
        <v>0</v>
      </c>
      <c r="CN549">
        <f>IF(ISNUMBER(CJ549),IFERROR(MAX(0,CJ549-AW187),0),0)</f>
        <v>0</v>
      </c>
      <c r="CP549" t="e">
        <f>CB187</f>
        <v>#N/A</v>
      </c>
      <c r="CQ549" t="e">
        <f>CC187</f>
        <v>#N/A</v>
      </c>
      <c r="CR549">
        <f>IF(ISNUMBER(CP549),IFERROR(MAX(0,CD187-CP549),0),0)</f>
        <v>0</v>
      </c>
      <c r="CS549">
        <f>IF(ISNUMBER(CP549),IFERROR(MAX(0,CP549-CD187),0),0)</f>
        <v>0</v>
      </c>
      <c r="CT549">
        <f>IF(ISNUMBER(CQ549),IFERROR(MAX(0,CE187-CQ549),0),0)</f>
        <v>0</v>
      </c>
      <c r="CU549">
        <f>IF(ISNUMBER(CQ549),IFERROR(MAX(0,CQ549-CE187),0),0)</f>
        <v>0</v>
      </c>
    </row>
    <row r="550" spans="87:99" x14ac:dyDescent="0.3">
      <c r="CI550" t="e">
        <f>AL188</f>
        <v>#N/A</v>
      </c>
      <c r="CJ550" t="e">
        <f>AM188</f>
        <v>#N/A</v>
      </c>
      <c r="CK550">
        <f>IF(ISNUMBER(CI550),IFERROR(MAX(0,AN188-CI550),0),0)</f>
        <v>0</v>
      </c>
      <c r="CL550">
        <f>IF(ISNUMBER(CI550),IFERROR(MAX(0,CI550-AN188),0),0)</f>
        <v>0</v>
      </c>
      <c r="CM550">
        <f>IF(ISNUMBER(CJ550),IFERROR(MAX(0,AO188-CJ550),0),0)</f>
        <v>0</v>
      </c>
      <c r="CN550">
        <f>IF(ISNUMBER(CJ550),IFERROR(MAX(0,CJ550-AO188),0),0)</f>
        <v>0</v>
      </c>
      <c r="CP550" t="e">
        <f>BT188</f>
        <v>#N/A</v>
      </c>
      <c r="CQ550" t="e">
        <f>BU188</f>
        <v>#N/A</v>
      </c>
      <c r="CR550">
        <f>IF(ISNUMBER(CP550),IFERROR(MAX(0,BV188-CP550),0),0)</f>
        <v>0</v>
      </c>
      <c r="CS550">
        <f>IF(ISNUMBER(CP550),IFERROR(MAX(0,CP550-BV188),0),0)</f>
        <v>0</v>
      </c>
      <c r="CT550">
        <f>IF(ISNUMBER(CQ550),IFERROR(MAX(0,BW188-CQ550),0),0)</f>
        <v>0</v>
      </c>
      <c r="CU550">
        <f>IF(ISNUMBER(CQ550),IFERROR(MAX(0,CQ550-BW188),0),0)</f>
        <v>0</v>
      </c>
    </row>
    <row r="551" spans="87:99" x14ac:dyDescent="0.3">
      <c r="CI551" t="e">
        <f>AP188</f>
        <v>#N/A</v>
      </c>
      <c r="CJ551" t="e">
        <f>AQ188</f>
        <v>#N/A</v>
      </c>
      <c r="CK551">
        <f>IF(ISNUMBER(CI551),IFERROR(MAX(0,AR188-CI551),0),0)</f>
        <v>0</v>
      </c>
      <c r="CL551">
        <f>IF(ISNUMBER(CI551),IFERROR(MAX(0,CI551-AR188),0),0)</f>
        <v>0</v>
      </c>
      <c r="CM551">
        <f>IF(ISNUMBER(CJ551),IFERROR(MAX(0,AS188-CJ551),0),0)</f>
        <v>0</v>
      </c>
      <c r="CN551">
        <f>IF(ISNUMBER(CJ551),IFERROR(MAX(0,CJ551-AS188),0),0)</f>
        <v>0</v>
      </c>
      <c r="CP551" t="e">
        <f>BX188</f>
        <v>#N/A</v>
      </c>
      <c r="CQ551" t="e">
        <f>BY188</f>
        <v>#N/A</v>
      </c>
      <c r="CR551">
        <f>IF(ISNUMBER(CP551),IFERROR(MAX(0,BZ188-CP551),0),0)</f>
        <v>0</v>
      </c>
      <c r="CS551">
        <f>IF(ISNUMBER(CP551),IFERROR(MAX(0,CP551-BZ188),0),0)</f>
        <v>0</v>
      </c>
      <c r="CT551">
        <f>IF(ISNUMBER(CQ551),IFERROR(MAX(0,CA188-CQ551),0),0)</f>
        <v>0</v>
      </c>
      <c r="CU551">
        <f>IF(ISNUMBER(CQ551),IFERROR(MAX(0,CQ551-CA188),0),0)</f>
        <v>0</v>
      </c>
    </row>
    <row r="552" spans="87:99" x14ac:dyDescent="0.3">
      <c r="CI552" t="e">
        <f>AT188</f>
        <v>#N/A</v>
      </c>
      <c r="CJ552" t="e">
        <f>AU188</f>
        <v>#N/A</v>
      </c>
      <c r="CK552">
        <f>IF(ISNUMBER(CI552),IFERROR(MAX(0,AV188-CI552),0),0)</f>
        <v>0</v>
      </c>
      <c r="CL552">
        <f>IF(ISNUMBER(CI552),IFERROR(MAX(0,CI552-AV188),0),0)</f>
        <v>0</v>
      </c>
      <c r="CM552">
        <f>IF(ISNUMBER(CJ552),IFERROR(MAX(0,AW188-CJ552),0),0)</f>
        <v>0</v>
      </c>
      <c r="CN552">
        <f>IF(ISNUMBER(CJ552),IFERROR(MAX(0,CJ552-AW188),0),0)</f>
        <v>0</v>
      </c>
      <c r="CP552" t="e">
        <f>CB188</f>
        <v>#N/A</v>
      </c>
      <c r="CQ552" t="e">
        <f>CC188</f>
        <v>#N/A</v>
      </c>
      <c r="CR552">
        <f>IF(ISNUMBER(CP552),IFERROR(MAX(0,CD188-CP552),0),0)</f>
        <v>0</v>
      </c>
      <c r="CS552">
        <f>IF(ISNUMBER(CP552),IFERROR(MAX(0,CP552-CD188),0),0)</f>
        <v>0</v>
      </c>
      <c r="CT552">
        <f>IF(ISNUMBER(CQ552),IFERROR(MAX(0,CE188-CQ552),0),0)</f>
        <v>0</v>
      </c>
      <c r="CU552">
        <f>IF(ISNUMBER(CQ552),IFERROR(MAX(0,CQ552-CE188),0),0)</f>
        <v>0</v>
      </c>
    </row>
    <row r="553" spans="87:99" x14ac:dyDescent="0.3">
      <c r="CI553" t="e">
        <f>AL189</f>
        <v>#N/A</v>
      </c>
      <c r="CJ553" t="e">
        <f>AM189</f>
        <v>#N/A</v>
      </c>
      <c r="CK553">
        <f>IF(ISNUMBER(CI553),IFERROR(MAX(0,AN189-CI553),0),0)</f>
        <v>0</v>
      </c>
      <c r="CL553">
        <f>IF(ISNUMBER(CI553),IFERROR(MAX(0,CI553-AN189),0),0)</f>
        <v>0</v>
      </c>
      <c r="CM553">
        <f>IF(ISNUMBER(CJ553),IFERROR(MAX(0,AO189-CJ553),0),0)</f>
        <v>0</v>
      </c>
      <c r="CN553">
        <f>IF(ISNUMBER(CJ553),IFERROR(MAX(0,CJ553-AO189),0),0)</f>
        <v>0</v>
      </c>
      <c r="CP553" t="e">
        <f>BT189</f>
        <v>#N/A</v>
      </c>
      <c r="CQ553" t="e">
        <f>BU189</f>
        <v>#N/A</v>
      </c>
      <c r="CR553">
        <f>IF(ISNUMBER(CP553),IFERROR(MAX(0,BV189-CP553),0),0)</f>
        <v>0</v>
      </c>
      <c r="CS553">
        <f>IF(ISNUMBER(CP553),IFERROR(MAX(0,CP553-BV189),0),0)</f>
        <v>0</v>
      </c>
      <c r="CT553">
        <f>IF(ISNUMBER(CQ553),IFERROR(MAX(0,BW189-CQ553),0),0)</f>
        <v>0</v>
      </c>
      <c r="CU553">
        <f>IF(ISNUMBER(CQ553),IFERROR(MAX(0,CQ553-BW189),0),0)</f>
        <v>0</v>
      </c>
    </row>
    <row r="554" spans="87:99" x14ac:dyDescent="0.3">
      <c r="CI554" t="e">
        <f>AP189</f>
        <v>#N/A</v>
      </c>
      <c r="CJ554" t="e">
        <f>AQ189</f>
        <v>#N/A</v>
      </c>
      <c r="CK554">
        <f>IF(ISNUMBER(CI554),IFERROR(MAX(0,AR189-CI554),0),0)</f>
        <v>0</v>
      </c>
      <c r="CL554">
        <f>IF(ISNUMBER(CI554),IFERROR(MAX(0,CI554-AR189),0),0)</f>
        <v>0</v>
      </c>
      <c r="CM554">
        <f>IF(ISNUMBER(CJ554),IFERROR(MAX(0,AS189-CJ554),0),0)</f>
        <v>0</v>
      </c>
      <c r="CN554">
        <f>IF(ISNUMBER(CJ554),IFERROR(MAX(0,CJ554-AS189),0),0)</f>
        <v>0</v>
      </c>
      <c r="CP554" t="e">
        <f>BX189</f>
        <v>#N/A</v>
      </c>
      <c r="CQ554" t="e">
        <f>BY189</f>
        <v>#N/A</v>
      </c>
      <c r="CR554">
        <f>IF(ISNUMBER(CP554),IFERROR(MAX(0,BZ189-CP554),0),0)</f>
        <v>0</v>
      </c>
      <c r="CS554">
        <f>IF(ISNUMBER(CP554),IFERROR(MAX(0,CP554-BZ189),0),0)</f>
        <v>0</v>
      </c>
      <c r="CT554">
        <f>IF(ISNUMBER(CQ554),IFERROR(MAX(0,CA189-CQ554),0),0)</f>
        <v>0</v>
      </c>
      <c r="CU554">
        <f>IF(ISNUMBER(CQ554),IFERROR(MAX(0,CQ554-CA189),0),0)</f>
        <v>0</v>
      </c>
    </row>
    <row r="555" spans="87:99" x14ac:dyDescent="0.3">
      <c r="CI555" t="e">
        <f>AT189</f>
        <v>#N/A</v>
      </c>
      <c r="CJ555" t="e">
        <f>AU189</f>
        <v>#N/A</v>
      </c>
      <c r="CK555">
        <f>IF(ISNUMBER(CI555),IFERROR(MAX(0,AV189-CI555),0),0)</f>
        <v>0</v>
      </c>
      <c r="CL555">
        <f>IF(ISNUMBER(CI555),IFERROR(MAX(0,CI555-AV189),0),0)</f>
        <v>0</v>
      </c>
      <c r="CM555">
        <f>IF(ISNUMBER(CJ555),IFERROR(MAX(0,AW189-CJ555),0),0)</f>
        <v>0</v>
      </c>
      <c r="CN555">
        <f>IF(ISNUMBER(CJ555),IFERROR(MAX(0,CJ555-AW189),0),0)</f>
        <v>0</v>
      </c>
      <c r="CP555" t="e">
        <f>CB189</f>
        <v>#N/A</v>
      </c>
      <c r="CQ555" t="e">
        <f>CC189</f>
        <v>#N/A</v>
      </c>
      <c r="CR555">
        <f>IF(ISNUMBER(CP555),IFERROR(MAX(0,CD189-CP555),0),0)</f>
        <v>0</v>
      </c>
      <c r="CS555">
        <f>IF(ISNUMBER(CP555),IFERROR(MAX(0,CP555-CD189),0),0)</f>
        <v>0</v>
      </c>
      <c r="CT555">
        <f>IF(ISNUMBER(CQ555),IFERROR(MAX(0,CE189-CQ555),0),0)</f>
        <v>0</v>
      </c>
      <c r="CU555">
        <f>IF(ISNUMBER(CQ555),IFERROR(MAX(0,CQ555-CE189),0),0)</f>
        <v>0</v>
      </c>
    </row>
    <row r="556" spans="87:99" x14ac:dyDescent="0.3">
      <c r="CI556" t="e">
        <f>AL190</f>
        <v>#N/A</v>
      </c>
      <c r="CJ556" t="e">
        <f>AM190</f>
        <v>#N/A</v>
      </c>
      <c r="CK556">
        <f>IF(ISNUMBER(CI556),IFERROR(MAX(0,AN190-CI556),0),0)</f>
        <v>0</v>
      </c>
      <c r="CL556">
        <f>IF(ISNUMBER(CI556),IFERROR(MAX(0,CI556-AN190),0),0)</f>
        <v>0</v>
      </c>
      <c r="CM556">
        <f>IF(ISNUMBER(CJ556),IFERROR(MAX(0,AO190-CJ556),0),0)</f>
        <v>0</v>
      </c>
      <c r="CN556">
        <f>IF(ISNUMBER(CJ556),IFERROR(MAX(0,CJ556-AO190),0),0)</f>
        <v>0</v>
      </c>
      <c r="CP556" t="e">
        <f>BT190</f>
        <v>#N/A</v>
      </c>
      <c r="CQ556" t="e">
        <f>BU190</f>
        <v>#N/A</v>
      </c>
      <c r="CR556">
        <f>IF(ISNUMBER(CP556),IFERROR(MAX(0,BV190-CP556),0),0)</f>
        <v>0</v>
      </c>
      <c r="CS556">
        <f>IF(ISNUMBER(CP556),IFERROR(MAX(0,CP556-BV190),0),0)</f>
        <v>0</v>
      </c>
      <c r="CT556">
        <f>IF(ISNUMBER(CQ556),IFERROR(MAX(0,BW190-CQ556),0),0)</f>
        <v>0</v>
      </c>
      <c r="CU556">
        <f>IF(ISNUMBER(CQ556),IFERROR(MAX(0,CQ556-BW190),0),0)</f>
        <v>0</v>
      </c>
    </row>
    <row r="557" spans="87:99" x14ac:dyDescent="0.3">
      <c r="CI557" t="e">
        <f>AP190</f>
        <v>#N/A</v>
      </c>
      <c r="CJ557" t="e">
        <f>AQ190</f>
        <v>#N/A</v>
      </c>
      <c r="CK557">
        <f>IF(ISNUMBER(CI557),IFERROR(MAX(0,AR190-CI557),0),0)</f>
        <v>0</v>
      </c>
      <c r="CL557">
        <f>IF(ISNUMBER(CI557),IFERROR(MAX(0,CI557-AR190),0),0)</f>
        <v>0</v>
      </c>
      <c r="CM557">
        <f>IF(ISNUMBER(CJ557),IFERROR(MAX(0,AS190-CJ557),0),0)</f>
        <v>0</v>
      </c>
      <c r="CN557">
        <f>IF(ISNUMBER(CJ557),IFERROR(MAX(0,CJ557-AS190),0),0)</f>
        <v>0</v>
      </c>
      <c r="CP557" t="e">
        <f>BX190</f>
        <v>#N/A</v>
      </c>
      <c r="CQ557" t="e">
        <f>BY190</f>
        <v>#N/A</v>
      </c>
      <c r="CR557">
        <f>IF(ISNUMBER(CP557),IFERROR(MAX(0,BZ190-CP557),0),0)</f>
        <v>0</v>
      </c>
      <c r="CS557">
        <f>IF(ISNUMBER(CP557),IFERROR(MAX(0,CP557-BZ190),0),0)</f>
        <v>0</v>
      </c>
      <c r="CT557">
        <f>IF(ISNUMBER(CQ557),IFERROR(MAX(0,CA190-CQ557),0),0)</f>
        <v>0</v>
      </c>
      <c r="CU557">
        <f>IF(ISNUMBER(CQ557),IFERROR(MAX(0,CQ557-CA190),0),0)</f>
        <v>0</v>
      </c>
    </row>
    <row r="558" spans="87:99" x14ac:dyDescent="0.3">
      <c r="CI558" t="e">
        <f>AT190</f>
        <v>#N/A</v>
      </c>
      <c r="CJ558" t="e">
        <f>AU190</f>
        <v>#N/A</v>
      </c>
      <c r="CK558">
        <f>IF(ISNUMBER(CI558),IFERROR(MAX(0,AV190-CI558),0),0)</f>
        <v>0</v>
      </c>
      <c r="CL558">
        <f>IF(ISNUMBER(CI558),IFERROR(MAX(0,CI558-AV190),0),0)</f>
        <v>0</v>
      </c>
      <c r="CM558">
        <f>IF(ISNUMBER(CJ558),IFERROR(MAX(0,AW190-CJ558),0),0)</f>
        <v>0</v>
      </c>
      <c r="CN558">
        <f>IF(ISNUMBER(CJ558),IFERROR(MAX(0,CJ558-AW190),0),0)</f>
        <v>0</v>
      </c>
      <c r="CP558" t="e">
        <f>CB190</f>
        <v>#N/A</v>
      </c>
      <c r="CQ558" t="e">
        <f>CC190</f>
        <v>#N/A</v>
      </c>
      <c r="CR558">
        <f>IF(ISNUMBER(CP558),IFERROR(MAX(0,CD190-CP558),0),0)</f>
        <v>0</v>
      </c>
      <c r="CS558">
        <f>IF(ISNUMBER(CP558),IFERROR(MAX(0,CP558-CD190),0),0)</f>
        <v>0</v>
      </c>
      <c r="CT558">
        <f>IF(ISNUMBER(CQ558),IFERROR(MAX(0,CE190-CQ558),0),0)</f>
        <v>0</v>
      </c>
      <c r="CU558">
        <f>IF(ISNUMBER(CQ558),IFERROR(MAX(0,CQ558-CE190),0),0)</f>
        <v>0</v>
      </c>
    </row>
    <row r="559" spans="87:99" x14ac:dyDescent="0.3">
      <c r="CI559" t="e">
        <f>AL191</f>
        <v>#N/A</v>
      </c>
      <c r="CJ559" t="e">
        <f>AM191</f>
        <v>#N/A</v>
      </c>
      <c r="CK559">
        <f>IF(ISNUMBER(CI559),IFERROR(MAX(0,AN191-CI559),0),0)</f>
        <v>0</v>
      </c>
      <c r="CL559">
        <f>IF(ISNUMBER(CI559),IFERROR(MAX(0,CI559-AN191),0),0)</f>
        <v>0</v>
      </c>
      <c r="CM559">
        <f>IF(ISNUMBER(CJ559),IFERROR(MAX(0,AO191-CJ559),0),0)</f>
        <v>0</v>
      </c>
      <c r="CN559">
        <f>IF(ISNUMBER(CJ559),IFERROR(MAX(0,CJ559-AO191),0),0)</f>
        <v>0</v>
      </c>
      <c r="CP559" t="e">
        <f>BT191</f>
        <v>#N/A</v>
      </c>
      <c r="CQ559" t="e">
        <f>BU191</f>
        <v>#N/A</v>
      </c>
      <c r="CR559">
        <f>IF(ISNUMBER(CP559),IFERROR(MAX(0,BV191-CP559),0),0)</f>
        <v>0</v>
      </c>
      <c r="CS559">
        <f>IF(ISNUMBER(CP559),IFERROR(MAX(0,CP559-BV191),0),0)</f>
        <v>0</v>
      </c>
      <c r="CT559">
        <f>IF(ISNUMBER(CQ559),IFERROR(MAX(0,BW191-CQ559),0),0)</f>
        <v>0</v>
      </c>
      <c r="CU559">
        <f>IF(ISNUMBER(CQ559),IFERROR(MAX(0,CQ559-BW191),0),0)</f>
        <v>0</v>
      </c>
    </row>
    <row r="560" spans="87:99" x14ac:dyDescent="0.3">
      <c r="CI560" t="e">
        <f>AP191</f>
        <v>#N/A</v>
      </c>
      <c r="CJ560" t="e">
        <f>AQ191</f>
        <v>#N/A</v>
      </c>
      <c r="CK560">
        <f>IF(ISNUMBER(CI560),IFERROR(MAX(0,AR191-CI560),0),0)</f>
        <v>0</v>
      </c>
      <c r="CL560">
        <f>IF(ISNUMBER(CI560),IFERROR(MAX(0,CI560-AR191),0),0)</f>
        <v>0</v>
      </c>
      <c r="CM560">
        <f>IF(ISNUMBER(CJ560),IFERROR(MAX(0,AS191-CJ560),0),0)</f>
        <v>0</v>
      </c>
      <c r="CN560">
        <f>IF(ISNUMBER(CJ560),IFERROR(MAX(0,CJ560-AS191),0),0)</f>
        <v>0</v>
      </c>
      <c r="CP560" t="e">
        <f>BX191</f>
        <v>#N/A</v>
      </c>
      <c r="CQ560" t="e">
        <f>BY191</f>
        <v>#N/A</v>
      </c>
      <c r="CR560">
        <f>IF(ISNUMBER(CP560),IFERROR(MAX(0,BZ191-CP560),0),0)</f>
        <v>0</v>
      </c>
      <c r="CS560">
        <f>IF(ISNUMBER(CP560),IFERROR(MAX(0,CP560-BZ191),0),0)</f>
        <v>0</v>
      </c>
      <c r="CT560">
        <f>IF(ISNUMBER(CQ560),IFERROR(MAX(0,CA191-CQ560),0),0)</f>
        <v>0</v>
      </c>
      <c r="CU560">
        <f>IF(ISNUMBER(CQ560),IFERROR(MAX(0,CQ560-CA191),0),0)</f>
        <v>0</v>
      </c>
    </row>
    <row r="561" spans="87:99" x14ac:dyDescent="0.3">
      <c r="CI561" t="e">
        <f>AT191</f>
        <v>#N/A</v>
      </c>
      <c r="CJ561" t="e">
        <f>AU191</f>
        <v>#N/A</v>
      </c>
      <c r="CK561">
        <f>IF(ISNUMBER(CI561),IFERROR(MAX(0,AV191-CI561),0),0)</f>
        <v>0</v>
      </c>
      <c r="CL561">
        <f>IF(ISNUMBER(CI561),IFERROR(MAX(0,CI561-AV191),0),0)</f>
        <v>0</v>
      </c>
      <c r="CM561">
        <f>IF(ISNUMBER(CJ561),IFERROR(MAX(0,AW191-CJ561),0),0)</f>
        <v>0</v>
      </c>
      <c r="CN561">
        <f>IF(ISNUMBER(CJ561),IFERROR(MAX(0,CJ561-AW191),0),0)</f>
        <v>0</v>
      </c>
      <c r="CP561" t="e">
        <f>CB191</f>
        <v>#N/A</v>
      </c>
      <c r="CQ561" t="e">
        <f>CC191</f>
        <v>#N/A</v>
      </c>
      <c r="CR561">
        <f>IF(ISNUMBER(CP561),IFERROR(MAX(0,CD191-CP561),0),0)</f>
        <v>0</v>
      </c>
      <c r="CS561">
        <f>IF(ISNUMBER(CP561),IFERROR(MAX(0,CP561-CD191),0),0)</f>
        <v>0</v>
      </c>
      <c r="CT561">
        <f>IF(ISNUMBER(CQ561),IFERROR(MAX(0,CE191-CQ561),0),0)</f>
        <v>0</v>
      </c>
      <c r="CU561">
        <f>IF(ISNUMBER(CQ561),IFERROR(MAX(0,CQ561-CE191),0),0)</f>
        <v>0</v>
      </c>
    </row>
    <row r="562" spans="87:99" x14ac:dyDescent="0.3">
      <c r="CI562" t="e">
        <f>AL192</f>
        <v>#N/A</v>
      </c>
      <c r="CJ562" t="e">
        <f>AM192</f>
        <v>#N/A</v>
      </c>
      <c r="CK562">
        <f>IF(ISNUMBER(CI562),IFERROR(MAX(0,AN192-CI562),0),0)</f>
        <v>0</v>
      </c>
      <c r="CL562">
        <f>IF(ISNUMBER(CI562),IFERROR(MAX(0,CI562-AN192),0),0)</f>
        <v>0</v>
      </c>
      <c r="CM562">
        <f>IF(ISNUMBER(CJ562),IFERROR(MAX(0,AO192-CJ562),0),0)</f>
        <v>0</v>
      </c>
      <c r="CN562">
        <f>IF(ISNUMBER(CJ562),IFERROR(MAX(0,CJ562-AO192),0),0)</f>
        <v>0</v>
      </c>
      <c r="CP562" t="e">
        <f>BT192</f>
        <v>#N/A</v>
      </c>
      <c r="CQ562" t="e">
        <f>BU192</f>
        <v>#N/A</v>
      </c>
      <c r="CR562">
        <f>IF(ISNUMBER(CP562),IFERROR(MAX(0,BV192-CP562),0),0)</f>
        <v>0</v>
      </c>
      <c r="CS562">
        <f>IF(ISNUMBER(CP562),IFERROR(MAX(0,CP562-BV192),0),0)</f>
        <v>0</v>
      </c>
      <c r="CT562">
        <f>IF(ISNUMBER(CQ562),IFERROR(MAX(0,BW192-CQ562),0),0)</f>
        <v>0</v>
      </c>
      <c r="CU562">
        <f>IF(ISNUMBER(CQ562),IFERROR(MAX(0,CQ562-BW192),0),0)</f>
        <v>0</v>
      </c>
    </row>
    <row r="563" spans="87:99" x14ac:dyDescent="0.3">
      <c r="CI563" t="e">
        <f>AP192</f>
        <v>#N/A</v>
      </c>
      <c r="CJ563" t="e">
        <f>AQ192</f>
        <v>#N/A</v>
      </c>
      <c r="CK563">
        <f>IF(ISNUMBER(CI563),IFERROR(MAX(0,AR192-CI563),0),0)</f>
        <v>0</v>
      </c>
      <c r="CL563">
        <f>IF(ISNUMBER(CI563),IFERROR(MAX(0,CI563-AR192),0),0)</f>
        <v>0</v>
      </c>
      <c r="CM563">
        <f>IF(ISNUMBER(CJ563),IFERROR(MAX(0,AS192-CJ563),0),0)</f>
        <v>0</v>
      </c>
      <c r="CN563">
        <f>IF(ISNUMBER(CJ563),IFERROR(MAX(0,CJ563-AS192),0),0)</f>
        <v>0</v>
      </c>
      <c r="CP563" t="e">
        <f>BX192</f>
        <v>#N/A</v>
      </c>
      <c r="CQ563" t="e">
        <f>BY192</f>
        <v>#N/A</v>
      </c>
      <c r="CR563">
        <f>IF(ISNUMBER(CP563),IFERROR(MAX(0,BZ192-CP563),0),0)</f>
        <v>0</v>
      </c>
      <c r="CS563">
        <f>IF(ISNUMBER(CP563),IFERROR(MAX(0,CP563-BZ192),0),0)</f>
        <v>0</v>
      </c>
      <c r="CT563">
        <f>IF(ISNUMBER(CQ563),IFERROR(MAX(0,CA192-CQ563),0),0)</f>
        <v>0</v>
      </c>
      <c r="CU563">
        <f>IF(ISNUMBER(CQ563),IFERROR(MAX(0,CQ563-CA192),0),0)</f>
        <v>0</v>
      </c>
    </row>
    <row r="564" spans="87:99" x14ac:dyDescent="0.3">
      <c r="CI564" t="e">
        <f>AT192</f>
        <v>#N/A</v>
      </c>
      <c r="CJ564" t="e">
        <f>AU192</f>
        <v>#N/A</v>
      </c>
      <c r="CK564">
        <f>IF(ISNUMBER(CI564),IFERROR(MAX(0,AV192-CI564),0),0)</f>
        <v>0</v>
      </c>
      <c r="CL564">
        <f>IF(ISNUMBER(CI564),IFERROR(MAX(0,CI564-AV192),0),0)</f>
        <v>0</v>
      </c>
      <c r="CM564">
        <f>IF(ISNUMBER(CJ564),IFERROR(MAX(0,AW192-CJ564),0),0)</f>
        <v>0</v>
      </c>
      <c r="CN564">
        <f>IF(ISNUMBER(CJ564),IFERROR(MAX(0,CJ564-AW192),0),0)</f>
        <v>0</v>
      </c>
      <c r="CP564" t="e">
        <f>CB192</f>
        <v>#N/A</v>
      </c>
      <c r="CQ564" t="e">
        <f>CC192</f>
        <v>#N/A</v>
      </c>
      <c r="CR564">
        <f>IF(ISNUMBER(CP564),IFERROR(MAX(0,CD192-CP564),0),0)</f>
        <v>0</v>
      </c>
      <c r="CS564">
        <f>IF(ISNUMBER(CP564),IFERROR(MAX(0,CP564-CD192),0),0)</f>
        <v>0</v>
      </c>
      <c r="CT564">
        <f>IF(ISNUMBER(CQ564),IFERROR(MAX(0,CE192-CQ564),0),0)</f>
        <v>0</v>
      </c>
      <c r="CU564">
        <f>IF(ISNUMBER(CQ564),IFERROR(MAX(0,CQ564-CE192),0),0)</f>
        <v>0</v>
      </c>
    </row>
    <row r="565" spans="87:99" x14ac:dyDescent="0.3">
      <c r="CI565" t="e">
        <f>AL193</f>
        <v>#N/A</v>
      </c>
      <c r="CJ565" t="e">
        <f>AM193</f>
        <v>#N/A</v>
      </c>
      <c r="CK565">
        <f>IF(ISNUMBER(CI565),IFERROR(MAX(0,AN193-CI565),0),0)</f>
        <v>0</v>
      </c>
      <c r="CL565">
        <f>IF(ISNUMBER(CI565),IFERROR(MAX(0,CI565-AN193),0),0)</f>
        <v>0</v>
      </c>
      <c r="CM565">
        <f>IF(ISNUMBER(CJ565),IFERROR(MAX(0,AO193-CJ565),0),0)</f>
        <v>0</v>
      </c>
      <c r="CN565">
        <f>IF(ISNUMBER(CJ565),IFERROR(MAX(0,CJ565-AO193),0),0)</f>
        <v>0</v>
      </c>
      <c r="CP565" t="e">
        <f>BT193</f>
        <v>#N/A</v>
      </c>
      <c r="CQ565" t="e">
        <f>BU193</f>
        <v>#N/A</v>
      </c>
      <c r="CR565">
        <f>IF(ISNUMBER(CP565),IFERROR(MAX(0,BV193-CP565),0),0)</f>
        <v>0</v>
      </c>
      <c r="CS565">
        <f>IF(ISNUMBER(CP565),IFERROR(MAX(0,CP565-BV193),0),0)</f>
        <v>0</v>
      </c>
      <c r="CT565">
        <f>IF(ISNUMBER(CQ565),IFERROR(MAX(0,BW193-CQ565),0),0)</f>
        <v>0</v>
      </c>
      <c r="CU565">
        <f>IF(ISNUMBER(CQ565),IFERROR(MAX(0,CQ565-BW193),0),0)</f>
        <v>0</v>
      </c>
    </row>
    <row r="566" spans="87:99" x14ac:dyDescent="0.3">
      <c r="CI566" t="e">
        <f>AP193</f>
        <v>#N/A</v>
      </c>
      <c r="CJ566" t="e">
        <f>AQ193</f>
        <v>#N/A</v>
      </c>
      <c r="CK566">
        <f>IF(ISNUMBER(CI566),IFERROR(MAX(0,AR193-CI566),0),0)</f>
        <v>0</v>
      </c>
      <c r="CL566">
        <f>IF(ISNUMBER(CI566),IFERROR(MAX(0,CI566-AR193),0),0)</f>
        <v>0</v>
      </c>
      <c r="CM566">
        <f>IF(ISNUMBER(CJ566),IFERROR(MAX(0,AS193-CJ566),0),0)</f>
        <v>0</v>
      </c>
      <c r="CN566">
        <f>IF(ISNUMBER(CJ566),IFERROR(MAX(0,CJ566-AS193),0),0)</f>
        <v>0</v>
      </c>
      <c r="CP566" t="e">
        <f>BX193</f>
        <v>#N/A</v>
      </c>
      <c r="CQ566" t="e">
        <f>BY193</f>
        <v>#N/A</v>
      </c>
      <c r="CR566">
        <f>IF(ISNUMBER(CP566),IFERROR(MAX(0,BZ193-CP566),0),0)</f>
        <v>0</v>
      </c>
      <c r="CS566">
        <f>IF(ISNUMBER(CP566),IFERROR(MAX(0,CP566-BZ193),0),0)</f>
        <v>0</v>
      </c>
      <c r="CT566">
        <f>IF(ISNUMBER(CQ566),IFERROR(MAX(0,CA193-CQ566),0),0)</f>
        <v>0</v>
      </c>
      <c r="CU566">
        <f>IF(ISNUMBER(CQ566),IFERROR(MAX(0,CQ566-CA193),0),0)</f>
        <v>0</v>
      </c>
    </row>
    <row r="567" spans="87:99" x14ac:dyDescent="0.3">
      <c r="CI567" t="e">
        <f>AT193</f>
        <v>#N/A</v>
      </c>
      <c r="CJ567" t="e">
        <f>AU193</f>
        <v>#N/A</v>
      </c>
      <c r="CK567">
        <f>IF(ISNUMBER(CI567),IFERROR(MAX(0,AV193-CI567),0),0)</f>
        <v>0</v>
      </c>
      <c r="CL567">
        <f>IF(ISNUMBER(CI567),IFERROR(MAX(0,CI567-AV193),0),0)</f>
        <v>0</v>
      </c>
      <c r="CM567">
        <f>IF(ISNUMBER(CJ567),IFERROR(MAX(0,AW193-CJ567),0),0)</f>
        <v>0</v>
      </c>
      <c r="CN567">
        <f>IF(ISNUMBER(CJ567),IFERROR(MAX(0,CJ567-AW193),0),0)</f>
        <v>0</v>
      </c>
      <c r="CP567" t="e">
        <f>CB193</f>
        <v>#N/A</v>
      </c>
      <c r="CQ567" t="e">
        <f>CC193</f>
        <v>#N/A</v>
      </c>
      <c r="CR567">
        <f>IF(ISNUMBER(CP567),IFERROR(MAX(0,CD193-CP567),0),0)</f>
        <v>0</v>
      </c>
      <c r="CS567">
        <f>IF(ISNUMBER(CP567),IFERROR(MAX(0,CP567-CD193),0),0)</f>
        <v>0</v>
      </c>
      <c r="CT567">
        <f>IF(ISNUMBER(CQ567),IFERROR(MAX(0,CE193-CQ567),0),0)</f>
        <v>0</v>
      </c>
      <c r="CU567">
        <f>IF(ISNUMBER(CQ567),IFERROR(MAX(0,CQ567-CE193),0),0)</f>
        <v>0</v>
      </c>
    </row>
    <row r="568" spans="87:99" x14ac:dyDescent="0.3">
      <c r="CI568" t="e">
        <f>AL194</f>
        <v>#N/A</v>
      </c>
      <c r="CJ568" t="e">
        <f>AM194</f>
        <v>#N/A</v>
      </c>
      <c r="CK568">
        <f>IF(ISNUMBER(CI568),IFERROR(MAX(0,AN194-CI568),0),0)</f>
        <v>0</v>
      </c>
      <c r="CL568">
        <f>IF(ISNUMBER(CI568),IFERROR(MAX(0,CI568-AN194),0),0)</f>
        <v>0</v>
      </c>
      <c r="CM568">
        <f>IF(ISNUMBER(CJ568),IFERROR(MAX(0,AO194-CJ568),0),0)</f>
        <v>0</v>
      </c>
      <c r="CN568">
        <f>IF(ISNUMBER(CJ568),IFERROR(MAX(0,CJ568-AO194),0),0)</f>
        <v>0</v>
      </c>
      <c r="CP568" t="e">
        <f>BT194</f>
        <v>#N/A</v>
      </c>
      <c r="CQ568" t="e">
        <f>BU194</f>
        <v>#N/A</v>
      </c>
      <c r="CR568">
        <f>IF(ISNUMBER(CP568),IFERROR(MAX(0,BV194-CP568),0),0)</f>
        <v>0</v>
      </c>
      <c r="CS568">
        <f>IF(ISNUMBER(CP568),IFERROR(MAX(0,CP568-BV194),0),0)</f>
        <v>0</v>
      </c>
      <c r="CT568">
        <f>IF(ISNUMBER(CQ568),IFERROR(MAX(0,BW194-CQ568),0),0)</f>
        <v>0</v>
      </c>
      <c r="CU568">
        <f>IF(ISNUMBER(CQ568),IFERROR(MAX(0,CQ568-BW194),0),0)</f>
        <v>0</v>
      </c>
    </row>
    <row r="569" spans="87:99" x14ac:dyDescent="0.3">
      <c r="CI569" t="e">
        <f>AP194</f>
        <v>#N/A</v>
      </c>
      <c r="CJ569" t="e">
        <f>AQ194</f>
        <v>#N/A</v>
      </c>
      <c r="CK569">
        <f>IF(ISNUMBER(CI569),IFERROR(MAX(0,AR194-CI569),0),0)</f>
        <v>0</v>
      </c>
      <c r="CL569">
        <f>IF(ISNUMBER(CI569),IFERROR(MAX(0,CI569-AR194),0),0)</f>
        <v>0</v>
      </c>
      <c r="CM569">
        <f>IF(ISNUMBER(CJ569),IFERROR(MAX(0,AS194-CJ569),0),0)</f>
        <v>0</v>
      </c>
      <c r="CN569">
        <f>IF(ISNUMBER(CJ569),IFERROR(MAX(0,CJ569-AS194),0),0)</f>
        <v>0</v>
      </c>
      <c r="CP569" t="e">
        <f>BX194</f>
        <v>#N/A</v>
      </c>
      <c r="CQ569" t="e">
        <f>BY194</f>
        <v>#N/A</v>
      </c>
      <c r="CR569">
        <f>IF(ISNUMBER(CP569),IFERROR(MAX(0,BZ194-CP569),0),0)</f>
        <v>0</v>
      </c>
      <c r="CS569">
        <f>IF(ISNUMBER(CP569),IFERROR(MAX(0,CP569-BZ194),0),0)</f>
        <v>0</v>
      </c>
      <c r="CT569">
        <f>IF(ISNUMBER(CQ569),IFERROR(MAX(0,CA194-CQ569),0),0)</f>
        <v>0</v>
      </c>
      <c r="CU569">
        <f>IF(ISNUMBER(CQ569),IFERROR(MAX(0,CQ569-CA194),0),0)</f>
        <v>0</v>
      </c>
    </row>
    <row r="570" spans="87:99" x14ac:dyDescent="0.3">
      <c r="CI570" t="e">
        <f>AT194</f>
        <v>#N/A</v>
      </c>
      <c r="CJ570" t="e">
        <f>AU194</f>
        <v>#N/A</v>
      </c>
      <c r="CK570">
        <f>IF(ISNUMBER(CI570),IFERROR(MAX(0,AV194-CI570),0),0)</f>
        <v>0</v>
      </c>
      <c r="CL570">
        <f>IF(ISNUMBER(CI570),IFERROR(MAX(0,CI570-AV194),0),0)</f>
        <v>0</v>
      </c>
      <c r="CM570">
        <f>IF(ISNUMBER(CJ570),IFERROR(MAX(0,AW194-CJ570),0),0)</f>
        <v>0</v>
      </c>
      <c r="CN570">
        <f>IF(ISNUMBER(CJ570),IFERROR(MAX(0,CJ570-AW194),0),0)</f>
        <v>0</v>
      </c>
      <c r="CP570" t="e">
        <f>CB194</f>
        <v>#N/A</v>
      </c>
      <c r="CQ570" t="e">
        <f>CC194</f>
        <v>#N/A</v>
      </c>
      <c r="CR570">
        <f>IF(ISNUMBER(CP570),IFERROR(MAX(0,CD194-CP570),0),0)</f>
        <v>0</v>
      </c>
      <c r="CS570">
        <f>IF(ISNUMBER(CP570),IFERROR(MAX(0,CP570-CD194),0),0)</f>
        <v>0</v>
      </c>
      <c r="CT570">
        <f>IF(ISNUMBER(CQ570),IFERROR(MAX(0,CE194-CQ570),0),0)</f>
        <v>0</v>
      </c>
      <c r="CU570">
        <f>IF(ISNUMBER(CQ570),IFERROR(MAX(0,CQ570-CE194),0),0)</f>
        <v>0</v>
      </c>
    </row>
    <row r="571" spans="87:99" x14ac:dyDescent="0.3">
      <c r="CI571" t="e">
        <f>AL195</f>
        <v>#N/A</v>
      </c>
      <c r="CJ571" t="e">
        <f>AM195</f>
        <v>#N/A</v>
      </c>
      <c r="CK571">
        <f>IF(ISNUMBER(CI571),IFERROR(MAX(0,AN195-CI571),0),0)</f>
        <v>0</v>
      </c>
      <c r="CL571">
        <f>IF(ISNUMBER(CI571),IFERROR(MAX(0,CI571-AN195),0),0)</f>
        <v>0</v>
      </c>
      <c r="CM571">
        <f>IF(ISNUMBER(CJ571),IFERROR(MAX(0,AO195-CJ571),0),0)</f>
        <v>0</v>
      </c>
      <c r="CN571">
        <f>IF(ISNUMBER(CJ571),IFERROR(MAX(0,CJ571-AO195),0),0)</f>
        <v>0</v>
      </c>
      <c r="CP571" t="e">
        <f>BT195</f>
        <v>#N/A</v>
      </c>
      <c r="CQ571" t="e">
        <f>BU195</f>
        <v>#N/A</v>
      </c>
      <c r="CR571">
        <f>IF(ISNUMBER(CP571),IFERROR(MAX(0,BV195-CP571),0),0)</f>
        <v>0</v>
      </c>
      <c r="CS571">
        <f>IF(ISNUMBER(CP571),IFERROR(MAX(0,CP571-BV195),0),0)</f>
        <v>0</v>
      </c>
      <c r="CT571">
        <f>IF(ISNUMBER(CQ571),IFERROR(MAX(0,BW195-CQ571),0),0)</f>
        <v>0</v>
      </c>
      <c r="CU571">
        <f>IF(ISNUMBER(CQ571),IFERROR(MAX(0,CQ571-BW195),0),0)</f>
        <v>0</v>
      </c>
    </row>
    <row r="572" spans="87:99" x14ac:dyDescent="0.3">
      <c r="CI572" t="e">
        <f>AP195</f>
        <v>#N/A</v>
      </c>
      <c r="CJ572" t="e">
        <f>AQ195</f>
        <v>#N/A</v>
      </c>
      <c r="CK572">
        <f>IF(ISNUMBER(CI572),IFERROR(MAX(0,AR195-CI572),0),0)</f>
        <v>0</v>
      </c>
      <c r="CL572">
        <f>IF(ISNUMBER(CI572),IFERROR(MAX(0,CI572-AR195),0),0)</f>
        <v>0</v>
      </c>
      <c r="CM572">
        <f>IF(ISNUMBER(CJ572),IFERROR(MAX(0,AS195-CJ572),0),0)</f>
        <v>0</v>
      </c>
      <c r="CN572">
        <f>IF(ISNUMBER(CJ572),IFERROR(MAX(0,CJ572-AS195),0),0)</f>
        <v>0</v>
      </c>
      <c r="CP572" t="e">
        <f>BX195</f>
        <v>#N/A</v>
      </c>
      <c r="CQ572" t="e">
        <f>BY195</f>
        <v>#N/A</v>
      </c>
      <c r="CR572">
        <f>IF(ISNUMBER(CP572),IFERROR(MAX(0,BZ195-CP572),0),0)</f>
        <v>0</v>
      </c>
      <c r="CS572">
        <f>IF(ISNUMBER(CP572),IFERROR(MAX(0,CP572-BZ195),0),0)</f>
        <v>0</v>
      </c>
      <c r="CT572">
        <f>IF(ISNUMBER(CQ572),IFERROR(MAX(0,CA195-CQ572),0),0)</f>
        <v>0</v>
      </c>
      <c r="CU572">
        <f>IF(ISNUMBER(CQ572),IFERROR(MAX(0,CQ572-CA195),0),0)</f>
        <v>0</v>
      </c>
    </row>
    <row r="573" spans="87:99" x14ac:dyDescent="0.3">
      <c r="CI573" t="e">
        <f>AT195</f>
        <v>#N/A</v>
      </c>
      <c r="CJ573" t="e">
        <f>AU195</f>
        <v>#N/A</v>
      </c>
      <c r="CK573">
        <f>IF(ISNUMBER(CI573),IFERROR(MAX(0,AV195-CI573),0),0)</f>
        <v>0</v>
      </c>
      <c r="CL573">
        <f>IF(ISNUMBER(CI573),IFERROR(MAX(0,CI573-AV195),0),0)</f>
        <v>0</v>
      </c>
      <c r="CM573">
        <f>IF(ISNUMBER(CJ573),IFERROR(MAX(0,AW195-CJ573),0),0)</f>
        <v>0</v>
      </c>
      <c r="CN573">
        <f>IF(ISNUMBER(CJ573),IFERROR(MAX(0,CJ573-AW195),0),0)</f>
        <v>0</v>
      </c>
      <c r="CP573" t="e">
        <f>CB195</f>
        <v>#N/A</v>
      </c>
      <c r="CQ573" t="e">
        <f>CC195</f>
        <v>#N/A</v>
      </c>
      <c r="CR573">
        <f>IF(ISNUMBER(CP573),IFERROR(MAX(0,CD195-CP573),0),0)</f>
        <v>0</v>
      </c>
      <c r="CS573">
        <f>IF(ISNUMBER(CP573),IFERROR(MAX(0,CP573-CD195),0),0)</f>
        <v>0</v>
      </c>
      <c r="CT573">
        <f>IF(ISNUMBER(CQ573),IFERROR(MAX(0,CE195-CQ573),0),0)</f>
        <v>0</v>
      </c>
      <c r="CU573">
        <f>IF(ISNUMBER(CQ573),IFERROR(MAX(0,CQ573-CE195),0),0)</f>
        <v>0</v>
      </c>
    </row>
    <row r="574" spans="87:99" x14ac:dyDescent="0.3">
      <c r="CI574" t="e">
        <f>AL196</f>
        <v>#N/A</v>
      </c>
      <c r="CJ574" t="e">
        <f>AM196</f>
        <v>#N/A</v>
      </c>
      <c r="CK574">
        <f>IF(ISNUMBER(CI574),IFERROR(MAX(0,AN196-CI574),0),0)</f>
        <v>0</v>
      </c>
      <c r="CL574">
        <f>IF(ISNUMBER(CI574),IFERROR(MAX(0,CI574-AN196),0),0)</f>
        <v>0</v>
      </c>
      <c r="CM574">
        <f>IF(ISNUMBER(CJ574),IFERROR(MAX(0,AO196-CJ574),0),0)</f>
        <v>0</v>
      </c>
      <c r="CN574">
        <f>IF(ISNUMBER(CJ574),IFERROR(MAX(0,CJ574-AO196),0),0)</f>
        <v>0</v>
      </c>
      <c r="CP574" t="e">
        <f>BT196</f>
        <v>#N/A</v>
      </c>
      <c r="CQ574" t="e">
        <f>BU196</f>
        <v>#N/A</v>
      </c>
      <c r="CR574">
        <f>IF(ISNUMBER(CP574),IFERROR(MAX(0,BV196-CP574),0),0)</f>
        <v>0</v>
      </c>
      <c r="CS574">
        <f>IF(ISNUMBER(CP574),IFERROR(MAX(0,CP574-BV196),0),0)</f>
        <v>0</v>
      </c>
      <c r="CT574">
        <f>IF(ISNUMBER(CQ574),IFERROR(MAX(0,BW196-CQ574),0),0)</f>
        <v>0</v>
      </c>
      <c r="CU574">
        <f>IF(ISNUMBER(CQ574),IFERROR(MAX(0,CQ574-BW196),0),0)</f>
        <v>0</v>
      </c>
    </row>
    <row r="575" spans="87:99" x14ac:dyDescent="0.3">
      <c r="CI575" t="e">
        <f>AP196</f>
        <v>#N/A</v>
      </c>
      <c r="CJ575" t="e">
        <f>AQ196</f>
        <v>#N/A</v>
      </c>
      <c r="CK575">
        <f>IF(ISNUMBER(CI575),IFERROR(MAX(0,AR196-CI575),0),0)</f>
        <v>0</v>
      </c>
      <c r="CL575">
        <f>IF(ISNUMBER(CI575),IFERROR(MAX(0,CI575-AR196),0),0)</f>
        <v>0</v>
      </c>
      <c r="CM575">
        <f>IF(ISNUMBER(CJ575),IFERROR(MAX(0,AS196-CJ575),0),0)</f>
        <v>0</v>
      </c>
      <c r="CN575">
        <f>IF(ISNUMBER(CJ575),IFERROR(MAX(0,CJ575-AS196),0),0)</f>
        <v>0</v>
      </c>
      <c r="CP575" t="e">
        <f>BX196</f>
        <v>#N/A</v>
      </c>
      <c r="CQ575" t="e">
        <f>BY196</f>
        <v>#N/A</v>
      </c>
      <c r="CR575">
        <f>IF(ISNUMBER(CP575),IFERROR(MAX(0,BZ196-CP575),0),0)</f>
        <v>0</v>
      </c>
      <c r="CS575">
        <f>IF(ISNUMBER(CP575),IFERROR(MAX(0,CP575-BZ196),0),0)</f>
        <v>0</v>
      </c>
      <c r="CT575">
        <f>IF(ISNUMBER(CQ575),IFERROR(MAX(0,CA196-CQ575),0),0)</f>
        <v>0</v>
      </c>
      <c r="CU575">
        <f>IF(ISNUMBER(CQ575),IFERROR(MAX(0,CQ575-CA196),0),0)</f>
        <v>0</v>
      </c>
    </row>
    <row r="576" spans="87:99" x14ac:dyDescent="0.3">
      <c r="CI576" t="e">
        <f>AT196</f>
        <v>#N/A</v>
      </c>
      <c r="CJ576" t="e">
        <f>AU196</f>
        <v>#N/A</v>
      </c>
      <c r="CK576">
        <f>IF(ISNUMBER(CI576),IFERROR(MAX(0,AV196-CI576),0),0)</f>
        <v>0</v>
      </c>
      <c r="CL576">
        <f>IF(ISNUMBER(CI576),IFERROR(MAX(0,CI576-AV196),0),0)</f>
        <v>0</v>
      </c>
      <c r="CM576">
        <f>IF(ISNUMBER(CJ576),IFERROR(MAX(0,AW196-CJ576),0),0)</f>
        <v>0</v>
      </c>
      <c r="CN576">
        <f>IF(ISNUMBER(CJ576),IFERROR(MAX(0,CJ576-AW196),0),0)</f>
        <v>0</v>
      </c>
      <c r="CP576" t="e">
        <f>CB196</f>
        <v>#N/A</v>
      </c>
      <c r="CQ576" t="e">
        <f>CC196</f>
        <v>#N/A</v>
      </c>
      <c r="CR576">
        <f>IF(ISNUMBER(CP576),IFERROR(MAX(0,CD196-CP576),0),0)</f>
        <v>0</v>
      </c>
      <c r="CS576">
        <f>IF(ISNUMBER(CP576),IFERROR(MAX(0,CP576-CD196),0),0)</f>
        <v>0</v>
      </c>
      <c r="CT576">
        <f>IF(ISNUMBER(CQ576),IFERROR(MAX(0,CE196-CQ576),0),0)</f>
        <v>0</v>
      </c>
      <c r="CU576">
        <f>IF(ISNUMBER(CQ576),IFERROR(MAX(0,CQ576-CE196),0),0)</f>
        <v>0</v>
      </c>
    </row>
    <row r="577" spans="87:99" x14ac:dyDescent="0.3">
      <c r="CI577" t="e">
        <f>AL197</f>
        <v>#N/A</v>
      </c>
      <c r="CJ577" t="e">
        <f>AM197</f>
        <v>#N/A</v>
      </c>
      <c r="CK577">
        <f>IF(ISNUMBER(CI577),IFERROR(MAX(0,AN197-CI577),0),0)</f>
        <v>0</v>
      </c>
      <c r="CL577">
        <f>IF(ISNUMBER(CI577),IFERROR(MAX(0,CI577-AN197),0),0)</f>
        <v>0</v>
      </c>
      <c r="CM577">
        <f>IF(ISNUMBER(CJ577),IFERROR(MAX(0,AO197-CJ577),0),0)</f>
        <v>0</v>
      </c>
      <c r="CN577">
        <f>IF(ISNUMBER(CJ577),IFERROR(MAX(0,CJ577-AO197),0),0)</f>
        <v>0</v>
      </c>
      <c r="CP577" t="e">
        <f>BT197</f>
        <v>#N/A</v>
      </c>
      <c r="CQ577" t="e">
        <f>BU197</f>
        <v>#N/A</v>
      </c>
      <c r="CR577">
        <f>IF(ISNUMBER(CP577),IFERROR(MAX(0,BV197-CP577),0),0)</f>
        <v>0</v>
      </c>
      <c r="CS577">
        <f>IF(ISNUMBER(CP577),IFERROR(MAX(0,CP577-BV197),0),0)</f>
        <v>0</v>
      </c>
      <c r="CT577">
        <f>IF(ISNUMBER(CQ577),IFERROR(MAX(0,BW197-CQ577),0),0)</f>
        <v>0</v>
      </c>
      <c r="CU577">
        <f>IF(ISNUMBER(CQ577),IFERROR(MAX(0,CQ577-BW197),0),0)</f>
        <v>0</v>
      </c>
    </row>
    <row r="578" spans="87:99" x14ac:dyDescent="0.3">
      <c r="CI578" t="e">
        <f>AP197</f>
        <v>#N/A</v>
      </c>
      <c r="CJ578" t="e">
        <f>AQ197</f>
        <v>#N/A</v>
      </c>
      <c r="CK578">
        <f>IF(ISNUMBER(CI578),IFERROR(MAX(0,AR197-CI578),0),0)</f>
        <v>0</v>
      </c>
      <c r="CL578">
        <f>IF(ISNUMBER(CI578),IFERROR(MAX(0,CI578-AR197),0),0)</f>
        <v>0</v>
      </c>
      <c r="CM578">
        <f>IF(ISNUMBER(CJ578),IFERROR(MAX(0,AS197-CJ578),0),0)</f>
        <v>0</v>
      </c>
      <c r="CN578">
        <f>IF(ISNUMBER(CJ578),IFERROR(MAX(0,CJ578-AS197),0),0)</f>
        <v>0</v>
      </c>
      <c r="CP578" t="e">
        <f>BX197</f>
        <v>#N/A</v>
      </c>
      <c r="CQ578" t="e">
        <f>BY197</f>
        <v>#N/A</v>
      </c>
      <c r="CR578">
        <f>IF(ISNUMBER(CP578),IFERROR(MAX(0,BZ197-CP578),0),0)</f>
        <v>0</v>
      </c>
      <c r="CS578">
        <f>IF(ISNUMBER(CP578),IFERROR(MAX(0,CP578-BZ197),0),0)</f>
        <v>0</v>
      </c>
      <c r="CT578">
        <f>IF(ISNUMBER(CQ578),IFERROR(MAX(0,CA197-CQ578),0),0)</f>
        <v>0</v>
      </c>
      <c r="CU578">
        <f>IF(ISNUMBER(CQ578),IFERROR(MAX(0,CQ578-CA197),0),0)</f>
        <v>0</v>
      </c>
    </row>
    <row r="579" spans="87:99" x14ac:dyDescent="0.3">
      <c r="CI579" t="e">
        <f>AT197</f>
        <v>#N/A</v>
      </c>
      <c r="CJ579" t="e">
        <f>AU197</f>
        <v>#N/A</v>
      </c>
      <c r="CK579">
        <f>IF(ISNUMBER(CI579),IFERROR(MAX(0,AV197-CI579),0),0)</f>
        <v>0</v>
      </c>
      <c r="CL579">
        <f>IF(ISNUMBER(CI579),IFERROR(MAX(0,CI579-AV197),0),0)</f>
        <v>0</v>
      </c>
      <c r="CM579">
        <f>IF(ISNUMBER(CJ579),IFERROR(MAX(0,AW197-CJ579),0),0)</f>
        <v>0</v>
      </c>
      <c r="CN579">
        <f>IF(ISNUMBER(CJ579),IFERROR(MAX(0,CJ579-AW197),0),0)</f>
        <v>0</v>
      </c>
      <c r="CP579" t="e">
        <f>CB197</f>
        <v>#N/A</v>
      </c>
      <c r="CQ579" t="e">
        <f>CC197</f>
        <v>#N/A</v>
      </c>
      <c r="CR579">
        <f>IF(ISNUMBER(CP579),IFERROR(MAX(0,CD197-CP579),0),0)</f>
        <v>0</v>
      </c>
      <c r="CS579">
        <f>IF(ISNUMBER(CP579),IFERROR(MAX(0,CP579-CD197),0),0)</f>
        <v>0</v>
      </c>
      <c r="CT579">
        <f>IF(ISNUMBER(CQ579),IFERROR(MAX(0,CE197-CQ579),0),0)</f>
        <v>0</v>
      </c>
      <c r="CU579">
        <f>IF(ISNUMBER(CQ579),IFERROR(MAX(0,CQ579-CE197),0),0)</f>
        <v>0</v>
      </c>
    </row>
    <row r="580" spans="87:99" x14ac:dyDescent="0.3">
      <c r="CI580" t="e">
        <f>AL198</f>
        <v>#N/A</v>
      </c>
      <c r="CJ580" t="e">
        <f>AM198</f>
        <v>#N/A</v>
      </c>
      <c r="CK580">
        <f>IF(ISNUMBER(CI580),IFERROR(MAX(0,AN198-CI580),0),0)</f>
        <v>0</v>
      </c>
      <c r="CL580">
        <f>IF(ISNUMBER(CI580),IFERROR(MAX(0,CI580-AN198),0),0)</f>
        <v>0</v>
      </c>
      <c r="CM580">
        <f>IF(ISNUMBER(CJ580),IFERROR(MAX(0,AO198-CJ580),0),0)</f>
        <v>0</v>
      </c>
      <c r="CN580">
        <f>IF(ISNUMBER(CJ580),IFERROR(MAX(0,CJ580-AO198),0),0)</f>
        <v>0</v>
      </c>
      <c r="CP580" t="e">
        <f>BT198</f>
        <v>#N/A</v>
      </c>
      <c r="CQ580" t="e">
        <f>BU198</f>
        <v>#N/A</v>
      </c>
      <c r="CR580">
        <f>IF(ISNUMBER(CP580),IFERROR(MAX(0,BV198-CP580),0),0)</f>
        <v>0</v>
      </c>
      <c r="CS580">
        <f>IF(ISNUMBER(CP580),IFERROR(MAX(0,CP580-BV198),0),0)</f>
        <v>0</v>
      </c>
      <c r="CT580">
        <f>IF(ISNUMBER(CQ580),IFERROR(MAX(0,BW198-CQ580),0),0)</f>
        <v>0</v>
      </c>
      <c r="CU580">
        <f>IF(ISNUMBER(CQ580),IFERROR(MAX(0,CQ580-BW198),0),0)</f>
        <v>0</v>
      </c>
    </row>
    <row r="581" spans="87:99" x14ac:dyDescent="0.3">
      <c r="CI581" t="e">
        <f>AP198</f>
        <v>#N/A</v>
      </c>
      <c r="CJ581" t="e">
        <f>AQ198</f>
        <v>#N/A</v>
      </c>
      <c r="CK581">
        <f>IF(ISNUMBER(CI581),IFERROR(MAX(0,AR198-CI581),0),0)</f>
        <v>0</v>
      </c>
      <c r="CL581">
        <f>IF(ISNUMBER(CI581),IFERROR(MAX(0,CI581-AR198),0),0)</f>
        <v>0</v>
      </c>
      <c r="CM581">
        <f>IF(ISNUMBER(CJ581),IFERROR(MAX(0,AS198-CJ581),0),0)</f>
        <v>0</v>
      </c>
      <c r="CN581">
        <f>IF(ISNUMBER(CJ581),IFERROR(MAX(0,CJ581-AS198),0),0)</f>
        <v>0</v>
      </c>
      <c r="CP581" t="e">
        <f>BX198</f>
        <v>#N/A</v>
      </c>
      <c r="CQ581" t="e">
        <f>BY198</f>
        <v>#N/A</v>
      </c>
      <c r="CR581">
        <f>IF(ISNUMBER(CP581),IFERROR(MAX(0,BZ198-CP581),0),0)</f>
        <v>0</v>
      </c>
      <c r="CS581">
        <f>IF(ISNUMBER(CP581),IFERROR(MAX(0,CP581-BZ198),0),0)</f>
        <v>0</v>
      </c>
      <c r="CT581">
        <f>IF(ISNUMBER(CQ581),IFERROR(MAX(0,CA198-CQ581),0),0)</f>
        <v>0</v>
      </c>
      <c r="CU581">
        <f>IF(ISNUMBER(CQ581),IFERROR(MAX(0,CQ581-CA198),0),0)</f>
        <v>0</v>
      </c>
    </row>
    <row r="582" spans="87:99" x14ac:dyDescent="0.3">
      <c r="CI582" t="e">
        <f>AT198</f>
        <v>#N/A</v>
      </c>
      <c r="CJ582" t="e">
        <f>AU198</f>
        <v>#N/A</v>
      </c>
      <c r="CK582">
        <f>IF(ISNUMBER(CI582),IFERROR(MAX(0,AV198-CI582),0),0)</f>
        <v>0</v>
      </c>
      <c r="CL582">
        <f>IF(ISNUMBER(CI582),IFERROR(MAX(0,CI582-AV198),0),0)</f>
        <v>0</v>
      </c>
      <c r="CM582">
        <f>IF(ISNUMBER(CJ582),IFERROR(MAX(0,AW198-CJ582),0),0)</f>
        <v>0</v>
      </c>
      <c r="CN582">
        <f>IF(ISNUMBER(CJ582),IFERROR(MAX(0,CJ582-AW198),0),0)</f>
        <v>0</v>
      </c>
      <c r="CP582" t="e">
        <f>CB198</f>
        <v>#N/A</v>
      </c>
      <c r="CQ582" t="e">
        <f>CC198</f>
        <v>#N/A</v>
      </c>
      <c r="CR582">
        <f>IF(ISNUMBER(CP582),IFERROR(MAX(0,CD198-CP582),0),0)</f>
        <v>0</v>
      </c>
      <c r="CS582">
        <f>IF(ISNUMBER(CP582),IFERROR(MAX(0,CP582-CD198),0),0)</f>
        <v>0</v>
      </c>
      <c r="CT582">
        <f>IF(ISNUMBER(CQ582),IFERROR(MAX(0,CE198-CQ582),0),0)</f>
        <v>0</v>
      </c>
      <c r="CU582">
        <f>IF(ISNUMBER(CQ582),IFERROR(MAX(0,CQ582-CE198),0),0)</f>
        <v>0</v>
      </c>
    </row>
    <row r="583" spans="87:99" x14ac:dyDescent="0.3">
      <c r="CI583" t="e">
        <f>AL199</f>
        <v>#N/A</v>
      </c>
      <c r="CJ583" t="e">
        <f>AM199</f>
        <v>#N/A</v>
      </c>
      <c r="CK583">
        <f>IF(ISNUMBER(CI583),IFERROR(MAX(0,AN199-CI583),0),0)</f>
        <v>0</v>
      </c>
      <c r="CL583">
        <f>IF(ISNUMBER(CI583),IFERROR(MAX(0,CI583-AN199),0),0)</f>
        <v>0</v>
      </c>
      <c r="CM583">
        <f>IF(ISNUMBER(CJ583),IFERROR(MAX(0,AO199-CJ583),0),0)</f>
        <v>0</v>
      </c>
      <c r="CN583">
        <f>IF(ISNUMBER(CJ583),IFERROR(MAX(0,CJ583-AO199),0),0)</f>
        <v>0</v>
      </c>
      <c r="CP583" t="e">
        <f>BT199</f>
        <v>#N/A</v>
      </c>
      <c r="CQ583" t="e">
        <f>BU199</f>
        <v>#N/A</v>
      </c>
      <c r="CR583">
        <f>IF(ISNUMBER(CP583),IFERROR(MAX(0,BV199-CP583),0),0)</f>
        <v>0</v>
      </c>
      <c r="CS583">
        <f>IF(ISNUMBER(CP583),IFERROR(MAX(0,CP583-BV199),0),0)</f>
        <v>0</v>
      </c>
      <c r="CT583">
        <f>IF(ISNUMBER(CQ583),IFERROR(MAX(0,BW199-CQ583),0),0)</f>
        <v>0</v>
      </c>
      <c r="CU583">
        <f>IF(ISNUMBER(CQ583),IFERROR(MAX(0,CQ583-BW199),0),0)</f>
        <v>0</v>
      </c>
    </row>
    <row r="584" spans="87:99" x14ac:dyDescent="0.3">
      <c r="CI584" t="e">
        <f>AP199</f>
        <v>#N/A</v>
      </c>
      <c r="CJ584" t="e">
        <f>AQ199</f>
        <v>#N/A</v>
      </c>
      <c r="CK584">
        <f>IF(ISNUMBER(CI584),IFERROR(MAX(0,AR199-CI584),0),0)</f>
        <v>0</v>
      </c>
      <c r="CL584">
        <f>IF(ISNUMBER(CI584),IFERROR(MAX(0,CI584-AR199),0),0)</f>
        <v>0</v>
      </c>
      <c r="CM584">
        <f>IF(ISNUMBER(CJ584),IFERROR(MAX(0,AS199-CJ584),0),0)</f>
        <v>0</v>
      </c>
      <c r="CN584">
        <f>IF(ISNUMBER(CJ584),IFERROR(MAX(0,CJ584-AS199),0),0)</f>
        <v>0</v>
      </c>
      <c r="CP584" t="e">
        <f>BX199</f>
        <v>#N/A</v>
      </c>
      <c r="CQ584" t="e">
        <f>BY199</f>
        <v>#N/A</v>
      </c>
      <c r="CR584">
        <f>IF(ISNUMBER(CP584),IFERROR(MAX(0,BZ199-CP584),0),0)</f>
        <v>0</v>
      </c>
      <c r="CS584">
        <f>IF(ISNUMBER(CP584),IFERROR(MAX(0,CP584-BZ199),0),0)</f>
        <v>0</v>
      </c>
      <c r="CT584">
        <f>IF(ISNUMBER(CQ584),IFERROR(MAX(0,CA199-CQ584),0),0)</f>
        <v>0</v>
      </c>
      <c r="CU584">
        <f>IF(ISNUMBER(CQ584),IFERROR(MAX(0,CQ584-CA199),0),0)</f>
        <v>0</v>
      </c>
    </row>
    <row r="585" spans="87:99" x14ac:dyDescent="0.3">
      <c r="CI585" t="e">
        <f>AT199</f>
        <v>#N/A</v>
      </c>
      <c r="CJ585" t="e">
        <f>AU199</f>
        <v>#N/A</v>
      </c>
      <c r="CK585">
        <f>IF(ISNUMBER(CI585),IFERROR(MAX(0,AV199-CI585),0),0)</f>
        <v>0</v>
      </c>
      <c r="CL585">
        <f>IF(ISNUMBER(CI585),IFERROR(MAX(0,CI585-AV199),0),0)</f>
        <v>0</v>
      </c>
      <c r="CM585">
        <f>IF(ISNUMBER(CJ585),IFERROR(MAX(0,AW199-CJ585),0),0)</f>
        <v>0</v>
      </c>
      <c r="CN585">
        <f>IF(ISNUMBER(CJ585),IFERROR(MAX(0,CJ585-AW199),0),0)</f>
        <v>0</v>
      </c>
      <c r="CP585" t="e">
        <f>CB199</f>
        <v>#N/A</v>
      </c>
      <c r="CQ585" t="e">
        <f>CC199</f>
        <v>#N/A</v>
      </c>
      <c r="CR585">
        <f>IF(ISNUMBER(CP585),IFERROR(MAX(0,CD199-CP585),0),0)</f>
        <v>0</v>
      </c>
      <c r="CS585">
        <f>IF(ISNUMBER(CP585),IFERROR(MAX(0,CP585-CD199),0),0)</f>
        <v>0</v>
      </c>
      <c r="CT585">
        <f>IF(ISNUMBER(CQ585),IFERROR(MAX(0,CE199-CQ585),0),0)</f>
        <v>0</v>
      </c>
      <c r="CU585">
        <f>IF(ISNUMBER(CQ585),IFERROR(MAX(0,CQ585-CE199),0),0)</f>
        <v>0</v>
      </c>
    </row>
    <row r="586" spans="87:99" x14ac:dyDescent="0.3">
      <c r="CI586" t="e">
        <f>AL200</f>
        <v>#N/A</v>
      </c>
      <c r="CJ586" t="e">
        <f>AM200</f>
        <v>#N/A</v>
      </c>
      <c r="CK586">
        <f>IF(ISNUMBER(CI586),IFERROR(MAX(0,AN200-CI586),0),0)</f>
        <v>0</v>
      </c>
      <c r="CL586">
        <f>IF(ISNUMBER(CI586),IFERROR(MAX(0,CI586-AN200),0),0)</f>
        <v>0</v>
      </c>
      <c r="CM586">
        <f>IF(ISNUMBER(CJ586),IFERROR(MAX(0,AO200-CJ586),0),0)</f>
        <v>0</v>
      </c>
      <c r="CN586">
        <f>IF(ISNUMBER(CJ586),IFERROR(MAX(0,CJ586-AO200),0),0)</f>
        <v>0</v>
      </c>
      <c r="CP586" t="e">
        <f>BT200</f>
        <v>#N/A</v>
      </c>
      <c r="CQ586" t="e">
        <f>BU200</f>
        <v>#N/A</v>
      </c>
      <c r="CR586">
        <f>IF(ISNUMBER(CP586),IFERROR(MAX(0,BV200-CP586),0),0)</f>
        <v>0</v>
      </c>
      <c r="CS586">
        <f>IF(ISNUMBER(CP586),IFERROR(MAX(0,CP586-BV200),0),0)</f>
        <v>0</v>
      </c>
      <c r="CT586">
        <f>IF(ISNUMBER(CQ586),IFERROR(MAX(0,BW200-CQ586),0),0)</f>
        <v>0</v>
      </c>
      <c r="CU586">
        <f>IF(ISNUMBER(CQ586),IFERROR(MAX(0,CQ586-BW200),0),0)</f>
        <v>0</v>
      </c>
    </row>
    <row r="587" spans="87:99" x14ac:dyDescent="0.3">
      <c r="CI587" t="e">
        <f>AP200</f>
        <v>#N/A</v>
      </c>
      <c r="CJ587" t="e">
        <f>AQ200</f>
        <v>#N/A</v>
      </c>
      <c r="CK587">
        <f>IF(ISNUMBER(CI587),IFERROR(MAX(0,AR200-CI587),0),0)</f>
        <v>0</v>
      </c>
      <c r="CL587">
        <f>IF(ISNUMBER(CI587),IFERROR(MAX(0,CI587-AR200),0),0)</f>
        <v>0</v>
      </c>
      <c r="CM587">
        <f>IF(ISNUMBER(CJ587),IFERROR(MAX(0,AS200-CJ587),0),0)</f>
        <v>0</v>
      </c>
      <c r="CN587">
        <f>IF(ISNUMBER(CJ587),IFERROR(MAX(0,CJ587-AS200),0),0)</f>
        <v>0</v>
      </c>
      <c r="CP587" t="e">
        <f>BX200</f>
        <v>#N/A</v>
      </c>
      <c r="CQ587" t="e">
        <f>BY200</f>
        <v>#N/A</v>
      </c>
      <c r="CR587">
        <f>IF(ISNUMBER(CP587),IFERROR(MAX(0,BZ200-CP587),0),0)</f>
        <v>0</v>
      </c>
      <c r="CS587">
        <f>IF(ISNUMBER(CP587),IFERROR(MAX(0,CP587-BZ200),0),0)</f>
        <v>0</v>
      </c>
      <c r="CT587">
        <f>IF(ISNUMBER(CQ587),IFERROR(MAX(0,CA200-CQ587),0),0)</f>
        <v>0</v>
      </c>
      <c r="CU587">
        <f>IF(ISNUMBER(CQ587),IFERROR(MAX(0,CQ587-CA200),0),0)</f>
        <v>0</v>
      </c>
    </row>
    <row r="588" spans="87:99" x14ac:dyDescent="0.3">
      <c r="CI588" t="e">
        <f>AT200</f>
        <v>#N/A</v>
      </c>
      <c r="CJ588" t="e">
        <f>AU200</f>
        <v>#N/A</v>
      </c>
      <c r="CK588">
        <f>IF(ISNUMBER(CI588),IFERROR(MAX(0,AV200-CI588),0),0)</f>
        <v>0</v>
      </c>
      <c r="CL588">
        <f>IF(ISNUMBER(CI588),IFERROR(MAX(0,CI588-AV200),0),0)</f>
        <v>0</v>
      </c>
      <c r="CM588">
        <f>IF(ISNUMBER(CJ588),IFERROR(MAX(0,AW200-CJ588),0),0)</f>
        <v>0</v>
      </c>
      <c r="CN588">
        <f>IF(ISNUMBER(CJ588),IFERROR(MAX(0,CJ588-AW200),0),0)</f>
        <v>0</v>
      </c>
      <c r="CP588" t="e">
        <f>CB200</f>
        <v>#N/A</v>
      </c>
      <c r="CQ588" t="e">
        <f>CC200</f>
        <v>#N/A</v>
      </c>
      <c r="CR588">
        <f>IF(ISNUMBER(CP588),IFERROR(MAX(0,CD200-CP588),0),0)</f>
        <v>0</v>
      </c>
      <c r="CS588">
        <f>IF(ISNUMBER(CP588),IFERROR(MAX(0,CP588-CD200),0),0)</f>
        <v>0</v>
      </c>
      <c r="CT588">
        <f>IF(ISNUMBER(CQ588),IFERROR(MAX(0,CE200-CQ588),0),0)</f>
        <v>0</v>
      </c>
      <c r="CU588">
        <f>IF(ISNUMBER(CQ588),IFERROR(MAX(0,CQ588-CE200),0),0)</f>
        <v>0</v>
      </c>
    </row>
    <row r="589" spans="87:99" x14ac:dyDescent="0.3">
      <c r="CI589" t="e">
        <f>AL201</f>
        <v>#N/A</v>
      </c>
      <c r="CJ589" t="e">
        <f>AM201</f>
        <v>#N/A</v>
      </c>
      <c r="CK589">
        <f>IF(ISNUMBER(CI589),IFERROR(MAX(0,AN201-CI589),0),0)</f>
        <v>0</v>
      </c>
      <c r="CL589">
        <f>IF(ISNUMBER(CI589),IFERROR(MAX(0,CI589-AN201),0),0)</f>
        <v>0</v>
      </c>
      <c r="CM589">
        <f>IF(ISNUMBER(CJ589),IFERROR(MAX(0,AO201-CJ589),0),0)</f>
        <v>0</v>
      </c>
      <c r="CN589">
        <f>IF(ISNUMBER(CJ589),IFERROR(MAX(0,CJ589-AO201),0),0)</f>
        <v>0</v>
      </c>
      <c r="CP589" t="e">
        <f>BT201</f>
        <v>#N/A</v>
      </c>
      <c r="CQ589" t="e">
        <f>BU201</f>
        <v>#N/A</v>
      </c>
      <c r="CR589">
        <f>IF(ISNUMBER(CP589),IFERROR(MAX(0,BV201-CP589),0),0)</f>
        <v>0</v>
      </c>
      <c r="CS589">
        <f>IF(ISNUMBER(CP589),IFERROR(MAX(0,CP589-BV201),0),0)</f>
        <v>0</v>
      </c>
      <c r="CT589">
        <f>IF(ISNUMBER(CQ589),IFERROR(MAX(0,BW201-CQ589),0),0)</f>
        <v>0</v>
      </c>
      <c r="CU589">
        <f>IF(ISNUMBER(CQ589),IFERROR(MAX(0,CQ589-BW201),0),0)</f>
        <v>0</v>
      </c>
    </row>
    <row r="590" spans="87:99" x14ac:dyDescent="0.3">
      <c r="CI590" t="e">
        <f>AP201</f>
        <v>#N/A</v>
      </c>
      <c r="CJ590" t="e">
        <f>AQ201</f>
        <v>#N/A</v>
      </c>
      <c r="CK590">
        <f>IF(ISNUMBER(CI590),IFERROR(MAX(0,AR201-CI590),0),0)</f>
        <v>0</v>
      </c>
      <c r="CL590">
        <f>IF(ISNUMBER(CI590),IFERROR(MAX(0,CI590-AR201),0),0)</f>
        <v>0</v>
      </c>
      <c r="CM590">
        <f>IF(ISNUMBER(CJ590),IFERROR(MAX(0,AS201-CJ590),0),0)</f>
        <v>0</v>
      </c>
      <c r="CN590">
        <f>IF(ISNUMBER(CJ590),IFERROR(MAX(0,CJ590-AS201),0),0)</f>
        <v>0</v>
      </c>
      <c r="CP590" t="e">
        <f>BX201</f>
        <v>#N/A</v>
      </c>
      <c r="CQ590" t="e">
        <f>BY201</f>
        <v>#N/A</v>
      </c>
      <c r="CR590">
        <f>IF(ISNUMBER(CP590),IFERROR(MAX(0,BZ201-CP590),0),0)</f>
        <v>0</v>
      </c>
      <c r="CS590">
        <f>IF(ISNUMBER(CP590),IFERROR(MAX(0,CP590-BZ201),0),0)</f>
        <v>0</v>
      </c>
      <c r="CT590">
        <f>IF(ISNUMBER(CQ590),IFERROR(MAX(0,CA201-CQ590),0),0)</f>
        <v>0</v>
      </c>
      <c r="CU590">
        <f>IF(ISNUMBER(CQ590),IFERROR(MAX(0,CQ590-CA201),0),0)</f>
        <v>0</v>
      </c>
    </row>
    <row r="591" spans="87:99" x14ac:dyDescent="0.3">
      <c r="CI591" t="e">
        <f>AT201</f>
        <v>#N/A</v>
      </c>
      <c r="CJ591" t="e">
        <f>AU201</f>
        <v>#N/A</v>
      </c>
      <c r="CK591">
        <f>IF(ISNUMBER(CI591),IFERROR(MAX(0,AV201-CI591),0),0)</f>
        <v>0</v>
      </c>
      <c r="CL591">
        <f>IF(ISNUMBER(CI591),IFERROR(MAX(0,CI591-AV201),0),0)</f>
        <v>0</v>
      </c>
      <c r="CM591">
        <f>IF(ISNUMBER(CJ591),IFERROR(MAX(0,AW201-CJ591),0),0)</f>
        <v>0</v>
      </c>
      <c r="CN591">
        <f>IF(ISNUMBER(CJ591),IFERROR(MAX(0,CJ591-AW201),0),0)</f>
        <v>0</v>
      </c>
      <c r="CP591" t="e">
        <f>CB201</f>
        <v>#N/A</v>
      </c>
      <c r="CQ591" t="e">
        <f>CC201</f>
        <v>#N/A</v>
      </c>
      <c r="CR591">
        <f>IF(ISNUMBER(CP591),IFERROR(MAX(0,CD201-CP591),0),0)</f>
        <v>0</v>
      </c>
      <c r="CS591">
        <f>IF(ISNUMBER(CP591),IFERROR(MAX(0,CP591-CD201),0),0)</f>
        <v>0</v>
      </c>
      <c r="CT591">
        <f>IF(ISNUMBER(CQ591),IFERROR(MAX(0,CE201-CQ591),0),0)</f>
        <v>0</v>
      </c>
      <c r="CU591">
        <f>IF(ISNUMBER(CQ591),IFERROR(MAX(0,CQ591-CE201),0),0)</f>
        <v>0</v>
      </c>
    </row>
    <row r="592" spans="87:99" x14ac:dyDescent="0.3">
      <c r="CI592" t="e">
        <f>AL202</f>
        <v>#N/A</v>
      </c>
      <c r="CJ592" t="e">
        <f>AM202</f>
        <v>#N/A</v>
      </c>
      <c r="CK592">
        <f>IF(ISNUMBER(CI592),IFERROR(MAX(0,AN202-CI592),0),0)</f>
        <v>0</v>
      </c>
      <c r="CL592">
        <f>IF(ISNUMBER(CI592),IFERROR(MAX(0,CI592-AN202),0),0)</f>
        <v>0</v>
      </c>
      <c r="CM592">
        <f>IF(ISNUMBER(CJ592),IFERROR(MAX(0,AO202-CJ592),0),0)</f>
        <v>0</v>
      </c>
      <c r="CN592">
        <f>IF(ISNUMBER(CJ592),IFERROR(MAX(0,CJ592-AO202),0),0)</f>
        <v>0</v>
      </c>
      <c r="CP592" t="e">
        <f>BT202</f>
        <v>#N/A</v>
      </c>
      <c r="CQ592" t="e">
        <f>BU202</f>
        <v>#N/A</v>
      </c>
      <c r="CR592">
        <f>IF(ISNUMBER(CP592),IFERROR(MAX(0,BV202-CP592),0),0)</f>
        <v>0</v>
      </c>
      <c r="CS592">
        <f>IF(ISNUMBER(CP592),IFERROR(MAX(0,CP592-BV202),0),0)</f>
        <v>0</v>
      </c>
      <c r="CT592">
        <f>IF(ISNUMBER(CQ592),IFERROR(MAX(0,BW202-CQ592),0),0)</f>
        <v>0</v>
      </c>
      <c r="CU592">
        <f>IF(ISNUMBER(CQ592),IFERROR(MAX(0,CQ592-BW202),0),0)</f>
        <v>0</v>
      </c>
    </row>
    <row r="593" spans="87:99" x14ac:dyDescent="0.3">
      <c r="CI593" t="e">
        <f>AP202</f>
        <v>#N/A</v>
      </c>
      <c r="CJ593" t="e">
        <f>AQ202</f>
        <v>#N/A</v>
      </c>
      <c r="CK593">
        <f>IF(ISNUMBER(CI593),IFERROR(MAX(0,AR202-CI593),0),0)</f>
        <v>0</v>
      </c>
      <c r="CL593">
        <f>IF(ISNUMBER(CI593),IFERROR(MAX(0,CI593-AR202),0),0)</f>
        <v>0</v>
      </c>
      <c r="CM593">
        <f>IF(ISNUMBER(CJ593),IFERROR(MAX(0,AS202-CJ593),0),0)</f>
        <v>0</v>
      </c>
      <c r="CN593">
        <f>IF(ISNUMBER(CJ593),IFERROR(MAX(0,CJ593-AS202),0),0)</f>
        <v>0</v>
      </c>
      <c r="CP593" t="e">
        <f>BX202</f>
        <v>#N/A</v>
      </c>
      <c r="CQ593" t="e">
        <f>BY202</f>
        <v>#N/A</v>
      </c>
      <c r="CR593">
        <f>IF(ISNUMBER(CP593),IFERROR(MAX(0,BZ202-CP593),0),0)</f>
        <v>0</v>
      </c>
      <c r="CS593">
        <f>IF(ISNUMBER(CP593),IFERROR(MAX(0,CP593-BZ202),0),0)</f>
        <v>0</v>
      </c>
      <c r="CT593">
        <f>IF(ISNUMBER(CQ593),IFERROR(MAX(0,CA202-CQ593),0),0)</f>
        <v>0</v>
      </c>
      <c r="CU593">
        <f>IF(ISNUMBER(CQ593),IFERROR(MAX(0,CQ593-CA202),0),0)</f>
        <v>0</v>
      </c>
    </row>
    <row r="594" spans="87:99" x14ac:dyDescent="0.3">
      <c r="CI594" t="e">
        <f>AT202</f>
        <v>#N/A</v>
      </c>
      <c r="CJ594" t="e">
        <f>AU202</f>
        <v>#N/A</v>
      </c>
      <c r="CK594">
        <f>IF(ISNUMBER(CI594),IFERROR(MAX(0,AV202-CI594),0),0)</f>
        <v>0</v>
      </c>
      <c r="CL594">
        <f>IF(ISNUMBER(CI594),IFERROR(MAX(0,CI594-AV202),0),0)</f>
        <v>0</v>
      </c>
      <c r="CM594">
        <f>IF(ISNUMBER(CJ594),IFERROR(MAX(0,AW202-CJ594),0),0)</f>
        <v>0</v>
      </c>
      <c r="CN594">
        <f>IF(ISNUMBER(CJ594),IFERROR(MAX(0,CJ594-AW202),0),0)</f>
        <v>0</v>
      </c>
      <c r="CP594" t="e">
        <f>CB202</f>
        <v>#N/A</v>
      </c>
      <c r="CQ594" t="e">
        <f>CC202</f>
        <v>#N/A</v>
      </c>
      <c r="CR594">
        <f>IF(ISNUMBER(CP594),IFERROR(MAX(0,CD202-CP594),0),0)</f>
        <v>0</v>
      </c>
      <c r="CS594">
        <f>IF(ISNUMBER(CP594),IFERROR(MAX(0,CP594-CD202),0),0)</f>
        <v>0</v>
      </c>
      <c r="CT594">
        <f>IF(ISNUMBER(CQ594),IFERROR(MAX(0,CE202-CQ594),0),0)</f>
        <v>0</v>
      </c>
      <c r="CU594">
        <f>IF(ISNUMBER(CQ594),IFERROR(MAX(0,CQ594-CE202),0),0)</f>
        <v>0</v>
      </c>
    </row>
    <row r="595" spans="87:99" x14ac:dyDescent="0.3">
      <c r="CI595" t="e">
        <f>AL203</f>
        <v>#N/A</v>
      </c>
      <c r="CJ595" t="e">
        <f>AM203</f>
        <v>#N/A</v>
      </c>
      <c r="CK595">
        <f>IF(ISNUMBER(CI595),IFERROR(MAX(0,AN203-CI595),0),0)</f>
        <v>0</v>
      </c>
      <c r="CL595">
        <f>IF(ISNUMBER(CI595),IFERROR(MAX(0,CI595-AN203),0),0)</f>
        <v>0</v>
      </c>
      <c r="CM595">
        <f>IF(ISNUMBER(CJ595),IFERROR(MAX(0,AO203-CJ595),0),0)</f>
        <v>0</v>
      </c>
      <c r="CN595">
        <f>IF(ISNUMBER(CJ595),IFERROR(MAX(0,CJ595-AO203),0),0)</f>
        <v>0</v>
      </c>
      <c r="CP595" t="e">
        <f>BT203</f>
        <v>#N/A</v>
      </c>
      <c r="CQ595" t="e">
        <f>BU203</f>
        <v>#N/A</v>
      </c>
      <c r="CR595">
        <f>IF(ISNUMBER(CP595),IFERROR(MAX(0,BV203-CP595),0),0)</f>
        <v>0</v>
      </c>
      <c r="CS595">
        <f>IF(ISNUMBER(CP595),IFERROR(MAX(0,CP595-BV203),0),0)</f>
        <v>0</v>
      </c>
      <c r="CT595">
        <f>IF(ISNUMBER(CQ595),IFERROR(MAX(0,BW203-CQ595),0),0)</f>
        <v>0</v>
      </c>
      <c r="CU595">
        <f>IF(ISNUMBER(CQ595),IFERROR(MAX(0,CQ595-BW203),0),0)</f>
        <v>0</v>
      </c>
    </row>
    <row r="596" spans="87:99" x14ac:dyDescent="0.3">
      <c r="CI596" t="e">
        <f>AP203</f>
        <v>#N/A</v>
      </c>
      <c r="CJ596" t="e">
        <f>AQ203</f>
        <v>#N/A</v>
      </c>
      <c r="CK596">
        <f>IF(ISNUMBER(CI596),IFERROR(MAX(0,AR203-CI596),0),0)</f>
        <v>0</v>
      </c>
      <c r="CL596">
        <f>IF(ISNUMBER(CI596),IFERROR(MAX(0,CI596-AR203),0),0)</f>
        <v>0</v>
      </c>
      <c r="CM596">
        <f>IF(ISNUMBER(CJ596),IFERROR(MAX(0,AS203-CJ596),0),0)</f>
        <v>0</v>
      </c>
      <c r="CN596">
        <f>IF(ISNUMBER(CJ596),IFERROR(MAX(0,CJ596-AS203),0),0)</f>
        <v>0</v>
      </c>
      <c r="CP596" t="e">
        <f>BX203</f>
        <v>#N/A</v>
      </c>
      <c r="CQ596" t="e">
        <f>BY203</f>
        <v>#N/A</v>
      </c>
      <c r="CR596">
        <f>IF(ISNUMBER(CP596),IFERROR(MAX(0,BZ203-CP596),0),0)</f>
        <v>0</v>
      </c>
      <c r="CS596">
        <f>IF(ISNUMBER(CP596),IFERROR(MAX(0,CP596-BZ203),0),0)</f>
        <v>0</v>
      </c>
      <c r="CT596">
        <f>IF(ISNUMBER(CQ596),IFERROR(MAX(0,CA203-CQ596),0),0)</f>
        <v>0</v>
      </c>
      <c r="CU596">
        <f>IF(ISNUMBER(CQ596),IFERROR(MAX(0,CQ596-CA203),0),0)</f>
        <v>0</v>
      </c>
    </row>
    <row r="597" spans="87:99" x14ac:dyDescent="0.3">
      <c r="CI597" t="e">
        <f>AT203</f>
        <v>#N/A</v>
      </c>
      <c r="CJ597" t="e">
        <f>AU203</f>
        <v>#N/A</v>
      </c>
      <c r="CK597">
        <f>IF(ISNUMBER(CI597),IFERROR(MAX(0,AV203-CI597),0),0)</f>
        <v>0</v>
      </c>
      <c r="CL597">
        <f>IF(ISNUMBER(CI597),IFERROR(MAX(0,CI597-AV203),0),0)</f>
        <v>0</v>
      </c>
      <c r="CM597">
        <f>IF(ISNUMBER(CJ597),IFERROR(MAX(0,AW203-CJ597),0),0)</f>
        <v>0</v>
      </c>
      <c r="CN597">
        <f>IF(ISNUMBER(CJ597),IFERROR(MAX(0,CJ597-AW203),0),0)</f>
        <v>0</v>
      </c>
      <c r="CP597" t="e">
        <f>CB203</f>
        <v>#N/A</v>
      </c>
      <c r="CQ597" t="e">
        <f>CC203</f>
        <v>#N/A</v>
      </c>
      <c r="CR597">
        <f>IF(ISNUMBER(CP597),IFERROR(MAX(0,CD203-CP597),0),0)</f>
        <v>0</v>
      </c>
      <c r="CS597">
        <f>IF(ISNUMBER(CP597),IFERROR(MAX(0,CP597-CD203),0),0)</f>
        <v>0</v>
      </c>
      <c r="CT597">
        <f>IF(ISNUMBER(CQ597),IFERROR(MAX(0,CE203-CQ597),0),0)</f>
        <v>0</v>
      </c>
      <c r="CU597">
        <f>IF(ISNUMBER(CQ597),IFERROR(MAX(0,CQ597-CE203),0),0)</f>
        <v>0</v>
      </c>
    </row>
    <row r="598" spans="87:99" x14ac:dyDescent="0.3">
      <c r="CI598" t="e">
        <f>AL204</f>
        <v>#N/A</v>
      </c>
      <c r="CJ598" t="e">
        <f>AM204</f>
        <v>#N/A</v>
      </c>
      <c r="CK598">
        <f>IF(ISNUMBER(CI598),IFERROR(MAX(0,AN204-CI598),0),0)</f>
        <v>0</v>
      </c>
      <c r="CL598">
        <f>IF(ISNUMBER(CI598),IFERROR(MAX(0,CI598-AN204),0),0)</f>
        <v>0</v>
      </c>
      <c r="CM598">
        <f>IF(ISNUMBER(CJ598),IFERROR(MAX(0,AO204-CJ598),0),0)</f>
        <v>0</v>
      </c>
      <c r="CN598">
        <f>IF(ISNUMBER(CJ598),IFERROR(MAX(0,CJ598-AO204),0),0)</f>
        <v>0</v>
      </c>
      <c r="CP598" t="e">
        <f>BT204</f>
        <v>#N/A</v>
      </c>
      <c r="CQ598" t="e">
        <f>BU204</f>
        <v>#N/A</v>
      </c>
      <c r="CR598">
        <f>IF(ISNUMBER(CP598),IFERROR(MAX(0,BV204-CP598),0),0)</f>
        <v>0</v>
      </c>
      <c r="CS598">
        <f>IF(ISNUMBER(CP598),IFERROR(MAX(0,CP598-BV204),0),0)</f>
        <v>0</v>
      </c>
      <c r="CT598">
        <f>IF(ISNUMBER(CQ598),IFERROR(MAX(0,BW204-CQ598),0),0)</f>
        <v>0</v>
      </c>
      <c r="CU598">
        <f>IF(ISNUMBER(CQ598),IFERROR(MAX(0,CQ598-BW204),0),0)</f>
        <v>0</v>
      </c>
    </row>
    <row r="599" spans="87:99" x14ac:dyDescent="0.3">
      <c r="CI599" t="e">
        <f>AP204</f>
        <v>#N/A</v>
      </c>
      <c r="CJ599" t="e">
        <f>AQ204</f>
        <v>#N/A</v>
      </c>
      <c r="CK599">
        <f>IF(ISNUMBER(CI599),IFERROR(MAX(0,AR204-CI599),0),0)</f>
        <v>0</v>
      </c>
      <c r="CL599">
        <f>IF(ISNUMBER(CI599),IFERROR(MAX(0,CI599-AR204),0),0)</f>
        <v>0</v>
      </c>
      <c r="CM599">
        <f>IF(ISNUMBER(CJ599),IFERROR(MAX(0,AS204-CJ599),0),0)</f>
        <v>0</v>
      </c>
      <c r="CN599">
        <f>IF(ISNUMBER(CJ599),IFERROR(MAX(0,CJ599-AS204),0),0)</f>
        <v>0</v>
      </c>
      <c r="CP599" t="e">
        <f>BX204</f>
        <v>#N/A</v>
      </c>
      <c r="CQ599" t="e">
        <f>BY204</f>
        <v>#N/A</v>
      </c>
      <c r="CR599">
        <f>IF(ISNUMBER(CP599),IFERROR(MAX(0,BZ204-CP599),0),0)</f>
        <v>0</v>
      </c>
      <c r="CS599">
        <f>IF(ISNUMBER(CP599),IFERROR(MAX(0,CP599-BZ204),0),0)</f>
        <v>0</v>
      </c>
      <c r="CT599">
        <f>IF(ISNUMBER(CQ599),IFERROR(MAX(0,CA204-CQ599),0),0)</f>
        <v>0</v>
      </c>
      <c r="CU599">
        <f>IF(ISNUMBER(CQ599),IFERROR(MAX(0,CQ599-CA204),0),0)</f>
        <v>0</v>
      </c>
    </row>
    <row r="600" spans="87:99" x14ac:dyDescent="0.3">
      <c r="CI600" t="e">
        <f>AT204</f>
        <v>#N/A</v>
      </c>
      <c r="CJ600" t="e">
        <f>AU204</f>
        <v>#N/A</v>
      </c>
      <c r="CK600">
        <f>IF(ISNUMBER(CI600),IFERROR(MAX(0,AV204-CI600),0),0)</f>
        <v>0</v>
      </c>
      <c r="CL600">
        <f>IF(ISNUMBER(CI600),IFERROR(MAX(0,CI600-AV204),0),0)</f>
        <v>0</v>
      </c>
      <c r="CM600">
        <f>IF(ISNUMBER(CJ600),IFERROR(MAX(0,AW204-CJ600),0),0)</f>
        <v>0</v>
      </c>
      <c r="CN600">
        <f>IF(ISNUMBER(CJ600),IFERROR(MAX(0,CJ600-AW204),0),0)</f>
        <v>0</v>
      </c>
      <c r="CP600" t="e">
        <f>CB204</f>
        <v>#N/A</v>
      </c>
      <c r="CQ600" t="e">
        <f>CC204</f>
        <v>#N/A</v>
      </c>
      <c r="CR600">
        <f>IF(ISNUMBER(CP600),IFERROR(MAX(0,CD204-CP600),0),0)</f>
        <v>0</v>
      </c>
      <c r="CS600">
        <f>IF(ISNUMBER(CP600),IFERROR(MAX(0,CP600-CD204),0),0)</f>
        <v>0</v>
      </c>
      <c r="CT600">
        <f>IF(ISNUMBER(CQ600),IFERROR(MAX(0,CE204-CQ600),0),0)</f>
        <v>0</v>
      </c>
      <c r="CU600">
        <f>IF(ISNUMBER(CQ600),IFERROR(MAX(0,CQ600-CE204),0),0)</f>
        <v>0</v>
      </c>
    </row>
    <row r="601" spans="87:99" x14ac:dyDescent="0.3">
      <c r="CI601" t="e">
        <f>AL205</f>
        <v>#N/A</v>
      </c>
      <c r="CJ601" t="e">
        <f>AM205</f>
        <v>#N/A</v>
      </c>
      <c r="CK601">
        <f>IF(ISNUMBER(CI601),IFERROR(MAX(0,AN205-CI601),0),0)</f>
        <v>0</v>
      </c>
      <c r="CL601">
        <f>IF(ISNUMBER(CI601),IFERROR(MAX(0,CI601-AN205),0),0)</f>
        <v>0</v>
      </c>
      <c r="CM601">
        <f>IF(ISNUMBER(CJ601),IFERROR(MAX(0,AO205-CJ601),0),0)</f>
        <v>0</v>
      </c>
      <c r="CN601">
        <f>IF(ISNUMBER(CJ601),IFERROR(MAX(0,CJ601-AO205),0),0)</f>
        <v>0</v>
      </c>
      <c r="CP601" t="e">
        <f>BT205</f>
        <v>#N/A</v>
      </c>
      <c r="CQ601" t="e">
        <f>BU205</f>
        <v>#N/A</v>
      </c>
      <c r="CR601">
        <f>IF(ISNUMBER(CP601),IFERROR(MAX(0,BV205-CP601),0),0)</f>
        <v>0</v>
      </c>
      <c r="CS601">
        <f>IF(ISNUMBER(CP601),IFERROR(MAX(0,CP601-BV205),0),0)</f>
        <v>0</v>
      </c>
      <c r="CT601">
        <f>IF(ISNUMBER(CQ601),IFERROR(MAX(0,BW205-CQ601),0),0)</f>
        <v>0</v>
      </c>
      <c r="CU601">
        <f>IF(ISNUMBER(CQ601),IFERROR(MAX(0,CQ601-BW205),0),0)</f>
        <v>0</v>
      </c>
    </row>
    <row r="602" spans="87:99" x14ac:dyDescent="0.3">
      <c r="CI602" t="e">
        <f>AP205</f>
        <v>#N/A</v>
      </c>
      <c r="CJ602" t="e">
        <f>AQ205</f>
        <v>#N/A</v>
      </c>
      <c r="CK602">
        <f>IF(ISNUMBER(CI602),IFERROR(MAX(0,AR205-CI602),0),0)</f>
        <v>0</v>
      </c>
      <c r="CL602">
        <f>IF(ISNUMBER(CI602),IFERROR(MAX(0,CI602-AR205),0),0)</f>
        <v>0</v>
      </c>
      <c r="CM602">
        <f>IF(ISNUMBER(CJ602),IFERROR(MAX(0,AS205-CJ602),0),0)</f>
        <v>0</v>
      </c>
      <c r="CN602">
        <f>IF(ISNUMBER(CJ602),IFERROR(MAX(0,CJ602-AS205),0),0)</f>
        <v>0</v>
      </c>
      <c r="CP602" t="e">
        <f>BX205</f>
        <v>#N/A</v>
      </c>
      <c r="CQ602" t="e">
        <f>BY205</f>
        <v>#N/A</v>
      </c>
      <c r="CR602">
        <f>IF(ISNUMBER(CP602),IFERROR(MAX(0,BZ205-CP602),0),0)</f>
        <v>0</v>
      </c>
      <c r="CS602">
        <f>IF(ISNUMBER(CP602),IFERROR(MAX(0,CP602-BZ205),0),0)</f>
        <v>0</v>
      </c>
      <c r="CT602">
        <f>IF(ISNUMBER(CQ602),IFERROR(MAX(0,CA205-CQ602),0),0)</f>
        <v>0</v>
      </c>
      <c r="CU602">
        <f>IF(ISNUMBER(CQ602),IFERROR(MAX(0,CQ602-CA205),0),0)</f>
        <v>0</v>
      </c>
    </row>
    <row r="603" spans="87:99" x14ac:dyDescent="0.3">
      <c r="CI603" t="e">
        <f>AT205</f>
        <v>#N/A</v>
      </c>
      <c r="CJ603" t="e">
        <f>AU205</f>
        <v>#N/A</v>
      </c>
      <c r="CK603">
        <f>IF(ISNUMBER(CI603),IFERROR(MAX(0,AV205-CI603),0),0)</f>
        <v>0</v>
      </c>
      <c r="CL603">
        <f>IF(ISNUMBER(CI603),IFERROR(MAX(0,CI603-AV205),0),0)</f>
        <v>0</v>
      </c>
      <c r="CM603">
        <f>IF(ISNUMBER(CJ603),IFERROR(MAX(0,AW205-CJ603),0),0)</f>
        <v>0</v>
      </c>
      <c r="CN603">
        <f>IF(ISNUMBER(CJ603),IFERROR(MAX(0,CJ603-AW205),0),0)</f>
        <v>0</v>
      </c>
      <c r="CP603" t="e">
        <f>CB205</f>
        <v>#N/A</v>
      </c>
      <c r="CQ603" t="e">
        <f>CC205</f>
        <v>#N/A</v>
      </c>
      <c r="CR603">
        <f>IF(ISNUMBER(CP603),IFERROR(MAX(0,CD205-CP603),0),0)</f>
        <v>0</v>
      </c>
      <c r="CS603">
        <f>IF(ISNUMBER(CP603),IFERROR(MAX(0,CP603-CD205),0),0)</f>
        <v>0</v>
      </c>
      <c r="CT603">
        <f>IF(ISNUMBER(CQ603),IFERROR(MAX(0,CE205-CQ603),0),0)</f>
        <v>0</v>
      </c>
      <c r="CU603">
        <f>IF(ISNUMBER(CQ603),IFERROR(MAX(0,CQ603-CE205),0),0)</f>
        <v>0</v>
      </c>
    </row>
    <row r="604" spans="87:99" x14ac:dyDescent="0.3">
      <c r="CI604" t="e">
        <f>AL206</f>
        <v>#N/A</v>
      </c>
      <c r="CJ604" t="e">
        <f>AM206</f>
        <v>#N/A</v>
      </c>
      <c r="CK604">
        <f>IF(ISNUMBER(CI604),IFERROR(MAX(0,AN206-CI604),0),0)</f>
        <v>0</v>
      </c>
      <c r="CL604">
        <f>IF(ISNUMBER(CI604),IFERROR(MAX(0,CI604-AN206),0),0)</f>
        <v>0</v>
      </c>
      <c r="CM604">
        <f>IF(ISNUMBER(CJ604),IFERROR(MAX(0,AO206-CJ604),0),0)</f>
        <v>0</v>
      </c>
      <c r="CN604">
        <f>IF(ISNUMBER(CJ604),IFERROR(MAX(0,CJ604-AO206),0),0)</f>
        <v>0</v>
      </c>
      <c r="CP604" t="e">
        <f>BT206</f>
        <v>#N/A</v>
      </c>
      <c r="CQ604" t="e">
        <f>BU206</f>
        <v>#N/A</v>
      </c>
      <c r="CR604">
        <f>IF(ISNUMBER(CP604),IFERROR(MAX(0,BV206-CP604),0),0)</f>
        <v>0</v>
      </c>
      <c r="CS604">
        <f>IF(ISNUMBER(CP604),IFERROR(MAX(0,CP604-BV206),0),0)</f>
        <v>0</v>
      </c>
      <c r="CT604">
        <f>IF(ISNUMBER(CQ604),IFERROR(MAX(0,BW206-CQ604),0),0)</f>
        <v>0</v>
      </c>
      <c r="CU604">
        <f>IF(ISNUMBER(CQ604),IFERROR(MAX(0,CQ604-BW206),0),0)</f>
        <v>0</v>
      </c>
    </row>
    <row r="605" spans="87:99" x14ac:dyDescent="0.3">
      <c r="CI605" t="e">
        <f>AP206</f>
        <v>#N/A</v>
      </c>
      <c r="CJ605" t="e">
        <f>AQ206</f>
        <v>#N/A</v>
      </c>
      <c r="CK605">
        <f>IF(ISNUMBER(CI605),IFERROR(MAX(0,AR206-CI605),0),0)</f>
        <v>0</v>
      </c>
      <c r="CL605">
        <f>IF(ISNUMBER(CI605),IFERROR(MAX(0,CI605-AR206),0),0)</f>
        <v>0</v>
      </c>
      <c r="CM605">
        <f>IF(ISNUMBER(CJ605),IFERROR(MAX(0,AS206-CJ605),0),0)</f>
        <v>0</v>
      </c>
      <c r="CN605">
        <f>IF(ISNUMBER(CJ605),IFERROR(MAX(0,CJ605-AS206),0),0)</f>
        <v>0</v>
      </c>
      <c r="CP605" t="e">
        <f>BX206</f>
        <v>#N/A</v>
      </c>
      <c r="CQ605" t="e">
        <f>BY206</f>
        <v>#N/A</v>
      </c>
      <c r="CR605">
        <f>IF(ISNUMBER(CP605),IFERROR(MAX(0,BZ206-CP605),0),0)</f>
        <v>0</v>
      </c>
      <c r="CS605">
        <f>IF(ISNUMBER(CP605),IFERROR(MAX(0,CP605-BZ206),0),0)</f>
        <v>0</v>
      </c>
      <c r="CT605">
        <f>IF(ISNUMBER(CQ605),IFERROR(MAX(0,CA206-CQ605),0),0)</f>
        <v>0</v>
      </c>
      <c r="CU605">
        <f>IF(ISNUMBER(CQ605),IFERROR(MAX(0,CQ605-CA206),0),0)</f>
        <v>0</v>
      </c>
    </row>
    <row r="606" spans="87:99" x14ac:dyDescent="0.3">
      <c r="CI606" t="e">
        <f>AT206</f>
        <v>#N/A</v>
      </c>
      <c r="CJ606" t="e">
        <f>AU206</f>
        <v>#N/A</v>
      </c>
      <c r="CK606">
        <f>IF(ISNUMBER(CI606),IFERROR(MAX(0,AV206-CI606),0),0)</f>
        <v>0</v>
      </c>
      <c r="CL606">
        <f>IF(ISNUMBER(CI606),IFERROR(MAX(0,CI606-AV206),0),0)</f>
        <v>0</v>
      </c>
      <c r="CM606">
        <f>IF(ISNUMBER(CJ606),IFERROR(MAX(0,AW206-CJ606),0),0)</f>
        <v>0</v>
      </c>
      <c r="CN606">
        <f>IF(ISNUMBER(CJ606),IFERROR(MAX(0,CJ606-AW206),0),0)</f>
        <v>0</v>
      </c>
      <c r="CP606" t="e">
        <f>CB206</f>
        <v>#N/A</v>
      </c>
      <c r="CQ606" t="e">
        <f>CC206</f>
        <v>#N/A</v>
      </c>
      <c r="CR606">
        <f>IF(ISNUMBER(CP606),IFERROR(MAX(0,CD206-CP606),0),0)</f>
        <v>0</v>
      </c>
      <c r="CS606">
        <f>IF(ISNUMBER(CP606),IFERROR(MAX(0,CP606-CD206),0),0)</f>
        <v>0</v>
      </c>
      <c r="CT606">
        <f>IF(ISNUMBER(CQ606),IFERROR(MAX(0,CE206-CQ606),0),0)</f>
        <v>0</v>
      </c>
      <c r="CU606">
        <f>IF(ISNUMBER(CQ606),IFERROR(MAX(0,CQ606-CE206),0),0)</f>
        <v>0</v>
      </c>
    </row>
    <row r="607" spans="87:99" x14ac:dyDescent="0.3">
      <c r="CI607" t="e">
        <f>AL207</f>
        <v>#N/A</v>
      </c>
      <c r="CJ607" t="e">
        <f>AM207</f>
        <v>#N/A</v>
      </c>
      <c r="CK607">
        <f>IF(ISNUMBER(CI607),IFERROR(MAX(0,AN207-CI607),0),0)</f>
        <v>0</v>
      </c>
      <c r="CL607">
        <f>IF(ISNUMBER(CI607),IFERROR(MAX(0,CI607-AN207),0),0)</f>
        <v>0</v>
      </c>
      <c r="CM607">
        <f>IF(ISNUMBER(CJ607),IFERROR(MAX(0,AO207-CJ607),0),0)</f>
        <v>0</v>
      </c>
      <c r="CN607">
        <f>IF(ISNUMBER(CJ607),IFERROR(MAX(0,CJ607-AO207),0),0)</f>
        <v>0</v>
      </c>
      <c r="CP607" t="e">
        <f>BT207</f>
        <v>#N/A</v>
      </c>
      <c r="CQ607" t="e">
        <f>BU207</f>
        <v>#N/A</v>
      </c>
      <c r="CR607">
        <f>IF(ISNUMBER(CP607),IFERROR(MAX(0,BV207-CP607),0),0)</f>
        <v>0</v>
      </c>
      <c r="CS607">
        <f>IF(ISNUMBER(CP607),IFERROR(MAX(0,CP607-BV207),0),0)</f>
        <v>0</v>
      </c>
      <c r="CT607">
        <f>IF(ISNUMBER(CQ607),IFERROR(MAX(0,BW207-CQ607),0),0)</f>
        <v>0</v>
      </c>
      <c r="CU607">
        <f>IF(ISNUMBER(CQ607),IFERROR(MAX(0,CQ607-BW207),0),0)</f>
        <v>0</v>
      </c>
    </row>
    <row r="608" spans="87:99" x14ac:dyDescent="0.3">
      <c r="CI608" t="e">
        <f>AP207</f>
        <v>#N/A</v>
      </c>
      <c r="CJ608" t="e">
        <f>AQ207</f>
        <v>#N/A</v>
      </c>
      <c r="CK608">
        <f>IF(ISNUMBER(CI608),IFERROR(MAX(0,AR207-CI608),0),0)</f>
        <v>0</v>
      </c>
      <c r="CL608">
        <f>IF(ISNUMBER(CI608),IFERROR(MAX(0,CI608-AR207),0),0)</f>
        <v>0</v>
      </c>
      <c r="CM608">
        <f>IF(ISNUMBER(CJ608),IFERROR(MAX(0,AS207-CJ608),0),0)</f>
        <v>0</v>
      </c>
      <c r="CN608">
        <f>IF(ISNUMBER(CJ608),IFERROR(MAX(0,CJ608-AS207),0),0)</f>
        <v>0</v>
      </c>
      <c r="CP608" t="e">
        <f>BX207</f>
        <v>#N/A</v>
      </c>
      <c r="CQ608" t="e">
        <f>BY207</f>
        <v>#N/A</v>
      </c>
      <c r="CR608">
        <f>IF(ISNUMBER(CP608),IFERROR(MAX(0,BZ207-CP608),0),0)</f>
        <v>0</v>
      </c>
      <c r="CS608">
        <f>IF(ISNUMBER(CP608),IFERROR(MAX(0,CP608-BZ207),0),0)</f>
        <v>0</v>
      </c>
      <c r="CT608">
        <f>IF(ISNUMBER(CQ608),IFERROR(MAX(0,CA207-CQ608),0),0)</f>
        <v>0</v>
      </c>
      <c r="CU608">
        <f>IF(ISNUMBER(CQ608),IFERROR(MAX(0,CQ608-CA207),0),0)</f>
        <v>0</v>
      </c>
    </row>
    <row r="609" spans="87:99" x14ac:dyDescent="0.3">
      <c r="CI609" t="e">
        <f>AT207</f>
        <v>#N/A</v>
      </c>
      <c r="CJ609" t="e">
        <f>AU207</f>
        <v>#N/A</v>
      </c>
      <c r="CK609">
        <f>IF(ISNUMBER(CI609),IFERROR(MAX(0,AV207-CI609),0),0)</f>
        <v>0</v>
      </c>
      <c r="CL609">
        <f>IF(ISNUMBER(CI609),IFERROR(MAX(0,CI609-AV207),0),0)</f>
        <v>0</v>
      </c>
      <c r="CM609">
        <f>IF(ISNUMBER(CJ609),IFERROR(MAX(0,AW207-CJ609),0),0)</f>
        <v>0</v>
      </c>
      <c r="CN609">
        <f>IF(ISNUMBER(CJ609),IFERROR(MAX(0,CJ609-AW207),0),0)</f>
        <v>0</v>
      </c>
      <c r="CP609" t="e">
        <f>CB207</f>
        <v>#N/A</v>
      </c>
      <c r="CQ609" t="e">
        <f>CC207</f>
        <v>#N/A</v>
      </c>
      <c r="CR609">
        <f>IF(ISNUMBER(CP609),IFERROR(MAX(0,CD207-CP609),0),0)</f>
        <v>0</v>
      </c>
      <c r="CS609">
        <f>IF(ISNUMBER(CP609),IFERROR(MAX(0,CP609-CD207),0),0)</f>
        <v>0</v>
      </c>
      <c r="CT609">
        <f>IF(ISNUMBER(CQ609),IFERROR(MAX(0,CE207-CQ609),0),0)</f>
        <v>0</v>
      </c>
      <c r="CU609">
        <f>IF(ISNUMBER(CQ609),IFERROR(MAX(0,CQ609-CE207),0),0)</f>
        <v>0</v>
      </c>
    </row>
    <row r="610" spans="87:99" x14ac:dyDescent="0.3">
      <c r="CI610" t="e">
        <f>AL208</f>
        <v>#N/A</v>
      </c>
      <c r="CJ610" t="e">
        <f>AM208</f>
        <v>#N/A</v>
      </c>
      <c r="CK610">
        <f>IF(ISNUMBER(CI610),IFERROR(MAX(0,AN208-CI610),0),0)</f>
        <v>0</v>
      </c>
      <c r="CL610">
        <f>IF(ISNUMBER(CI610),IFERROR(MAX(0,CI610-AN208),0),0)</f>
        <v>0</v>
      </c>
      <c r="CM610">
        <f>IF(ISNUMBER(CJ610),IFERROR(MAX(0,AO208-CJ610),0),0)</f>
        <v>0</v>
      </c>
      <c r="CN610">
        <f>IF(ISNUMBER(CJ610),IFERROR(MAX(0,CJ610-AO208),0),0)</f>
        <v>0</v>
      </c>
      <c r="CP610" t="e">
        <f>BT208</f>
        <v>#N/A</v>
      </c>
      <c r="CQ610" t="e">
        <f>BU208</f>
        <v>#N/A</v>
      </c>
      <c r="CR610">
        <f>IF(ISNUMBER(CP610),IFERROR(MAX(0,BV208-CP610),0),0)</f>
        <v>0</v>
      </c>
      <c r="CS610">
        <f>IF(ISNUMBER(CP610),IFERROR(MAX(0,CP610-BV208),0),0)</f>
        <v>0</v>
      </c>
      <c r="CT610">
        <f>IF(ISNUMBER(CQ610),IFERROR(MAX(0,BW208-CQ610),0),0)</f>
        <v>0</v>
      </c>
      <c r="CU610">
        <f>IF(ISNUMBER(CQ610),IFERROR(MAX(0,CQ610-BW208),0),0)</f>
        <v>0</v>
      </c>
    </row>
    <row r="611" spans="87:99" x14ac:dyDescent="0.3">
      <c r="CI611" t="e">
        <f>AP208</f>
        <v>#N/A</v>
      </c>
      <c r="CJ611" t="e">
        <f>AQ208</f>
        <v>#N/A</v>
      </c>
      <c r="CK611">
        <f>IF(ISNUMBER(CI611),IFERROR(MAX(0,AR208-CI611),0),0)</f>
        <v>0</v>
      </c>
      <c r="CL611">
        <f>IF(ISNUMBER(CI611),IFERROR(MAX(0,CI611-AR208),0),0)</f>
        <v>0</v>
      </c>
      <c r="CM611">
        <f>IF(ISNUMBER(CJ611),IFERROR(MAX(0,AS208-CJ611),0),0)</f>
        <v>0</v>
      </c>
      <c r="CN611">
        <f>IF(ISNUMBER(CJ611),IFERROR(MAX(0,CJ611-AS208),0),0)</f>
        <v>0</v>
      </c>
      <c r="CP611" t="e">
        <f>BX208</f>
        <v>#N/A</v>
      </c>
      <c r="CQ611" t="e">
        <f>BY208</f>
        <v>#N/A</v>
      </c>
      <c r="CR611">
        <f>IF(ISNUMBER(CP611),IFERROR(MAX(0,BZ208-CP611),0),0)</f>
        <v>0</v>
      </c>
      <c r="CS611">
        <f>IF(ISNUMBER(CP611),IFERROR(MAX(0,CP611-BZ208),0),0)</f>
        <v>0</v>
      </c>
      <c r="CT611">
        <f>IF(ISNUMBER(CQ611),IFERROR(MAX(0,CA208-CQ611),0),0)</f>
        <v>0</v>
      </c>
      <c r="CU611">
        <f>IF(ISNUMBER(CQ611),IFERROR(MAX(0,CQ611-CA208),0),0)</f>
        <v>0</v>
      </c>
    </row>
    <row r="612" spans="87:99" x14ac:dyDescent="0.3">
      <c r="CI612" t="e">
        <f>AT208</f>
        <v>#N/A</v>
      </c>
      <c r="CJ612" t="e">
        <f>AU208</f>
        <v>#N/A</v>
      </c>
      <c r="CK612">
        <f>IF(ISNUMBER(CI612),IFERROR(MAX(0,AV208-CI612),0),0)</f>
        <v>0</v>
      </c>
      <c r="CL612">
        <f>IF(ISNUMBER(CI612),IFERROR(MAX(0,CI612-AV208),0),0)</f>
        <v>0</v>
      </c>
      <c r="CM612">
        <f>IF(ISNUMBER(CJ612),IFERROR(MAX(0,AW208-CJ612),0),0)</f>
        <v>0</v>
      </c>
      <c r="CN612">
        <f>IF(ISNUMBER(CJ612),IFERROR(MAX(0,CJ612-AW208),0),0)</f>
        <v>0</v>
      </c>
      <c r="CP612" t="e">
        <f>CB208</f>
        <v>#N/A</v>
      </c>
      <c r="CQ612" t="e">
        <f>CC208</f>
        <v>#N/A</v>
      </c>
      <c r="CR612">
        <f>IF(ISNUMBER(CP612),IFERROR(MAX(0,CD208-CP612),0),0)</f>
        <v>0</v>
      </c>
      <c r="CS612">
        <f>IF(ISNUMBER(CP612),IFERROR(MAX(0,CP612-CD208),0),0)</f>
        <v>0</v>
      </c>
      <c r="CT612">
        <f>IF(ISNUMBER(CQ612),IFERROR(MAX(0,CE208-CQ612),0),0)</f>
        <v>0</v>
      </c>
      <c r="CU612">
        <f>IF(ISNUMBER(CQ612),IFERROR(MAX(0,CQ612-CE208),0),0)</f>
        <v>0</v>
      </c>
    </row>
    <row r="613" spans="87:99" x14ac:dyDescent="0.3">
      <c r="CI613" t="e">
        <f>AL209</f>
        <v>#N/A</v>
      </c>
      <c r="CJ613" t="e">
        <f>AM209</f>
        <v>#N/A</v>
      </c>
      <c r="CK613">
        <f>IF(ISNUMBER(CI613),IFERROR(MAX(0,AN209-CI613),0),0)</f>
        <v>0</v>
      </c>
      <c r="CL613">
        <f>IF(ISNUMBER(CI613),IFERROR(MAX(0,CI613-AN209),0),0)</f>
        <v>0</v>
      </c>
      <c r="CM613">
        <f>IF(ISNUMBER(CJ613),IFERROR(MAX(0,AO209-CJ613),0),0)</f>
        <v>0</v>
      </c>
      <c r="CN613">
        <f>IF(ISNUMBER(CJ613),IFERROR(MAX(0,CJ613-AO209),0),0)</f>
        <v>0</v>
      </c>
      <c r="CP613" t="e">
        <f>BT209</f>
        <v>#N/A</v>
      </c>
      <c r="CQ613" t="e">
        <f>BU209</f>
        <v>#N/A</v>
      </c>
      <c r="CR613">
        <f>IF(ISNUMBER(CP613),IFERROR(MAX(0,BV209-CP613),0),0)</f>
        <v>0</v>
      </c>
      <c r="CS613">
        <f>IF(ISNUMBER(CP613),IFERROR(MAX(0,CP613-BV209),0),0)</f>
        <v>0</v>
      </c>
      <c r="CT613">
        <f>IF(ISNUMBER(CQ613),IFERROR(MAX(0,BW209-CQ613),0),0)</f>
        <v>0</v>
      </c>
      <c r="CU613">
        <f>IF(ISNUMBER(CQ613),IFERROR(MAX(0,CQ613-BW209),0),0)</f>
        <v>0</v>
      </c>
    </row>
    <row r="614" spans="87:99" x14ac:dyDescent="0.3">
      <c r="CI614" t="e">
        <f>AP209</f>
        <v>#N/A</v>
      </c>
      <c r="CJ614" t="e">
        <f>AQ209</f>
        <v>#N/A</v>
      </c>
      <c r="CK614">
        <f>IF(ISNUMBER(CI614),IFERROR(MAX(0,AR209-CI614),0),0)</f>
        <v>0</v>
      </c>
      <c r="CL614">
        <f>IF(ISNUMBER(CI614),IFERROR(MAX(0,CI614-AR209),0),0)</f>
        <v>0</v>
      </c>
      <c r="CM614">
        <f>IF(ISNUMBER(CJ614),IFERROR(MAX(0,AS209-CJ614),0),0)</f>
        <v>0</v>
      </c>
      <c r="CN614">
        <f>IF(ISNUMBER(CJ614),IFERROR(MAX(0,CJ614-AS209),0),0)</f>
        <v>0</v>
      </c>
      <c r="CP614" t="e">
        <f>BX209</f>
        <v>#N/A</v>
      </c>
      <c r="CQ614" t="e">
        <f>BY209</f>
        <v>#N/A</v>
      </c>
      <c r="CR614">
        <f>IF(ISNUMBER(CP614),IFERROR(MAX(0,BZ209-CP614),0),0)</f>
        <v>0</v>
      </c>
      <c r="CS614">
        <f>IF(ISNUMBER(CP614),IFERROR(MAX(0,CP614-BZ209),0),0)</f>
        <v>0</v>
      </c>
      <c r="CT614">
        <f>IF(ISNUMBER(CQ614),IFERROR(MAX(0,CA209-CQ614),0),0)</f>
        <v>0</v>
      </c>
      <c r="CU614">
        <f>IF(ISNUMBER(CQ614),IFERROR(MAX(0,CQ614-CA209),0),0)</f>
        <v>0</v>
      </c>
    </row>
    <row r="615" spans="87:99" x14ac:dyDescent="0.3">
      <c r="CI615" t="e">
        <f>AT209</f>
        <v>#N/A</v>
      </c>
      <c r="CJ615" t="e">
        <f>AU209</f>
        <v>#N/A</v>
      </c>
      <c r="CK615">
        <f>IF(ISNUMBER(CI615),IFERROR(MAX(0,AV209-CI615),0),0)</f>
        <v>0</v>
      </c>
      <c r="CL615">
        <f>IF(ISNUMBER(CI615),IFERROR(MAX(0,CI615-AV209),0),0)</f>
        <v>0</v>
      </c>
      <c r="CM615">
        <f>IF(ISNUMBER(CJ615),IFERROR(MAX(0,AW209-CJ615),0),0)</f>
        <v>0</v>
      </c>
      <c r="CN615">
        <f>IF(ISNUMBER(CJ615),IFERROR(MAX(0,CJ615-AW209),0),0)</f>
        <v>0</v>
      </c>
      <c r="CP615" t="e">
        <f>CB209</f>
        <v>#N/A</v>
      </c>
      <c r="CQ615" t="e">
        <f>CC209</f>
        <v>#N/A</v>
      </c>
      <c r="CR615">
        <f>IF(ISNUMBER(CP615),IFERROR(MAX(0,CD209-CP615),0),0)</f>
        <v>0</v>
      </c>
      <c r="CS615">
        <f>IF(ISNUMBER(CP615),IFERROR(MAX(0,CP615-CD209),0),0)</f>
        <v>0</v>
      </c>
      <c r="CT615">
        <f>IF(ISNUMBER(CQ615),IFERROR(MAX(0,CE209-CQ615),0),0)</f>
        <v>0</v>
      </c>
      <c r="CU615">
        <f>IF(ISNUMBER(CQ615),IFERROR(MAX(0,CQ615-CE209),0),0)</f>
        <v>0</v>
      </c>
    </row>
    <row r="616" spans="87:99" x14ac:dyDescent="0.3">
      <c r="CI616" t="e">
        <f>AL210</f>
        <v>#N/A</v>
      </c>
      <c r="CJ616" t="e">
        <f>AM210</f>
        <v>#N/A</v>
      </c>
      <c r="CK616">
        <f>IF(ISNUMBER(CI616),IFERROR(MAX(0,AN210-CI616),0),0)</f>
        <v>0</v>
      </c>
      <c r="CL616">
        <f>IF(ISNUMBER(CI616),IFERROR(MAX(0,CI616-AN210),0),0)</f>
        <v>0</v>
      </c>
      <c r="CM616">
        <f>IF(ISNUMBER(CJ616),IFERROR(MAX(0,AO210-CJ616),0),0)</f>
        <v>0</v>
      </c>
      <c r="CN616">
        <f>IF(ISNUMBER(CJ616),IFERROR(MAX(0,CJ616-AO210),0),0)</f>
        <v>0</v>
      </c>
      <c r="CP616" t="e">
        <f>BT210</f>
        <v>#N/A</v>
      </c>
      <c r="CQ616" t="e">
        <f>BU210</f>
        <v>#N/A</v>
      </c>
      <c r="CR616">
        <f>IF(ISNUMBER(CP616),IFERROR(MAX(0,BV210-CP616),0),0)</f>
        <v>0</v>
      </c>
      <c r="CS616">
        <f>IF(ISNUMBER(CP616),IFERROR(MAX(0,CP616-BV210),0),0)</f>
        <v>0</v>
      </c>
      <c r="CT616">
        <f>IF(ISNUMBER(CQ616),IFERROR(MAX(0,BW210-CQ616),0),0)</f>
        <v>0</v>
      </c>
      <c r="CU616">
        <f>IF(ISNUMBER(CQ616),IFERROR(MAX(0,CQ616-BW210),0),0)</f>
        <v>0</v>
      </c>
    </row>
    <row r="617" spans="87:99" x14ac:dyDescent="0.3">
      <c r="CI617" t="e">
        <f>AP210</f>
        <v>#N/A</v>
      </c>
      <c r="CJ617" t="e">
        <f>AQ210</f>
        <v>#N/A</v>
      </c>
      <c r="CK617">
        <f>IF(ISNUMBER(CI617),IFERROR(MAX(0,AR210-CI617),0),0)</f>
        <v>0</v>
      </c>
      <c r="CL617">
        <f>IF(ISNUMBER(CI617),IFERROR(MAX(0,CI617-AR210),0),0)</f>
        <v>0</v>
      </c>
      <c r="CM617">
        <f>IF(ISNUMBER(CJ617),IFERROR(MAX(0,AS210-CJ617),0),0)</f>
        <v>0</v>
      </c>
      <c r="CN617">
        <f>IF(ISNUMBER(CJ617),IFERROR(MAX(0,CJ617-AS210),0),0)</f>
        <v>0</v>
      </c>
      <c r="CP617" t="e">
        <f>BX210</f>
        <v>#N/A</v>
      </c>
      <c r="CQ617" t="e">
        <f>BY210</f>
        <v>#N/A</v>
      </c>
      <c r="CR617">
        <f>IF(ISNUMBER(CP617),IFERROR(MAX(0,BZ210-CP617),0),0)</f>
        <v>0</v>
      </c>
      <c r="CS617">
        <f>IF(ISNUMBER(CP617),IFERROR(MAX(0,CP617-BZ210),0),0)</f>
        <v>0</v>
      </c>
      <c r="CT617">
        <f>IF(ISNUMBER(CQ617),IFERROR(MAX(0,CA210-CQ617),0),0)</f>
        <v>0</v>
      </c>
      <c r="CU617">
        <f>IF(ISNUMBER(CQ617),IFERROR(MAX(0,CQ617-CA210),0),0)</f>
        <v>0</v>
      </c>
    </row>
    <row r="618" spans="87:99" x14ac:dyDescent="0.3">
      <c r="CI618" t="e">
        <f>AT210</f>
        <v>#N/A</v>
      </c>
      <c r="CJ618" t="e">
        <f>AU210</f>
        <v>#N/A</v>
      </c>
      <c r="CK618">
        <f>IF(ISNUMBER(CI618),IFERROR(MAX(0,AV210-CI618),0),0)</f>
        <v>0</v>
      </c>
      <c r="CL618">
        <f>IF(ISNUMBER(CI618),IFERROR(MAX(0,CI618-AV210),0),0)</f>
        <v>0</v>
      </c>
      <c r="CM618">
        <f>IF(ISNUMBER(CJ618),IFERROR(MAX(0,AW210-CJ618),0),0)</f>
        <v>0</v>
      </c>
      <c r="CN618">
        <f>IF(ISNUMBER(CJ618),IFERROR(MAX(0,CJ618-AW210),0),0)</f>
        <v>0</v>
      </c>
      <c r="CP618" t="e">
        <f>CB210</f>
        <v>#N/A</v>
      </c>
      <c r="CQ618" t="e">
        <f>CC210</f>
        <v>#N/A</v>
      </c>
      <c r="CR618">
        <f>IF(ISNUMBER(CP618),IFERROR(MAX(0,CD210-CP618),0),0)</f>
        <v>0</v>
      </c>
      <c r="CS618">
        <f>IF(ISNUMBER(CP618),IFERROR(MAX(0,CP618-CD210),0),0)</f>
        <v>0</v>
      </c>
      <c r="CT618">
        <f>IF(ISNUMBER(CQ618),IFERROR(MAX(0,CE210-CQ618),0),0)</f>
        <v>0</v>
      </c>
      <c r="CU618">
        <f>IF(ISNUMBER(CQ618),IFERROR(MAX(0,CQ618-CE210),0),0)</f>
        <v>0</v>
      </c>
    </row>
    <row r="619" spans="87:99" x14ac:dyDescent="0.3">
      <c r="CI619" t="e">
        <f>AL211</f>
        <v>#N/A</v>
      </c>
      <c r="CJ619" t="e">
        <f>AM211</f>
        <v>#N/A</v>
      </c>
      <c r="CK619">
        <f>IF(ISNUMBER(CI619),IFERROR(MAX(0,AN211-CI619),0),0)</f>
        <v>0</v>
      </c>
      <c r="CL619">
        <f>IF(ISNUMBER(CI619),IFERROR(MAX(0,CI619-AN211),0),0)</f>
        <v>0</v>
      </c>
      <c r="CM619">
        <f>IF(ISNUMBER(CJ619),IFERROR(MAX(0,AO211-CJ619),0),0)</f>
        <v>0</v>
      </c>
      <c r="CN619">
        <f>IF(ISNUMBER(CJ619),IFERROR(MAX(0,CJ619-AO211),0),0)</f>
        <v>0</v>
      </c>
      <c r="CP619" t="e">
        <f>BT211</f>
        <v>#N/A</v>
      </c>
      <c r="CQ619" t="e">
        <f>BU211</f>
        <v>#N/A</v>
      </c>
      <c r="CR619">
        <f>IF(ISNUMBER(CP619),IFERROR(MAX(0,BV211-CP619),0),0)</f>
        <v>0</v>
      </c>
      <c r="CS619">
        <f>IF(ISNUMBER(CP619),IFERROR(MAX(0,CP619-BV211),0),0)</f>
        <v>0</v>
      </c>
      <c r="CT619">
        <f>IF(ISNUMBER(CQ619),IFERROR(MAX(0,BW211-CQ619),0),0)</f>
        <v>0</v>
      </c>
      <c r="CU619">
        <f>IF(ISNUMBER(CQ619),IFERROR(MAX(0,CQ619-BW211),0),0)</f>
        <v>0</v>
      </c>
    </row>
    <row r="620" spans="87:99" x14ac:dyDescent="0.3">
      <c r="CI620" t="e">
        <f>AP211</f>
        <v>#N/A</v>
      </c>
      <c r="CJ620" t="e">
        <f>AQ211</f>
        <v>#N/A</v>
      </c>
      <c r="CK620">
        <f>IF(ISNUMBER(CI620),IFERROR(MAX(0,AR211-CI620),0),0)</f>
        <v>0</v>
      </c>
      <c r="CL620">
        <f>IF(ISNUMBER(CI620),IFERROR(MAX(0,CI620-AR211),0),0)</f>
        <v>0</v>
      </c>
      <c r="CM620">
        <f>IF(ISNUMBER(CJ620),IFERROR(MAX(0,AS211-CJ620),0),0)</f>
        <v>0</v>
      </c>
      <c r="CN620">
        <f>IF(ISNUMBER(CJ620),IFERROR(MAX(0,CJ620-AS211),0),0)</f>
        <v>0</v>
      </c>
      <c r="CP620" t="e">
        <f>BX211</f>
        <v>#N/A</v>
      </c>
      <c r="CQ620" t="e">
        <f>BY211</f>
        <v>#N/A</v>
      </c>
      <c r="CR620">
        <f>IF(ISNUMBER(CP620),IFERROR(MAX(0,BZ211-CP620),0),0)</f>
        <v>0</v>
      </c>
      <c r="CS620">
        <f>IF(ISNUMBER(CP620),IFERROR(MAX(0,CP620-BZ211),0),0)</f>
        <v>0</v>
      </c>
      <c r="CT620">
        <f>IF(ISNUMBER(CQ620),IFERROR(MAX(0,CA211-CQ620),0),0)</f>
        <v>0</v>
      </c>
      <c r="CU620">
        <f>IF(ISNUMBER(CQ620),IFERROR(MAX(0,CQ620-CA211),0),0)</f>
        <v>0</v>
      </c>
    </row>
    <row r="621" spans="87:99" x14ac:dyDescent="0.3">
      <c r="CI621" t="e">
        <f>AT211</f>
        <v>#N/A</v>
      </c>
      <c r="CJ621" t="e">
        <f>AU211</f>
        <v>#N/A</v>
      </c>
      <c r="CK621">
        <f>IF(ISNUMBER(CI621),IFERROR(MAX(0,AV211-CI621),0),0)</f>
        <v>0</v>
      </c>
      <c r="CL621">
        <f>IF(ISNUMBER(CI621),IFERROR(MAX(0,CI621-AV211),0),0)</f>
        <v>0</v>
      </c>
      <c r="CM621">
        <f>IF(ISNUMBER(CJ621),IFERROR(MAX(0,AW211-CJ621),0),0)</f>
        <v>0</v>
      </c>
      <c r="CN621">
        <f>IF(ISNUMBER(CJ621),IFERROR(MAX(0,CJ621-AW211),0),0)</f>
        <v>0</v>
      </c>
      <c r="CP621" t="e">
        <f>CB211</f>
        <v>#N/A</v>
      </c>
      <c r="CQ621" t="e">
        <f>CC211</f>
        <v>#N/A</v>
      </c>
      <c r="CR621">
        <f>IF(ISNUMBER(CP621),IFERROR(MAX(0,CD211-CP621),0),0)</f>
        <v>0</v>
      </c>
      <c r="CS621">
        <f>IF(ISNUMBER(CP621),IFERROR(MAX(0,CP621-CD211),0),0)</f>
        <v>0</v>
      </c>
      <c r="CT621">
        <f>IF(ISNUMBER(CQ621),IFERROR(MAX(0,CE211-CQ621),0),0)</f>
        <v>0</v>
      </c>
      <c r="CU621">
        <f>IF(ISNUMBER(CQ621),IFERROR(MAX(0,CQ621-CE211),0),0)</f>
        <v>0</v>
      </c>
    </row>
    <row r="622" spans="87:99" x14ac:dyDescent="0.3">
      <c r="CI622" t="e">
        <f>AL212</f>
        <v>#N/A</v>
      </c>
      <c r="CJ622" t="e">
        <f>AM212</f>
        <v>#N/A</v>
      </c>
      <c r="CK622">
        <f>IF(ISNUMBER(CI622),IFERROR(MAX(0,AN212-CI622),0),0)</f>
        <v>0</v>
      </c>
      <c r="CL622">
        <f>IF(ISNUMBER(CI622),IFERROR(MAX(0,CI622-AN212),0),0)</f>
        <v>0</v>
      </c>
      <c r="CM622">
        <f>IF(ISNUMBER(CJ622),IFERROR(MAX(0,AO212-CJ622),0),0)</f>
        <v>0</v>
      </c>
      <c r="CN622">
        <f>IF(ISNUMBER(CJ622),IFERROR(MAX(0,CJ622-AO212),0),0)</f>
        <v>0</v>
      </c>
      <c r="CP622" t="e">
        <f>BT212</f>
        <v>#N/A</v>
      </c>
      <c r="CQ622" t="e">
        <f>BU212</f>
        <v>#N/A</v>
      </c>
      <c r="CR622">
        <f>IF(ISNUMBER(CP622),IFERROR(MAX(0,BV212-CP622),0),0)</f>
        <v>0</v>
      </c>
      <c r="CS622">
        <f>IF(ISNUMBER(CP622),IFERROR(MAX(0,CP622-BV212),0),0)</f>
        <v>0</v>
      </c>
      <c r="CT622">
        <f>IF(ISNUMBER(CQ622),IFERROR(MAX(0,BW212-CQ622),0),0)</f>
        <v>0</v>
      </c>
      <c r="CU622">
        <f>IF(ISNUMBER(CQ622),IFERROR(MAX(0,CQ622-BW212),0),0)</f>
        <v>0</v>
      </c>
    </row>
    <row r="623" spans="87:99" x14ac:dyDescent="0.3">
      <c r="CI623" t="e">
        <f>AP212</f>
        <v>#N/A</v>
      </c>
      <c r="CJ623" t="e">
        <f>AQ212</f>
        <v>#N/A</v>
      </c>
      <c r="CK623">
        <f>IF(ISNUMBER(CI623),IFERROR(MAX(0,AR212-CI623),0),0)</f>
        <v>0</v>
      </c>
      <c r="CL623">
        <f>IF(ISNUMBER(CI623),IFERROR(MAX(0,CI623-AR212),0),0)</f>
        <v>0</v>
      </c>
      <c r="CM623">
        <f>IF(ISNUMBER(CJ623),IFERROR(MAX(0,AS212-CJ623),0),0)</f>
        <v>0</v>
      </c>
      <c r="CN623">
        <f>IF(ISNUMBER(CJ623),IFERROR(MAX(0,CJ623-AS212),0),0)</f>
        <v>0</v>
      </c>
      <c r="CP623" t="e">
        <f>BX212</f>
        <v>#N/A</v>
      </c>
      <c r="CQ623" t="e">
        <f>BY212</f>
        <v>#N/A</v>
      </c>
      <c r="CR623">
        <f>IF(ISNUMBER(CP623),IFERROR(MAX(0,BZ212-CP623),0),0)</f>
        <v>0</v>
      </c>
      <c r="CS623">
        <f>IF(ISNUMBER(CP623),IFERROR(MAX(0,CP623-BZ212),0),0)</f>
        <v>0</v>
      </c>
      <c r="CT623">
        <f>IF(ISNUMBER(CQ623),IFERROR(MAX(0,CA212-CQ623),0),0)</f>
        <v>0</v>
      </c>
      <c r="CU623">
        <f>IF(ISNUMBER(CQ623),IFERROR(MAX(0,CQ623-CA212),0),0)</f>
        <v>0</v>
      </c>
    </row>
    <row r="624" spans="87:99" x14ac:dyDescent="0.3">
      <c r="CI624" t="e">
        <f>AT212</f>
        <v>#N/A</v>
      </c>
      <c r="CJ624" t="e">
        <f>AU212</f>
        <v>#N/A</v>
      </c>
      <c r="CK624">
        <f>IF(ISNUMBER(CI624),IFERROR(MAX(0,AV212-CI624),0),0)</f>
        <v>0</v>
      </c>
      <c r="CL624">
        <f>IF(ISNUMBER(CI624),IFERROR(MAX(0,CI624-AV212),0),0)</f>
        <v>0</v>
      </c>
      <c r="CM624">
        <f>IF(ISNUMBER(CJ624),IFERROR(MAX(0,AW212-CJ624),0),0)</f>
        <v>0</v>
      </c>
      <c r="CN624">
        <f>IF(ISNUMBER(CJ624),IFERROR(MAX(0,CJ624-AW212),0),0)</f>
        <v>0</v>
      </c>
      <c r="CP624" t="e">
        <f>CB212</f>
        <v>#N/A</v>
      </c>
      <c r="CQ624" t="e">
        <f>CC212</f>
        <v>#N/A</v>
      </c>
      <c r="CR624">
        <f>IF(ISNUMBER(CP624),IFERROR(MAX(0,CD212-CP624),0),0)</f>
        <v>0</v>
      </c>
      <c r="CS624">
        <f>IF(ISNUMBER(CP624),IFERROR(MAX(0,CP624-CD212),0),0)</f>
        <v>0</v>
      </c>
      <c r="CT624">
        <f>IF(ISNUMBER(CQ624),IFERROR(MAX(0,CE212-CQ624),0),0)</f>
        <v>0</v>
      </c>
      <c r="CU624">
        <f>IF(ISNUMBER(CQ624),IFERROR(MAX(0,CQ624-CE212),0),0)</f>
        <v>0</v>
      </c>
    </row>
    <row r="625" spans="87:99" x14ac:dyDescent="0.3">
      <c r="CI625" t="e">
        <f>AL213</f>
        <v>#N/A</v>
      </c>
      <c r="CJ625" t="e">
        <f>AM213</f>
        <v>#N/A</v>
      </c>
      <c r="CK625">
        <f>IF(ISNUMBER(CI625),IFERROR(MAX(0,AN213-CI625),0),0)</f>
        <v>0</v>
      </c>
      <c r="CL625">
        <f>IF(ISNUMBER(CI625),IFERROR(MAX(0,CI625-AN213),0),0)</f>
        <v>0</v>
      </c>
      <c r="CM625">
        <f>IF(ISNUMBER(CJ625),IFERROR(MAX(0,AO213-CJ625),0),0)</f>
        <v>0</v>
      </c>
      <c r="CN625">
        <f>IF(ISNUMBER(CJ625),IFERROR(MAX(0,CJ625-AO213),0),0)</f>
        <v>0</v>
      </c>
      <c r="CP625" t="e">
        <f>BT213</f>
        <v>#N/A</v>
      </c>
      <c r="CQ625" t="e">
        <f>BU213</f>
        <v>#N/A</v>
      </c>
      <c r="CR625">
        <f>IF(ISNUMBER(CP625),IFERROR(MAX(0,BV213-CP625),0),0)</f>
        <v>0</v>
      </c>
      <c r="CS625">
        <f>IF(ISNUMBER(CP625),IFERROR(MAX(0,CP625-BV213),0),0)</f>
        <v>0</v>
      </c>
      <c r="CT625">
        <f>IF(ISNUMBER(CQ625),IFERROR(MAX(0,BW213-CQ625),0),0)</f>
        <v>0</v>
      </c>
      <c r="CU625">
        <f>IF(ISNUMBER(CQ625),IFERROR(MAX(0,CQ625-BW213),0),0)</f>
        <v>0</v>
      </c>
    </row>
    <row r="626" spans="87:99" x14ac:dyDescent="0.3">
      <c r="CI626" t="e">
        <f>AP213</f>
        <v>#N/A</v>
      </c>
      <c r="CJ626" t="e">
        <f>AQ213</f>
        <v>#N/A</v>
      </c>
      <c r="CK626">
        <f>IF(ISNUMBER(CI626),IFERROR(MAX(0,AR213-CI626),0),0)</f>
        <v>0</v>
      </c>
      <c r="CL626">
        <f>IF(ISNUMBER(CI626),IFERROR(MAX(0,CI626-AR213),0),0)</f>
        <v>0</v>
      </c>
      <c r="CM626">
        <f>IF(ISNUMBER(CJ626),IFERROR(MAX(0,AS213-CJ626),0),0)</f>
        <v>0</v>
      </c>
      <c r="CN626">
        <f>IF(ISNUMBER(CJ626),IFERROR(MAX(0,CJ626-AS213),0),0)</f>
        <v>0</v>
      </c>
      <c r="CP626" t="e">
        <f>BX213</f>
        <v>#N/A</v>
      </c>
      <c r="CQ626" t="e">
        <f>BY213</f>
        <v>#N/A</v>
      </c>
      <c r="CR626">
        <f>IF(ISNUMBER(CP626),IFERROR(MAX(0,BZ213-CP626),0),0)</f>
        <v>0</v>
      </c>
      <c r="CS626">
        <f>IF(ISNUMBER(CP626),IFERROR(MAX(0,CP626-BZ213),0),0)</f>
        <v>0</v>
      </c>
      <c r="CT626">
        <f>IF(ISNUMBER(CQ626),IFERROR(MAX(0,CA213-CQ626),0),0)</f>
        <v>0</v>
      </c>
      <c r="CU626">
        <f>IF(ISNUMBER(CQ626),IFERROR(MAX(0,CQ626-CA213),0),0)</f>
        <v>0</v>
      </c>
    </row>
    <row r="627" spans="87:99" x14ac:dyDescent="0.3">
      <c r="CI627" t="e">
        <f>AT213</f>
        <v>#N/A</v>
      </c>
      <c r="CJ627" t="e">
        <f>AU213</f>
        <v>#N/A</v>
      </c>
      <c r="CK627">
        <f>IF(ISNUMBER(CI627),IFERROR(MAX(0,AV213-CI627),0),0)</f>
        <v>0</v>
      </c>
      <c r="CL627">
        <f>IF(ISNUMBER(CI627),IFERROR(MAX(0,CI627-AV213),0),0)</f>
        <v>0</v>
      </c>
      <c r="CM627">
        <f>IF(ISNUMBER(CJ627),IFERROR(MAX(0,AW213-CJ627),0),0)</f>
        <v>0</v>
      </c>
      <c r="CN627">
        <f>IF(ISNUMBER(CJ627),IFERROR(MAX(0,CJ627-AW213),0),0)</f>
        <v>0</v>
      </c>
      <c r="CP627" t="e">
        <f>CB213</f>
        <v>#N/A</v>
      </c>
      <c r="CQ627" t="e">
        <f>CC213</f>
        <v>#N/A</v>
      </c>
      <c r="CR627">
        <f>IF(ISNUMBER(CP627),IFERROR(MAX(0,CD213-CP627),0),0)</f>
        <v>0</v>
      </c>
      <c r="CS627">
        <f>IF(ISNUMBER(CP627),IFERROR(MAX(0,CP627-CD213),0),0)</f>
        <v>0</v>
      </c>
      <c r="CT627">
        <f>IF(ISNUMBER(CQ627),IFERROR(MAX(0,CE213-CQ627),0),0)</f>
        <v>0</v>
      </c>
      <c r="CU627">
        <f>IF(ISNUMBER(CQ627),IFERROR(MAX(0,CQ627-CE213),0),0)</f>
        <v>0</v>
      </c>
    </row>
    <row r="628" spans="87:99" x14ac:dyDescent="0.3">
      <c r="CI628" t="e">
        <f>AL214</f>
        <v>#N/A</v>
      </c>
      <c r="CJ628" t="e">
        <f>AM214</f>
        <v>#N/A</v>
      </c>
      <c r="CK628">
        <f>IF(ISNUMBER(CI628),IFERROR(MAX(0,AN214-CI628),0),0)</f>
        <v>0</v>
      </c>
      <c r="CL628">
        <f>IF(ISNUMBER(CI628),IFERROR(MAX(0,CI628-AN214),0),0)</f>
        <v>0</v>
      </c>
      <c r="CM628">
        <f>IF(ISNUMBER(CJ628),IFERROR(MAX(0,AO214-CJ628),0),0)</f>
        <v>0</v>
      </c>
      <c r="CN628">
        <f>IF(ISNUMBER(CJ628),IFERROR(MAX(0,CJ628-AO214),0),0)</f>
        <v>0</v>
      </c>
      <c r="CP628" t="e">
        <f>BT214</f>
        <v>#N/A</v>
      </c>
      <c r="CQ628" t="e">
        <f>BU214</f>
        <v>#N/A</v>
      </c>
      <c r="CR628">
        <f>IF(ISNUMBER(CP628),IFERROR(MAX(0,BV214-CP628),0),0)</f>
        <v>0</v>
      </c>
      <c r="CS628">
        <f>IF(ISNUMBER(CP628),IFERROR(MAX(0,CP628-BV214),0),0)</f>
        <v>0</v>
      </c>
      <c r="CT628">
        <f>IF(ISNUMBER(CQ628),IFERROR(MAX(0,BW214-CQ628),0),0)</f>
        <v>0</v>
      </c>
      <c r="CU628">
        <f>IF(ISNUMBER(CQ628),IFERROR(MAX(0,CQ628-BW214),0),0)</f>
        <v>0</v>
      </c>
    </row>
    <row r="629" spans="87:99" x14ac:dyDescent="0.3">
      <c r="CI629" t="e">
        <f>AP214</f>
        <v>#N/A</v>
      </c>
      <c r="CJ629" t="e">
        <f>AQ214</f>
        <v>#N/A</v>
      </c>
      <c r="CK629">
        <f>IF(ISNUMBER(CI629),IFERROR(MAX(0,AR214-CI629),0),0)</f>
        <v>0</v>
      </c>
      <c r="CL629">
        <f>IF(ISNUMBER(CI629),IFERROR(MAX(0,CI629-AR214),0),0)</f>
        <v>0</v>
      </c>
      <c r="CM629">
        <f>IF(ISNUMBER(CJ629),IFERROR(MAX(0,AS214-CJ629),0),0)</f>
        <v>0</v>
      </c>
      <c r="CN629">
        <f>IF(ISNUMBER(CJ629),IFERROR(MAX(0,CJ629-AS214),0),0)</f>
        <v>0</v>
      </c>
      <c r="CP629" t="e">
        <f>BX214</f>
        <v>#N/A</v>
      </c>
      <c r="CQ629" t="e">
        <f>BY214</f>
        <v>#N/A</v>
      </c>
      <c r="CR629">
        <f>IF(ISNUMBER(CP629),IFERROR(MAX(0,BZ214-CP629),0),0)</f>
        <v>0</v>
      </c>
      <c r="CS629">
        <f>IF(ISNUMBER(CP629),IFERROR(MAX(0,CP629-BZ214),0),0)</f>
        <v>0</v>
      </c>
      <c r="CT629">
        <f>IF(ISNUMBER(CQ629),IFERROR(MAX(0,CA214-CQ629),0),0)</f>
        <v>0</v>
      </c>
      <c r="CU629">
        <f>IF(ISNUMBER(CQ629),IFERROR(MAX(0,CQ629-CA214),0),0)</f>
        <v>0</v>
      </c>
    </row>
    <row r="630" spans="87:99" x14ac:dyDescent="0.3">
      <c r="CI630" t="e">
        <f>AT214</f>
        <v>#N/A</v>
      </c>
      <c r="CJ630" t="e">
        <f>AU214</f>
        <v>#N/A</v>
      </c>
      <c r="CK630">
        <f>IF(ISNUMBER(CI630),IFERROR(MAX(0,AV214-CI630),0),0)</f>
        <v>0</v>
      </c>
      <c r="CL630">
        <f>IF(ISNUMBER(CI630),IFERROR(MAX(0,CI630-AV214),0),0)</f>
        <v>0</v>
      </c>
      <c r="CM630">
        <f>IF(ISNUMBER(CJ630),IFERROR(MAX(0,AW214-CJ630),0),0)</f>
        <v>0</v>
      </c>
      <c r="CN630">
        <f>IF(ISNUMBER(CJ630),IFERROR(MAX(0,CJ630-AW214),0),0)</f>
        <v>0</v>
      </c>
      <c r="CP630" t="e">
        <f>CB214</f>
        <v>#N/A</v>
      </c>
      <c r="CQ630" t="e">
        <f>CC214</f>
        <v>#N/A</v>
      </c>
      <c r="CR630">
        <f>IF(ISNUMBER(CP630),IFERROR(MAX(0,CD214-CP630),0),0)</f>
        <v>0</v>
      </c>
      <c r="CS630">
        <f>IF(ISNUMBER(CP630),IFERROR(MAX(0,CP630-CD214),0),0)</f>
        <v>0</v>
      </c>
      <c r="CT630">
        <f>IF(ISNUMBER(CQ630),IFERROR(MAX(0,CE214-CQ630),0),0)</f>
        <v>0</v>
      </c>
      <c r="CU630">
        <f>IF(ISNUMBER(CQ630),IFERROR(MAX(0,CQ630-CE214),0),0)</f>
        <v>0</v>
      </c>
    </row>
    <row r="631" spans="87:99" x14ac:dyDescent="0.3">
      <c r="CI631" t="e">
        <f>AL215</f>
        <v>#N/A</v>
      </c>
      <c r="CJ631" t="e">
        <f>AM215</f>
        <v>#N/A</v>
      </c>
      <c r="CK631">
        <f>IF(ISNUMBER(CI631),IFERROR(MAX(0,AN215-CI631),0),0)</f>
        <v>0</v>
      </c>
      <c r="CL631">
        <f>IF(ISNUMBER(CI631),IFERROR(MAX(0,CI631-AN215),0),0)</f>
        <v>0</v>
      </c>
      <c r="CM631">
        <f>IF(ISNUMBER(CJ631),IFERROR(MAX(0,AO215-CJ631),0),0)</f>
        <v>0</v>
      </c>
      <c r="CN631">
        <f>IF(ISNUMBER(CJ631),IFERROR(MAX(0,CJ631-AO215),0),0)</f>
        <v>0</v>
      </c>
      <c r="CP631" t="e">
        <f>BT215</f>
        <v>#N/A</v>
      </c>
      <c r="CQ631" t="e">
        <f>BU215</f>
        <v>#N/A</v>
      </c>
      <c r="CR631">
        <f>IF(ISNUMBER(CP631),IFERROR(MAX(0,BV215-CP631),0),0)</f>
        <v>0</v>
      </c>
      <c r="CS631">
        <f>IF(ISNUMBER(CP631),IFERROR(MAX(0,CP631-BV215),0),0)</f>
        <v>0</v>
      </c>
      <c r="CT631">
        <f>IF(ISNUMBER(CQ631),IFERROR(MAX(0,BW215-CQ631),0),0)</f>
        <v>0</v>
      </c>
      <c r="CU631">
        <f>IF(ISNUMBER(CQ631),IFERROR(MAX(0,CQ631-BW215),0),0)</f>
        <v>0</v>
      </c>
    </row>
    <row r="632" spans="87:99" x14ac:dyDescent="0.3">
      <c r="CI632" t="e">
        <f>AP215</f>
        <v>#N/A</v>
      </c>
      <c r="CJ632" t="e">
        <f>AQ215</f>
        <v>#N/A</v>
      </c>
      <c r="CK632">
        <f>IF(ISNUMBER(CI632),IFERROR(MAX(0,AR215-CI632),0),0)</f>
        <v>0</v>
      </c>
      <c r="CL632">
        <f>IF(ISNUMBER(CI632),IFERROR(MAX(0,CI632-AR215),0),0)</f>
        <v>0</v>
      </c>
      <c r="CM632">
        <f>IF(ISNUMBER(CJ632),IFERROR(MAX(0,AS215-CJ632),0),0)</f>
        <v>0</v>
      </c>
      <c r="CN632">
        <f>IF(ISNUMBER(CJ632),IFERROR(MAX(0,CJ632-AS215),0),0)</f>
        <v>0</v>
      </c>
      <c r="CP632" t="e">
        <f>BX215</f>
        <v>#N/A</v>
      </c>
      <c r="CQ632" t="e">
        <f>BY215</f>
        <v>#N/A</v>
      </c>
      <c r="CR632">
        <f>IF(ISNUMBER(CP632),IFERROR(MAX(0,BZ215-CP632),0),0)</f>
        <v>0</v>
      </c>
      <c r="CS632">
        <f>IF(ISNUMBER(CP632),IFERROR(MAX(0,CP632-BZ215),0),0)</f>
        <v>0</v>
      </c>
      <c r="CT632">
        <f>IF(ISNUMBER(CQ632),IFERROR(MAX(0,CA215-CQ632),0),0)</f>
        <v>0</v>
      </c>
      <c r="CU632">
        <f>IF(ISNUMBER(CQ632),IFERROR(MAX(0,CQ632-CA215),0),0)</f>
        <v>0</v>
      </c>
    </row>
    <row r="633" spans="87:99" x14ac:dyDescent="0.3">
      <c r="CI633" t="e">
        <f>AT215</f>
        <v>#N/A</v>
      </c>
      <c r="CJ633" t="e">
        <f>AU215</f>
        <v>#N/A</v>
      </c>
      <c r="CK633">
        <f>IF(ISNUMBER(CI633),IFERROR(MAX(0,AV215-CI633),0),0)</f>
        <v>0</v>
      </c>
      <c r="CL633">
        <f>IF(ISNUMBER(CI633),IFERROR(MAX(0,CI633-AV215),0),0)</f>
        <v>0</v>
      </c>
      <c r="CM633">
        <f>IF(ISNUMBER(CJ633),IFERROR(MAX(0,AW215-CJ633),0),0)</f>
        <v>0</v>
      </c>
      <c r="CN633">
        <f>IF(ISNUMBER(CJ633),IFERROR(MAX(0,CJ633-AW215),0),0)</f>
        <v>0</v>
      </c>
      <c r="CP633" t="e">
        <f>CB215</f>
        <v>#N/A</v>
      </c>
      <c r="CQ633" t="e">
        <f>CC215</f>
        <v>#N/A</v>
      </c>
      <c r="CR633">
        <f>IF(ISNUMBER(CP633),IFERROR(MAX(0,CD215-CP633),0),0)</f>
        <v>0</v>
      </c>
      <c r="CS633">
        <f>IF(ISNUMBER(CP633),IFERROR(MAX(0,CP633-CD215),0),0)</f>
        <v>0</v>
      </c>
      <c r="CT633">
        <f>IF(ISNUMBER(CQ633),IFERROR(MAX(0,CE215-CQ633),0),0)</f>
        <v>0</v>
      </c>
      <c r="CU633">
        <f>IF(ISNUMBER(CQ633),IFERROR(MAX(0,CQ633-CE215),0),0)</f>
        <v>0</v>
      </c>
    </row>
    <row r="634" spans="87:99" x14ac:dyDescent="0.3">
      <c r="CI634" t="e">
        <f>AL216</f>
        <v>#N/A</v>
      </c>
      <c r="CJ634" t="e">
        <f>AM216</f>
        <v>#N/A</v>
      </c>
      <c r="CK634">
        <f>IF(ISNUMBER(CI634),IFERROR(MAX(0,AN216-CI634),0),0)</f>
        <v>0</v>
      </c>
      <c r="CL634">
        <f>IF(ISNUMBER(CI634),IFERROR(MAX(0,CI634-AN216),0),0)</f>
        <v>0</v>
      </c>
      <c r="CM634">
        <f>IF(ISNUMBER(CJ634),IFERROR(MAX(0,AO216-CJ634),0),0)</f>
        <v>0</v>
      </c>
      <c r="CN634">
        <f>IF(ISNUMBER(CJ634),IFERROR(MAX(0,CJ634-AO216),0),0)</f>
        <v>0</v>
      </c>
      <c r="CP634" t="e">
        <f>BT216</f>
        <v>#N/A</v>
      </c>
      <c r="CQ634" t="e">
        <f>BU216</f>
        <v>#N/A</v>
      </c>
      <c r="CR634">
        <f>IF(ISNUMBER(CP634),IFERROR(MAX(0,BV216-CP634),0),0)</f>
        <v>0</v>
      </c>
      <c r="CS634">
        <f>IF(ISNUMBER(CP634),IFERROR(MAX(0,CP634-BV216),0),0)</f>
        <v>0</v>
      </c>
      <c r="CT634">
        <f>IF(ISNUMBER(CQ634),IFERROR(MAX(0,BW216-CQ634),0),0)</f>
        <v>0</v>
      </c>
      <c r="CU634">
        <f>IF(ISNUMBER(CQ634),IFERROR(MAX(0,CQ634-BW216),0),0)</f>
        <v>0</v>
      </c>
    </row>
    <row r="635" spans="87:99" x14ac:dyDescent="0.3">
      <c r="CI635" t="e">
        <f>AP216</f>
        <v>#N/A</v>
      </c>
      <c r="CJ635" t="e">
        <f>AQ216</f>
        <v>#N/A</v>
      </c>
      <c r="CK635">
        <f>IF(ISNUMBER(CI635),IFERROR(MAX(0,AR216-CI635),0),0)</f>
        <v>0</v>
      </c>
      <c r="CL635">
        <f>IF(ISNUMBER(CI635),IFERROR(MAX(0,CI635-AR216),0),0)</f>
        <v>0</v>
      </c>
      <c r="CM635">
        <f>IF(ISNUMBER(CJ635),IFERROR(MAX(0,AS216-CJ635),0),0)</f>
        <v>0</v>
      </c>
      <c r="CN635">
        <f>IF(ISNUMBER(CJ635),IFERROR(MAX(0,CJ635-AS216),0),0)</f>
        <v>0</v>
      </c>
      <c r="CP635" t="e">
        <f>BX216</f>
        <v>#N/A</v>
      </c>
      <c r="CQ635" t="e">
        <f>BY216</f>
        <v>#N/A</v>
      </c>
      <c r="CR635">
        <f>IF(ISNUMBER(CP635),IFERROR(MAX(0,BZ216-CP635),0),0)</f>
        <v>0</v>
      </c>
      <c r="CS635">
        <f>IF(ISNUMBER(CP635),IFERROR(MAX(0,CP635-BZ216),0),0)</f>
        <v>0</v>
      </c>
      <c r="CT635">
        <f>IF(ISNUMBER(CQ635),IFERROR(MAX(0,CA216-CQ635),0),0)</f>
        <v>0</v>
      </c>
      <c r="CU635">
        <f>IF(ISNUMBER(CQ635),IFERROR(MAX(0,CQ635-CA216),0),0)</f>
        <v>0</v>
      </c>
    </row>
    <row r="636" spans="87:99" x14ac:dyDescent="0.3">
      <c r="CI636" t="e">
        <f>AT216</f>
        <v>#N/A</v>
      </c>
      <c r="CJ636" t="e">
        <f>AU216</f>
        <v>#N/A</v>
      </c>
      <c r="CK636">
        <f>IF(ISNUMBER(CI636),IFERROR(MAX(0,AV216-CI636),0),0)</f>
        <v>0</v>
      </c>
      <c r="CL636">
        <f>IF(ISNUMBER(CI636),IFERROR(MAX(0,CI636-AV216),0),0)</f>
        <v>0</v>
      </c>
      <c r="CM636">
        <f>IF(ISNUMBER(CJ636),IFERROR(MAX(0,AW216-CJ636),0),0)</f>
        <v>0</v>
      </c>
      <c r="CN636">
        <f>IF(ISNUMBER(CJ636),IFERROR(MAX(0,CJ636-AW216),0),0)</f>
        <v>0</v>
      </c>
      <c r="CP636" t="e">
        <f>CB216</f>
        <v>#N/A</v>
      </c>
      <c r="CQ636" t="e">
        <f>CC216</f>
        <v>#N/A</v>
      </c>
      <c r="CR636">
        <f>IF(ISNUMBER(CP636),IFERROR(MAX(0,CD216-CP636),0),0)</f>
        <v>0</v>
      </c>
      <c r="CS636">
        <f>IF(ISNUMBER(CP636),IFERROR(MAX(0,CP636-CD216),0),0)</f>
        <v>0</v>
      </c>
      <c r="CT636">
        <f>IF(ISNUMBER(CQ636),IFERROR(MAX(0,CE216-CQ636),0),0)</f>
        <v>0</v>
      </c>
      <c r="CU636">
        <f>IF(ISNUMBER(CQ636),IFERROR(MAX(0,CQ636-CE216),0),0)</f>
        <v>0</v>
      </c>
    </row>
    <row r="637" spans="87:99" x14ac:dyDescent="0.3">
      <c r="CI637" t="e">
        <f>AL217</f>
        <v>#N/A</v>
      </c>
      <c r="CJ637" t="e">
        <f>AM217</f>
        <v>#N/A</v>
      </c>
      <c r="CK637">
        <f>IF(ISNUMBER(CI637),IFERROR(MAX(0,AN217-CI637),0),0)</f>
        <v>0</v>
      </c>
      <c r="CL637">
        <f>IF(ISNUMBER(CI637),IFERROR(MAX(0,CI637-AN217),0),0)</f>
        <v>0</v>
      </c>
      <c r="CM637">
        <f>IF(ISNUMBER(CJ637),IFERROR(MAX(0,AO217-CJ637),0),0)</f>
        <v>0</v>
      </c>
      <c r="CN637">
        <f>IF(ISNUMBER(CJ637),IFERROR(MAX(0,CJ637-AO217),0),0)</f>
        <v>0</v>
      </c>
      <c r="CP637" t="e">
        <f>BT217</f>
        <v>#N/A</v>
      </c>
      <c r="CQ637" t="e">
        <f>BU217</f>
        <v>#N/A</v>
      </c>
      <c r="CR637">
        <f>IF(ISNUMBER(CP637),IFERROR(MAX(0,BV217-CP637),0),0)</f>
        <v>0</v>
      </c>
      <c r="CS637">
        <f>IF(ISNUMBER(CP637),IFERROR(MAX(0,CP637-BV217),0),0)</f>
        <v>0</v>
      </c>
      <c r="CT637">
        <f>IF(ISNUMBER(CQ637),IFERROR(MAX(0,BW217-CQ637),0),0)</f>
        <v>0</v>
      </c>
      <c r="CU637">
        <f>IF(ISNUMBER(CQ637),IFERROR(MAX(0,CQ637-BW217),0),0)</f>
        <v>0</v>
      </c>
    </row>
    <row r="638" spans="87:99" x14ac:dyDescent="0.3">
      <c r="CI638" t="e">
        <f>AP217</f>
        <v>#N/A</v>
      </c>
      <c r="CJ638" t="e">
        <f>AQ217</f>
        <v>#N/A</v>
      </c>
      <c r="CK638">
        <f>IF(ISNUMBER(CI638),IFERROR(MAX(0,AR217-CI638),0),0)</f>
        <v>0</v>
      </c>
      <c r="CL638">
        <f>IF(ISNUMBER(CI638),IFERROR(MAX(0,CI638-AR217),0),0)</f>
        <v>0</v>
      </c>
      <c r="CM638">
        <f>IF(ISNUMBER(CJ638),IFERROR(MAX(0,AS217-CJ638),0),0)</f>
        <v>0</v>
      </c>
      <c r="CN638">
        <f>IF(ISNUMBER(CJ638),IFERROR(MAX(0,CJ638-AS217),0),0)</f>
        <v>0</v>
      </c>
      <c r="CP638" t="e">
        <f>BX217</f>
        <v>#N/A</v>
      </c>
      <c r="CQ638" t="e">
        <f>BY217</f>
        <v>#N/A</v>
      </c>
      <c r="CR638">
        <f>IF(ISNUMBER(CP638),IFERROR(MAX(0,BZ217-CP638),0),0)</f>
        <v>0</v>
      </c>
      <c r="CS638">
        <f>IF(ISNUMBER(CP638),IFERROR(MAX(0,CP638-BZ217),0),0)</f>
        <v>0</v>
      </c>
      <c r="CT638">
        <f>IF(ISNUMBER(CQ638),IFERROR(MAX(0,CA217-CQ638),0),0)</f>
        <v>0</v>
      </c>
      <c r="CU638">
        <f>IF(ISNUMBER(CQ638),IFERROR(MAX(0,CQ638-CA217),0),0)</f>
        <v>0</v>
      </c>
    </row>
    <row r="639" spans="87:99" x14ac:dyDescent="0.3">
      <c r="CI639" t="e">
        <f>AT217</f>
        <v>#N/A</v>
      </c>
      <c r="CJ639" t="e">
        <f>AU217</f>
        <v>#N/A</v>
      </c>
      <c r="CK639">
        <f>IF(ISNUMBER(CI639),IFERROR(MAX(0,AV217-CI639),0),0)</f>
        <v>0</v>
      </c>
      <c r="CL639">
        <f>IF(ISNUMBER(CI639),IFERROR(MAX(0,CI639-AV217),0),0)</f>
        <v>0</v>
      </c>
      <c r="CM639">
        <f>IF(ISNUMBER(CJ639),IFERROR(MAX(0,AW217-CJ639),0),0)</f>
        <v>0</v>
      </c>
      <c r="CN639">
        <f>IF(ISNUMBER(CJ639),IFERROR(MAX(0,CJ639-AW217),0),0)</f>
        <v>0</v>
      </c>
      <c r="CP639" t="e">
        <f>CB217</f>
        <v>#N/A</v>
      </c>
      <c r="CQ639" t="e">
        <f>CC217</f>
        <v>#N/A</v>
      </c>
      <c r="CR639">
        <f>IF(ISNUMBER(CP639),IFERROR(MAX(0,CD217-CP639),0),0)</f>
        <v>0</v>
      </c>
      <c r="CS639">
        <f>IF(ISNUMBER(CP639),IFERROR(MAX(0,CP639-CD217),0),0)</f>
        <v>0</v>
      </c>
      <c r="CT639">
        <f>IF(ISNUMBER(CQ639),IFERROR(MAX(0,CE217-CQ639),0),0)</f>
        <v>0</v>
      </c>
      <c r="CU639">
        <f>IF(ISNUMBER(CQ639),IFERROR(MAX(0,CQ639-CE217),0),0)</f>
        <v>0</v>
      </c>
    </row>
    <row r="640" spans="87:99" x14ac:dyDescent="0.3">
      <c r="CI640" t="e">
        <f>AL218</f>
        <v>#N/A</v>
      </c>
      <c r="CJ640" t="e">
        <f>AM218</f>
        <v>#N/A</v>
      </c>
      <c r="CK640">
        <f>IF(ISNUMBER(CI640),IFERROR(MAX(0,AN218-CI640),0),0)</f>
        <v>0</v>
      </c>
      <c r="CL640">
        <f>IF(ISNUMBER(CI640),IFERROR(MAX(0,CI640-AN218),0),0)</f>
        <v>0</v>
      </c>
      <c r="CM640">
        <f>IF(ISNUMBER(CJ640),IFERROR(MAX(0,AO218-CJ640),0),0)</f>
        <v>0</v>
      </c>
      <c r="CN640">
        <f>IF(ISNUMBER(CJ640),IFERROR(MAX(0,CJ640-AO218),0),0)</f>
        <v>0</v>
      </c>
      <c r="CP640" t="e">
        <f>BT218</f>
        <v>#N/A</v>
      </c>
      <c r="CQ640" t="e">
        <f>BU218</f>
        <v>#N/A</v>
      </c>
      <c r="CR640">
        <f>IF(ISNUMBER(CP640),IFERROR(MAX(0,BV218-CP640),0),0)</f>
        <v>0</v>
      </c>
      <c r="CS640">
        <f>IF(ISNUMBER(CP640),IFERROR(MAX(0,CP640-BV218),0),0)</f>
        <v>0</v>
      </c>
      <c r="CT640">
        <f>IF(ISNUMBER(CQ640),IFERROR(MAX(0,BW218-CQ640),0),0)</f>
        <v>0</v>
      </c>
      <c r="CU640">
        <f>IF(ISNUMBER(CQ640),IFERROR(MAX(0,CQ640-BW218),0),0)</f>
        <v>0</v>
      </c>
    </row>
    <row r="641" spans="87:99" x14ac:dyDescent="0.3">
      <c r="CI641" t="e">
        <f>AP218</f>
        <v>#N/A</v>
      </c>
      <c r="CJ641" t="e">
        <f>AQ218</f>
        <v>#N/A</v>
      </c>
      <c r="CK641">
        <f>IF(ISNUMBER(CI641),IFERROR(MAX(0,AR218-CI641),0),0)</f>
        <v>0</v>
      </c>
      <c r="CL641">
        <f>IF(ISNUMBER(CI641),IFERROR(MAX(0,CI641-AR218),0),0)</f>
        <v>0</v>
      </c>
      <c r="CM641">
        <f>IF(ISNUMBER(CJ641),IFERROR(MAX(0,AS218-CJ641),0),0)</f>
        <v>0</v>
      </c>
      <c r="CN641">
        <f>IF(ISNUMBER(CJ641),IFERROR(MAX(0,CJ641-AS218),0),0)</f>
        <v>0</v>
      </c>
      <c r="CP641" t="e">
        <f>BX218</f>
        <v>#N/A</v>
      </c>
      <c r="CQ641" t="e">
        <f>BY218</f>
        <v>#N/A</v>
      </c>
      <c r="CR641">
        <f>IF(ISNUMBER(CP641),IFERROR(MAX(0,BZ218-CP641),0),0)</f>
        <v>0</v>
      </c>
      <c r="CS641">
        <f>IF(ISNUMBER(CP641),IFERROR(MAX(0,CP641-BZ218),0),0)</f>
        <v>0</v>
      </c>
      <c r="CT641">
        <f>IF(ISNUMBER(CQ641),IFERROR(MAX(0,CA218-CQ641),0),0)</f>
        <v>0</v>
      </c>
      <c r="CU641">
        <f>IF(ISNUMBER(CQ641),IFERROR(MAX(0,CQ641-CA218),0),0)</f>
        <v>0</v>
      </c>
    </row>
    <row r="642" spans="87:99" x14ac:dyDescent="0.3">
      <c r="CI642" t="e">
        <f>AT218</f>
        <v>#N/A</v>
      </c>
      <c r="CJ642" t="e">
        <f>AU218</f>
        <v>#N/A</v>
      </c>
      <c r="CK642">
        <f>IF(ISNUMBER(CI642),IFERROR(MAX(0,AV218-CI642),0),0)</f>
        <v>0</v>
      </c>
      <c r="CL642">
        <f>IF(ISNUMBER(CI642),IFERROR(MAX(0,CI642-AV218),0),0)</f>
        <v>0</v>
      </c>
      <c r="CM642">
        <f>IF(ISNUMBER(CJ642),IFERROR(MAX(0,AW218-CJ642),0),0)</f>
        <v>0</v>
      </c>
      <c r="CN642">
        <f>IF(ISNUMBER(CJ642),IFERROR(MAX(0,CJ642-AW218),0),0)</f>
        <v>0</v>
      </c>
      <c r="CP642" t="e">
        <f>CB218</f>
        <v>#N/A</v>
      </c>
      <c r="CQ642" t="e">
        <f>CC218</f>
        <v>#N/A</v>
      </c>
      <c r="CR642">
        <f>IF(ISNUMBER(CP642),IFERROR(MAX(0,CD218-CP642),0),0)</f>
        <v>0</v>
      </c>
      <c r="CS642">
        <f>IF(ISNUMBER(CP642),IFERROR(MAX(0,CP642-CD218),0),0)</f>
        <v>0</v>
      </c>
      <c r="CT642">
        <f>IF(ISNUMBER(CQ642),IFERROR(MAX(0,CE218-CQ642),0),0)</f>
        <v>0</v>
      </c>
      <c r="CU642">
        <f>IF(ISNUMBER(CQ642),IFERROR(MAX(0,CQ642-CE218),0),0)</f>
        <v>0</v>
      </c>
    </row>
    <row r="643" spans="87:99" x14ac:dyDescent="0.3">
      <c r="CI643" t="e">
        <f>AL219</f>
        <v>#N/A</v>
      </c>
      <c r="CJ643" t="e">
        <f>AM219</f>
        <v>#N/A</v>
      </c>
      <c r="CK643">
        <f>IF(ISNUMBER(CI643),IFERROR(MAX(0,AN219-CI643),0),0)</f>
        <v>0</v>
      </c>
      <c r="CL643">
        <f>IF(ISNUMBER(CI643),IFERROR(MAX(0,CI643-AN219),0),0)</f>
        <v>0</v>
      </c>
      <c r="CM643">
        <f>IF(ISNUMBER(CJ643),IFERROR(MAX(0,AO219-CJ643),0),0)</f>
        <v>0</v>
      </c>
      <c r="CN643">
        <f>IF(ISNUMBER(CJ643),IFERROR(MAX(0,CJ643-AO219),0),0)</f>
        <v>0</v>
      </c>
      <c r="CP643" t="e">
        <f>BT219</f>
        <v>#N/A</v>
      </c>
      <c r="CQ643" t="e">
        <f>BU219</f>
        <v>#N/A</v>
      </c>
      <c r="CR643">
        <f>IF(ISNUMBER(CP643),IFERROR(MAX(0,BV219-CP643),0),0)</f>
        <v>0</v>
      </c>
      <c r="CS643">
        <f>IF(ISNUMBER(CP643),IFERROR(MAX(0,CP643-BV219),0),0)</f>
        <v>0</v>
      </c>
      <c r="CT643">
        <f>IF(ISNUMBER(CQ643),IFERROR(MAX(0,BW219-CQ643),0),0)</f>
        <v>0</v>
      </c>
      <c r="CU643">
        <f>IF(ISNUMBER(CQ643),IFERROR(MAX(0,CQ643-BW219),0),0)</f>
        <v>0</v>
      </c>
    </row>
    <row r="644" spans="87:99" x14ac:dyDescent="0.3">
      <c r="CI644" t="e">
        <f>AP219</f>
        <v>#N/A</v>
      </c>
      <c r="CJ644" t="e">
        <f>AQ219</f>
        <v>#N/A</v>
      </c>
      <c r="CK644">
        <f>IF(ISNUMBER(CI644),IFERROR(MAX(0,AR219-CI644),0),0)</f>
        <v>0</v>
      </c>
      <c r="CL644">
        <f>IF(ISNUMBER(CI644),IFERROR(MAX(0,CI644-AR219),0),0)</f>
        <v>0</v>
      </c>
      <c r="CM644">
        <f>IF(ISNUMBER(CJ644),IFERROR(MAX(0,AS219-CJ644),0),0)</f>
        <v>0</v>
      </c>
      <c r="CN644">
        <f>IF(ISNUMBER(CJ644),IFERROR(MAX(0,CJ644-AS219),0),0)</f>
        <v>0</v>
      </c>
      <c r="CP644" t="e">
        <f>BX219</f>
        <v>#N/A</v>
      </c>
      <c r="CQ644" t="e">
        <f>BY219</f>
        <v>#N/A</v>
      </c>
      <c r="CR644">
        <f>IF(ISNUMBER(CP644),IFERROR(MAX(0,BZ219-CP644),0),0)</f>
        <v>0</v>
      </c>
      <c r="CS644">
        <f>IF(ISNUMBER(CP644),IFERROR(MAX(0,CP644-BZ219),0),0)</f>
        <v>0</v>
      </c>
      <c r="CT644">
        <f>IF(ISNUMBER(CQ644),IFERROR(MAX(0,CA219-CQ644),0),0)</f>
        <v>0</v>
      </c>
      <c r="CU644">
        <f>IF(ISNUMBER(CQ644),IFERROR(MAX(0,CQ644-CA219),0),0)</f>
        <v>0</v>
      </c>
    </row>
    <row r="645" spans="87:99" x14ac:dyDescent="0.3">
      <c r="CI645" t="e">
        <f>AT219</f>
        <v>#N/A</v>
      </c>
      <c r="CJ645" t="e">
        <f>AU219</f>
        <v>#N/A</v>
      </c>
      <c r="CK645">
        <f>IF(ISNUMBER(CI645),IFERROR(MAX(0,AV219-CI645),0),0)</f>
        <v>0</v>
      </c>
      <c r="CL645">
        <f>IF(ISNUMBER(CI645),IFERROR(MAX(0,CI645-AV219),0),0)</f>
        <v>0</v>
      </c>
      <c r="CM645">
        <f>IF(ISNUMBER(CJ645),IFERROR(MAX(0,AW219-CJ645),0),0)</f>
        <v>0</v>
      </c>
      <c r="CN645">
        <f>IF(ISNUMBER(CJ645),IFERROR(MAX(0,CJ645-AW219),0),0)</f>
        <v>0</v>
      </c>
      <c r="CP645" t="e">
        <f>CB219</f>
        <v>#N/A</v>
      </c>
      <c r="CQ645" t="e">
        <f>CC219</f>
        <v>#N/A</v>
      </c>
      <c r="CR645">
        <f>IF(ISNUMBER(CP645),IFERROR(MAX(0,CD219-CP645),0),0)</f>
        <v>0</v>
      </c>
      <c r="CS645">
        <f>IF(ISNUMBER(CP645),IFERROR(MAX(0,CP645-CD219),0),0)</f>
        <v>0</v>
      </c>
      <c r="CT645">
        <f>IF(ISNUMBER(CQ645),IFERROR(MAX(0,CE219-CQ645),0),0)</f>
        <v>0</v>
      </c>
      <c r="CU645">
        <f>IF(ISNUMBER(CQ645),IFERROR(MAX(0,CQ645-CE219),0),0)</f>
        <v>0</v>
      </c>
    </row>
    <row r="646" spans="87:99" x14ac:dyDescent="0.3">
      <c r="CI646" t="e">
        <f>AL220</f>
        <v>#N/A</v>
      </c>
      <c r="CJ646" t="e">
        <f>AM220</f>
        <v>#N/A</v>
      </c>
      <c r="CK646">
        <f>IF(ISNUMBER(CI646),IFERROR(MAX(0,AN220-CI646),0),0)</f>
        <v>0</v>
      </c>
      <c r="CL646">
        <f>IF(ISNUMBER(CI646),IFERROR(MAX(0,CI646-AN220),0),0)</f>
        <v>0</v>
      </c>
      <c r="CM646">
        <f>IF(ISNUMBER(CJ646),IFERROR(MAX(0,AO220-CJ646),0),0)</f>
        <v>0</v>
      </c>
      <c r="CN646">
        <f>IF(ISNUMBER(CJ646),IFERROR(MAX(0,CJ646-AO220),0),0)</f>
        <v>0</v>
      </c>
      <c r="CP646" t="e">
        <f>BT220</f>
        <v>#N/A</v>
      </c>
      <c r="CQ646" t="e">
        <f>BU220</f>
        <v>#N/A</v>
      </c>
      <c r="CR646">
        <f>IF(ISNUMBER(CP646),IFERROR(MAX(0,BV220-CP646),0),0)</f>
        <v>0</v>
      </c>
      <c r="CS646">
        <f>IF(ISNUMBER(CP646),IFERROR(MAX(0,CP646-BV220),0),0)</f>
        <v>0</v>
      </c>
      <c r="CT646">
        <f>IF(ISNUMBER(CQ646),IFERROR(MAX(0,BW220-CQ646),0),0)</f>
        <v>0</v>
      </c>
      <c r="CU646">
        <f>IF(ISNUMBER(CQ646),IFERROR(MAX(0,CQ646-BW220),0),0)</f>
        <v>0</v>
      </c>
    </row>
    <row r="647" spans="87:99" x14ac:dyDescent="0.3">
      <c r="CI647" t="e">
        <f>AP220</f>
        <v>#N/A</v>
      </c>
      <c r="CJ647" t="e">
        <f>AQ220</f>
        <v>#N/A</v>
      </c>
      <c r="CK647">
        <f>IF(ISNUMBER(CI647),IFERROR(MAX(0,AR220-CI647),0),0)</f>
        <v>0</v>
      </c>
      <c r="CL647">
        <f>IF(ISNUMBER(CI647),IFERROR(MAX(0,CI647-AR220),0),0)</f>
        <v>0</v>
      </c>
      <c r="CM647">
        <f>IF(ISNUMBER(CJ647),IFERROR(MAX(0,AS220-CJ647),0),0)</f>
        <v>0</v>
      </c>
      <c r="CN647">
        <f>IF(ISNUMBER(CJ647),IFERROR(MAX(0,CJ647-AS220),0),0)</f>
        <v>0</v>
      </c>
      <c r="CP647" t="e">
        <f>BX220</f>
        <v>#N/A</v>
      </c>
      <c r="CQ647" t="e">
        <f>BY220</f>
        <v>#N/A</v>
      </c>
      <c r="CR647">
        <f>IF(ISNUMBER(CP647),IFERROR(MAX(0,BZ220-CP647),0),0)</f>
        <v>0</v>
      </c>
      <c r="CS647">
        <f>IF(ISNUMBER(CP647),IFERROR(MAX(0,CP647-BZ220),0),0)</f>
        <v>0</v>
      </c>
      <c r="CT647">
        <f>IF(ISNUMBER(CQ647),IFERROR(MAX(0,CA220-CQ647),0),0)</f>
        <v>0</v>
      </c>
      <c r="CU647">
        <f>IF(ISNUMBER(CQ647),IFERROR(MAX(0,CQ647-CA220),0),0)</f>
        <v>0</v>
      </c>
    </row>
    <row r="648" spans="87:99" x14ac:dyDescent="0.3">
      <c r="CI648" t="e">
        <f>AT220</f>
        <v>#N/A</v>
      </c>
      <c r="CJ648" t="e">
        <f>AU220</f>
        <v>#N/A</v>
      </c>
      <c r="CK648">
        <f>IF(ISNUMBER(CI648),IFERROR(MAX(0,AV220-CI648),0),0)</f>
        <v>0</v>
      </c>
      <c r="CL648">
        <f>IF(ISNUMBER(CI648),IFERROR(MAX(0,CI648-AV220),0),0)</f>
        <v>0</v>
      </c>
      <c r="CM648">
        <f>IF(ISNUMBER(CJ648),IFERROR(MAX(0,AW220-CJ648),0),0)</f>
        <v>0</v>
      </c>
      <c r="CN648">
        <f>IF(ISNUMBER(CJ648),IFERROR(MAX(0,CJ648-AW220),0),0)</f>
        <v>0</v>
      </c>
      <c r="CP648" t="e">
        <f>CB220</f>
        <v>#N/A</v>
      </c>
      <c r="CQ648" t="e">
        <f>CC220</f>
        <v>#N/A</v>
      </c>
      <c r="CR648">
        <f>IF(ISNUMBER(CP648),IFERROR(MAX(0,CD220-CP648),0),0)</f>
        <v>0</v>
      </c>
      <c r="CS648">
        <f>IF(ISNUMBER(CP648),IFERROR(MAX(0,CP648-CD220),0),0)</f>
        <v>0</v>
      </c>
      <c r="CT648">
        <f>IF(ISNUMBER(CQ648),IFERROR(MAX(0,CE220-CQ648),0),0)</f>
        <v>0</v>
      </c>
      <c r="CU648">
        <f>IF(ISNUMBER(CQ648),IFERROR(MAX(0,CQ648-CE220),0),0)</f>
        <v>0</v>
      </c>
    </row>
    <row r="649" spans="87:99" x14ac:dyDescent="0.3">
      <c r="CI649" t="e">
        <f>AL221</f>
        <v>#N/A</v>
      </c>
      <c r="CJ649" t="e">
        <f>AM221</f>
        <v>#N/A</v>
      </c>
      <c r="CK649">
        <f>IF(ISNUMBER(CI649),IFERROR(MAX(0,AN221-CI649),0),0)</f>
        <v>0</v>
      </c>
      <c r="CL649">
        <f>IF(ISNUMBER(CI649),IFERROR(MAX(0,CI649-AN221),0),0)</f>
        <v>0</v>
      </c>
      <c r="CM649">
        <f>IF(ISNUMBER(CJ649),IFERROR(MAX(0,AO221-CJ649),0),0)</f>
        <v>0</v>
      </c>
      <c r="CN649">
        <f>IF(ISNUMBER(CJ649),IFERROR(MAX(0,CJ649-AO221),0),0)</f>
        <v>0</v>
      </c>
      <c r="CP649" t="e">
        <f>BT221</f>
        <v>#N/A</v>
      </c>
      <c r="CQ649" t="e">
        <f>BU221</f>
        <v>#N/A</v>
      </c>
      <c r="CR649">
        <f>IF(ISNUMBER(CP649),IFERROR(MAX(0,BV221-CP649),0),0)</f>
        <v>0</v>
      </c>
      <c r="CS649">
        <f>IF(ISNUMBER(CP649),IFERROR(MAX(0,CP649-BV221),0),0)</f>
        <v>0</v>
      </c>
      <c r="CT649">
        <f>IF(ISNUMBER(CQ649),IFERROR(MAX(0,BW221-CQ649),0),0)</f>
        <v>0</v>
      </c>
      <c r="CU649">
        <f>IF(ISNUMBER(CQ649),IFERROR(MAX(0,CQ649-BW221),0),0)</f>
        <v>0</v>
      </c>
    </row>
    <row r="650" spans="87:99" x14ac:dyDescent="0.3">
      <c r="CI650" t="e">
        <f>AP221</f>
        <v>#N/A</v>
      </c>
      <c r="CJ650" t="e">
        <f>AQ221</f>
        <v>#N/A</v>
      </c>
      <c r="CK650">
        <f>IF(ISNUMBER(CI650),IFERROR(MAX(0,AR221-CI650),0),0)</f>
        <v>0</v>
      </c>
      <c r="CL650">
        <f>IF(ISNUMBER(CI650),IFERROR(MAX(0,CI650-AR221),0),0)</f>
        <v>0</v>
      </c>
      <c r="CM650">
        <f>IF(ISNUMBER(CJ650),IFERROR(MAX(0,AS221-CJ650),0),0)</f>
        <v>0</v>
      </c>
      <c r="CN650">
        <f>IF(ISNUMBER(CJ650),IFERROR(MAX(0,CJ650-AS221),0),0)</f>
        <v>0</v>
      </c>
      <c r="CP650" t="e">
        <f>BX221</f>
        <v>#N/A</v>
      </c>
      <c r="CQ650" t="e">
        <f>BY221</f>
        <v>#N/A</v>
      </c>
      <c r="CR650">
        <f>IF(ISNUMBER(CP650),IFERROR(MAX(0,BZ221-CP650),0),0)</f>
        <v>0</v>
      </c>
      <c r="CS650">
        <f>IF(ISNUMBER(CP650),IFERROR(MAX(0,CP650-BZ221),0),0)</f>
        <v>0</v>
      </c>
      <c r="CT650">
        <f>IF(ISNUMBER(CQ650),IFERROR(MAX(0,CA221-CQ650),0),0)</f>
        <v>0</v>
      </c>
      <c r="CU650">
        <f>IF(ISNUMBER(CQ650),IFERROR(MAX(0,CQ650-CA221),0),0)</f>
        <v>0</v>
      </c>
    </row>
    <row r="651" spans="87:99" x14ac:dyDescent="0.3">
      <c r="CI651" t="e">
        <f>AT221</f>
        <v>#N/A</v>
      </c>
      <c r="CJ651" t="e">
        <f>AU221</f>
        <v>#N/A</v>
      </c>
      <c r="CK651">
        <f>IF(ISNUMBER(CI651),IFERROR(MAX(0,AV221-CI651),0),0)</f>
        <v>0</v>
      </c>
      <c r="CL651">
        <f>IF(ISNUMBER(CI651),IFERROR(MAX(0,CI651-AV221),0),0)</f>
        <v>0</v>
      </c>
      <c r="CM651">
        <f>IF(ISNUMBER(CJ651),IFERROR(MAX(0,AW221-CJ651),0),0)</f>
        <v>0</v>
      </c>
      <c r="CN651">
        <f>IF(ISNUMBER(CJ651),IFERROR(MAX(0,CJ651-AW221),0),0)</f>
        <v>0</v>
      </c>
      <c r="CP651" t="e">
        <f>CB221</f>
        <v>#N/A</v>
      </c>
      <c r="CQ651" t="e">
        <f>CC221</f>
        <v>#N/A</v>
      </c>
      <c r="CR651">
        <f>IF(ISNUMBER(CP651),IFERROR(MAX(0,CD221-CP651),0),0)</f>
        <v>0</v>
      </c>
      <c r="CS651">
        <f>IF(ISNUMBER(CP651),IFERROR(MAX(0,CP651-CD221),0),0)</f>
        <v>0</v>
      </c>
      <c r="CT651">
        <f>IF(ISNUMBER(CQ651),IFERROR(MAX(0,CE221-CQ651),0),0)</f>
        <v>0</v>
      </c>
      <c r="CU651">
        <f>IF(ISNUMBER(CQ651),IFERROR(MAX(0,CQ651-CE221),0),0)</f>
        <v>0</v>
      </c>
    </row>
    <row r="652" spans="87:99" x14ac:dyDescent="0.3">
      <c r="CI652" t="e">
        <f>AL222</f>
        <v>#N/A</v>
      </c>
      <c r="CJ652" t="e">
        <f>AM222</f>
        <v>#N/A</v>
      </c>
      <c r="CK652">
        <f>IF(ISNUMBER(CI652),IFERROR(MAX(0,AN222-CI652),0),0)</f>
        <v>0</v>
      </c>
      <c r="CL652">
        <f>IF(ISNUMBER(CI652),IFERROR(MAX(0,CI652-AN222),0),0)</f>
        <v>0</v>
      </c>
      <c r="CM652">
        <f>IF(ISNUMBER(CJ652),IFERROR(MAX(0,AO222-CJ652),0),0)</f>
        <v>0</v>
      </c>
      <c r="CN652">
        <f>IF(ISNUMBER(CJ652),IFERROR(MAX(0,CJ652-AO222),0),0)</f>
        <v>0</v>
      </c>
      <c r="CP652" t="e">
        <f>BT222</f>
        <v>#N/A</v>
      </c>
      <c r="CQ652" t="e">
        <f>BU222</f>
        <v>#N/A</v>
      </c>
      <c r="CR652">
        <f>IF(ISNUMBER(CP652),IFERROR(MAX(0,BV222-CP652),0),0)</f>
        <v>0</v>
      </c>
      <c r="CS652">
        <f>IF(ISNUMBER(CP652),IFERROR(MAX(0,CP652-BV222),0),0)</f>
        <v>0</v>
      </c>
      <c r="CT652">
        <f>IF(ISNUMBER(CQ652),IFERROR(MAX(0,BW222-CQ652),0),0)</f>
        <v>0</v>
      </c>
      <c r="CU652">
        <f>IF(ISNUMBER(CQ652),IFERROR(MAX(0,CQ652-BW222),0),0)</f>
        <v>0</v>
      </c>
    </row>
    <row r="653" spans="87:99" x14ac:dyDescent="0.3">
      <c r="CI653" t="e">
        <f>AP222</f>
        <v>#N/A</v>
      </c>
      <c r="CJ653" t="e">
        <f>AQ222</f>
        <v>#N/A</v>
      </c>
      <c r="CK653">
        <f>IF(ISNUMBER(CI653),IFERROR(MAX(0,AR222-CI653),0),0)</f>
        <v>0</v>
      </c>
      <c r="CL653">
        <f>IF(ISNUMBER(CI653),IFERROR(MAX(0,CI653-AR222),0),0)</f>
        <v>0</v>
      </c>
      <c r="CM653">
        <f>IF(ISNUMBER(CJ653),IFERROR(MAX(0,AS222-CJ653),0),0)</f>
        <v>0</v>
      </c>
      <c r="CN653">
        <f>IF(ISNUMBER(CJ653),IFERROR(MAX(0,CJ653-AS222),0),0)</f>
        <v>0</v>
      </c>
      <c r="CP653" t="e">
        <f>BX222</f>
        <v>#N/A</v>
      </c>
      <c r="CQ653" t="e">
        <f>BY222</f>
        <v>#N/A</v>
      </c>
      <c r="CR653">
        <f>IF(ISNUMBER(CP653),IFERROR(MAX(0,BZ222-CP653),0),0)</f>
        <v>0</v>
      </c>
      <c r="CS653">
        <f>IF(ISNUMBER(CP653),IFERROR(MAX(0,CP653-BZ222),0),0)</f>
        <v>0</v>
      </c>
      <c r="CT653">
        <f>IF(ISNUMBER(CQ653),IFERROR(MAX(0,CA222-CQ653),0),0)</f>
        <v>0</v>
      </c>
      <c r="CU653">
        <f>IF(ISNUMBER(CQ653),IFERROR(MAX(0,CQ653-CA222),0),0)</f>
        <v>0</v>
      </c>
    </row>
    <row r="654" spans="87:99" x14ac:dyDescent="0.3">
      <c r="CI654" t="e">
        <f>AT222</f>
        <v>#N/A</v>
      </c>
      <c r="CJ654" t="e">
        <f>AU222</f>
        <v>#N/A</v>
      </c>
      <c r="CK654">
        <f>IF(ISNUMBER(CI654),IFERROR(MAX(0,AV222-CI654),0),0)</f>
        <v>0</v>
      </c>
      <c r="CL654">
        <f>IF(ISNUMBER(CI654),IFERROR(MAX(0,CI654-AV222),0),0)</f>
        <v>0</v>
      </c>
      <c r="CM654">
        <f>IF(ISNUMBER(CJ654),IFERROR(MAX(0,AW222-CJ654),0),0)</f>
        <v>0</v>
      </c>
      <c r="CN654">
        <f>IF(ISNUMBER(CJ654),IFERROR(MAX(0,CJ654-AW222),0),0)</f>
        <v>0</v>
      </c>
      <c r="CP654" t="e">
        <f>CB222</f>
        <v>#N/A</v>
      </c>
      <c r="CQ654" t="e">
        <f>CC222</f>
        <v>#N/A</v>
      </c>
      <c r="CR654">
        <f>IF(ISNUMBER(CP654),IFERROR(MAX(0,CD222-CP654),0),0)</f>
        <v>0</v>
      </c>
      <c r="CS654">
        <f>IF(ISNUMBER(CP654),IFERROR(MAX(0,CP654-CD222),0),0)</f>
        <v>0</v>
      </c>
      <c r="CT654">
        <f>IF(ISNUMBER(CQ654),IFERROR(MAX(0,CE222-CQ654),0),0)</f>
        <v>0</v>
      </c>
      <c r="CU654">
        <f>IF(ISNUMBER(CQ654),IFERROR(MAX(0,CQ654-CE222),0),0)</f>
        <v>0</v>
      </c>
    </row>
    <row r="655" spans="87:99" x14ac:dyDescent="0.3">
      <c r="CI655" t="e">
        <f>AL223</f>
        <v>#N/A</v>
      </c>
      <c r="CJ655" t="e">
        <f>AM223</f>
        <v>#N/A</v>
      </c>
      <c r="CK655">
        <f>IF(ISNUMBER(CI655),IFERROR(MAX(0,AN223-CI655),0),0)</f>
        <v>0</v>
      </c>
      <c r="CL655">
        <f>IF(ISNUMBER(CI655),IFERROR(MAX(0,CI655-AN223),0),0)</f>
        <v>0</v>
      </c>
      <c r="CM655">
        <f>IF(ISNUMBER(CJ655),IFERROR(MAX(0,AO223-CJ655),0),0)</f>
        <v>0</v>
      </c>
      <c r="CN655">
        <f>IF(ISNUMBER(CJ655),IFERROR(MAX(0,CJ655-AO223),0),0)</f>
        <v>0</v>
      </c>
      <c r="CP655" t="e">
        <f>BT223</f>
        <v>#N/A</v>
      </c>
      <c r="CQ655" t="e">
        <f>BU223</f>
        <v>#N/A</v>
      </c>
      <c r="CR655">
        <f>IF(ISNUMBER(CP655),IFERROR(MAX(0,BV223-CP655),0),0)</f>
        <v>0</v>
      </c>
      <c r="CS655">
        <f>IF(ISNUMBER(CP655),IFERROR(MAX(0,CP655-BV223),0),0)</f>
        <v>0</v>
      </c>
      <c r="CT655">
        <f>IF(ISNUMBER(CQ655),IFERROR(MAX(0,BW223-CQ655),0),0)</f>
        <v>0</v>
      </c>
      <c r="CU655">
        <f>IF(ISNUMBER(CQ655),IFERROR(MAX(0,CQ655-BW223),0),0)</f>
        <v>0</v>
      </c>
    </row>
    <row r="656" spans="87:99" x14ac:dyDescent="0.3">
      <c r="CI656" t="e">
        <f>AP223</f>
        <v>#N/A</v>
      </c>
      <c r="CJ656" t="e">
        <f>AQ223</f>
        <v>#N/A</v>
      </c>
      <c r="CK656">
        <f>IF(ISNUMBER(CI656),IFERROR(MAX(0,AR223-CI656),0),0)</f>
        <v>0</v>
      </c>
      <c r="CL656">
        <f>IF(ISNUMBER(CI656),IFERROR(MAX(0,CI656-AR223),0),0)</f>
        <v>0</v>
      </c>
      <c r="CM656">
        <f>IF(ISNUMBER(CJ656),IFERROR(MAX(0,AS223-CJ656),0),0)</f>
        <v>0</v>
      </c>
      <c r="CN656">
        <f>IF(ISNUMBER(CJ656),IFERROR(MAX(0,CJ656-AS223),0),0)</f>
        <v>0</v>
      </c>
      <c r="CP656" t="e">
        <f>BX223</f>
        <v>#N/A</v>
      </c>
      <c r="CQ656" t="e">
        <f>BY223</f>
        <v>#N/A</v>
      </c>
      <c r="CR656">
        <f>IF(ISNUMBER(CP656),IFERROR(MAX(0,BZ223-CP656),0),0)</f>
        <v>0</v>
      </c>
      <c r="CS656">
        <f>IF(ISNUMBER(CP656),IFERROR(MAX(0,CP656-BZ223),0),0)</f>
        <v>0</v>
      </c>
      <c r="CT656">
        <f>IF(ISNUMBER(CQ656),IFERROR(MAX(0,CA223-CQ656),0),0)</f>
        <v>0</v>
      </c>
      <c r="CU656">
        <f>IF(ISNUMBER(CQ656),IFERROR(MAX(0,CQ656-CA223),0),0)</f>
        <v>0</v>
      </c>
    </row>
    <row r="657" spans="87:99" x14ac:dyDescent="0.3">
      <c r="CI657" t="e">
        <f>AT223</f>
        <v>#N/A</v>
      </c>
      <c r="CJ657" t="e">
        <f>AU223</f>
        <v>#N/A</v>
      </c>
      <c r="CK657">
        <f>IF(ISNUMBER(CI657),IFERROR(MAX(0,AV223-CI657),0),0)</f>
        <v>0</v>
      </c>
      <c r="CL657">
        <f>IF(ISNUMBER(CI657),IFERROR(MAX(0,CI657-AV223),0),0)</f>
        <v>0</v>
      </c>
      <c r="CM657">
        <f>IF(ISNUMBER(CJ657),IFERROR(MAX(0,AW223-CJ657),0),0)</f>
        <v>0</v>
      </c>
      <c r="CN657">
        <f>IF(ISNUMBER(CJ657),IFERROR(MAX(0,CJ657-AW223),0),0)</f>
        <v>0</v>
      </c>
      <c r="CP657" t="e">
        <f>CB223</f>
        <v>#N/A</v>
      </c>
      <c r="CQ657" t="e">
        <f>CC223</f>
        <v>#N/A</v>
      </c>
      <c r="CR657">
        <f>IF(ISNUMBER(CP657),IFERROR(MAX(0,CD223-CP657),0),0)</f>
        <v>0</v>
      </c>
      <c r="CS657">
        <f>IF(ISNUMBER(CP657),IFERROR(MAX(0,CP657-CD223),0),0)</f>
        <v>0</v>
      </c>
      <c r="CT657">
        <f>IF(ISNUMBER(CQ657),IFERROR(MAX(0,CE223-CQ657),0),0)</f>
        <v>0</v>
      </c>
      <c r="CU657">
        <f>IF(ISNUMBER(CQ657),IFERROR(MAX(0,CQ657-CE223),0),0)</f>
        <v>0</v>
      </c>
    </row>
    <row r="658" spans="87:99" x14ac:dyDescent="0.3">
      <c r="CI658" t="e">
        <f>AL224</f>
        <v>#N/A</v>
      </c>
      <c r="CJ658" t="e">
        <f>AM224</f>
        <v>#N/A</v>
      </c>
      <c r="CK658">
        <f>IF(ISNUMBER(CI658),IFERROR(MAX(0,AN224-CI658),0),0)</f>
        <v>0</v>
      </c>
      <c r="CL658">
        <f>IF(ISNUMBER(CI658),IFERROR(MAX(0,CI658-AN224),0),0)</f>
        <v>0</v>
      </c>
      <c r="CM658">
        <f>IF(ISNUMBER(CJ658),IFERROR(MAX(0,AO224-CJ658),0),0)</f>
        <v>0</v>
      </c>
      <c r="CN658">
        <f>IF(ISNUMBER(CJ658),IFERROR(MAX(0,CJ658-AO224),0),0)</f>
        <v>0</v>
      </c>
      <c r="CP658" t="e">
        <f>BT224</f>
        <v>#N/A</v>
      </c>
      <c r="CQ658" t="e">
        <f>BU224</f>
        <v>#N/A</v>
      </c>
      <c r="CR658">
        <f>IF(ISNUMBER(CP658),IFERROR(MAX(0,BV224-CP658),0),0)</f>
        <v>0</v>
      </c>
      <c r="CS658">
        <f>IF(ISNUMBER(CP658),IFERROR(MAX(0,CP658-BV224),0),0)</f>
        <v>0</v>
      </c>
      <c r="CT658">
        <f>IF(ISNUMBER(CQ658),IFERROR(MAX(0,BW224-CQ658),0),0)</f>
        <v>0</v>
      </c>
      <c r="CU658">
        <f>IF(ISNUMBER(CQ658),IFERROR(MAX(0,CQ658-BW224),0),0)</f>
        <v>0</v>
      </c>
    </row>
    <row r="659" spans="87:99" x14ac:dyDescent="0.3">
      <c r="CI659" t="e">
        <f>AP224</f>
        <v>#N/A</v>
      </c>
      <c r="CJ659" t="e">
        <f>AQ224</f>
        <v>#N/A</v>
      </c>
      <c r="CK659">
        <f>IF(ISNUMBER(CI659),IFERROR(MAX(0,AR224-CI659),0),0)</f>
        <v>0</v>
      </c>
      <c r="CL659">
        <f>IF(ISNUMBER(CI659),IFERROR(MAX(0,CI659-AR224),0),0)</f>
        <v>0</v>
      </c>
      <c r="CM659">
        <f>IF(ISNUMBER(CJ659),IFERROR(MAX(0,AS224-CJ659),0),0)</f>
        <v>0</v>
      </c>
      <c r="CN659">
        <f>IF(ISNUMBER(CJ659),IFERROR(MAX(0,CJ659-AS224),0),0)</f>
        <v>0</v>
      </c>
      <c r="CP659" t="e">
        <f>BX224</f>
        <v>#N/A</v>
      </c>
      <c r="CQ659" t="e">
        <f>BY224</f>
        <v>#N/A</v>
      </c>
      <c r="CR659">
        <f>IF(ISNUMBER(CP659),IFERROR(MAX(0,BZ224-CP659),0),0)</f>
        <v>0</v>
      </c>
      <c r="CS659">
        <f>IF(ISNUMBER(CP659),IFERROR(MAX(0,CP659-BZ224),0),0)</f>
        <v>0</v>
      </c>
      <c r="CT659">
        <f>IF(ISNUMBER(CQ659),IFERROR(MAX(0,CA224-CQ659),0),0)</f>
        <v>0</v>
      </c>
      <c r="CU659">
        <f>IF(ISNUMBER(CQ659),IFERROR(MAX(0,CQ659-CA224),0),0)</f>
        <v>0</v>
      </c>
    </row>
    <row r="660" spans="87:99" x14ac:dyDescent="0.3">
      <c r="CI660" t="e">
        <f>AT224</f>
        <v>#N/A</v>
      </c>
      <c r="CJ660" t="e">
        <f>AU224</f>
        <v>#N/A</v>
      </c>
      <c r="CK660">
        <f>IF(ISNUMBER(CI660),IFERROR(MAX(0,AV224-CI660),0),0)</f>
        <v>0</v>
      </c>
      <c r="CL660">
        <f>IF(ISNUMBER(CI660),IFERROR(MAX(0,CI660-AV224),0),0)</f>
        <v>0</v>
      </c>
      <c r="CM660">
        <f>IF(ISNUMBER(CJ660),IFERROR(MAX(0,AW224-CJ660),0),0)</f>
        <v>0</v>
      </c>
      <c r="CN660">
        <f>IF(ISNUMBER(CJ660),IFERROR(MAX(0,CJ660-AW224),0),0)</f>
        <v>0</v>
      </c>
      <c r="CP660" t="e">
        <f>CB224</f>
        <v>#N/A</v>
      </c>
      <c r="CQ660" t="e">
        <f>CC224</f>
        <v>#N/A</v>
      </c>
      <c r="CR660">
        <f>IF(ISNUMBER(CP660),IFERROR(MAX(0,CD224-CP660),0),0)</f>
        <v>0</v>
      </c>
      <c r="CS660">
        <f>IF(ISNUMBER(CP660),IFERROR(MAX(0,CP660-CD224),0),0)</f>
        <v>0</v>
      </c>
      <c r="CT660">
        <f>IF(ISNUMBER(CQ660),IFERROR(MAX(0,CE224-CQ660),0),0)</f>
        <v>0</v>
      </c>
      <c r="CU660">
        <f>IF(ISNUMBER(CQ660),IFERROR(MAX(0,CQ660-CE224),0),0)</f>
        <v>0</v>
      </c>
    </row>
    <row r="661" spans="87:99" x14ac:dyDescent="0.3">
      <c r="CI661" t="e">
        <f>AL225</f>
        <v>#N/A</v>
      </c>
      <c r="CJ661" t="e">
        <f>AM225</f>
        <v>#N/A</v>
      </c>
      <c r="CK661">
        <f>IF(ISNUMBER(CI661),IFERROR(MAX(0,AN225-CI661),0),0)</f>
        <v>0</v>
      </c>
      <c r="CL661">
        <f>IF(ISNUMBER(CI661),IFERROR(MAX(0,CI661-AN225),0),0)</f>
        <v>0</v>
      </c>
      <c r="CM661">
        <f>IF(ISNUMBER(CJ661),IFERROR(MAX(0,AO225-CJ661),0),0)</f>
        <v>0</v>
      </c>
      <c r="CN661">
        <f>IF(ISNUMBER(CJ661),IFERROR(MAX(0,CJ661-AO225),0),0)</f>
        <v>0</v>
      </c>
      <c r="CP661" t="e">
        <f>BT225</f>
        <v>#N/A</v>
      </c>
      <c r="CQ661" t="e">
        <f>BU225</f>
        <v>#N/A</v>
      </c>
      <c r="CR661">
        <f>IF(ISNUMBER(CP661),IFERROR(MAX(0,BV225-CP661),0),0)</f>
        <v>0</v>
      </c>
      <c r="CS661">
        <f>IF(ISNUMBER(CP661),IFERROR(MAX(0,CP661-BV225),0),0)</f>
        <v>0</v>
      </c>
      <c r="CT661">
        <f>IF(ISNUMBER(CQ661),IFERROR(MAX(0,BW225-CQ661),0),0)</f>
        <v>0</v>
      </c>
      <c r="CU661">
        <f>IF(ISNUMBER(CQ661),IFERROR(MAX(0,CQ661-BW225),0),0)</f>
        <v>0</v>
      </c>
    </row>
    <row r="662" spans="87:99" x14ac:dyDescent="0.3">
      <c r="CI662" t="e">
        <f>AP225</f>
        <v>#N/A</v>
      </c>
      <c r="CJ662" t="e">
        <f>AQ225</f>
        <v>#N/A</v>
      </c>
      <c r="CK662">
        <f>IF(ISNUMBER(CI662),IFERROR(MAX(0,AR225-CI662),0),0)</f>
        <v>0</v>
      </c>
      <c r="CL662">
        <f>IF(ISNUMBER(CI662),IFERROR(MAX(0,CI662-AR225),0),0)</f>
        <v>0</v>
      </c>
      <c r="CM662">
        <f>IF(ISNUMBER(CJ662),IFERROR(MAX(0,AS225-CJ662),0),0)</f>
        <v>0</v>
      </c>
      <c r="CN662">
        <f>IF(ISNUMBER(CJ662),IFERROR(MAX(0,CJ662-AS225),0),0)</f>
        <v>0</v>
      </c>
      <c r="CP662" t="e">
        <f>BX225</f>
        <v>#N/A</v>
      </c>
      <c r="CQ662" t="e">
        <f>BY225</f>
        <v>#N/A</v>
      </c>
      <c r="CR662">
        <f>IF(ISNUMBER(CP662),IFERROR(MAX(0,BZ225-CP662),0),0)</f>
        <v>0</v>
      </c>
      <c r="CS662">
        <f>IF(ISNUMBER(CP662),IFERROR(MAX(0,CP662-BZ225),0),0)</f>
        <v>0</v>
      </c>
      <c r="CT662">
        <f>IF(ISNUMBER(CQ662),IFERROR(MAX(0,CA225-CQ662),0),0)</f>
        <v>0</v>
      </c>
      <c r="CU662">
        <f>IF(ISNUMBER(CQ662),IFERROR(MAX(0,CQ662-CA225),0),0)</f>
        <v>0</v>
      </c>
    </row>
    <row r="663" spans="87:99" x14ac:dyDescent="0.3">
      <c r="CI663" t="e">
        <f>AT225</f>
        <v>#N/A</v>
      </c>
      <c r="CJ663" t="e">
        <f>AU225</f>
        <v>#N/A</v>
      </c>
      <c r="CK663">
        <f>IF(ISNUMBER(CI663),IFERROR(MAX(0,AV225-CI663),0),0)</f>
        <v>0</v>
      </c>
      <c r="CL663">
        <f>IF(ISNUMBER(CI663),IFERROR(MAX(0,CI663-AV225),0),0)</f>
        <v>0</v>
      </c>
      <c r="CM663">
        <f>IF(ISNUMBER(CJ663),IFERROR(MAX(0,AW225-CJ663),0),0)</f>
        <v>0</v>
      </c>
      <c r="CN663">
        <f>IF(ISNUMBER(CJ663),IFERROR(MAX(0,CJ663-AW225),0),0)</f>
        <v>0</v>
      </c>
      <c r="CP663" t="e">
        <f>CB225</f>
        <v>#N/A</v>
      </c>
      <c r="CQ663" t="e">
        <f>CC225</f>
        <v>#N/A</v>
      </c>
      <c r="CR663">
        <f>IF(ISNUMBER(CP663),IFERROR(MAX(0,CD225-CP663),0),0)</f>
        <v>0</v>
      </c>
      <c r="CS663">
        <f>IF(ISNUMBER(CP663),IFERROR(MAX(0,CP663-CD225),0),0)</f>
        <v>0</v>
      </c>
      <c r="CT663">
        <f>IF(ISNUMBER(CQ663),IFERROR(MAX(0,CE225-CQ663),0),0)</f>
        <v>0</v>
      </c>
      <c r="CU663">
        <f>IF(ISNUMBER(CQ663),IFERROR(MAX(0,CQ663-CE225),0),0)</f>
        <v>0</v>
      </c>
    </row>
    <row r="664" spans="87:99" x14ac:dyDescent="0.3">
      <c r="CI664" t="e">
        <f>AL226</f>
        <v>#N/A</v>
      </c>
      <c r="CJ664" t="e">
        <f>AM226</f>
        <v>#N/A</v>
      </c>
      <c r="CK664">
        <f>IF(ISNUMBER(CI664),IFERROR(MAX(0,AN226-CI664),0),0)</f>
        <v>0</v>
      </c>
      <c r="CL664">
        <f>IF(ISNUMBER(CI664),IFERROR(MAX(0,CI664-AN226),0),0)</f>
        <v>0</v>
      </c>
      <c r="CM664">
        <f>IF(ISNUMBER(CJ664),IFERROR(MAX(0,AO226-CJ664),0),0)</f>
        <v>0</v>
      </c>
      <c r="CN664">
        <f>IF(ISNUMBER(CJ664),IFERROR(MAX(0,CJ664-AO226),0),0)</f>
        <v>0</v>
      </c>
      <c r="CP664" t="e">
        <f>BT226</f>
        <v>#N/A</v>
      </c>
      <c r="CQ664" t="e">
        <f>BU226</f>
        <v>#N/A</v>
      </c>
      <c r="CR664">
        <f>IF(ISNUMBER(CP664),IFERROR(MAX(0,BV226-CP664),0),0)</f>
        <v>0</v>
      </c>
      <c r="CS664">
        <f>IF(ISNUMBER(CP664),IFERROR(MAX(0,CP664-BV226),0),0)</f>
        <v>0</v>
      </c>
      <c r="CT664">
        <f>IF(ISNUMBER(CQ664),IFERROR(MAX(0,BW226-CQ664),0),0)</f>
        <v>0</v>
      </c>
      <c r="CU664">
        <f>IF(ISNUMBER(CQ664),IFERROR(MAX(0,CQ664-BW226),0),0)</f>
        <v>0</v>
      </c>
    </row>
    <row r="665" spans="87:99" x14ac:dyDescent="0.3">
      <c r="CI665" t="e">
        <f>AP226</f>
        <v>#N/A</v>
      </c>
      <c r="CJ665" t="e">
        <f>AQ226</f>
        <v>#N/A</v>
      </c>
      <c r="CK665">
        <f>IF(ISNUMBER(CI665),IFERROR(MAX(0,AR226-CI665),0),0)</f>
        <v>0</v>
      </c>
      <c r="CL665">
        <f>IF(ISNUMBER(CI665),IFERROR(MAX(0,CI665-AR226),0),0)</f>
        <v>0</v>
      </c>
      <c r="CM665">
        <f>IF(ISNUMBER(CJ665),IFERROR(MAX(0,AS226-CJ665),0),0)</f>
        <v>0</v>
      </c>
      <c r="CN665">
        <f>IF(ISNUMBER(CJ665),IFERROR(MAX(0,CJ665-AS226),0),0)</f>
        <v>0</v>
      </c>
      <c r="CP665" t="e">
        <f>BX226</f>
        <v>#N/A</v>
      </c>
      <c r="CQ665" t="e">
        <f>BY226</f>
        <v>#N/A</v>
      </c>
      <c r="CR665">
        <f>IF(ISNUMBER(CP665),IFERROR(MAX(0,BZ226-CP665),0),0)</f>
        <v>0</v>
      </c>
      <c r="CS665">
        <f>IF(ISNUMBER(CP665),IFERROR(MAX(0,CP665-BZ226),0),0)</f>
        <v>0</v>
      </c>
      <c r="CT665">
        <f>IF(ISNUMBER(CQ665),IFERROR(MAX(0,CA226-CQ665),0),0)</f>
        <v>0</v>
      </c>
      <c r="CU665">
        <f>IF(ISNUMBER(CQ665),IFERROR(MAX(0,CQ665-CA226),0),0)</f>
        <v>0</v>
      </c>
    </row>
    <row r="666" spans="87:99" x14ac:dyDescent="0.3">
      <c r="CI666" t="e">
        <f>AT226</f>
        <v>#N/A</v>
      </c>
      <c r="CJ666" t="e">
        <f>AU226</f>
        <v>#N/A</v>
      </c>
      <c r="CK666">
        <f>IF(ISNUMBER(CI666),IFERROR(MAX(0,AV226-CI666),0),0)</f>
        <v>0</v>
      </c>
      <c r="CL666">
        <f>IF(ISNUMBER(CI666),IFERROR(MAX(0,CI666-AV226),0),0)</f>
        <v>0</v>
      </c>
      <c r="CM666">
        <f>IF(ISNUMBER(CJ666),IFERROR(MAX(0,AW226-CJ666),0),0)</f>
        <v>0</v>
      </c>
      <c r="CN666">
        <f>IF(ISNUMBER(CJ666),IFERROR(MAX(0,CJ666-AW226),0),0)</f>
        <v>0</v>
      </c>
      <c r="CP666" t="e">
        <f>CB226</f>
        <v>#N/A</v>
      </c>
      <c r="CQ666" t="e">
        <f>CC226</f>
        <v>#N/A</v>
      </c>
      <c r="CR666">
        <f>IF(ISNUMBER(CP666),IFERROR(MAX(0,CD226-CP666),0),0)</f>
        <v>0</v>
      </c>
      <c r="CS666">
        <f>IF(ISNUMBER(CP666),IFERROR(MAX(0,CP666-CD226),0),0)</f>
        <v>0</v>
      </c>
      <c r="CT666">
        <f>IF(ISNUMBER(CQ666),IFERROR(MAX(0,CE226-CQ666),0),0)</f>
        <v>0</v>
      </c>
      <c r="CU666">
        <f>IF(ISNUMBER(CQ666),IFERROR(MAX(0,CQ666-CE226),0),0)</f>
        <v>0</v>
      </c>
    </row>
    <row r="667" spans="87:99" x14ac:dyDescent="0.3">
      <c r="CI667" t="e">
        <f>AL227</f>
        <v>#N/A</v>
      </c>
      <c r="CJ667" t="e">
        <f>AM227</f>
        <v>#N/A</v>
      </c>
      <c r="CK667">
        <f>IF(ISNUMBER(CI667),IFERROR(MAX(0,AN227-CI667),0),0)</f>
        <v>0</v>
      </c>
      <c r="CL667">
        <f>IF(ISNUMBER(CI667),IFERROR(MAX(0,CI667-AN227),0),0)</f>
        <v>0</v>
      </c>
      <c r="CM667">
        <f>IF(ISNUMBER(CJ667),IFERROR(MAX(0,AO227-CJ667),0),0)</f>
        <v>0</v>
      </c>
      <c r="CN667">
        <f>IF(ISNUMBER(CJ667),IFERROR(MAX(0,CJ667-AO227),0),0)</f>
        <v>0</v>
      </c>
      <c r="CP667" t="e">
        <f>BT227</f>
        <v>#N/A</v>
      </c>
      <c r="CQ667" t="e">
        <f>BU227</f>
        <v>#N/A</v>
      </c>
      <c r="CR667">
        <f>IF(ISNUMBER(CP667),IFERROR(MAX(0,BV227-CP667),0),0)</f>
        <v>0</v>
      </c>
      <c r="CS667">
        <f>IF(ISNUMBER(CP667),IFERROR(MAX(0,CP667-BV227),0),0)</f>
        <v>0</v>
      </c>
      <c r="CT667">
        <f>IF(ISNUMBER(CQ667),IFERROR(MAX(0,BW227-CQ667),0),0)</f>
        <v>0</v>
      </c>
      <c r="CU667">
        <f>IF(ISNUMBER(CQ667),IFERROR(MAX(0,CQ667-BW227),0),0)</f>
        <v>0</v>
      </c>
    </row>
    <row r="668" spans="87:99" x14ac:dyDescent="0.3">
      <c r="CI668" t="e">
        <f>AP227</f>
        <v>#N/A</v>
      </c>
      <c r="CJ668" t="e">
        <f>AQ227</f>
        <v>#N/A</v>
      </c>
      <c r="CK668">
        <f>IF(ISNUMBER(CI668),IFERROR(MAX(0,AR227-CI668),0),0)</f>
        <v>0</v>
      </c>
      <c r="CL668">
        <f>IF(ISNUMBER(CI668),IFERROR(MAX(0,CI668-AR227),0),0)</f>
        <v>0</v>
      </c>
      <c r="CM668">
        <f>IF(ISNUMBER(CJ668),IFERROR(MAX(0,AS227-CJ668),0),0)</f>
        <v>0</v>
      </c>
      <c r="CN668">
        <f>IF(ISNUMBER(CJ668),IFERROR(MAX(0,CJ668-AS227),0),0)</f>
        <v>0</v>
      </c>
      <c r="CP668" t="e">
        <f>BX227</f>
        <v>#N/A</v>
      </c>
      <c r="CQ668" t="e">
        <f>BY227</f>
        <v>#N/A</v>
      </c>
      <c r="CR668">
        <f>IF(ISNUMBER(CP668),IFERROR(MAX(0,BZ227-CP668),0),0)</f>
        <v>0</v>
      </c>
      <c r="CS668">
        <f>IF(ISNUMBER(CP668),IFERROR(MAX(0,CP668-BZ227),0),0)</f>
        <v>0</v>
      </c>
      <c r="CT668">
        <f>IF(ISNUMBER(CQ668),IFERROR(MAX(0,CA227-CQ668),0),0)</f>
        <v>0</v>
      </c>
      <c r="CU668">
        <f>IF(ISNUMBER(CQ668),IFERROR(MAX(0,CQ668-CA227),0),0)</f>
        <v>0</v>
      </c>
    </row>
    <row r="669" spans="87:99" x14ac:dyDescent="0.3">
      <c r="CI669" t="e">
        <f>AT227</f>
        <v>#N/A</v>
      </c>
      <c r="CJ669" t="e">
        <f>AU227</f>
        <v>#N/A</v>
      </c>
      <c r="CK669">
        <f>IF(ISNUMBER(CI669),IFERROR(MAX(0,AV227-CI669),0),0)</f>
        <v>0</v>
      </c>
      <c r="CL669">
        <f>IF(ISNUMBER(CI669),IFERROR(MAX(0,CI669-AV227),0),0)</f>
        <v>0</v>
      </c>
      <c r="CM669">
        <f>IF(ISNUMBER(CJ669),IFERROR(MAX(0,AW227-CJ669),0),0)</f>
        <v>0</v>
      </c>
      <c r="CN669">
        <f>IF(ISNUMBER(CJ669),IFERROR(MAX(0,CJ669-AW227),0),0)</f>
        <v>0</v>
      </c>
      <c r="CP669" t="e">
        <f>CB227</f>
        <v>#N/A</v>
      </c>
      <c r="CQ669" t="e">
        <f>CC227</f>
        <v>#N/A</v>
      </c>
      <c r="CR669">
        <f>IF(ISNUMBER(CP669),IFERROR(MAX(0,CD227-CP669),0),0)</f>
        <v>0</v>
      </c>
      <c r="CS669">
        <f>IF(ISNUMBER(CP669),IFERROR(MAX(0,CP669-CD227),0),0)</f>
        <v>0</v>
      </c>
      <c r="CT669">
        <f>IF(ISNUMBER(CQ669),IFERROR(MAX(0,CE227-CQ669),0),0)</f>
        <v>0</v>
      </c>
      <c r="CU669">
        <f>IF(ISNUMBER(CQ669),IFERROR(MAX(0,CQ669-CE227),0),0)</f>
        <v>0</v>
      </c>
    </row>
    <row r="670" spans="87:99" x14ac:dyDescent="0.3">
      <c r="CI670" t="e">
        <f>AL228</f>
        <v>#N/A</v>
      </c>
      <c r="CJ670" t="e">
        <f>AM228</f>
        <v>#N/A</v>
      </c>
      <c r="CK670">
        <f>IF(ISNUMBER(CI670),IFERROR(MAX(0,AN228-CI670),0),0)</f>
        <v>0</v>
      </c>
      <c r="CL670">
        <f>IF(ISNUMBER(CI670),IFERROR(MAX(0,CI670-AN228),0),0)</f>
        <v>0</v>
      </c>
      <c r="CM670">
        <f>IF(ISNUMBER(CJ670),IFERROR(MAX(0,AO228-CJ670),0),0)</f>
        <v>0</v>
      </c>
      <c r="CN670">
        <f>IF(ISNUMBER(CJ670),IFERROR(MAX(0,CJ670-AO228),0),0)</f>
        <v>0</v>
      </c>
      <c r="CP670" t="e">
        <f>BT228</f>
        <v>#N/A</v>
      </c>
      <c r="CQ670" t="e">
        <f>BU228</f>
        <v>#N/A</v>
      </c>
      <c r="CR670">
        <f>IF(ISNUMBER(CP670),IFERROR(MAX(0,BV228-CP670),0),0)</f>
        <v>0</v>
      </c>
      <c r="CS670">
        <f>IF(ISNUMBER(CP670),IFERROR(MAX(0,CP670-BV228),0),0)</f>
        <v>0</v>
      </c>
      <c r="CT670">
        <f>IF(ISNUMBER(CQ670),IFERROR(MAX(0,BW228-CQ670),0),0)</f>
        <v>0</v>
      </c>
      <c r="CU670">
        <f>IF(ISNUMBER(CQ670),IFERROR(MAX(0,CQ670-BW228),0),0)</f>
        <v>0</v>
      </c>
    </row>
    <row r="671" spans="87:99" x14ac:dyDescent="0.3">
      <c r="CI671" t="e">
        <f>AP228</f>
        <v>#N/A</v>
      </c>
      <c r="CJ671" t="e">
        <f>AQ228</f>
        <v>#N/A</v>
      </c>
      <c r="CK671">
        <f>IF(ISNUMBER(CI671),IFERROR(MAX(0,AR228-CI671),0),0)</f>
        <v>0</v>
      </c>
      <c r="CL671">
        <f>IF(ISNUMBER(CI671),IFERROR(MAX(0,CI671-AR228),0),0)</f>
        <v>0</v>
      </c>
      <c r="CM671">
        <f>IF(ISNUMBER(CJ671),IFERROR(MAX(0,AS228-CJ671),0),0)</f>
        <v>0</v>
      </c>
      <c r="CN671">
        <f>IF(ISNUMBER(CJ671),IFERROR(MAX(0,CJ671-AS228),0),0)</f>
        <v>0</v>
      </c>
      <c r="CP671" t="e">
        <f>BX228</f>
        <v>#N/A</v>
      </c>
      <c r="CQ671" t="e">
        <f>BY228</f>
        <v>#N/A</v>
      </c>
      <c r="CR671">
        <f>IF(ISNUMBER(CP671),IFERROR(MAX(0,BZ228-CP671),0),0)</f>
        <v>0</v>
      </c>
      <c r="CS671">
        <f>IF(ISNUMBER(CP671),IFERROR(MAX(0,CP671-BZ228),0),0)</f>
        <v>0</v>
      </c>
      <c r="CT671">
        <f>IF(ISNUMBER(CQ671),IFERROR(MAX(0,CA228-CQ671),0),0)</f>
        <v>0</v>
      </c>
      <c r="CU671">
        <f>IF(ISNUMBER(CQ671),IFERROR(MAX(0,CQ671-CA228),0),0)</f>
        <v>0</v>
      </c>
    </row>
    <row r="672" spans="87:99" x14ac:dyDescent="0.3">
      <c r="CI672" t="e">
        <f>AT228</f>
        <v>#N/A</v>
      </c>
      <c r="CJ672" t="e">
        <f>AU228</f>
        <v>#N/A</v>
      </c>
      <c r="CK672">
        <f>IF(ISNUMBER(CI672),IFERROR(MAX(0,AV228-CI672),0),0)</f>
        <v>0</v>
      </c>
      <c r="CL672">
        <f>IF(ISNUMBER(CI672),IFERROR(MAX(0,CI672-AV228),0),0)</f>
        <v>0</v>
      </c>
      <c r="CM672">
        <f>IF(ISNUMBER(CJ672),IFERROR(MAX(0,AW228-CJ672),0),0)</f>
        <v>0</v>
      </c>
      <c r="CN672">
        <f>IF(ISNUMBER(CJ672),IFERROR(MAX(0,CJ672-AW228),0),0)</f>
        <v>0</v>
      </c>
      <c r="CP672" t="e">
        <f>CB228</f>
        <v>#N/A</v>
      </c>
      <c r="CQ672" t="e">
        <f>CC228</f>
        <v>#N/A</v>
      </c>
      <c r="CR672">
        <f>IF(ISNUMBER(CP672),IFERROR(MAX(0,CD228-CP672),0),0)</f>
        <v>0</v>
      </c>
      <c r="CS672">
        <f>IF(ISNUMBER(CP672),IFERROR(MAX(0,CP672-CD228),0),0)</f>
        <v>0</v>
      </c>
      <c r="CT672">
        <f>IF(ISNUMBER(CQ672),IFERROR(MAX(0,CE228-CQ672),0),0)</f>
        <v>0</v>
      </c>
      <c r="CU672">
        <f>IF(ISNUMBER(CQ672),IFERROR(MAX(0,CQ672-CE228),0),0)</f>
        <v>0</v>
      </c>
    </row>
    <row r="673" spans="87:99" x14ac:dyDescent="0.3">
      <c r="CI673" t="e">
        <f>AL229</f>
        <v>#N/A</v>
      </c>
      <c r="CJ673" t="e">
        <f>AM229</f>
        <v>#N/A</v>
      </c>
      <c r="CK673">
        <f>IF(ISNUMBER(CI673),IFERROR(MAX(0,AN229-CI673),0),0)</f>
        <v>0</v>
      </c>
      <c r="CL673">
        <f>IF(ISNUMBER(CI673),IFERROR(MAX(0,CI673-AN229),0),0)</f>
        <v>0</v>
      </c>
      <c r="CM673">
        <f>IF(ISNUMBER(CJ673),IFERROR(MAX(0,AO229-CJ673),0),0)</f>
        <v>0</v>
      </c>
      <c r="CN673">
        <f>IF(ISNUMBER(CJ673),IFERROR(MAX(0,CJ673-AO229),0),0)</f>
        <v>0</v>
      </c>
      <c r="CP673" t="e">
        <f>BT229</f>
        <v>#N/A</v>
      </c>
      <c r="CQ673" t="e">
        <f>BU229</f>
        <v>#N/A</v>
      </c>
      <c r="CR673">
        <f>IF(ISNUMBER(CP673),IFERROR(MAX(0,BV229-CP673),0),0)</f>
        <v>0</v>
      </c>
      <c r="CS673">
        <f>IF(ISNUMBER(CP673),IFERROR(MAX(0,CP673-BV229),0),0)</f>
        <v>0</v>
      </c>
      <c r="CT673">
        <f>IF(ISNUMBER(CQ673),IFERROR(MAX(0,BW229-CQ673),0),0)</f>
        <v>0</v>
      </c>
      <c r="CU673">
        <f>IF(ISNUMBER(CQ673),IFERROR(MAX(0,CQ673-BW229),0),0)</f>
        <v>0</v>
      </c>
    </row>
    <row r="674" spans="87:99" x14ac:dyDescent="0.3">
      <c r="CI674" t="e">
        <f>AP229</f>
        <v>#N/A</v>
      </c>
      <c r="CJ674" t="e">
        <f>AQ229</f>
        <v>#N/A</v>
      </c>
      <c r="CK674">
        <f>IF(ISNUMBER(CI674),IFERROR(MAX(0,AR229-CI674),0),0)</f>
        <v>0</v>
      </c>
      <c r="CL674">
        <f>IF(ISNUMBER(CI674),IFERROR(MAX(0,CI674-AR229),0),0)</f>
        <v>0</v>
      </c>
      <c r="CM674">
        <f>IF(ISNUMBER(CJ674),IFERROR(MAX(0,AS229-CJ674),0),0)</f>
        <v>0</v>
      </c>
      <c r="CN674">
        <f>IF(ISNUMBER(CJ674),IFERROR(MAX(0,CJ674-AS229),0),0)</f>
        <v>0</v>
      </c>
      <c r="CP674" t="e">
        <f>BX229</f>
        <v>#N/A</v>
      </c>
      <c r="CQ674" t="e">
        <f>BY229</f>
        <v>#N/A</v>
      </c>
      <c r="CR674">
        <f>IF(ISNUMBER(CP674),IFERROR(MAX(0,BZ229-CP674),0),0)</f>
        <v>0</v>
      </c>
      <c r="CS674">
        <f>IF(ISNUMBER(CP674),IFERROR(MAX(0,CP674-BZ229),0),0)</f>
        <v>0</v>
      </c>
      <c r="CT674">
        <f>IF(ISNUMBER(CQ674),IFERROR(MAX(0,CA229-CQ674),0),0)</f>
        <v>0</v>
      </c>
      <c r="CU674">
        <f>IF(ISNUMBER(CQ674),IFERROR(MAX(0,CQ674-CA229),0),0)</f>
        <v>0</v>
      </c>
    </row>
    <row r="675" spans="87:99" x14ac:dyDescent="0.3">
      <c r="CI675" t="e">
        <f>AT229</f>
        <v>#N/A</v>
      </c>
      <c r="CJ675" t="e">
        <f>AU229</f>
        <v>#N/A</v>
      </c>
      <c r="CK675">
        <f>IF(ISNUMBER(CI675),IFERROR(MAX(0,AV229-CI675),0),0)</f>
        <v>0</v>
      </c>
      <c r="CL675">
        <f>IF(ISNUMBER(CI675),IFERROR(MAX(0,CI675-AV229),0),0)</f>
        <v>0</v>
      </c>
      <c r="CM675">
        <f>IF(ISNUMBER(CJ675),IFERROR(MAX(0,AW229-CJ675),0),0)</f>
        <v>0</v>
      </c>
      <c r="CN675">
        <f>IF(ISNUMBER(CJ675),IFERROR(MAX(0,CJ675-AW229),0),0)</f>
        <v>0</v>
      </c>
      <c r="CP675" t="e">
        <f>CB229</f>
        <v>#N/A</v>
      </c>
      <c r="CQ675" t="e">
        <f>CC229</f>
        <v>#N/A</v>
      </c>
      <c r="CR675">
        <f>IF(ISNUMBER(CP675),IFERROR(MAX(0,CD229-CP675),0),0)</f>
        <v>0</v>
      </c>
      <c r="CS675">
        <f>IF(ISNUMBER(CP675),IFERROR(MAX(0,CP675-CD229),0),0)</f>
        <v>0</v>
      </c>
      <c r="CT675">
        <f>IF(ISNUMBER(CQ675),IFERROR(MAX(0,CE229-CQ675),0),0)</f>
        <v>0</v>
      </c>
      <c r="CU675">
        <f>IF(ISNUMBER(CQ675),IFERROR(MAX(0,CQ675-CE229),0),0)</f>
        <v>0</v>
      </c>
    </row>
    <row r="676" spans="87:99" x14ac:dyDescent="0.3">
      <c r="CI676" t="e">
        <f>AL230</f>
        <v>#N/A</v>
      </c>
      <c r="CJ676" t="e">
        <f>AM230</f>
        <v>#N/A</v>
      </c>
      <c r="CK676">
        <f>IF(ISNUMBER(CI676),IFERROR(MAX(0,AN230-CI676),0),0)</f>
        <v>0</v>
      </c>
      <c r="CL676">
        <f>IF(ISNUMBER(CI676),IFERROR(MAX(0,CI676-AN230),0),0)</f>
        <v>0</v>
      </c>
      <c r="CM676">
        <f>IF(ISNUMBER(CJ676),IFERROR(MAX(0,AO230-CJ676),0),0)</f>
        <v>0</v>
      </c>
      <c r="CN676">
        <f>IF(ISNUMBER(CJ676),IFERROR(MAX(0,CJ676-AO230),0),0)</f>
        <v>0</v>
      </c>
      <c r="CP676" t="e">
        <f>BT230</f>
        <v>#N/A</v>
      </c>
      <c r="CQ676" t="e">
        <f>BU230</f>
        <v>#N/A</v>
      </c>
      <c r="CR676">
        <f>IF(ISNUMBER(CP676),IFERROR(MAX(0,BV230-CP676),0),0)</f>
        <v>0</v>
      </c>
      <c r="CS676">
        <f>IF(ISNUMBER(CP676),IFERROR(MAX(0,CP676-BV230),0),0)</f>
        <v>0</v>
      </c>
      <c r="CT676">
        <f>IF(ISNUMBER(CQ676),IFERROR(MAX(0,BW230-CQ676),0),0)</f>
        <v>0</v>
      </c>
      <c r="CU676">
        <f>IF(ISNUMBER(CQ676),IFERROR(MAX(0,CQ676-BW230),0),0)</f>
        <v>0</v>
      </c>
    </row>
    <row r="677" spans="87:99" x14ac:dyDescent="0.3">
      <c r="CI677" t="e">
        <f>AP230</f>
        <v>#N/A</v>
      </c>
      <c r="CJ677" t="e">
        <f>AQ230</f>
        <v>#N/A</v>
      </c>
      <c r="CK677">
        <f>IF(ISNUMBER(CI677),IFERROR(MAX(0,AR230-CI677),0),0)</f>
        <v>0</v>
      </c>
      <c r="CL677">
        <f>IF(ISNUMBER(CI677),IFERROR(MAX(0,CI677-AR230),0),0)</f>
        <v>0</v>
      </c>
      <c r="CM677">
        <f>IF(ISNUMBER(CJ677),IFERROR(MAX(0,AS230-CJ677),0),0)</f>
        <v>0</v>
      </c>
      <c r="CN677">
        <f>IF(ISNUMBER(CJ677),IFERROR(MAX(0,CJ677-AS230),0),0)</f>
        <v>0</v>
      </c>
      <c r="CP677" t="e">
        <f>BX230</f>
        <v>#N/A</v>
      </c>
      <c r="CQ677" t="e">
        <f>BY230</f>
        <v>#N/A</v>
      </c>
      <c r="CR677">
        <f>IF(ISNUMBER(CP677),IFERROR(MAX(0,BZ230-CP677),0),0)</f>
        <v>0</v>
      </c>
      <c r="CS677">
        <f>IF(ISNUMBER(CP677),IFERROR(MAX(0,CP677-BZ230),0),0)</f>
        <v>0</v>
      </c>
      <c r="CT677">
        <f>IF(ISNUMBER(CQ677),IFERROR(MAX(0,CA230-CQ677),0),0)</f>
        <v>0</v>
      </c>
      <c r="CU677">
        <f>IF(ISNUMBER(CQ677),IFERROR(MAX(0,CQ677-CA230),0),0)</f>
        <v>0</v>
      </c>
    </row>
    <row r="678" spans="87:99" x14ac:dyDescent="0.3">
      <c r="CI678" t="e">
        <f>AT230</f>
        <v>#N/A</v>
      </c>
      <c r="CJ678" t="e">
        <f>AU230</f>
        <v>#N/A</v>
      </c>
      <c r="CK678">
        <f>IF(ISNUMBER(CI678),IFERROR(MAX(0,AV230-CI678),0),0)</f>
        <v>0</v>
      </c>
      <c r="CL678">
        <f>IF(ISNUMBER(CI678),IFERROR(MAX(0,CI678-AV230),0),0)</f>
        <v>0</v>
      </c>
      <c r="CM678">
        <f>IF(ISNUMBER(CJ678),IFERROR(MAX(0,AW230-CJ678),0),0)</f>
        <v>0</v>
      </c>
      <c r="CN678">
        <f>IF(ISNUMBER(CJ678),IFERROR(MAX(0,CJ678-AW230),0),0)</f>
        <v>0</v>
      </c>
      <c r="CP678" t="e">
        <f>CB230</f>
        <v>#N/A</v>
      </c>
      <c r="CQ678" t="e">
        <f>CC230</f>
        <v>#N/A</v>
      </c>
      <c r="CR678">
        <f>IF(ISNUMBER(CP678),IFERROR(MAX(0,CD230-CP678),0),0)</f>
        <v>0</v>
      </c>
      <c r="CS678">
        <f>IF(ISNUMBER(CP678),IFERROR(MAX(0,CP678-CD230),0),0)</f>
        <v>0</v>
      </c>
      <c r="CT678">
        <f>IF(ISNUMBER(CQ678),IFERROR(MAX(0,CE230-CQ678),0),0)</f>
        <v>0</v>
      </c>
      <c r="CU678">
        <f>IF(ISNUMBER(CQ678),IFERROR(MAX(0,CQ678-CE230),0),0)</f>
        <v>0</v>
      </c>
    </row>
    <row r="679" spans="87:99" x14ac:dyDescent="0.3">
      <c r="CI679" t="e">
        <f>AL231</f>
        <v>#N/A</v>
      </c>
      <c r="CJ679" t="e">
        <f>AM231</f>
        <v>#N/A</v>
      </c>
      <c r="CK679">
        <f>IF(ISNUMBER(CI679),IFERROR(MAX(0,AN231-CI679),0),0)</f>
        <v>0</v>
      </c>
      <c r="CL679">
        <f>IF(ISNUMBER(CI679),IFERROR(MAX(0,CI679-AN231),0),0)</f>
        <v>0</v>
      </c>
      <c r="CM679">
        <f>IF(ISNUMBER(CJ679),IFERROR(MAX(0,AO231-CJ679),0),0)</f>
        <v>0</v>
      </c>
      <c r="CN679">
        <f>IF(ISNUMBER(CJ679),IFERROR(MAX(0,CJ679-AO231),0),0)</f>
        <v>0</v>
      </c>
      <c r="CP679" t="e">
        <f>BT231</f>
        <v>#N/A</v>
      </c>
      <c r="CQ679" t="e">
        <f>BU231</f>
        <v>#N/A</v>
      </c>
      <c r="CR679">
        <f>IF(ISNUMBER(CP679),IFERROR(MAX(0,BV231-CP679),0),0)</f>
        <v>0</v>
      </c>
      <c r="CS679">
        <f>IF(ISNUMBER(CP679),IFERROR(MAX(0,CP679-BV231),0),0)</f>
        <v>0</v>
      </c>
      <c r="CT679">
        <f>IF(ISNUMBER(CQ679),IFERROR(MAX(0,BW231-CQ679),0),0)</f>
        <v>0</v>
      </c>
      <c r="CU679">
        <f>IF(ISNUMBER(CQ679),IFERROR(MAX(0,CQ679-BW231),0),0)</f>
        <v>0</v>
      </c>
    </row>
    <row r="680" spans="87:99" x14ac:dyDescent="0.3">
      <c r="CI680" t="e">
        <f>AP231</f>
        <v>#N/A</v>
      </c>
      <c r="CJ680" t="e">
        <f>AQ231</f>
        <v>#N/A</v>
      </c>
      <c r="CK680">
        <f>IF(ISNUMBER(CI680),IFERROR(MAX(0,AR231-CI680),0),0)</f>
        <v>0</v>
      </c>
      <c r="CL680">
        <f>IF(ISNUMBER(CI680),IFERROR(MAX(0,CI680-AR231),0),0)</f>
        <v>0</v>
      </c>
      <c r="CM680">
        <f>IF(ISNUMBER(CJ680),IFERROR(MAX(0,AS231-CJ680),0),0)</f>
        <v>0</v>
      </c>
      <c r="CN680">
        <f>IF(ISNUMBER(CJ680),IFERROR(MAX(0,CJ680-AS231),0),0)</f>
        <v>0</v>
      </c>
      <c r="CP680" t="e">
        <f>BX231</f>
        <v>#N/A</v>
      </c>
      <c r="CQ680" t="e">
        <f>BY231</f>
        <v>#N/A</v>
      </c>
      <c r="CR680">
        <f>IF(ISNUMBER(CP680),IFERROR(MAX(0,BZ231-CP680),0),0)</f>
        <v>0</v>
      </c>
      <c r="CS680">
        <f>IF(ISNUMBER(CP680),IFERROR(MAX(0,CP680-BZ231),0),0)</f>
        <v>0</v>
      </c>
      <c r="CT680">
        <f>IF(ISNUMBER(CQ680),IFERROR(MAX(0,CA231-CQ680),0),0)</f>
        <v>0</v>
      </c>
      <c r="CU680">
        <f>IF(ISNUMBER(CQ680),IFERROR(MAX(0,CQ680-CA231),0),0)</f>
        <v>0</v>
      </c>
    </row>
    <row r="681" spans="87:99" x14ac:dyDescent="0.3">
      <c r="CI681" t="e">
        <f>AT231</f>
        <v>#N/A</v>
      </c>
      <c r="CJ681" t="e">
        <f>AU231</f>
        <v>#N/A</v>
      </c>
      <c r="CK681">
        <f>IF(ISNUMBER(CI681),IFERROR(MAX(0,AV231-CI681),0),0)</f>
        <v>0</v>
      </c>
      <c r="CL681">
        <f>IF(ISNUMBER(CI681),IFERROR(MAX(0,CI681-AV231),0),0)</f>
        <v>0</v>
      </c>
      <c r="CM681">
        <f>IF(ISNUMBER(CJ681),IFERROR(MAX(0,AW231-CJ681),0),0)</f>
        <v>0</v>
      </c>
      <c r="CN681">
        <f>IF(ISNUMBER(CJ681),IFERROR(MAX(0,CJ681-AW231),0),0)</f>
        <v>0</v>
      </c>
      <c r="CP681" t="e">
        <f>CB231</f>
        <v>#N/A</v>
      </c>
      <c r="CQ681" t="e">
        <f>CC231</f>
        <v>#N/A</v>
      </c>
      <c r="CR681">
        <f>IF(ISNUMBER(CP681),IFERROR(MAX(0,CD231-CP681),0),0)</f>
        <v>0</v>
      </c>
      <c r="CS681">
        <f>IF(ISNUMBER(CP681),IFERROR(MAX(0,CP681-CD231),0),0)</f>
        <v>0</v>
      </c>
      <c r="CT681">
        <f>IF(ISNUMBER(CQ681),IFERROR(MAX(0,CE231-CQ681),0),0)</f>
        <v>0</v>
      </c>
      <c r="CU681">
        <f>IF(ISNUMBER(CQ681),IFERROR(MAX(0,CQ681-CE231),0),0)</f>
        <v>0</v>
      </c>
    </row>
    <row r="682" spans="87:99" x14ac:dyDescent="0.3">
      <c r="CI682" t="e">
        <f>AL232</f>
        <v>#N/A</v>
      </c>
      <c r="CJ682" t="e">
        <f>AM232</f>
        <v>#N/A</v>
      </c>
      <c r="CK682">
        <f>IF(ISNUMBER(CI682),IFERROR(MAX(0,AN232-CI682),0),0)</f>
        <v>0</v>
      </c>
      <c r="CL682">
        <f>IF(ISNUMBER(CI682),IFERROR(MAX(0,CI682-AN232),0),0)</f>
        <v>0</v>
      </c>
      <c r="CM682">
        <f>IF(ISNUMBER(CJ682),IFERROR(MAX(0,AO232-CJ682),0),0)</f>
        <v>0</v>
      </c>
      <c r="CN682">
        <f>IF(ISNUMBER(CJ682),IFERROR(MAX(0,CJ682-AO232),0),0)</f>
        <v>0</v>
      </c>
      <c r="CP682" t="e">
        <f>BT232</f>
        <v>#N/A</v>
      </c>
      <c r="CQ682" t="e">
        <f>BU232</f>
        <v>#N/A</v>
      </c>
      <c r="CR682">
        <f>IF(ISNUMBER(CP682),IFERROR(MAX(0,BV232-CP682),0),0)</f>
        <v>0</v>
      </c>
      <c r="CS682">
        <f>IF(ISNUMBER(CP682),IFERROR(MAX(0,CP682-BV232),0),0)</f>
        <v>0</v>
      </c>
      <c r="CT682">
        <f>IF(ISNUMBER(CQ682),IFERROR(MAX(0,BW232-CQ682),0),0)</f>
        <v>0</v>
      </c>
      <c r="CU682">
        <f>IF(ISNUMBER(CQ682),IFERROR(MAX(0,CQ682-BW232),0),0)</f>
        <v>0</v>
      </c>
    </row>
    <row r="683" spans="87:99" x14ac:dyDescent="0.3">
      <c r="CI683" t="e">
        <f>AP232</f>
        <v>#N/A</v>
      </c>
      <c r="CJ683" t="e">
        <f>AQ232</f>
        <v>#N/A</v>
      </c>
      <c r="CK683">
        <f>IF(ISNUMBER(CI683),IFERROR(MAX(0,AR232-CI683),0),0)</f>
        <v>0</v>
      </c>
      <c r="CL683">
        <f>IF(ISNUMBER(CI683),IFERROR(MAX(0,CI683-AR232),0),0)</f>
        <v>0</v>
      </c>
      <c r="CM683">
        <f>IF(ISNUMBER(CJ683),IFERROR(MAX(0,AS232-CJ683),0),0)</f>
        <v>0</v>
      </c>
      <c r="CN683">
        <f>IF(ISNUMBER(CJ683),IFERROR(MAX(0,CJ683-AS232),0),0)</f>
        <v>0</v>
      </c>
      <c r="CP683" t="e">
        <f>BX232</f>
        <v>#N/A</v>
      </c>
      <c r="CQ683" t="e">
        <f>BY232</f>
        <v>#N/A</v>
      </c>
      <c r="CR683">
        <f>IF(ISNUMBER(CP683),IFERROR(MAX(0,BZ232-CP683),0),0)</f>
        <v>0</v>
      </c>
      <c r="CS683">
        <f>IF(ISNUMBER(CP683),IFERROR(MAX(0,CP683-BZ232),0),0)</f>
        <v>0</v>
      </c>
      <c r="CT683">
        <f>IF(ISNUMBER(CQ683),IFERROR(MAX(0,CA232-CQ683),0),0)</f>
        <v>0</v>
      </c>
      <c r="CU683">
        <f>IF(ISNUMBER(CQ683),IFERROR(MAX(0,CQ683-CA232),0),0)</f>
        <v>0</v>
      </c>
    </row>
    <row r="684" spans="87:99" x14ac:dyDescent="0.3">
      <c r="CI684" t="e">
        <f>AT232</f>
        <v>#N/A</v>
      </c>
      <c r="CJ684" t="e">
        <f>AU232</f>
        <v>#N/A</v>
      </c>
      <c r="CK684">
        <f>IF(ISNUMBER(CI684),IFERROR(MAX(0,AV232-CI684),0),0)</f>
        <v>0</v>
      </c>
      <c r="CL684">
        <f>IF(ISNUMBER(CI684),IFERROR(MAX(0,CI684-AV232),0),0)</f>
        <v>0</v>
      </c>
      <c r="CM684">
        <f>IF(ISNUMBER(CJ684),IFERROR(MAX(0,AW232-CJ684),0),0)</f>
        <v>0</v>
      </c>
      <c r="CN684">
        <f>IF(ISNUMBER(CJ684),IFERROR(MAX(0,CJ684-AW232),0),0)</f>
        <v>0</v>
      </c>
      <c r="CP684" t="e">
        <f>CB232</f>
        <v>#N/A</v>
      </c>
      <c r="CQ684" t="e">
        <f>CC232</f>
        <v>#N/A</v>
      </c>
      <c r="CR684">
        <f>IF(ISNUMBER(CP684),IFERROR(MAX(0,CD232-CP684),0),0)</f>
        <v>0</v>
      </c>
      <c r="CS684">
        <f>IF(ISNUMBER(CP684),IFERROR(MAX(0,CP684-CD232),0),0)</f>
        <v>0</v>
      </c>
      <c r="CT684">
        <f>IF(ISNUMBER(CQ684),IFERROR(MAX(0,CE232-CQ684),0),0)</f>
        <v>0</v>
      </c>
      <c r="CU684">
        <f>IF(ISNUMBER(CQ684),IFERROR(MAX(0,CQ684-CE232),0),0)</f>
        <v>0</v>
      </c>
    </row>
    <row r="685" spans="87:99" x14ac:dyDescent="0.3">
      <c r="CI685" t="e">
        <f>AL233</f>
        <v>#N/A</v>
      </c>
      <c r="CJ685" t="e">
        <f>AM233</f>
        <v>#N/A</v>
      </c>
      <c r="CK685">
        <f>IF(ISNUMBER(CI685),IFERROR(MAX(0,AN233-CI685),0),0)</f>
        <v>0</v>
      </c>
      <c r="CL685">
        <f>IF(ISNUMBER(CI685),IFERROR(MAX(0,CI685-AN233),0),0)</f>
        <v>0</v>
      </c>
      <c r="CM685">
        <f>IF(ISNUMBER(CJ685),IFERROR(MAX(0,AO233-CJ685),0),0)</f>
        <v>0</v>
      </c>
      <c r="CN685">
        <f>IF(ISNUMBER(CJ685),IFERROR(MAX(0,CJ685-AO233),0),0)</f>
        <v>0</v>
      </c>
      <c r="CP685" t="e">
        <f>BT233</f>
        <v>#N/A</v>
      </c>
      <c r="CQ685" t="e">
        <f>BU233</f>
        <v>#N/A</v>
      </c>
      <c r="CR685">
        <f>IF(ISNUMBER(CP685),IFERROR(MAX(0,BV233-CP685),0),0)</f>
        <v>0</v>
      </c>
      <c r="CS685">
        <f>IF(ISNUMBER(CP685),IFERROR(MAX(0,CP685-BV233),0),0)</f>
        <v>0</v>
      </c>
      <c r="CT685">
        <f>IF(ISNUMBER(CQ685),IFERROR(MAX(0,BW233-CQ685),0),0)</f>
        <v>0</v>
      </c>
      <c r="CU685">
        <f>IF(ISNUMBER(CQ685),IFERROR(MAX(0,CQ685-BW233),0),0)</f>
        <v>0</v>
      </c>
    </row>
    <row r="686" spans="87:99" x14ac:dyDescent="0.3">
      <c r="CI686" t="e">
        <f>AP233</f>
        <v>#N/A</v>
      </c>
      <c r="CJ686" t="e">
        <f>AQ233</f>
        <v>#N/A</v>
      </c>
      <c r="CK686">
        <f>IF(ISNUMBER(CI686),IFERROR(MAX(0,AR233-CI686),0),0)</f>
        <v>0</v>
      </c>
      <c r="CL686">
        <f>IF(ISNUMBER(CI686),IFERROR(MAX(0,CI686-AR233),0),0)</f>
        <v>0</v>
      </c>
      <c r="CM686">
        <f>IF(ISNUMBER(CJ686),IFERROR(MAX(0,AS233-CJ686),0),0)</f>
        <v>0</v>
      </c>
      <c r="CN686">
        <f>IF(ISNUMBER(CJ686),IFERROR(MAX(0,CJ686-AS233),0),0)</f>
        <v>0</v>
      </c>
      <c r="CP686" t="e">
        <f>BX233</f>
        <v>#N/A</v>
      </c>
      <c r="CQ686" t="e">
        <f>BY233</f>
        <v>#N/A</v>
      </c>
      <c r="CR686">
        <f>IF(ISNUMBER(CP686),IFERROR(MAX(0,BZ233-CP686),0),0)</f>
        <v>0</v>
      </c>
      <c r="CS686">
        <f>IF(ISNUMBER(CP686),IFERROR(MAX(0,CP686-BZ233),0),0)</f>
        <v>0</v>
      </c>
      <c r="CT686">
        <f>IF(ISNUMBER(CQ686),IFERROR(MAX(0,CA233-CQ686),0),0)</f>
        <v>0</v>
      </c>
      <c r="CU686">
        <f>IF(ISNUMBER(CQ686),IFERROR(MAX(0,CQ686-CA233),0),0)</f>
        <v>0</v>
      </c>
    </row>
    <row r="687" spans="87:99" x14ac:dyDescent="0.3">
      <c r="CI687" t="e">
        <f>AT233</f>
        <v>#N/A</v>
      </c>
      <c r="CJ687" t="e">
        <f>AU233</f>
        <v>#N/A</v>
      </c>
      <c r="CK687">
        <f>IF(ISNUMBER(CI687),IFERROR(MAX(0,AV233-CI687),0),0)</f>
        <v>0</v>
      </c>
      <c r="CL687">
        <f>IF(ISNUMBER(CI687),IFERROR(MAX(0,CI687-AV233),0),0)</f>
        <v>0</v>
      </c>
      <c r="CM687">
        <f>IF(ISNUMBER(CJ687),IFERROR(MAX(0,AW233-CJ687),0),0)</f>
        <v>0</v>
      </c>
      <c r="CN687">
        <f>IF(ISNUMBER(CJ687),IFERROR(MAX(0,CJ687-AW233),0),0)</f>
        <v>0</v>
      </c>
      <c r="CP687" t="e">
        <f>CB233</f>
        <v>#N/A</v>
      </c>
      <c r="CQ687" t="e">
        <f>CC233</f>
        <v>#N/A</v>
      </c>
      <c r="CR687">
        <f>IF(ISNUMBER(CP687),IFERROR(MAX(0,CD233-CP687),0),0)</f>
        <v>0</v>
      </c>
      <c r="CS687">
        <f>IF(ISNUMBER(CP687),IFERROR(MAX(0,CP687-CD233),0),0)</f>
        <v>0</v>
      </c>
      <c r="CT687">
        <f>IF(ISNUMBER(CQ687),IFERROR(MAX(0,CE233-CQ687),0),0)</f>
        <v>0</v>
      </c>
      <c r="CU687">
        <f>IF(ISNUMBER(CQ687),IFERROR(MAX(0,CQ687-CE233),0),0)</f>
        <v>0</v>
      </c>
    </row>
    <row r="688" spans="87:99" x14ac:dyDescent="0.3">
      <c r="CI688" t="e">
        <f>AL234</f>
        <v>#N/A</v>
      </c>
      <c r="CJ688" t="e">
        <f>AM234</f>
        <v>#N/A</v>
      </c>
      <c r="CK688">
        <f>IF(ISNUMBER(CI688),IFERROR(MAX(0,AN234-CI688),0),0)</f>
        <v>0</v>
      </c>
      <c r="CL688">
        <f>IF(ISNUMBER(CI688),IFERROR(MAX(0,CI688-AN234),0),0)</f>
        <v>0</v>
      </c>
      <c r="CM688">
        <f>IF(ISNUMBER(CJ688),IFERROR(MAX(0,AO234-CJ688),0),0)</f>
        <v>0</v>
      </c>
      <c r="CN688">
        <f>IF(ISNUMBER(CJ688),IFERROR(MAX(0,CJ688-AO234),0),0)</f>
        <v>0</v>
      </c>
      <c r="CP688" t="e">
        <f>BT234</f>
        <v>#N/A</v>
      </c>
      <c r="CQ688" t="e">
        <f>BU234</f>
        <v>#N/A</v>
      </c>
      <c r="CR688">
        <f>IF(ISNUMBER(CP688),IFERROR(MAX(0,BV234-CP688),0),0)</f>
        <v>0</v>
      </c>
      <c r="CS688">
        <f>IF(ISNUMBER(CP688),IFERROR(MAX(0,CP688-BV234),0),0)</f>
        <v>0</v>
      </c>
      <c r="CT688">
        <f>IF(ISNUMBER(CQ688),IFERROR(MAX(0,BW234-CQ688),0),0)</f>
        <v>0</v>
      </c>
      <c r="CU688">
        <f>IF(ISNUMBER(CQ688),IFERROR(MAX(0,CQ688-BW234),0),0)</f>
        <v>0</v>
      </c>
    </row>
    <row r="689" spans="87:99" x14ac:dyDescent="0.3">
      <c r="CI689" t="e">
        <f>AP234</f>
        <v>#N/A</v>
      </c>
      <c r="CJ689" t="e">
        <f>AQ234</f>
        <v>#N/A</v>
      </c>
      <c r="CK689">
        <f>IF(ISNUMBER(CI689),IFERROR(MAX(0,AR234-CI689),0),0)</f>
        <v>0</v>
      </c>
      <c r="CL689">
        <f>IF(ISNUMBER(CI689),IFERROR(MAX(0,CI689-AR234),0),0)</f>
        <v>0</v>
      </c>
      <c r="CM689">
        <f>IF(ISNUMBER(CJ689),IFERROR(MAX(0,AS234-CJ689),0),0)</f>
        <v>0</v>
      </c>
      <c r="CN689">
        <f>IF(ISNUMBER(CJ689),IFERROR(MAX(0,CJ689-AS234),0),0)</f>
        <v>0</v>
      </c>
      <c r="CP689" t="e">
        <f>BX234</f>
        <v>#N/A</v>
      </c>
      <c r="CQ689" t="e">
        <f>BY234</f>
        <v>#N/A</v>
      </c>
      <c r="CR689">
        <f>IF(ISNUMBER(CP689),IFERROR(MAX(0,BZ234-CP689),0),0)</f>
        <v>0</v>
      </c>
      <c r="CS689">
        <f>IF(ISNUMBER(CP689),IFERROR(MAX(0,CP689-BZ234),0),0)</f>
        <v>0</v>
      </c>
      <c r="CT689">
        <f>IF(ISNUMBER(CQ689),IFERROR(MAX(0,CA234-CQ689),0),0)</f>
        <v>0</v>
      </c>
      <c r="CU689">
        <f>IF(ISNUMBER(CQ689),IFERROR(MAX(0,CQ689-CA234),0),0)</f>
        <v>0</v>
      </c>
    </row>
    <row r="690" spans="87:99" x14ac:dyDescent="0.3">
      <c r="CI690" t="e">
        <f>AT234</f>
        <v>#N/A</v>
      </c>
      <c r="CJ690" t="e">
        <f>AU234</f>
        <v>#N/A</v>
      </c>
      <c r="CK690">
        <f>IF(ISNUMBER(CI690),IFERROR(MAX(0,AV234-CI690),0),0)</f>
        <v>0</v>
      </c>
      <c r="CL690">
        <f>IF(ISNUMBER(CI690),IFERROR(MAX(0,CI690-AV234),0),0)</f>
        <v>0</v>
      </c>
      <c r="CM690">
        <f>IF(ISNUMBER(CJ690),IFERROR(MAX(0,AW234-CJ690),0),0)</f>
        <v>0</v>
      </c>
      <c r="CN690">
        <f>IF(ISNUMBER(CJ690),IFERROR(MAX(0,CJ690-AW234),0),0)</f>
        <v>0</v>
      </c>
      <c r="CP690" t="e">
        <f>CB234</f>
        <v>#N/A</v>
      </c>
      <c r="CQ690" t="e">
        <f>CC234</f>
        <v>#N/A</v>
      </c>
      <c r="CR690">
        <f>IF(ISNUMBER(CP690),IFERROR(MAX(0,CD234-CP690),0),0)</f>
        <v>0</v>
      </c>
      <c r="CS690">
        <f>IF(ISNUMBER(CP690),IFERROR(MAX(0,CP690-CD234),0),0)</f>
        <v>0</v>
      </c>
      <c r="CT690">
        <f>IF(ISNUMBER(CQ690),IFERROR(MAX(0,CE234-CQ690),0),0)</f>
        <v>0</v>
      </c>
      <c r="CU690">
        <f>IF(ISNUMBER(CQ690),IFERROR(MAX(0,CQ690-CE234),0),0)</f>
        <v>0</v>
      </c>
    </row>
    <row r="691" spans="87:99" x14ac:dyDescent="0.3">
      <c r="CI691" t="e">
        <f>AL235</f>
        <v>#N/A</v>
      </c>
      <c r="CJ691" t="e">
        <f>AM235</f>
        <v>#N/A</v>
      </c>
      <c r="CK691">
        <f>IF(ISNUMBER(CI691),IFERROR(MAX(0,AN235-CI691),0),0)</f>
        <v>0</v>
      </c>
      <c r="CL691">
        <f>IF(ISNUMBER(CI691),IFERROR(MAX(0,CI691-AN235),0),0)</f>
        <v>0</v>
      </c>
      <c r="CM691">
        <f>IF(ISNUMBER(CJ691),IFERROR(MAX(0,AO235-CJ691),0),0)</f>
        <v>0</v>
      </c>
      <c r="CN691">
        <f>IF(ISNUMBER(CJ691),IFERROR(MAX(0,CJ691-AO235),0),0)</f>
        <v>0</v>
      </c>
      <c r="CP691" t="e">
        <f>BT235</f>
        <v>#N/A</v>
      </c>
      <c r="CQ691" t="e">
        <f>BU235</f>
        <v>#N/A</v>
      </c>
      <c r="CR691">
        <f>IF(ISNUMBER(CP691),IFERROR(MAX(0,BV235-CP691),0),0)</f>
        <v>0</v>
      </c>
      <c r="CS691">
        <f>IF(ISNUMBER(CP691),IFERROR(MAX(0,CP691-BV235),0),0)</f>
        <v>0</v>
      </c>
      <c r="CT691">
        <f>IF(ISNUMBER(CQ691),IFERROR(MAX(0,BW235-CQ691),0),0)</f>
        <v>0</v>
      </c>
      <c r="CU691">
        <f>IF(ISNUMBER(CQ691),IFERROR(MAX(0,CQ691-BW235),0),0)</f>
        <v>0</v>
      </c>
    </row>
    <row r="692" spans="87:99" x14ac:dyDescent="0.3">
      <c r="CI692" t="e">
        <f>AP235</f>
        <v>#N/A</v>
      </c>
      <c r="CJ692" t="e">
        <f>AQ235</f>
        <v>#N/A</v>
      </c>
      <c r="CK692">
        <f>IF(ISNUMBER(CI692),IFERROR(MAX(0,AR235-CI692),0),0)</f>
        <v>0</v>
      </c>
      <c r="CL692">
        <f>IF(ISNUMBER(CI692),IFERROR(MAX(0,CI692-AR235),0),0)</f>
        <v>0</v>
      </c>
      <c r="CM692">
        <f>IF(ISNUMBER(CJ692),IFERROR(MAX(0,AS235-CJ692),0),0)</f>
        <v>0</v>
      </c>
      <c r="CN692">
        <f>IF(ISNUMBER(CJ692),IFERROR(MAX(0,CJ692-AS235),0),0)</f>
        <v>0</v>
      </c>
      <c r="CP692" t="e">
        <f>BX235</f>
        <v>#N/A</v>
      </c>
      <c r="CQ692" t="e">
        <f>BY235</f>
        <v>#N/A</v>
      </c>
      <c r="CR692">
        <f>IF(ISNUMBER(CP692),IFERROR(MAX(0,BZ235-CP692),0),0)</f>
        <v>0</v>
      </c>
      <c r="CS692">
        <f>IF(ISNUMBER(CP692),IFERROR(MAX(0,CP692-BZ235),0),0)</f>
        <v>0</v>
      </c>
      <c r="CT692">
        <f>IF(ISNUMBER(CQ692),IFERROR(MAX(0,CA235-CQ692),0),0)</f>
        <v>0</v>
      </c>
      <c r="CU692">
        <f>IF(ISNUMBER(CQ692),IFERROR(MAX(0,CQ692-CA235),0),0)</f>
        <v>0</v>
      </c>
    </row>
    <row r="693" spans="87:99" x14ac:dyDescent="0.3">
      <c r="CI693" t="e">
        <f>AT235</f>
        <v>#N/A</v>
      </c>
      <c r="CJ693" t="e">
        <f>AU235</f>
        <v>#N/A</v>
      </c>
      <c r="CK693">
        <f>IF(ISNUMBER(CI693),IFERROR(MAX(0,AV235-CI693),0),0)</f>
        <v>0</v>
      </c>
      <c r="CL693">
        <f>IF(ISNUMBER(CI693),IFERROR(MAX(0,CI693-AV235),0),0)</f>
        <v>0</v>
      </c>
      <c r="CM693">
        <f>IF(ISNUMBER(CJ693),IFERROR(MAX(0,AW235-CJ693),0),0)</f>
        <v>0</v>
      </c>
      <c r="CN693">
        <f>IF(ISNUMBER(CJ693),IFERROR(MAX(0,CJ693-AW235),0),0)</f>
        <v>0</v>
      </c>
      <c r="CP693" t="e">
        <f>CB235</f>
        <v>#N/A</v>
      </c>
      <c r="CQ693" t="e">
        <f>CC235</f>
        <v>#N/A</v>
      </c>
      <c r="CR693">
        <f>IF(ISNUMBER(CP693),IFERROR(MAX(0,CD235-CP693),0),0)</f>
        <v>0</v>
      </c>
      <c r="CS693">
        <f>IF(ISNUMBER(CP693),IFERROR(MAX(0,CP693-CD235),0),0)</f>
        <v>0</v>
      </c>
      <c r="CT693">
        <f>IF(ISNUMBER(CQ693),IFERROR(MAX(0,CE235-CQ693),0),0)</f>
        <v>0</v>
      </c>
      <c r="CU693">
        <f>IF(ISNUMBER(CQ693),IFERROR(MAX(0,CQ693-CE235),0),0)</f>
        <v>0</v>
      </c>
    </row>
    <row r="694" spans="87:99" x14ac:dyDescent="0.3">
      <c r="CI694" t="e">
        <f>AL236</f>
        <v>#N/A</v>
      </c>
      <c r="CJ694" t="e">
        <f>AM236</f>
        <v>#N/A</v>
      </c>
      <c r="CK694">
        <f>IF(ISNUMBER(CI694),IFERROR(MAX(0,AN236-CI694),0),0)</f>
        <v>0</v>
      </c>
      <c r="CL694">
        <f>IF(ISNUMBER(CI694),IFERROR(MAX(0,CI694-AN236),0),0)</f>
        <v>0</v>
      </c>
      <c r="CM694">
        <f>IF(ISNUMBER(CJ694),IFERROR(MAX(0,AO236-CJ694),0),0)</f>
        <v>0</v>
      </c>
      <c r="CN694">
        <f>IF(ISNUMBER(CJ694),IFERROR(MAX(0,CJ694-AO236),0),0)</f>
        <v>0</v>
      </c>
      <c r="CP694" t="e">
        <f>BT236</f>
        <v>#N/A</v>
      </c>
      <c r="CQ694" t="e">
        <f>BU236</f>
        <v>#N/A</v>
      </c>
      <c r="CR694">
        <f>IF(ISNUMBER(CP694),IFERROR(MAX(0,BV236-CP694),0),0)</f>
        <v>0</v>
      </c>
      <c r="CS694">
        <f>IF(ISNUMBER(CP694),IFERROR(MAX(0,CP694-BV236),0),0)</f>
        <v>0</v>
      </c>
      <c r="CT694">
        <f>IF(ISNUMBER(CQ694),IFERROR(MAX(0,BW236-CQ694),0),0)</f>
        <v>0</v>
      </c>
      <c r="CU694">
        <f>IF(ISNUMBER(CQ694),IFERROR(MAX(0,CQ694-BW236),0),0)</f>
        <v>0</v>
      </c>
    </row>
    <row r="695" spans="87:99" x14ac:dyDescent="0.3">
      <c r="CI695" t="e">
        <f>AP236</f>
        <v>#N/A</v>
      </c>
      <c r="CJ695" t="e">
        <f>AQ236</f>
        <v>#N/A</v>
      </c>
      <c r="CK695">
        <f>IF(ISNUMBER(CI695),IFERROR(MAX(0,AR236-CI695),0),0)</f>
        <v>0</v>
      </c>
      <c r="CL695">
        <f>IF(ISNUMBER(CI695),IFERROR(MAX(0,CI695-AR236),0),0)</f>
        <v>0</v>
      </c>
      <c r="CM695">
        <f>IF(ISNUMBER(CJ695),IFERROR(MAX(0,AS236-CJ695),0),0)</f>
        <v>0</v>
      </c>
      <c r="CN695">
        <f>IF(ISNUMBER(CJ695),IFERROR(MAX(0,CJ695-AS236),0),0)</f>
        <v>0</v>
      </c>
      <c r="CP695" t="e">
        <f>BX236</f>
        <v>#N/A</v>
      </c>
      <c r="CQ695" t="e">
        <f>BY236</f>
        <v>#N/A</v>
      </c>
      <c r="CR695">
        <f>IF(ISNUMBER(CP695),IFERROR(MAX(0,BZ236-CP695),0),0)</f>
        <v>0</v>
      </c>
      <c r="CS695">
        <f>IF(ISNUMBER(CP695),IFERROR(MAX(0,CP695-BZ236),0),0)</f>
        <v>0</v>
      </c>
      <c r="CT695">
        <f>IF(ISNUMBER(CQ695),IFERROR(MAX(0,CA236-CQ695),0),0)</f>
        <v>0</v>
      </c>
      <c r="CU695">
        <f>IF(ISNUMBER(CQ695),IFERROR(MAX(0,CQ695-CA236),0),0)</f>
        <v>0</v>
      </c>
    </row>
    <row r="696" spans="87:99" x14ac:dyDescent="0.3">
      <c r="CI696" t="e">
        <f>AT236</f>
        <v>#N/A</v>
      </c>
      <c r="CJ696" t="e">
        <f>AU236</f>
        <v>#N/A</v>
      </c>
      <c r="CK696">
        <f>IF(ISNUMBER(CI696),IFERROR(MAX(0,AV236-CI696),0),0)</f>
        <v>0</v>
      </c>
      <c r="CL696">
        <f>IF(ISNUMBER(CI696),IFERROR(MAX(0,CI696-AV236),0),0)</f>
        <v>0</v>
      </c>
      <c r="CM696">
        <f>IF(ISNUMBER(CJ696),IFERROR(MAX(0,AW236-CJ696),0),0)</f>
        <v>0</v>
      </c>
      <c r="CN696">
        <f>IF(ISNUMBER(CJ696),IFERROR(MAX(0,CJ696-AW236),0),0)</f>
        <v>0</v>
      </c>
      <c r="CP696" t="e">
        <f>CB236</f>
        <v>#N/A</v>
      </c>
      <c r="CQ696" t="e">
        <f>CC236</f>
        <v>#N/A</v>
      </c>
      <c r="CR696">
        <f>IF(ISNUMBER(CP696),IFERROR(MAX(0,CD236-CP696),0),0)</f>
        <v>0</v>
      </c>
      <c r="CS696">
        <f>IF(ISNUMBER(CP696),IFERROR(MAX(0,CP696-CD236),0),0)</f>
        <v>0</v>
      </c>
      <c r="CT696">
        <f>IF(ISNUMBER(CQ696),IFERROR(MAX(0,CE236-CQ696),0),0)</f>
        <v>0</v>
      </c>
      <c r="CU696">
        <f>IF(ISNUMBER(CQ696),IFERROR(MAX(0,CQ696-CE236),0),0)</f>
        <v>0</v>
      </c>
    </row>
    <row r="697" spans="87:99" x14ac:dyDescent="0.3">
      <c r="CI697" t="e">
        <f>AL237</f>
        <v>#N/A</v>
      </c>
      <c r="CJ697" t="e">
        <f>AM237</f>
        <v>#N/A</v>
      </c>
      <c r="CK697">
        <f>IF(ISNUMBER(CI697),IFERROR(MAX(0,AN237-CI697),0),0)</f>
        <v>0</v>
      </c>
      <c r="CL697">
        <f>IF(ISNUMBER(CI697),IFERROR(MAX(0,CI697-AN237),0),0)</f>
        <v>0</v>
      </c>
      <c r="CM697">
        <f>IF(ISNUMBER(CJ697),IFERROR(MAX(0,AO237-CJ697),0),0)</f>
        <v>0</v>
      </c>
      <c r="CN697">
        <f>IF(ISNUMBER(CJ697),IFERROR(MAX(0,CJ697-AO237),0),0)</f>
        <v>0</v>
      </c>
      <c r="CP697" t="e">
        <f>BT237</f>
        <v>#N/A</v>
      </c>
      <c r="CQ697" t="e">
        <f>BU237</f>
        <v>#N/A</v>
      </c>
      <c r="CR697">
        <f>IF(ISNUMBER(CP697),IFERROR(MAX(0,BV237-CP697),0),0)</f>
        <v>0</v>
      </c>
      <c r="CS697">
        <f>IF(ISNUMBER(CP697),IFERROR(MAX(0,CP697-BV237),0),0)</f>
        <v>0</v>
      </c>
      <c r="CT697">
        <f>IF(ISNUMBER(CQ697),IFERROR(MAX(0,BW237-CQ697),0),0)</f>
        <v>0</v>
      </c>
      <c r="CU697">
        <f>IF(ISNUMBER(CQ697),IFERROR(MAX(0,CQ697-BW237),0),0)</f>
        <v>0</v>
      </c>
    </row>
    <row r="698" spans="87:99" x14ac:dyDescent="0.3">
      <c r="CI698" t="e">
        <f>AP237</f>
        <v>#N/A</v>
      </c>
      <c r="CJ698" t="e">
        <f>AQ237</f>
        <v>#N/A</v>
      </c>
      <c r="CK698">
        <f>IF(ISNUMBER(CI698),IFERROR(MAX(0,AR237-CI698),0),0)</f>
        <v>0</v>
      </c>
      <c r="CL698">
        <f>IF(ISNUMBER(CI698),IFERROR(MAX(0,CI698-AR237),0),0)</f>
        <v>0</v>
      </c>
      <c r="CM698">
        <f>IF(ISNUMBER(CJ698),IFERROR(MAX(0,AS237-CJ698),0),0)</f>
        <v>0</v>
      </c>
      <c r="CN698">
        <f>IF(ISNUMBER(CJ698),IFERROR(MAX(0,CJ698-AS237),0),0)</f>
        <v>0</v>
      </c>
      <c r="CP698" t="e">
        <f>BX237</f>
        <v>#N/A</v>
      </c>
      <c r="CQ698" t="e">
        <f>BY237</f>
        <v>#N/A</v>
      </c>
      <c r="CR698">
        <f>IF(ISNUMBER(CP698),IFERROR(MAX(0,BZ237-CP698),0),0)</f>
        <v>0</v>
      </c>
      <c r="CS698">
        <f>IF(ISNUMBER(CP698),IFERROR(MAX(0,CP698-BZ237),0),0)</f>
        <v>0</v>
      </c>
      <c r="CT698">
        <f>IF(ISNUMBER(CQ698),IFERROR(MAX(0,CA237-CQ698),0),0)</f>
        <v>0</v>
      </c>
      <c r="CU698">
        <f>IF(ISNUMBER(CQ698),IFERROR(MAX(0,CQ698-CA237),0),0)</f>
        <v>0</v>
      </c>
    </row>
    <row r="699" spans="87:99" x14ac:dyDescent="0.3">
      <c r="CI699" t="e">
        <f>AT237</f>
        <v>#N/A</v>
      </c>
      <c r="CJ699" t="e">
        <f>AU237</f>
        <v>#N/A</v>
      </c>
      <c r="CK699">
        <f>IF(ISNUMBER(CI699),IFERROR(MAX(0,AV237-CI699),0),0)</f>
        <v>0</v>
      </c>
      <c r="CL699">
        <f>IF(ISNUMBER(CI699),IFERROR(MAX(0,CI699-AV237),0),0)</f>
        <v>0</v>
      </c>
      <c r="CM699">
        <f>IF(ISNUMBER(CJ699),IFERROR(MAX(0,AW237-CJ699),0),0)</f>
        <v>0</v>
      </c>
      <c r="CN699">
        <f>IF(ISNUMBER(CJ699),IFERROR(MAX(0,CJ699-AW237),0),0)</f>
        <v>0</v>
      </c>
      <c r="CP699" t="e">
        <f>CB237</f>
        <v>#N/A</v>
      </c>
      <c r="CQ699" t="e">
        <f>CC237</f>
        <v>#N/A</v>
      </c>
      <c r="CR699">
        <f>IF(ISNUMBER(CP699),IFERROR(MAX(0,CD237-CP699),0),0)</f>
        <v>0</v>
      </c>
      <c r="CS699">
        <f>IF(ISNUMBER(CP699),IFERROR(MAX(0,CP699-CD237),0),0)</f>
        <v>0</v>
      </c>
      <c r="CT699">
        <f>IF(ISNUMBER(CQ699),IFERROR(MAX(0,CE237-CQ699),0),0)</f>
        <v>0</v>
      </c>
      <c r="CU699">
        <f>IF(ISNUMBER(CQ699),IFERROR(MAX(0,CQ699-CE237),0),0)</f>
        <v>0</v>
      </c>
    </row>
    <row r="700" spans="87:99" x14ac:dyDescent="0.3">
      <c r="CI700" t="e">
        <f>AL238</f>
        <v>#N/A</v>
      </c>
      <c r="CJ700" t="e">
        <f>AM238</f>
        <v>#N/A</v>
      </c>
      <c r="CK700">
        <f>IF(ISNUMBER(CI700),IFERROR(MAX(0,AN238-CI700),0),0)</f>
        <v>0</v>
      </c>
      <c r="CL700">
        <f>IF(ISNUMBER(CI700),IFERROR(MAX(0,CI700-AN238),0),0)</f>
        <v>0</v>
      </c>
      <c r="CM700">
        <f>IF(ISNUMBER(CJ700),IFERROR(MAX(0,AO238-CJ700),0),0)</f>
        <v>0</v>
      </c>
      <c r="CN700">
        <f>IF(ISNUMBER(CJ700),IFERROR(MAX(0,CJ700-AO238),0),0)</f>
        <v>0</v>
      </c>
      <c r="CP700" t="e">
        <f>BT238</f>
        <v>#N/A</v>
      </c>
      <c r="CQ700" t="e">
        <f>BU238</f>
        <v>#N/A</v>
      </c>
      <c r="CR700">
        <f>IF(ISNUMBER(CP700),IFERROR(MAX(0,BV238-CP700),0),0)</f>
        <v>0</v>
      </c>
      <c r="CS700">
        <f>IF(ISNUMBER(CP700),IFERROR(MAX(0,CP700-BV238),0),0)</f>
        <v>0</v>
      </c>
      <c r="CT700">
        <f>IF(ISNUMBER(CQ700),IFERROR(MAX(0,BW238-CQ700),0),0)</f>
        <v>0</v>
      </c>
      <c r="CU700">
        <f>IF(ISNUMBER(CQ700),IFERROR(MAX(0,CQ700-BW238),0),0)</f>
        <v>0</v>
      </c>
    </row>
    <row r="701" spans="87:99" x14ac:dyDescent="0.3">
      <c r="CI701" t="e">
        <f>AP238</f>
        <v>#N/A</v>
      </c>
      <c r="CJ701" t="e">
        <f>AQ238</f>
        <v>#N/A</v>
      </c>
      <c r="CK701">
        <f>IF(ISNUMBER(CI701),IFERROR(MAX(0,AR238-CI701),0),0)</f>
        <v>0</v>
      </c>
      <c r="CL701">
        <f>IF(ISNUMBER(CI701),IFERROR(MAX(0,CI701-AR238),0),0)</f>
        <v>0</v>
      </c>
      <c r="CM701">
        <f>IF(ISNUMBER(CJ701),IFERROR(MAX(0,AS238-CJ701),0),0)</f>
        <v>0</v>
      </c>
      <c r="CN701">
        <f>IF(ISNUMBER(CJ701),IFERROR(MAX(0,CJ701-AS238),0),0)</f>
        <v>0</v>
      </c>
      <c r="CP701" t="e">
        <f>BX238</f>
        <v>#N/A</v>
      </c>
      <c r="CQ701" t="e">
        <f>BY238</f>
        <v>#N/A</v>
      </c>
      <c r="CR701">
        <f>IF(ISNUMBER(CP701),IFERROR(MAX(0,BZ238-CP701),0),0)</f>
        <v>0</v>
      </c>
      <c r="CS701">
        <f>IF(ISNUMBER(CP701),IFERROR(MAX(0,CP701-BZ238),0),0)</f>
        <v>0</v>
      </c>
      <c r="CT701">
        <f>IF(ISNUMBER(CQ701),IFERROR(MAX(0,CA238-CQ701),0),0)</f>
        <v>0</v>
      </c>
      <c r="CU701">
        <f>IF(ISNUMBER(CQ701),IFERROR(MAX(0,CQ701-CA238),0),0)</f>
        <v>0</v>
      </c>
    </row>
    <row r="702" spans="87:99" x14ac:dyDescent="0.3">
      <c r="CI702" t="e">
        <f>AT238</f>
        <v>#N/A</v>
      </c>
      <c r="CJ702" t="e">
        <f>AU238</f>
        <v>#N/A</v>
      </c>
      <c r="CK702">
        <f>IF(ISNUMBER(CI702),IFERROR(MAX(0,AV238-CI702),0),0)</f>
        <v>0</v>
      </c>
      <c r="CL702">
        <f>IF(ISNUMBER(CI702),IFERROR(MAX(0,CI702-AV238),0),0)</f>
        <v>0</v>
      </c>
      <c r="CM702">
        <f>IF(ISNUMBER(CJ702),IFERROR(MAX(0,AW238-CJ702),0),0)</f>
        <v>0</v>
      </c>
      <c r="CN702">
        <f>IF(ISNUMBER(CJ702),IFERROR(MAX(0,CJ702-AW238),0),0)</f>
        <v>0</v>
      </c>
      <c r="CP702" t="e">
        <f>CB238</f>
        <v>#N/A</v>
      </c>
      <c r="CQ702" t="e">
        <f>CC238</f>
        <v>#N/A</v>
      </c>
      <c r="CR702">
        <f>IF(ISNUMBER(CP702),IFERROR(MAX(0,CD238-CP702),0),0)</f>
        <v>0</v>
      </c>
      <c r="CS702">
        <f>IF(ISNUMBER(CP702),IFERROR(MAX(0,CP702-CD238),0),0)</f>
        <v>0</v>
      </c>
      <c r="CT702">
        <f>IF(ISNUMBER(CQ702),IFERROR(MAX(0,CE238-CQ702),0),0)</f>
        <v>0</v>
      </c>
      <c r="CU702">
        <f>IF(ISNUMBER(CQ702),IFERROR(MAX(0,CQ702-CE238),0),0)</f>
        <v>0</v>
      </c>
    </row>
    <row r="703" spans="87:99" x14ac:dyDescent="0.3">
      <c r="CI703" t="e">
        <f>AL239</f>
        <v>#N/A</v>
      </c>
      <c r="CJ703" t="e">
        <f>AM239</f>
        <v>#N/A</v>
      </c>
      <c r="CK703">
        <f>IF(ISNUMBER(CI703),IFERROR(MAX(0,AN239-CI703),0),0)</f>
        <v>0</v>
      </c>
      <c r="CL703">
        <f>IF(ISNUMBER(CI703),IFERROR(MAX(0,CI703-AN239),0),0)</f>
        <v>0</v>
      </c>
      <c r="CM703">
        <f>IF(ISNUMBER(CJ703),IFERROR(MAX(0,AO239-CJ703),0),0)</f>
        <v>0</v>
      </c>
      <c r="CN703">
        <f>IF(ISNUMBER(CJ703),IFERROR(MAX(0,CJ703-AO239),0),0)</f>
        <v>0</v>
      </c>
      <c r="CP703" t="e">
        <f>BT239</f>
        <v>#N/A</v>
      </c>
      <c r="CQ703" t="e">
        <f>BU239</f>
        <v>#N/A</v>
      </c>
      <c r="CR703">
        <f>IF(ISNUMBER(CP703),IFERROR(MAX(0,BV239-CP703),0),0)</f>
        <v>0</v>
      </c>
      <c r="CS703">
        <f>IF(ISNUMBER(CP703),IFERROR(MAX(0,CP703-BV239),0),0)</f>
        <v>0</v>
      </c>
      <c r="CT703">
        <f>IF(ISNUMBER(CQ703),IFERROR(MAX(0,BW239-CQ703),0),0)</f>
        <v>0</v>
      </c>
      <c r="CU703">
        <f>IF(ISNUMBER(CQ703),IFERROR(MAX(0,CQ703-BW239),0),0)</f>
        <v>0</v>
      </c>
    </row>
    <row r="704" spans="87:99" x14ac:dyDescent="0.3">
      <c r="CI704" t="e">
        <f>AP239</f>
        <v>#N/A</v>
      </c>
      <c r="CJ704" t="e">
        <f>AQ239</f>
        <v>#N/A</v>
      </c>
      <c r="CK704">
        <f>IF(ISNUMBER(CI704),IFERROR(MAX(0,AR239-CI704),0),0)</f>
        <v>0</v>
      </c>
      <c r="CL704">
        <f>IF(ISNUMBER(CI704),IFERROR(MAX(0,CI704-AR239),0),0)</f>
        <v>0</v>
      </c>
      <c r="CM704">
        <f>IF(ISNUMBER(CJ704),IFERROR(MAX(0,AS239-CJ704),0),0)</f>
        <v>0</v>
      </c>
      <c r="CN704">
        <f>IF(ISNUMBER(CJ704),IFERROR(MAX(0,CJ704-AS239),0),0)</f>
        <v>0</v>
      </c>
      <c r="CP704" t="e">
        <f>BX239</f>
        <v>#N/A</v>
      </c>
      <c r="CQ704" t="e">
        <f>BY239</f>
        <v>#N/A</v>
      </c>
      <c r="CR704">
        <f>IF(ISNUMBER(CP704),IFERROR(MAX(0,BZ239-CP704),0),0)</f>
        <v>0</v>
      </c>
      <c r="CS704">
        <f>IF(ISNUMBER(CP704),IFERROR(MAX(0,CP704-BZ239),0),0)</f>
        <v>0</v>
      </c>
      <c r="CT704">
        <f>IF(ISNUMBER(CQ704),IFERROR(MAX(0,CA239-CQ704),0),0)</f>
        <v>0</v>
      </c>
      <c r="CU704">
        <f>IF(ISNUMBER(CQ704),IFERROR(MAX(0,CQ704-CA239),0),0)</f>
        <v>0</v>
      </c>
    </row>
    <row r="705" spans="87:99" x14ac:dyDescent="0.3">
      <c r="CI705" t="e">
        <f>AT239</f>
        <v>#N/A</v>
      </c>
      <c r="CJ705" t="e">
        <f>AU239</f>
        <v>#N/A</v>
      </c>
      <c r="CK705">
        <f>IF(ISNUMBER(CI705),IFERROR(MAX(0,AV239-CI705),0),0)</f>
        <v>0</v>
      </c>
      <c r="CL705">
        <f>IF(ISNUMBER(CI705),IFERROR(MAX(0,CI705-AV239),0),0)</f>
        <v>0</v>
      </c>
      <c r="CM705">
        <f>IF(ISNUMBER(CJ705),IFERROR(MAX(0,AW239-CJ705),0),0)</f>
        <v>0</v>
      </c>
      <c r="CN705">
        <f>IF(ISNUMBER(CJ705),IFERROR(MAX(0,CJ705-AW239),0),0)</f>
        <v>0</v>
      </c>
      <c r="CP705" t="e">
        <f>CB239</f>
        <v>#N/A</v>
      </c>
      <c r="CQ705" t="e">
        <f>CC239</f>
        <v>#N/A</v>
      </c>
      <c r="CR705">
        <f>IF(ISNUMBER(CP705),IFERROR(MAX(0,CD239-CP705),0),0)</f>
        <v>0</v>
      </c>
      <c r="CS705">
        <f>IF(ISNUMBER(CP705),IFERROR(MAX(0,CP705-CD239),0),0)</f>
        <v>0</v>
      </c>
      <c r="CT705">
        <f>IF(ISNUMBER(CQ705),IFERROR(MAX(0,CE239-CQ705),0),0)</f>
        <v>0</v>
      </c>
      <c r="CU705">
        <f>IF(ISNUMBER(CQ705),IFERROR(MAX(0,CQ705-CE239),0),0)</f>
        <v>0</v>
      </c>
    </row>
    <row r="706" spans="87:99" x14ac:dyDescent="0.3">
      <c r="CI706" t="e">
        <f>AL240</f>
        <v>#N/A</v>
      </c>
      <c r="CJ706" t="e">
        <f>AM240</f>
        <v>#N/A</v>
      </c>
      <c r="CK706">
        <f>IF(ISNUMBER(CI706),IFERROR(MAX(0,AN240-CI706),0),0)</f>
        <v>0</v>
      </c>
      <c r="CL706">
        <f>IF(ISNUMBER(CI706),IFERROR(MAX(0,CI706-AN240),0),0)</f>
        <v>0</v>
      </c>
      <c r="CM706">
        <f>IF(ISNUMBER(CJ706),IFERROR(MAX(0,AO240-CJ706),0),0)</f>
        <v>0</v>
      </c>
      <c r="CN706">
        <f>IF(ISNUMBER(CJ706),IFERROR(MAX(0,CJ706-AO240),0),0)</f>
        <v>0</v>
      </c>
      <c r="CP706" t="e">
        <f>BT240</f>
        <v>#N/A</v>
      </c>
      <c r="CQ706" t="e">
        <f>BU240</f>
        <v>#N/A</v>
      </c>
      <c r="CR706">
        <f>IF(ISNUMBER(CP706),IFERROR(MAX(0,BV240-CP706),0),0)</f>
        <v>0</v>
      </c>
      <c r="CS706">
        <f>IF(ISNUMBER(CP706),IFERROR(MAX(0,CP706-BV240),0),0)</f>
        <v>0</v>
      </c>
      <c r="CT706">
        <f>IF(ISNUMBER(CQ706),IFERROR(MAX(0,BW240-CQ706),0),0)</f>
        <v>0</v>
      </c>
      <c r="CU706">
        <f>IF(ISNUMBER(CQ706),IFERROR(MAX(0,CQ706-BW240),0),0)</f>
        <v>0</v>
      </c>
    </row>
    <row r="707" spans="87:99" x14ac:dyDescent="0.3">
      <c r="CI707" t="e">
        <f>AP240</f>
        <v>#N/A</v>
      </c>
      <c r="CJ707" t="e">
        <f>AQ240</f>
        <v>#N/A</v>
      </c>
      <c r="CK707">
        <f>IF(ISNUMBER(CI707),IFERROR(MAX(0,AR240-CI707),0),0)</f>
        <v>0</v>
      </c>
      <c r="CL707">
        <f>IF(ISNUMBER(CI707),IFERROR(MAX(0,CI707-AR240),0),0)</f>
        <v>0</v>
      </c>
      <c r="CM707">
        <f>IF(ISNUMBER(CJ707),IFERROR(MAX(0,AS240-CJ707),0),0)</f>
        <v>0</v>
      </c>
      <c r="CN707">
        <f>IF(ISNUMBER(CJ707),IFERROR(MAX(0,CJ707-AS240),0),0)</f>
        <v>0</v>
      </c>
      <c r="CP707" t="e">
        <f>BX240</f>
        <v>#N/A</v>
      </c>
      <c r="CQ707" t="e">
        <f>BY240</f>
        <v>#N/A</v>
      </c>
      <c r="CR707">
        <f>IF(ISNUMBER(CP707),IFERROR(MAX(0,BZ240-CP707),0),0)</f>
        <v>0</v>
      </c>
      <c r="CS707">
        <f>IF(ISNUMBER(CP707),IFERROR(MAX(0,CP707-BZ240),0),0)</f>
        <v>0</v>
      </c>
      <c r="CT707">
        <f>IF(ISNUMBER(CQ707),IFERROR(MAX(0,CA240-CQ707),0),0)</f>
        <v>0</v>
      </c>
      <c r="CU707">
        <f>IF(ISNUMBER(CQ707),IFERROR(MAX(0,CQ707-CA240),0),0)</f>
        <v>0</v>
      </c>
    </row>
    <row r="708" spans="87:99" x14ac:dyDescent="0.3">
      <c r="CI708" t="e">
        <f>AT240</f>
        <v>#N/A</v>
      </c>
      <c r="CJ708" t="e">
        <f>AU240</f>
        <v>#N/A</v>
      </c>
      <c r="CK708">
        <f>IF(ISNUMBER(CI708),IFERROR(MAX(0,AV240-CI708),0),0)</f>
        <v>0</v>
      </c>
      <c r="CL708">
        <f>IF(ISNUMBER(CI708),IFERROR(MAX(0,CI708-AV240),0),0)</f>
        <v>0</v>
      </c>
      <c r="CM708">
        <f>IF(ISNUMBER(CJ708),IFERROR(MAX(0,AW240-CJ708),0),0)</f>
        <v>0</v>
      </c>
      <c r="CN708">
        <f>IF(ISNUMBER(CJ708),IFERROR(MAX(0,CJ708-AW240),0),0)</f>
        <v>0</v>
      </c>
      <c r="CP708" t="e">
        <f>CB240</f>
        <v>#N/A</v>
      </c>
      <c r="CQ708" t="e">
        <f>CC240</f>
        <v>#N/A</v>
      </c>
      <c r="CR708">
        <f>IF(ISNUMBER(CP708),IFERROR(MAX(0,CD240-CP708),0),0)</f>
        <v>0</v>
      </c>
      <c r="CS708">
        <f>IF(ISNUMBER(CP708),IFERROR(MAX(0,CP708-CD240),0),0)</f>
        <v>0</v>
      </c>
      <c r="CT708">
        <f>IF(ISNUMBER(CQ708),IFERROR(MAX(0,CE240-CQ708),0),0)</f>
        <v>0</v>
      </c>
      <c r="CU708">
        <f>IF(ISNUMBER(CQ708),IFERROR(MAX(0,CQ708-CE240),0),0)</f>
        <v>0</v>
      </c>
    </row>
    <row r="709" spans="87:99" x14ac:dyDescent="0.3">
      <c r="CI709" t="e">
        <f>AL241</f>
        <v>#N/A</v>
      </c>
      <c r="CJ709" t="e">
        <f>AM241</f>
        <v>#N/A</v>
      </c>
      <c r="CK709">
        <f>IF(ISNUMBER(CI709),IFERROR(MAX(0,AN241-CI709),0),0)</f>
        <v>0</v>
      </c>
      <c r="CL709">
        <f>IF(ISNUMBER(CI709),IFERROR(MAX(0,CI709-AN241),0),0)</f>
        <v>0</v>
      </c>
      <c r="CM709">
        <f>IF(ISNUMBER(CJ709),IFERROR(MAX(0,AO241-CJ709),0),0)</f>
        <v>0</v>
      </c>
      <c r="CN709">
        <f>IF(ISNUMBER(CJ709),IFERROR(MAX(0,CJ709-AO241),0),0)</f>
        <v>0</v>
      </c>
      <c r="CP709" t="e">
        <f>BT241</f>
        <v>#N/A</v>
      </c>
      <c r="CQ709" t="e">
        <f>BU241</f>
        <v>#N/A</v>
      </c>
      <c r="CR709">
        <f>IF(ISNUMBER(CP709),IFERROR(MAX(0,BV241-CP709),0),0)</f>
        <v>0</v>
      </c>
      <c r="CS709">
        <f>IF(ISNUMBER(CP709),IFERROR(MAX(0,CP709-BV241),0),0)</f>
        <v>0</v>
      </c>
      <c r="CT709">
        <f>IF(ISNUMBER(CQ709),IFERROR(MAX(0,BW241-CQ709),0),0)</f>
        <v>0</v>
      </c>
      <c r="CU709">
        <f>IF(ISNUMBER(CQ709),IFERROR(MAX(0,CQ709-BW241),0),0)</f>
        <v>0</v>
      </c>
    </row>
    <row r="710" spans="87:99" x14ac:dyDescent="0.3">
      <c r="CI710" t="e">
        <f>AP241</f>
        <v>#N/A</v>
      </c>
      <c r="CJ710" t="e">
        <f>AQ241</f>
        <v>#N/A</v>
      </c>
      <c r="CK710">
        <f>IF(ISNUMBER(CI710),IFERROR(MAX(0,AR241-CI710),0),0)</f>
        <v>0</v>
      </c>
      <c r="CL710">
        <f>IF(ISNUMBER(CI710),IFERROR(MAX(0,CI710-AR241),0),0)</f>
        <v>0</v>
      </c>
      <c r="CM710">
        <f>IF(ISNUMBER(CJ710),IFERROR(MAX(0,AS241-CJ710),0),0)</f>
        <v>0</v>
      </c>
      <c r="CN710">
        <f>IF(ISNUMBER(CJ710),IFERROR(MAX(0,CJ710-AS241),0),0)</f>
        <v>0</v>
      </c>
      <c r="CP710" t="e">
        <f>BX241</f>
        <v>#N/A</v>
      </c>
      <c r="CQ710" t="e">
        <f>BY241</f>
        <v>#N/A</v>
      </c>
      <c r="CR710">
        <f>IF(ISNUMBER(CP710),IFERROR(MAX(0,BZ241-CP710),0),0)</f>
        <v>0</v>
      </c>
      <c r="CS710">
        <f>IF(ISNUMBER(CP710),IFERROR(MAX(0,CP710-BZ241),0),0)</f>
        <v>0</v>
      </c>
      <c r="CT710">
        <f>IF(ISNUMBER(CQ710),IFERROR(MAX(0,CA241-CQ710),0),0)</f>
        <v>0</v>
      </c>
      <c r="CU710">
        <f>IF(ISNUMBER(CQ710),IFERROR(MAX(0,CQ710-CA241),0),0)</f>
        <v>0</v>
      </c>
    </row>
    <row r="711" spans="87:99" x14ac:dyDescent="0.3">
      <c r="CI711" t="e">
        <f>AT241</f>
        <v>#N/A</v>
      </c>
      <c r="CJ711" t="e">
        <f>AU241</f>
        <v>#N/A</v>
      </c>
      <c r="CK711">
        <f>IF(ISNUMBER(CI711),IFERROR(MAX(0,AV241-CI711),0),0)</f>
        <v>0</v>
      </c>
      <c r="CL711">
        <f>IF(ISNUMBER(CI711),IFERROR(MAX(0,CI711-AV241),0),0)</f>
        <v>0</v>
      </c>
      <c r="CM711">
        <f>IF(ISNUMBER(CJ711),IFERROR(MAX(0,AW241-CJ711),0),0)</f>
        <v>0</v>
      </c>
      <c r="CN711">
        <f>IF(ISNUMBER(CJ711),IFERROR(MAX(0,CJ711-AW241),0),0)</f>
        <v>0</v>
      </c>
      <c r="CP711" t="e">
        <f>CB241</f>
        <v>#N/A</v>
      </c>
      <c r="CQ711" t="e">
        <f>CC241</f>
        <v>#N/A</v>
      </c>
      <c r="CR711">
        <f>IF(ISNUMBER(CP711),IFERROR(MAX(0,CD241-CP711),0),0)</f>
        <v>0</v>
      </c>
      <c r="CS711">
        <f>IF(ISNUMBER(CP711),IFERROR(MAX(0,CP711-CD241),0),0)</f>
        <v>0</v>
      </c>
      <c r="CT711">
        <f>IF(ISNUMBER(CQ711),IFERROR(MAX(0,CE241-CQ711),0),0)</f>
        <v>0</v>
      </c>
      <c r="CU711">
        <f>IF(ISNUMBER(CQ711),IFERROR(MAX(0,CQ711-CE241),0),0)</f>
        <v>0</v>
      </c>
    </row>
    <row r="712" spans="87:99" x14ac:dyDescent="0.3">
      <c r="CI712" t="e">
        <f>AL242</f>
        <v>#N/A</v>
      </c>
      <c r="CJ712" t="e">
        <f>AM242</f>
        <v>#N/A</v>
      </c>
      <c r="CK712">
        <f>IF(ISNUMBER(CI712),IFERROR(MAX(0,AN242-CI712),0),0)</f>
        <v>0</v>
      </c>
      <c r="CL712">
        <f>IF(ISNUMBER(CI712),IFERROR(MAX(0,CI712-AN242),0),0)</f>
        <v>0</v>
      </c>
      <c r="CM712">
        <f>IF(ISNUMBER(CJ712),IFERROR(MAX(0,AO242-CJ712),0),0)</f>
        <v>0</v>
      </c>
      <c r="CN712">
        <f>IF(ISNUMBER(CJ712),IFERROR(MAX(0,CJ712-AO242),0),0)</f>
        <v>0</v>
      </c>
      <c r="CP712" t="e">
        <f>BT242</f>
        <v>#N/A</v>
      </c>
      <c r="CQ712" t="e">
        <f>BU242</f>
        <v>#N/A</v>
      </c>
      <c r="CR712">
        <f>IF(ISNUMBER(CP712),IFERROR(MAX(0,BV242-CP712),0),0)</f>
        <v>0</v>
      </c>
      <c r="CS712">
        <f>IF(ISNUMBER(CP712),IFERROR(MAX(0,CP712-BV242),0),0)</f>
        <v>0</v>
      </c>
      <c r="CT712">
        <f>IF(ISNUMBER(CQ712),IFERROR(MAX(0,BW242-CQ712),0),0)</f>
        <v>0</v>
      </c>
      <c r="CU712">
        <f>IF(ISNUMBER(CQ712),IFERROR(MAX(0,CQ712-BW242),0),0)</f>
        <v>0</v>
      </c>
    </row>
    <row r="713" spans="87:99" x14ac:dyDescent="0.3">
      <c r="CI713" t="e">
        <f>AP242</f>
        <v>#N/A</v>
      </c>
      <c r="CJ713" t="e">
        <f>AQ242</f>
        <v>#N/A</v>
      </c>
      <c r="CK713">
        <f>IF(ISNUMBER(CI713),IFERROR(MAX(0,AR242-CI713),0),0)</f>
        <v>0</v>
      </c>
      <c r="CL713">
        <f>IF(ISNUMBER(CI713),IFERROR(MAX(0,CI713-AR242),0),0)</f>
        <v>0</v>
      </c>
      <c r="CM713">
        <f>IF(ISNUMBER(CJ713),IFERROR(MAX(0,AS242-CJ713),0),0)</f>
        <v>0</v>
      </c>
      <c r="CN713">
        <f>IF(ISNUMBER(CJ713),IFERROR(MAX(0,CJ713-AS242),0),0)</f>
        <v>0</v>
      </c>
      <c r="CP713" t="e">
        <f>BX242</f>
        <v>#N/A</v>
      </c>
      <c r="CQ713" t="e">
        <f>BY242</f>
        <v>#N/A</v>
      </c>
      <c r="CR713">
        <f>IF(ISNUMBER(CP713),IFERROR(MAX(0,BZ242-CP713),0),0)</f>
        <v>0</v>
      </c>
      <c r="CS713">
        <f>IF(ISNUMBER(CP713),IFERROR(MAX(0,CP713-BZ242),0),0)</f>
        <v>0</v>
      </c>
      <c r="CT713">
        <f>IF(ISNUMBER(CQ713),IFERROR(MAX(0,CA242-CQ713),0),0)</f>
        <v>0</v>
      </c>
      <c r="CU713">
        <f>IF(ISNUMBER(CQ713),IFERROR(MAX(0,CQ713-CA242),0),0)</f>
        <v>0</v>
      </c>
    </row>
    <row r="714" spans="87:99" x14ac:dyDescent="0.3">
      <c r="CI714" t="e">
        <f>AT242</f>
        <v>#N/A</v>
      </c>
      <c r="CJ714" t="e">
        <f>AU242</f>
        <v>#N/A</v>
      </c>
      <c r="CK714">
        <f>IF(ISNUMBER(CI714),IFERROR(MAX(0,AV242-CI714),0),0)</f>
        <v>0</v>
      </c>
      <c r="CL714">
        <f>IF(ISNUMBER(CI714),IFERROR(MAX(0,CI714-AV242),0),0)</f>
        <v>0</v>
      </c>
      <c r="CM714">
        <f>IF(ISNUMBER(CJ714),IFERROR(MAX(0,AW242-CJ714),0),0)</f>
        <v>0</v>
      </c>
      <c r="CN714">
        <f>IF(ISNUMBER(CJ714),IFERROR(MAX(0,CJ714-AW242),0),0)</f>
        <v>0</v>
      </c>
      <c r="CP714" t="e">
        <f>CB242</f>
        <v>#N/A</v>
      </c>
      <c r="CQ714" t="e">
        <f>CC242</f>
        <v>#N/A</v>
      </c>
      <c r="CR714">
        <f>IF(ISNUMBER(CP714),IFERROR(MAX(0,CD242-CP714),0),0)</f>
        <v>0</v>
      </c>
      <c r="CS714">
        <f>IF(ISNUMBER(CP714),IFERROR(MAX(0,CP714-CD242),0),0)</f>
        <v>0</v>
      </c>
      <c r="CT714">
        <f>IF(ISNUMBER(CQ714),IFERROR(MAX(0,CE242-CQ714),0),0)</f>
        <v>0</v>
      </c>
      <c r="CU714">
        <f>IF(ISNUMBER(CQ714),IFERROR(MAX(0,CQ714-CE242),0),0)</f>
        <v>0</v>
      </c>
    </row>
    <row r="715" spans="87:99" x14ac:dyDescent="0.3">
      <c r="CI715" t="e">
        <f>AL243</f>
        <v>#N/A</v>
      </c>
      <c r="CJ715" t="e">
        <f>AM243</f>
        <v>#N/A</v>
      </c>
      <c r="CK715">
        <f>IF(ISNUMBER(CI715),IFERROR(MAX(0,AN243-CI715),0),0)</f>
        <v>0</v>
      </c>
      <c r="CL715">
        <f>IF(ISNUMBER(CI715),IFERROR(MAX(0,CI715-AN243),0),0)</f>
        <v>0</v>
      </c>
      <c r="CM715">
        <f>IF(ISNUMBER(CJ715),IFERROR(MAX(0,AO243-CJ715),0),0)</f>
        <v>0</v>
      </c>
      <c r="CN715">
        <f>IF(ISNUMBER(CJ715),IFERROR(MAX(0,CJ715-AO243),0),0)</f>
        <v>0</v>
      </c>
      <c r="CP715" t="e">
        <f>BT243</f>
        <v>#N/A</v>
      </c>
      <c r="CQ715" t="e">
        <f>BU243</f>
        <v>#N/A</v>
      </c>
      <c r="CR715">
        <f>IF(ISNUMBER(CP715),IFERROR(MAX(0,BV243-CP715),0),0)</f>
        <v>0</v>
      </c>
      <c r="CS715">
        <f>IF(ISNUMBER(CP715),IFERROR(MAX(0,CP715-BV243),0),0)</f>
        <v>0</v>
      </c>
      <c r="CT715">
        <f>IF(ISNUMBER(CQ715),IFERROR(MAX(0,BW243-CQ715),0),0)</f>
        <v>0</v>
      </c>
      <c r="CU715">
        <f>IF(ISNUMBER(CQ715),IFERROR(MAX(0,CQ715-BW243),0),0)</f>
        <v>0</v>
      </c>
    </row>
    <row r="716" spans="87:99" x14ac:dyDescent="0.3">
      <c r="CI716" t="e">
        <f>AP243</f>
        <v>#N/A</v>
      </c>
      <c r="CJ716" t="e">
        <f>AQ243</f>
        <v>#N/A</v>
      </c>
      <c r="CK716">
        <f>IF(ISNUMBER(CI716),IFERROR(MAX(0,AR243-CI716),0),0)</f>
        <v>0</v>
      </c>
      <c r="CL716">
        <f>IF(ISNUMBER(CI716),IFERROR(MAX(0,CI716-AR243),0),0)</f>
        <v>0</v>
      </c>
      <c r="CM716">
        <f>IF(ISNUMBER(CJ716),IFERROR(MAX(0,AS243-CJ716),0),0)</f>
        <v>0</v>
      </c>
      <c r="CN716">
        <f>IF(ISNUMBER(CJ716),IFERROR(MAX(0,CJ716-AS243),0),0)</f>
        <v>0</v>
      </c>
      <c r="CP716" t="e">
        <f>BX243</f>
        <v>#N/A</v>
      </c>
      <c r="CQ716" t="e">
        <f>BY243</f>
        <v>#N/A</v>
      </c>
      <c r="CR716">
        <f>IF(ISNUMBER(CP716),IFERROR(MAX(0,BZ243-CP716),0),0)</f>
        <v>0</v>
      </c>
      <c r="CS716">
        <f>IF(ISNUMBER(CP716),IFERROR(MAX(0,CP716-BZ243),0),0)</f>
        <v>0</v>
      </c>
      <c r="CT716">
        <f>IF(ISNUMBER(CQ716),IFERROR(MAX(0,CA243-CQ716),0),0)</f>
        <v>0</v>
      </c>
      <c r="CU716">
        <f>IF(ISNUMBER(CQ716),IFERROR(MAX(0,CQ716-CA243),0),0)</f>
        <v>0</v>
      </c>
    </row>
    <row r="717" spans="87:99" x14ac:dyDescent="0.3">
      <c r="CI717" t="e">
        <f>AT243</f>
        <v>#N/A</v>
      </c>
      <c r="CJ717" t="e">
        <f>AU243</f>
        <v>#N/A</v>
      </c>
      <c r="CK717">
        <f>IF(ISNUMBER(CI717),IFERROR(MAX(0,AV243-CI717),0),0)</f>
        <v>0</v>
      </c>
      <c r="CL717">
        <f>IF(ISNUMBER(CI717),IFERROR(MAX(0,CI717-AV243),0),0)</f>
        <v>0</v>
      </c>
      <c r="CM717">
        <f>IF(ISNUMBER(CJ717),IFERROR(MAX(0,AW243-CJ717),0),0)</f>
        <v>0</v>
      </c>
      <c r="CN717">
        <f>IF(ISNUMBER(CJ717),IFERROR(MAX(0,CJ717-AW243),0),0)</f>
        <v>0</v>
      </c>
      <c r="CP717" t="e">
        <f>CB243</f>
        <v>#N/A</v>
      </c>
      <c r="CQ717" t="e">
        <f>CC243</f>
        <v>#N/A</v>
      </c>
      <c r="CR717">
        <f>IF(ISNUMBER(CP717),IFERROR(MAX(0,CD243-CP717),0),0)</f>
        <v>0</v>
      </c>
      <c r="CS717">
        <f>IF(ISNUMBER(CP717),IFERROR(MAX(0,CP717-CD243),0),0)</f>
        <v>0</v>
      </c>
      <c r="CT717">
        <f>IF(ISNUMBER(CQ717),IFERROR(MAX(0,CE243-CQ717),0),0)</f>
        <v>0</v>
      </c>
      <c r="CU717">
        <f>IF(ISNUMBER(CQ717),IFERROR(MAX(0,CQ717-CE243),0),0)</f>
        <v>0</v>
      </c>
    </row>
    <row r="718" spans="87:99" x14ac:dyDescent="0.3">
      <c r="CI718" t="e">
        <f>AL244</f>
        <v>#N/A</v>
      </c>
      <c r="CJ718" t="e">
        <f>AM244</f>
        <v>#N/A</v>
      </c>
      <c r="CK718">
        <f>IF(ISNUMBER(CI718),IFERROR(MAX(0,AN244-CI718),0),0)</f>
        <v>0</v>
      </c>
      <c r="CL718">
        <f>IF(ISNUMBER(CI718),IFERROR(MAX(0,CI718-AN244),0),0)</f>
        <v>0</v>
      </c>
      <c r="CM718">
        <f>IF(ISNUMBER(CJ718),IFERROR(MAX(0,AO244-CJ718),0),0)</f>
        <v>0</v>
      </c>
      <c r="CN718">
        <f>IF(ISNUMBER(CJ718),IFERROR(MAX(0,CJ718-AO244),0),0)</f>
        <v>0</v>
      </c>
      <c r="CP718" t="e">
        <f>BT244</f>
        <v>#N/A</v>
      </c>
      <c r="CQ718" t="e">
        <f>BU244</f>
        <v>#N/A</v>
      </c>
      <c r="CR718">
        <f>IF(ISNUMBER(CP718),IFERROR(MAX(0,BV244-CP718),0),0)</f>
        <v>0</v>
      </c>
      <c r="CS718">
        <f>IF(ISNUMBER(CP718),IFERROR(MAX(0,CP718-BV244),0),0)</f>
        <v>0</v>
      </c>
      <c r="CT718">
        <f>IF(ISNUMBER(CQ718),IFERROR(MAX(0,BW244-CQ718),0),0)</f>
        <v>0</v>
      </c>
      <c r="CU718">
        <f>IF(ISNUMBER(CQ718),IFERROR(MAX(0,CQ718-BW244),0),0)</f>
        <v>0</v>
      </c>
    </row>
    <row r="719" spans="87:99" x14ac:dyDescent="0.3">
      <c r="CI719" t="e">
        <f>AP244</f>
        <v>#N/A</v>
      </c>
      <c r="CJ719" t="e">
        <f>AQ244</f>
        <v>#N/A</v>
      </c>
      <c r="CK719">
        <f>IF(ISNUMBER(CI719),IFERROR(MAX(0,AR244-CI719),0),0)</f>
        <v>0</v>
      </c>
      <c r="CL719">
        <f>IF(ISNUMBER(CI719),IFERROR(MAX(0,CI719-AR244),0),0)</f>
        <v>0</v>
      </c>
      <c r="CM719">
        <f>IF(ISNUMBER(CJ719),IFERROR(MAX(0,AS244-CJ719),0),0)</f>
        <v>0</v>
      </c>
      <c r="CN719">
        <f>IF(ISNUMBER(CJ719),IFERROR(MAX(0,CJ719-AS244),0),0)</f>
        <v>0</v>
      </c>
      <c r="CP719" t="e">
        <f>BX244</f>
        <v>#N/A</v>
      </c>
      <c r="CQ719" t="e">
        <f>BY244</f>
        <v>#N/A</v>
      </c>
      <c r="CR719">
        <f>IF(ISNUMBER(CP719),IFERROR(MAX(0,BZ244-CP719),0),0)</f>
        <v>0</v>
      </c>
      <c r="CS719">
        <f>IF(ISNUMBER(CP719),IFERROR(MAX(0,CP719-BZ244),0),0)</f>
        <v>0</v>
      </c>
      <c r="CT719">
        <f>IF(ISNUMBER(CQ719),IFERROR(MAX(0,CA244-CQ719),0),0)</f>
        <v>0</v>
      </c>
      <c r="CU719">
        <f>IF(ISNUMBER(CQ719),IFERROR(MAX(0,CQ719-CA244),0),0)</f>
        <v>0</v>
      </c>
    </row>
    <row r="720" spans="87:99" x14ac:dyDescent="0.3">
      <c r="CI720" t="e">
        <f>AT244</f>
        <v>#N/A</v>
      </c>
      <c r="CJ720" t="e">
        <f>AU244</f>
        <v>#N/A</v>
      </c>
      <c r="CK720">
        <f>IF(ISNUMBER(CI720),IFERROR(MAX(0,AV244-CI720),0),0)</f>
        <v>0</v>
      </c>
      <c r="CL720">
        <f>IF(ISNUMBER(CI720),IFERROR(MAX(0,CI720-AV244),0),0)</f>
        <v>0</v>
      </c>
      <c r="CM720">
        <f>IF(ISNUMBER(CJ720),IFERROR(MAX(0,AW244-CJ720),0),0)</f>
        <v>0</v>
      </c>
      <c r="CN720">
        <f>IF(ISNUMBER(CJ720),IFERROR(MAX(0,CJ720-AW244),0),0)</f>
        <v>0</v>
      </c>
      <c r="CP720" t="e">
        <f>CB244</f>
        <v>#N/A</v>
      </c>
      <c r="CQ720" t="e">
        <f>CC244</f>
        <v>#N/A</v>
      </c>
      <c r="CR720">
        <f>IF(ISNUMBER(CP720),IFERROR(MAX(0,CD244-CP720),0),0)</f>
        <v>0</v>
      </c>
      <c r="CS720">
        <f>IF(ISNUMBER(CP720),IFERROR(MAX(0,CP720-CD244),0),0)</f>
        <v>0</v>
      </c>
      <c r="CT720">
        <f>IF(ISNUMBER(CQ720),IFERROR(MAX(0,CE244-CQ720),0),0)</f>
        <v>0</v>
      </c>
      <c r="CU720">
        <f>IF(ISNUMBER(CQ720),IFERROR(MAX(0,CQ720-CE244),0),0)</f>
        <v>0</v>
      </c>
    </row>
    <row r="721" spans="87:99" x14ac:dyDescent="0.3">
      <c r="CI721" t="e">
        <f>AL245</f>
        <v>#N/A</v>
      </c>
      <c r="CJ721" t="e">
        <f>AM245</f>
        <v>#N/A</v>
      </c>
      <c r="CK721">
        <f>IF(ISNUMBER(CI721),IFERROR(MAX(0,AN245-CI721),0),0)</f>
        <v>0</v>
      </c>
      <c r="CL721">
        <f>IF(ISNUMBER(CI721),IFERROR(MAX(0,CI721-AN245),0),0)</f>
        <v>0</v>
      </c>
      <c r="CM721">
        <f>IF(ISNUMBER(CJ721),IFERROR(MAX(0,AO245-CJ721),0),0)</f>
        <v>0</v>
      </c>
      <c r="CN721">
        <f>IF(ISNUMBER(CJ721),IFERROR(MAX(0,CJ721-AO245),0),0)</f>
        <v>0</v>
      </c>
      <c r="CP721" t="e">
        <f>BT245</f>
        <v>#N/A</v>
      </c>
      <c r="CQ721" t="e">
        <f>BU245</f>
        <v>#N/A</v>
      </c>
      <c r="CR721">
        <f>IF(ISNUMBER(CP721),IFERROR(MAX(0,BV245-CP721),0),0)</f>
        <v>0</v>
      </c>
      <c r="CS721">
        <f>IF(ISNUMBER(CP721),IFERROR(MAX(0,CP721-BV245),0),0)</f>
        <v>0</v>
      </c>
      <c r="CT721">
        <f>IF(ISNUMBER(CQ721),IFERROR(MAX(0,BW245-CQ721),0),0)</f>
        <v>0</v>
      </c>
      <c r="CU721">
        <f>IF(ISNUMBER(CQ721),IFERROR(MAX(0,CQ721-BW245),0),0)</f>
        <v>0</v>
      </c>
    </row>
    <row r="722" spans="87:99" x14ac:dyDescent="0.3">
      <c r="CI722" t="e">
        <f>AP245</f>
        <v>#N/A</v>
      </c>
      <c r="CJ722" t="e">
        <f>AQ245</f>
        <v>#N/A</v>
      </c>
      <c r="CK722">
        <f>IF(ISNUMBER(CI722),IFERROR(MAX(0,AR245-CI722),0),0)</f>
        <v>0</v>
      </c>
      <c r="CL722">
        <f>IF(ISNUMBER(CI722),IFERROR(MAX(0,CI722-AR245),0),0)</f>
        <v>0</v>
      </c>
      <c r="CM722">
        <f>IF(ISNUMBER(CJ722),IFERROR(MAX(0,AS245-CJ722),0),0)</f>
        <v>0</v>
      </c>
      <c r="CN722">
        <f>IF(ISNUMBER(CJ722),IFERROR(MAX(0,CJ722-AS245),0),0)</f>
        <v>0</v>
      </c>
      <c r="CP722" t="e">
        <f>BX245</f>
        <v>#N/A</v>
      </c>
      <c r="CQ722" t="e">
        <f>BY245</f>
        <v>#N/A</v>
      </c>
      <c r="CR722">
        <f>IF(ISNUMBER(CP722),IFERROR(MAX(0,BZ245-CP722),0),0)</f>
        <v>0</v>
      </c>
      <c r="CS722">
        <f>IF(ISNUMBER(CP722),IFERROR(MAX(0,CP722-BZ245),0),0)</f>
        <v>0</v>
      </c>
      <c r="CT722">
        <f>IF(ISNUMBER(CQ722),IFERROR(MAX(0,CA245-CQ722),0),0)</f>
        <v>0</v>
      </c>
      <c r="CU722">
        <f>IF(ISNUMBER(CQ722),IFERROR(MAX(0,CQ722-CA245),0),0)</f>
        <v>0</v>
      </c>
    </row>
    <row r="723" spans="87:99" x14ac:dyDescent="0.3">
      <c r="CI723" t="e">
        <f>AT245</f>
        <v>#N/A</v>
      </c>
      <c r="CJ723" t="e">
        <f>AU245</f>
        <v>#N/A</v>
      </c>
      <c r="CK723">
        <f>IF(ISNUMBER(CI723),IFERROR(MAX(0,AV245-CI723),0),0)</f>
        <v>0</v>
      </c>
      <c r="CL723">
        <f>IF(ISNUMBER(CI723),IFERROR(MAX(0,CI723-AV245),0),0)</f>
        <v>0</v>
      </c>
      <c r="CM723">
        <f>IF(ISNUMBER(CJ723),IFERROR(MAX(0,AW245-CJ723),0),0)</f>
        <v>0</v>
      </c>
      <c r="CN723">
        <f>IF(ISNUMBER(CJ723),IFERROR(MAX(0,CJ723-AW245),0),0)</f>
        <v>0</v>
      </c>
      <c r="CP723" t="e">
        <f>CB245</f>
        <v>#N/A</v>
      </c>
      <c r="CQ723" t="e">
        <f>CC245</f>
        <v>#N/A</v>
      </c>
      <c r="CR723">
        <f>IF(ISNUMBER(CP723),IFERROR(MAX(0,CD245-CP723),0),0)</f>
        <v>0</v>
      </c>
      <c r="CS723">
        <f>IF(ISNUMBER(CP723),IFERROR(MAX(0,CP723-CD245),0),0)</f>
        <v>0</v>
      </c>
      <c r="CT723">
        <f>IF(ISNUMBER(CQ723),IFERROR(MAX(0,CE245-CQ723),0),0)</f>
        <v>0</v>
      </c>
      <c r="CU723">
        <f>IF(ISNUMBER(CQ723),IFERROR(MAX(0,CQ723-CE245),0),0)</f>
        <v>0</v>
      </c>
    </row>
    <row r="724" spans="87:99" x14ac:dyDescent="0.3">
      <c r="CI724" t="e">
        <f>AL246</f>
        <v>#N/A</v>
      </c>
      <c r="CJ724" t="e">
        <f>AM246</f>
        <v>#N/A</v>
      </c>
      <c r="CK724">
        <f>IF(ISNUMBER(CI724),IFERROR(MAX(0,AN246-CI724),0),0)</f>
        <v>0</v>
      </c>
      <c r="CL724">
        <f>IF(ISNUMBER(CI724),IFERROR(MAX(0,CI724-AN246),0),0)</f>
        <v>0</v>
      </c>
      <c r="CM724">
        <f>IF(ISNUMBER(CJ724),IFERROR(MAX(0,AO246-CJ724),0),0)</f>
        <v>0</v>
      </c>
      <c r="CN724">
        <f>IF(ISNUMBER(CJ724),IFERROR(MAX(0,CJ724-AO246),0),0)</f>
        <v>0</v>
      </c>
      <c r="CP724" t="e">
        <f>BT246</f>
        <v>#N/A</v>
      </c>
      <c r="CQ724" t="e">
        <f>BU246</f>
        <v>#N/A</v>
      </c>
      <c r="CR724">
        <f>IF(ISNUMBER(CP724),IFERROR(MAX(0,BV246-CP724),0),0)</f>
        <v>0</v>
      </c>
      <c r="CS724">
        <f>IF(ISNUMBER(CP724),IFERROR(MAX(0,CP724-BV246),0),0)</f>
        <v>0</v>
      </c>
      <c r="CT724">
        <f>IF(ISNUMBER(CQ724),IFERROR(MAX(0,BW246-CQ724),0),0)</f>
        <v>0</v>
      </c>
      <c r="CU724">
        <f>IF(ISNUMBER(CQ724),IFERROR(MAX(0,CQ724-BW246),0),0)</f>
        <v>0</v>
      </c>
    </row>
    <row r="725" spans="87:99" x14ac:dyDescent="0.3">
      <c r="CI725" t="e">
        <f>AP246</f>
        <v>#N/A</v>
      </c>
      <c r="CJ725" t="e">
        <f>AQ246</f>
        <v>#N/A</v>
      </c>
      <c r="CK725">
        <f>IF(ISNUMBER(CI725),IFERROR(MAX(0,AR246-CI725),0),0)</f>
        <v>0</v>
      </c>
      <c r="CL725">
        <f>IF(ISNUMBER(CI725),IFERROR(MAX(0,CI725-AR246),0),0)</f>
        <v>0</v>
      </c>
      <c r="CM725">
        <f>IF(ISNUMBER(CJ725),IFERROR(MAX(0,AS246-CJ725),0),0)</f>
        <v>0</v>
      </c>
      <c r="CN725">
        <f>IF(ISNUMBER(CJ725),IFERROR(MAX(0,CJ725-AS246),0),0)</f>
        <v>0</v>
      </c>
      <c r="CP725" t="e">
        <f>BX246</f>
        <v>#N/A</v>
      </c>
      <c r="CQ725" t="e">
        <f>BY246</f>
        <v>#N/A</v>
      </c>
      <c r="CR725">
        <f>IF(ISNUMBER(CP725),IFERROR(MAX(0,BZ246-CP725),0),0)</f>
        <v>0</v>
      </c>
      <c r="CS725">
        <f>IF(ISNUMBER(CP725),IFERROR(MAX(0,CP725-BZ246),0),0)</f>
        <v>0</v>
      </c>
      <c r="CT725">
        <f>IF(ISNUMBER(CQ725),IFERROR(MAX(0,CA246-CQ725),0),0)</f>
        <v>0</v>
      </c>
      <c r="CU725">
        <f>IF(ISNUMBER(CQ725),IFERROR(MAX(0,CQ725-CA246),0),0)</f>
        <v>0</v>
      </c>
    </row>
    <row r="726" spans="87:99" x14ac:dyDescent="0.3">
      <c r="CI726" t="e">
        <f>AT246</f>
        <v>#N/A</v>
      </c>
      <c r="CJ726" t="e">
        <f>AU246</f>
        <v>#N/A</v>
      </c>
      <c r="CK726">
        <f>IF(ISNUMBER(CI726),IFERROR(MAX(0,AV246-CI726),0),0)</f>
        <v>0</v>
      </c>
      <c r="CL726">
        <f>IF(ISNUMBER(CI726),IFERROR(MAX(0,CI726-AV246),0),0)</f>
        <v>0</v>
      </c>
      <c r="CM726">
        <f>IF(ISNUMBER(CJ726),IFERROR(MAX(0,AW246-CJ726),0),0)</f>
        <v>0</v>
      </c>
      <c r="CN726">
        <f>IF(ISNUMBER(CJ726),IFERROR(MAX(0,CJ726-AW246),0),0)</f>
        <v>0</v>
      </c>
      <c r="CP726" t="e">
        <f>CB246</f>
        <v>#N/A</v>
      </c>
      <c r="CQ726" t="e">
        <f>CC246</f>
        <v>#N/A</v>
      </c>
      <c r="CR726">
        <f>IF(ISNUMBER(CP726),IFERROR(MAX(0,CD246-CP726),0),0)</f>
        <v>0</v>
      </c>
      <c r="CS726">
        <f>IF(ISNUMBER(CP726),IFERROR(MAX(0,CP726-CD246),0),0)</f>
        <v>0</v>
      </c>
      <c r="CT726">
        <f>IF(ISNUMBER(CQ726),IFERROR(MAX(0,CE246-CQ726),0),0)</f>
        <v>0</v>
      </c>
      <c r="CU726">
        <f>IF(ISNUMBER(CQ726),IFERROR(MAX(0,CQ726-CE246),0),0)</f>
        <v>0</v>
      </c>
    </row>
    <row r="727" spans="87:99" x14ac:dyDescent="0.3">
      <c r="CI727" t="e">
        <f>AL247</f>
        <v>#N/A</v>
      </c>
      <c r="CJ727" t="e">
        <f>AM247</f>
        <v>#N/A</v>
      </c>
      <c r="CK727">
        <f>IF(ISNUMBER(CI727),IFERROR(MAX(0,AN247-CI727),0),0)</f>
        <v>0</v>
      </c>
      <c r="CL727">
        <f>IF(ISNUMBER(CI727),IFERROR(MAX(0,CI727-AN247),0),0)</f>
        <v>0</v>
      </c>
      <c r="CM727">
        <f>IF(ISNUMBER(CJ727),IFERROR(MAX(0,AO247-CJ727),0),0)</f>
        <v>0</v>
      </c>
      <c r="CN727">
        <f>IF(ISNUMBER(CJ727),IFERROR(MAX(0,CJ727-AO247),0),0)</f>
        <v>0</v>
      </c>
      <c r="CP727" t="e">
        <f>BT247</f>
        <v>#N/A</v>
      </c>
      <c r="CQ727" t="e">
        <f>BU247</f>
        <v>#N/A</v>
      </c>
      <c r="CR727">
        <f>IF(ISNUMBER(CP727),IFERROR(MAX(0,BV247-CP727),0),0)</f>
        <v>0</v>
      </c>
      <c r="CS727">
        <f>IF(ISNUMBER(CP727),IFERROR(MAX(0,CP727-BV247),0),0)</f>
        <v>0</v>
      </c>
      <c r="CT727">
        <f>IF(ISNUMBER(CQ727),IFERROR(MAX(0,BW247-CQ727),0),0)</f>
        <v>0</v>
      </c>
      <c r="CU727">
        <f>IF(ISNUMBER(CQ727),IFERROR(MAX(0,CQ727-BW247),0),0)</f>
        <v>0</v>
      </c>
    </row>
    <row r="728" spans="87:99" x14ac:dyDescent="0.3">
      <c r="CI728" t="e">
        <f>AP247</f>
        <v>#N/A</v>
      </c>
      <c r="CJ728" t="e">
        <f>AQ247</f>
        <v>#N/A</v>
      </c>
      <c r="CK728">
        <f>IF(ISNUMBER(CI728),IFERROR(MAX(0,AR247-CI728),0),0)</f>
        <v>0</v>
      </c>
      <c r="CL728">
        <f>IF(ISNUMBER(CI728),IFERROR(MAX(0,CI728-AR247),0),0)</f>
        <v>0</v>
      </c>
      <c r="CM728">
        <f>IF(ISNUMBER(CJ728),IFERROR(MAX(0,AS247-CJ728),0),0)</f>
        <v>0</v>
      </c>
      <c r="CN728">
        <f>IF(ISNUMBER(CJ728),IFERROR(MAX(0,CJ728-AS247),0),0)</f>
        <v>0</v>
      </c>
      <c r="CP728" t="e">
        <f>BX247</f>
        <v>#N/A</v>
      </c>
      <c r="CQ728" t="e">
        <f>BY247</f>
        <v>#N/A</v>
      </c>
      <c r="CR728">
        <f>IF(ISNUMBER(CP728),IFERROR(MAX(0,BZ247-CP728),0),0)</f>
        <v>0</v>
      </c>
      <c r="CS728">
        <f>IF(ISNUMBER(CP728),IFERROR(MAX(0,CP728-BZ247),0),0)</f>
        <v>0</v>
      </c>
      <c r="CT728">
        <f>IF(ISNUMBER(CQ728),IFERROR(MAX(0,CA247-CQ728),0),0)</f>
        <v>0</v>
      </c>
      <c r="CU728">
        <f>IF(ISNUMBER(CQ728),IFERROR(MAX(0,CQ728-CA247),0),0)</f>
        <v>0</v>
      </c>
    </row>
    <row r="729" spans="87:99" x14ac:dyDescent="0.3">
      <c r="CI729" t="e">
        <f>AT247</f>
        <v>#N/A</v>
      </c>
      <c r="CJ729" t="e">
        <f>AU247</f>
        <v>#N/A</v>
      </c>
      <c r="CK729">
        <f>IF(ISNUMBER(CI729),IFERROR(MAX(0,AV247-CI729),0),0)</f>
        <v>0</v>
      </c>
      <c r="CL729">
        <f>IF(ISNUMBER(CI729),IFERROR(MAX(0,CI729-AV247),0),0)</f>
        <v>0</v>
      </c>
      <c r="CM729">
        <f>IF(ISNUMBER(CJ729),IFERROR(MAX(0,AW247-CJ729),0),0)</f>
        <v>0</v>
      </c>
      <c r="CN729">
        <f>IF(ISNUMBER(CJ729),IFERROR(MAX(0,CJ729-AW247),0),0)</f>
        <v>0</v>
      </c>
      <c r="CP729" t="e">
        <f>CB247</f>
        <v>#N/A</v>
      </c>
      <c r="CQ729" t="e">
        <f>CC247</f>
        <v>#N/A</v>
      </c>
      <c r="CR729">
        <f>IF(ISNUMBER(CP729),IFERROR(MAX(0,CD247-CP729),0),0)</f>
        <v>0</v>
      </c>
      <c r="CS729">
        <f>IF(ISNUMBER(CP729),IFERROR(MAX(0,CP729-CD247),0),0)</f>
        <v>0</v>
      </c>
      <c r="CT729">
        <f>IF(ISNUMBER(CQ729),IFERROR(MAX(0,CE247-CQ729),0),0)</f>
        <v>0</v>
      </c>
      <c r="CU729">
        <f>IF(ISNUMBER(CQ729),IFERROR(MAX(0,CQ729-CE247),0),0)</f>
        <v>0</v>
      </c>
    </row>
    <row r="730" spans="87:99" x14ac:dyDescent="0.3">
      <c r="CI730" t="e">
        <f>AL248</f>
        <v>#N/A</v>
      </c>
      <c r="CJ730" t="e">
        <f>AM248</f>
        <v>#N/A</v>
      </c>
      <c r="CK730">
        <f>IF(ISNUMBER(CI730),IFERROR(MAX(0,AN248-CI730),0),0)</f>
        <v>0</v>
      </c>
      <c r="CL730">
        <f>IF(ISNUMBER(CI730),IFERROR(MAX(0,CI730-AN248),0),0)</f>
        <v>0</v>
      </c>
      <c r="CM730">
        <f>IF(ISNUMBER(CJ730),IFERROR(MAX(0,AO248-CJ730),0),0)</f>
        <v>0</v>
      </c>
      <c r="CN730">
        <f>IF(ISNUMBER(CJ730),IFERROR(MAX(0,CJ730-AO248),0),0)</f>
        <v>0</v>
      </c>
      <c r="CP730" t="e">
        <f>BT248</f>
        <v>#N/A</v>
      </c>
      <c r="CQ730" t="e">
        <f>BU248</f>
        <v>#N/A</v>
      </c>
      <c r="CR730">
        <f>IF(ISNUMBER(CP730),IFERROR(MAX(0,BV248-CP730),0),0)</f>
        <v>0</v>
      </c>
      <c r="CS730">
        <f>IF(ISNUMBER(CP730),IFERROR(MAX(0,CP730-BV248),0),0)</f>
        <v>0</v>
      </c>
      <c r="CT730">
        <f>IF(ISNUMBER(CQ730),IFERROR(MAX(0,BW248-CQ730),0),0)</f>
        <v>0</v>
      </c>
      <c r="CU730">
        <f>IF(ISNUMBER(CQ730),IFERROR(MAX(0,CQ730-BW248),0),0)</f>
        <v>0</v>
      </c>
    </row>
    <row r="731" spans="87:99" x14ac:dyDescent="0.3">
      <c r="CI731" t="e">
        <f>AP248</f>
        <v>#N/A</v>
      </c>
      <c r="CJ731" t="e">
        <f>AQ248</f>
        <v>#N/A</v>
      </c>
      <c r="CK731">
        <f>IF(ISNUMBER(CI731),IFERROR(MAX(0,AR248-CI731),0),0)</f>
        <v>0</v>
      </c>
      <c r="CL731">
        <f>IF(ISNUMBER(CI731),IFERROR(MAX(0,CI731-AR248),0),0)</f>
        <v>0</v>
      </c>
      <c r="CM731">
        <f>IF(ISNUMBER(CJ731),IFERROR(MAX(0,AS248-CJ731),0),0)</f>
        <v>0</v>
      </c>
      <c r="CN731">
        <f>IF(ISNUMBER(CJ731),IFERROR(MAX(0,CJ731-AS248),0),0)</f>
        <v>0</v>
      </c>
      <c r="CP731" t="e">
        <f>BX248</f>
        <v>#N/A</v>
      </c>
      <c r="CQ731" t="e">
        <f>BY248</f>
        <v>#N/A</v>
      </c>
      <c r="CR731">
        <f>IF(ISNUMBER(CP731),IFERROR(MAX(0,BZ248-CP731),0),0)</f>
        <v>0</v>
      </c>
      <c r="CS731">
        <f>IF(ISNUMBER(CP731),IFERROR(MAX(0,CP731-BZ248),0),0)</f>
        <v>0</v>
      </c>
      <c r="CT731">
        <f>IF(ISNUMBER(CQ731),IFERROR(MAX(0,CA248-CQ731),0),0)</f>
        <v>0</v>
      </c>
      <c r="CU731">
        <f>IF(ISNUMBER(CQ731),IFERROR(MAX(0,CQ731-CA248),0),0)</f>
        <v>0</v>
      </c>
    </row>
    <row r="732" spans="87:99" x14ac:dyDescent="0.3">
      <c r="CI732" t="e">
        <f>AT248</f>
        <v>#N/A</v>
      </c>
      <c r="CJ732" t="e">
        <f>AU248</f>
        <v>#N/A</v>
      </c>
      <c r="CK732">
        <f>IF(ISNUMBER(CI732),IFERROR(MAX(0,AV248-CI732),0),0)</f>
        <v>0</v>
      </c>
      <c r="CL732">
        <f>IF(ISNUMBER(CI732),IFERROR(MAX(0,CI732-AV248),0),0)</f>
        <v>0</v>
      </c>
      <c r="CM732">
        <f>IF(ISNUMBER(CJ732),IFERROR(MAX(0,AW248-CJ732),0),0)</f>
        <v>0</v>
      </c>
      <c r="CN732">
        <f>IF(ISNUMBER(CJ732),IFERROR(MAX(0,CJ732-AW248),0),0)</f>
        <v>0</v>
      </c>
      <c r="CP732" t="e">
        <f>CB248</f>
        <v>#N/A</v>
      </c>
      <c r="CQ732" t="e">
        <f>CC248</f>
        <v>#N/A</v>
      </c>
      <c r="CR732">
        <f>IF(ISNUMBER(CP732),IFERROR(MAX(0,CD248-CP732),0),0)</f>
        <v>0</v>
      </c>
      <c r="CS732">
        <f>IF(ISNUMBER(CP732),IFERROR(MAX(0,CP732-CD248),0),0)</f>
        <v>0</v>
      </c>
      <c r="CT732">
        <f>IF(ISNUMBER(CQ732),IFERROR(MAX(0,CE248-CQ732),0),0)</f>
        <v>0</v>
      </c>
      <c r="CU732">
        <f>IF(ISNUMBER(CQ732),IFERROR(MAX(0,CQ732-CE248),0),0)</f>
        <v>0</v>
      </c>
    </row>
    <row r="733" spans="87:99" x14ac:dyDescent="0.3">
      <c r="CI733" t="e">
        <f>AL249</f>
        <v>#N/A</v>
      </c>
      <c r="CJ733" t="e">
        <f>AM249</f>
        <v>#N/A</v>
      </c>
      <c r="CK733">
        <f>IF(ISNUMBER(CI733),IFERROR(MAX(0,AN249-CI733),0),0)</f>
        <v>0</v>
      </c>
      <c r="CL733">
        <f>IF(ISNUMBER(CI733),IFERROR(MAX(0,CI733-AN249),0),0)</f>
        <v>0</v>
      </c>
      <c r="CM733">
        <f>IF(ISNUMBER(CJ733),IFERROR(MAX(0,AO249-CJ733),0),0)</f>
        <v>0</v>
      </c>
      <c r="CN733">
        <f>IF(ISNUMBER(CJ733),IFERROR(MAX(0,CJ733-AO249),0),0)</f>
        <v>0</v>
      </c>
      <c r="CP733" t="e">
        <f>BT249</f>
        <v>#N/A</v>
      </c>
      <c r="CQ733" t="e">
        <f>BU249</f>
        <v>#N/A</v>
      </c>
      <c r="CR733">
        <f>IF(ISNUMBER(CP733),IFERROR(MAX(0,BV249-CP733),0),0)</f>
        <v>0</v>
      </c>
      <c r="CS733">
        <f>IF(ISNUMBER(CP733),IFERROR(MAX(0,CP733-BV249),0),0)</f>
        <v>0</v>
      </c>
      <c r="CT733">
        <f>IF(ISNUMBER(CQ733),IFERROR(MAX(0,BW249-CQ733),0),0)</f>
        <v>0</v>
      </c>
      <c r="CU733">
        <f>IF(ISNUMBER(CQ733),IFERROR(MAX(0,CQ733-BW249),0),0)</f>
        <v>0</v>
      </c>
    </row>
    <row r="734" spans="87:99" x14ac:dyDescent="0.3">
      <c r="CI734" t="e">
        <f>AP249</f>
        <v>#N/A</v>
      </c>
      <c r="CJ734" t="e">
        <f>AQ249</f>
        <v>#N/A</v>
      </c>
      <c r="CK734">
        <f>IF(ISNUMBER(CI734),IFERROR(MAX(0,AR249-CI734),0),0)</f>
        <v>0</v>
      </c>
      <c r="CL734">
        <f>IF(ISNUMBER(CI734),IFERROR(MAX(0,CI734-AR249),0),0)</f>
        <v>0</v>
      </c>
      <c r="CM734">
        <f>IF(ISNUMBER(CJ734),IFERROR(MAX(0,AS249-CJ734),0),0)</f>
        <v>0</v>
      </c>
      <c r="CN734">
        <f>IF(ISNUMBER(CJ734),IFERROR(MAX(0,CJ734-AS249),0),0)</f>
        <v>0</v>
      </c>
      <c r="CP734" t="e">
        <f>BX249</f>
        <v>#N/A</v>
      </c>
      <c r="CQ734" t="e">
        <f>BY249</f>
        <v>#N/A</v>
      </c>
      <c r="CR734">
        <f>IF(ISNUMBER(CP734),IFERROR(MAX(0,BZ249-CP734),0),0)</f>
        <v>0</v>
      </c>
      <c r="CS734">
        <f>IF(ISNUMBER(CP734),IFERROR(MAX(0,CP734-BZ249),0),0)</f>
        <v>0</v>
      </c>
      <c r="CT734">
        <f>IF(ISNUMBER(CQ734),IFERROR(MAX(0,CA249-CQ734),0),0)</f>
        <v>0</v>
      </c>
      <c r="CU734">
        <f>IF(ISNUMBER(CQ734),IFERROR(MAX(0,CQ734-CA249),0),0)</f>
        <v>0</v>
      </c>
    </row>
    <row r="735" spans="87:99" x14ac:dyDescent="0.3">
      <c r="CI735" t="e">
        <f>AT249</f>
        <v>#N/A</v>
      </c>
      <c r="CJ735" t="e">
        <f>AU249</f>
        <v>#N/A</v>
      </c>
      <c r="CK735">
        <f>IF(ISNUMBER(CI735),IFERROR(MAX(0,AV249-CI735),0),0)</f>
        <v>0</v>
      </c>
      <c r="CL735">
        <f>IF(ISNUMBER(CI735),IFERROR(MAX(0,CI735-AV249),0),0)</f>
        <v>0</v>
      </c>
      <c r="CM735">
        <f>IF(ISNUMBER(CJ735),IFERROR(MAX(0,AW249-CJ735),0),0)</f>
        <v>0</v>
      </c>
      <c r="CN735">
        <f>IF(ISNUMBER(CJ735),IFERROR(MAX(0,CJ735-AW249),0),0)</f>
        <v>0</v>
      </c>
      <c r="CP735" t="e">
        <f>CB249</f>
        <v>#N/A</v>
      </c>
      <c r="CQ735" t="e">
        <f>CC249</f>
        <v>#N/A</v>
      </c>
      <c r="CR735">
        <f>IF(ISNUMBER(CP735),IFERROR(MAX(0,CD249-CP735),0),0)</f>
        <v>0</v>
      </c>
      <c r="CS735">
        <f>IF(ISNUMBER(CP735),IFERROR(MAX(0,CP735-CD249),0),0)</f>
        <v>0</v>
      </c>
      <c r="CT735">
        <f>IF(ISNUMBER(CQ735),IFERROR(MAX(0,CE249-CQ735),0),0)</f>
        <v>0</v>
      </c>
      <c r="CU735">
        <f>IF(ISNUMBER(CQ735),IFERROR(MAX(0,CQ735-CE249),0),0)</f>
        <v>0</v>
      </c>
    </row>
    <row r="736" spans="87:99" x14ac:dyDescent="0.3">
      <c r="CI736" t="e">
        <f>AL250</f>
        <v>#N/A</v>
      </c>
      <c r="CJ736" t="e">
        <f>AM250</f>
        <v>#N/A</v>
      </c>
      <c r="CK736">
        <f>IF(ISNUMBER(CI736),IFERROR(MAX(0,AN250-CI736),0),0)</f>
        <v>0</v>
      </c>
      <c r="CL736">
        <f>IF(ISNUMBER(CI736),IFERROR(MAX(0,CI736-AN250),0),0)</f>
        <v>0</v>
      </c>
      <c r="CM736">
        <f>IF(ISNUMBER(CJ736),IFERROR(MAX(0,AO250-CJ736),0),0)</f>
        <v>0</v>
      </c>
      <c r="CN736">
        <f>IF(ISNUMBER(CJ736),IFERROR(MAX(0,CJ736-AO250),0),0)</f>
        <v>0</v>
      </c>
      <c r="CP736" t="e">
        <f>BT250</f>
        <v>#N/A</v>
      </c>
      <c r="CQ736" t="e">
        <f>BU250</f>
        <v>#N/A</v>
      </c>
      <c r="CR736">
        <f>IF(ISNUMBER(CP736),IFERROR(MAX(0,BV250-CP736),0),0)</f>
        <v>0</v>
      </c>
      <c r="CS736">
        <f>IF(ISNUMBER(CP736),IFERROR(MAX(0,CP736-BV250),0),0)</f>
        <v>0</v>
      </c>
      <c r="CT736">
        <f>IF(ISNUMBER(CQ736),IFERROR(MAX(0,BW250-CQ736),0),0)</f>
        <v>0</v>
      </c>
      <c r="CU736">
        <f>IF(ISNUMBER(CQ736),IFERROR(MAX(0,CQ736-BW250),0),0)</f>
        <v>0</v>
      </c>
    </row>
    <row r="737" spans="87:99" x14ac:dyDescent="0.3">
      <c r="CI737" t="e">
        <f>AP250</f>
        <v>#N/A</v>
      </c>
      <c r="CJ737" t="e">
        <f>AQ250</f>
        <v>#N/A</v>
      </c>
      <c r="CK737">
        <f>IF(ISNUMBER(CI737),IFERROR(MAX(0,AR250-CI737),0),0)</f>
        <v>0</v>
      </c>
      <c r="CL737">
        <f>IF(ISNUMBER(CI737),IFERROR(MAX(0,CI737-AR250),0),0)</f>
        <v>0</v>
      </c>
      <c r="CM737">
        <f>IF(ISNUMBER(CJ737),IFERROR(MAX(0,AS250-CJ737),0),0)</f>
        <v>0</v>
      </c>
      <c r="CN737">
        <f>IF(ISNUMBER(CJ737),IFERROR(MAX(0,CJ737-AS250),0),0)</f>
        <v>0</v>
      </c>
      <c r="CP737" t="e">
        <f>BX250</f>
        <v>#N/A</v>
      </c>
      <c r="CQ737" t="e">
        <f>BY250</f>
        <v>#N/A</v>
      </c>
      <c r="CR737">
        <f>IF(ISNUMBER(CP737),IFERROR(MAX(0,BZ250-CP737),0),0)</f>
        <v>0</v>
      </c>
      <c r="CS737">
        <f>IF(ISNUMBER(CP737),IFERROR(MAX(0,CP737-BZ250),0),0)</f>
        <v>0</v>
      </c>
      <c r="CT737">
        <f>IF(ISNUMBER(CQ737),IFERROR(MAX(0,CA250-CQ737),0),0)</f>
        <v>0</v>
      </c>
      <c r="CU737">
        <f>IF(ISNUMBER(CQ737),IFERROR(MAX(0,CQ737-CA250),0),0)</f>
        <v>0</v>
      </c>
    </row>
    <row r="738" spans="87:99" x14ac:dyDescent="0.3">
      <c r="CI738" t="e">
        <f>AT250</f>
        <v>#N/A</v>
      </c>
      <c r="CJ738" t="e">
        <f>AU250</f>
        <v>#N/A</v>
      </c>
      <c r="CK738">
        <f>IF(ISNUMBER(CI738),IFERROR(MAX(0,AV250-CI738),0),0)</f>
        <v>0</v>
      </c>
      <c r="CL738">
        <f>IF(ISNUMBER(CI738),IFERROR(MAX(0,CI738-AV250),0),0)</f>
        <v>0</v>
      </c>
      <c r="CM738">
        <f>IF(ISNUMBER(CJ738),IFERROR(MAX(0,AW250-CJ738),0),0)</f>
        <v>0</v>
      </c>
      <c r="CN738">
        <f>IF(ISNUMBER(CJ738),IFERROR(MAX(0,CJ738-AW250),0),0)</f>
        <v>0</v>
      </c>
      <c r="CP738" t="e">
        <f>CB250</f>
        <v>#N/A</v>
      </c>
      <c r="CQ738" t="e">
        <f>CC250</f>
        <v>#N/A</v>
      </c>
      <c r="CR738">
        <f>IF(ISNUMBER(CP738),IFERROR(MAX(0,CD250-CP738),0),0)</f>
        <v>0</v>
      </c>
      <c r="CS738">
        <f>IF(ISNUMBER(CP738),IFERROR(MAX(0,CP738-CD250),0),0)</f>
        <v>0</v>
      </c>
      <c r="CT738">
        <f>IF(ISNUMBER(CQ738),IFERROR(MAX(0,CE250-CQ738),0),0)</f>
        <v>0</v>
      </c>
      <c r="CU738">
        <f>IF(ISNUMBER(CQ738),IFERROR(MAX(0,CQ738-CE250),0),0)</f>
        <v>0</v>
      </c>
    </row>
    <row r="739" spans="87:99" x14ac:dyDescent="0.3">
      <c r="CI739" t="e">
        <f>AL251</f>
        <v>#N/A</v>
      </c>
      <c r="CJ739" t="e">
        <f>AM251</f>
        <v>#N/A</v>
      </c>
      <c r="CK739">
        <f>IF(ISNUMBER(CI739),IFERROR(MAX(0,AN251-CI739),0),0)</f>
        <v>0</v>
      </c>
      <c r="CL739">
        <f>IF(ISNUMBER(CI739),IFERROR(MAX(0,CI739-AN251),0),0)</f>
        <v>0</v>
      </c>
      <c r="CM739">
        <f>IF(ISNUMBER(CJ739),IFERROR(MAX(0,AO251-CJ739),0),0)</f>
        <v>0</v>
      </c>
      <c r="CN739">
        <f>IF(ISNUMBER(CJ739),IFERROR(MAX(0,CJ739-AO251),0),0)</f>
        <v>0</v>
      </c>
      <c r="CP739" t="e">
        <f>BT251</f>
        <v>#N/A</v>
      </c>
      <c r="CQ739" t="e">
        <f>BU251</f>
        <v>#N/A</v>
      </c>
      <c r="CR739">
        <f>IF(ISNUMBER(CP739),IFERROR(MAX(0,BV251-CP739),0),0)</f>
        <v>0</v>
      </c>
      <c r="CS739">
        <f>IF(ISNUMBER(CP739),IFERROR(MAX(0,CP739-BV251),0),0)</f>
        <v>0</v>
      </c>
      <c r="CT739">
        <f>IF(ISNUMBER(CQ739),IFERROR(MAX(0,BW251-CQ739),0),0)</f>
        <v>0</v>
      </c>
      <c r="CU739">
        <f>IF(ISNUMBER(CQ739),IFERROR(MAX(0,CQ739-BW251),0),0)</f>
        <v>0</v>
      </c>
    </row>
    <row r="740" spans="87:99" x14ac:dyDescent="0.3">
      <c r="CI740" t="e">
        <f>AP251</f>
        <v>#N/A</v>
      </c>
      <c r="CJ740" t="e">
        <f>AQ251</f>
        <v>#N/A</v>
      </c>
      <c r="CK740">
        <f>IF(ISNUMBER(CI740),IFERROR(MAX(0,AR251-CI740),0),0)</f>
        <v>0</v>
      </c>
      <c r="CL740">
        <f>IF(ISNUMBER(CI740),IFERROR(MAX(0,CI740-AR251),0),0)</f>
        <v>0</v>
      </c>
      <c r="CM740">
        <f>IF(ISNUMBER(CJ740),IFERROR(MAX(0,AS251-CJ740),0),0)</f>
        <v>0</v>
      </c>
      <c r="CN740">
        <f>IF(ISNUMBER(CJ740),IFERROR(MAX(0,CJ740-AS251),0),0)</f>
        <v>0</v>
      </c>
      <c r="CP740" t="e">
        <f>BX251</f>
        <v>#N/A</v>
      </c>
      <c r="CQ740" t="e">
        <f>BY251</f>
        <v>#N/A</v>
      </c>
      <c r="CR740">
        <f>IF(ISNUMBER(CP740),IFERROR(MAX(0,BZ251-CP740),0),0)</f>
        <v>0</v>
      </c>
      <c r="CS740">
        <f>IF(ISNUMBER(CP740),IFERROR(MAX(0,CP740-BZ251),0),0)</f>
        <v>0</v>
      </c>
      <c r="CT740">
        <f>IF(ISNUMBER(CQ740),IFERROR(MAX(0,CA251-CQ740),0),0)</f>
        <v>0</v>
      </c>
      <c r="CU740">
        <f>IF(ISNUMBER(CQ740),IFERROR(MAX(0,CQ740-CA251),0),0)</f>
        <v>0</v>
      </c>
    </row>
    <row r="741" spans="87:99" x14ac:dyDescent="0.3">
      <c r="CI741" t="e">
        <f>AT251</f>
        <v>#N/A</v>
      </c>
      <c r="CJ741" t="e">
        <f>AU251</f>
        <v>#N/A</v>
      </c>
      <c r="CK741">
        <f>IF(ISNUMBER(CI741),IFERROR(MAX(0,AV251-CI741),0),0)</f>
        <v>0</v>
      </c>
      <c r="CL741">
        <f>IF(ISNUMBER(CI741),IFERROR(MAX(0,CI741-AV251),0),0)</f>
        <v>0</v>
      </c>
      <c r="CM741">
        <f>IF(ISNUMBER(CJ741),IFERROR(MAX(0,AW251-CJ741),0),0)</f>
        <v>0</v>
      </c>
      <c r="CN741">
        <f>IF(ISNUMBER(CJ741),IFERROR(MAX(0,CJ741-AW251),0),0)</f>
        <v>0</v>
      </c>
      <c r="CP741" t="e">
        <f>CB251</f>
        <v>#N/A</v>
      </c>
      <c r="CQ741" t="e">
        <f>CC251</f>
        <v>#N/A</v>
      </c>
      <c r="CR741">
        <f>IF(ISNUMBER(CP741),IFERROR(MAX(0,CD251-CP741),0),0)</f>
        <v>0</v>
      </c>
      <c r="CS741">
        <f>IF(ISNUMBER(CP741),IFERROR(MAX(0,CP741-CD251),0),0)</f>
        <v>0</v>
      </c>
      <c r="CT741">
        <f>IF(ISNUMBER(CQ741),IFERROR(MAX(0,CE251-CQ741),0),0)</f>
        <v>0</v>
      </c>
      <c r="CU741">
        <f>IF(ISNUMBER(CQ741),IFERROR(MAX(0,CQ741-CE251),0),0)</f>
        <v>0</v>
      </c>
    </row>
    <row r="742" spans="87:99" x14ac:dyDescent="0.3">
      <c r="CI742" t="e">
        <f>AL252</f>
        <v>#N/A</v>
      </c>
      <c r="CJ742" t="e">
        <f>AM252</f>
        <v>#N/A</v>
      </c>
      <c r="CK742">
        <f>IF(ISNUMBER(CI742),IFERROR(MAX(0,AN252-CI742),0),0)</f>
        <v>0</v>
      </c>
      <c r="CL742">
        <f>IF(ISNUMBER(CI742),IFERROR(MAX(0,CI742-AN252),0),0)</f>
        <v>0</v>
      </c>
      <c r="CM742">
        <f>IF(ISNUMBER(CJ742),IFERROR(MAX(0,AO252-CJ742),0),0)</f>
        <v>0</v>
      </c>
      <c r="CN742">
        <f>IF(ISNUMBER(CJ742),IFERROR(MAX(0,CJ742-AO252),0),0)</f>
        <v>0</v>
      </c>
      <c r="CP742" t="e">
        <f>BT252</f>
        <v>#N/A</v>
      </c>
      <c r="CQ742" t="e">
        <f>BU252</f>
        <v>#N/A</v>
      </c>
      <c r="CR742">
        <f>IF(ISNUMBER(CP742),IFERROR(MAX(0,BV252-CP742),0),0)</f>
        <v>0</v>
      </c>
      <c r="CS742">
        <f>IF(ISNUMBER(CP742),IFERROR(MAX(0,CP742-BV252),0),0)</f>
        <v>0</v>
      </c>
      <c r="CT742">
        <f>IF(ISNUMBER(CQ742),IFERROR(MAX(0,BW252-CQ742),0),0)</f>
        <v>0</v>
      </c>
      <c r="CU742">
        <f>IF(ISNUMBER(CQ742),IFERROR(MAX(0,CQ742-BW252),0),0)</f>
        <v>0</v>
      </c>
    </row>
    <row r="743" spans="87:99" x14ac:dyDescent="0.3">
      <c r="CI743" t="e">
        <f>AP252</f>
        <v>#N/A</v>
      </c>
      <c r="CJ743" t="e">
        <f>AQ252</f>
        <v>#N/A</v>
      </c>
      <c r="CK743">
        <f>IF(ISNUMBER(CI743),IFERROR(MAX(0,AR252-CI743),0),0)</f>
        <v>0</v>
      </c>
      <c r="CL743">
        <f>IF(ISNUMBER(CI743),IFERROR(MAX(0,CI743-AR252),0),0)</f>
        <v>0</v>
      </c>
      <c r="CM743">
        <f>IF(ISNUMBER(CJ743),IFERROR(MAX(0,AS252-CJ743),0),0)</f>
        <v>0</v>
      </c>
      <c r="CN743">
        <f>IF(ISNUMBER(CJ743),IFERROR(MAX(0,CJ743-AS252),0),0)</f>
        <v>0</v>
      </c>
      <c r="CP743" t="e">
        <f>BX252</f>
        <v>#N/A</v>
      </c>
      <c r="CQ743" t="e">
        <f>BY252</f>
        <v>#N/A</v>
      </c>
      <c r="CR743">
        <f>IF(ISNUMBER(CP743),IFERROR(MAX(0,BZ252-CP743),0),0)</f>
        <v>0</v>
      </c>
      <c r="CS743">
        <f>IF(ISNUMBER(CP743),IFERROR(MAX(0,CP743-BZ252),0),0)</f>
        <v>0</v>
      </c>
      <c r="CT743">
        <f>IF(ISNUMBER(CQ743),IFERROR(MAX(0,CA252-CQ743),0),0)</f>
        <v>0</v>
      </c>
      <c r="CU743">
        <f>IF(ISNUMBER(CQ743),IFERROR(MAX(0,CQ743-CA252),0),0)</f>
        <v>0</v>
      </c>
    </row>
    <row r="744" spans="87:99" x14ac:dyDescent="0.3">
      <c r="CI744" t="e">
        <f>AT252</f>
        <v>#N/A</v>
      </c>
      <c r="CJ744" t="e">
        <f>AU252</f>
        <v>#N/A</v>
      </c>
      <c r="CK744">
        <f>IF(ISNUMBER(CI744),IFERROR(MAX(0,AV252-CI744),0),0)</f>
        <v>0</v>
      </c>
      <c r="CL744">
        <f>IF(ISNUMBER(CI744),IFERROR(MAX(0,CI744-AV252),0),0)</f>
        <v>0</v>
      </c>
      <c r="CM744">
        <f>IF(ISNUMBER(CJ744),IFERROR(MAX(0,AW252-CJ744),0),0)</f>
        <v>0</v>
      </c>
      <c r="CN744">
        <f>IF(ISNUMBER(CJ744),IFERROR(MAX(0,CJ744-AW252),0),0)</f>
        <v>0</v>
      </c>
      <c r="CP744" t="e">
        <f>CB252</f>
        <v>#N/A</v>
      </c>
      <c r="CQ744" t="e">
        <f>CC252</f>
        <v>#N/A</v>
      </c>
      <c r="CR744">
        <f>IF(ISNUMBER(CP744),IFERROR(MAX(0,CD252-CP744),0),0)</f>
        <v>0</v>
      </c>
      <c r="CS744">
        <f>IF(ISNUMBER(CP744),IFERROR(MAX(0,CP744-CD252),0),0)</f>
        <v>0</v>
      </c>
      <c r="CT744">
        <f>IF(ISNUMBER(CQ744),IFERROR(MAX(0,CE252-CQ744),0),0)</f>
        <v>0</v>
      </c>
      <c r="CU744">
        <f>IF(ISNUMBER(CQ744),IFERROR(MAX(0,CQ744-CE252),0),0)</f>
        <v>0</v>
      </c>
    </row>
    <row r="745" spans="87:99" x14ac:dyDescent="0.3">
      <c r="CI745" t="e">
        <f>AL253</f>
        <v>#N/A</v>
      </c>
      <c r="CJ745" t="e">
        <f>AM253</f>
        <v>#N/A</v>
      </c>
      <c r="CK745">
        <f>IF(ISNUMBER(CI745),IFERROR(MAX(0,AN253-CI745),0),0)</f>
        <v>0</v>
      </c>
      <c r="CL745">
        <f>IF(ISNUMBER(CI745),IFERROR(MAX(0,CI745-AN253),0),0)</f>
        <v>0</v>
      </c>
      <c r="CM745">
        <f>IF(ISNUMBER(CJ745),IFERROR(MAX(0,AO253-CJ745),0),0)</f>
        <v>0</v>
      </c>
      <c r="CN745">
        <f>IF(ISNUMBER(CJ745),IFERROR(MAX(0,CJ745-AO253),0),0)</f>
        <v>0</v>
      </c>
      <c r="CP745" t="e">
        <f>BT253</f>
        <v>#N/A</v>
      </c>
      <c r="CQ745" t="e">
        <f>BU253</f>
        <v>#N/A</v>
      </c>
      <c r="CR745">
        <f>IF(ISNUMBER(CP745),IFERROR(MAX(0,BV253-CP745),0),0)</f>
        <v>0</v>
      </c>
      <c r="CS745">
        <f>IF(ISNUMBER(CP745),IFERROR(MAX(0,CP745-BV253),0),0)</f>
        <v>0</v>
      </c>
      <c r="CT745">
        <f>IF(ISNUMBER(CQ745),IFERROR(MAX(0,BW253-CQ745),0),0)</f>
        <v>0</v>
      </c>
      <c r="CU745">
        <f>IF(ISNUMBER(CQ745),IFERROR(MAX(0,CQ745-BW253),0),0)</f>
        <v>0</v>
      </c>
    </row>
    <row r="746" spans="87:99" x14ac:dyDescent="0.3">
      <c r="CI746" t="e">
        <f>AP253</f>
        <v>#N/A</v>
      </c>
      <c r="CJ746" t="e">
        <f>AQ253</f>
        <v>#N/A</v>
      </c>
      <c r="CK746">
        <f>IF(ISNUMBER(CI746),IFERROR(MAX(0,AR253-CI746),0),0)</f>
        <v>0</v>
      </c>
      <c r="CL746">
        <f>IF(ISNUMBER(CI746),IFERROR(MAX(0,CI746-AR253),0),0)</f>
        <v>0</v>
      </c>
      <c r="CM746">
        <f>IF(ISNUMBER(CJ746),IFERROR(MAX(0,AS253-CJ746),0),0)</f>
        <v>0</v>
      </c>
      <c r="CN746">
        <f>IF(ISNUMBER(CJ746),IFERROR(MAX(0,CJ746-AS253),0),0)</f>
        <v>0</v>
      </c>
      <c r="CP746" t="e">
        <f>BX253</f>
        <v>#N/A</v>
      </c>
      <c r="CQ746" t="e">
        <f>BY253</f>
        <v>#N/A</v>
      </c>
      <c r="CR746">
        <f>IF(ISNUMBER(CP746),IFERROR(MAX(0,BZ253-CP746),0),0)</f>
        <v>0</v>
      </c>
      <c r="CS746">
        <f>IF(ISNUMBER(CP746),IFERROR(MAX(0,CP746-BZ253),0),0)</f>
        <v>0</v>
      </c>
      <c r="CT746">
        <f>IF(ISNUMBER(CQ746),IFERROR(MAX(0,CA253-CQ746),0),0)</f>
        <v>0</v>
      </c>
      <c r="CU746">
        <f>IF(ISNUMBER(CQ746),IFERROR(MAX(0,CQ746-CA253),0),0)</f>
        <v>0</v>
      </c>
    </row>
    <row r="747" spans="87:99" x14ac:dyDescent="0.3">
      <c r="CI747" t="e">
        <f>AT253</f>
        <v>#N/A</v>
      </c>
      <c r="CJ747" t="e">
        <f>AU253</f>
        <v>#N/A</v>
      </c>
      <c r="CK747">
        <f>IF(ISNUMBER(CI747),IFERROR(MAX(0,AV253-CI747),0),0)</f>
        <v>0</v>
      </c>
      <c r="CL747">
        <f>IF(ISNUMBER(CI747),IFERROR(MAX(0,CI747-AV253),0),0)</f>
        <v>0</v>
      </c>
      <c r="CM747">
        <f>IF(ISNUMBER(CJ747),IFERROR(MAX(0,AW253-CJ747),0),0)</f>
        <v>0</v>
      </c>
      <c r="CN747">
        <f>IF(ISNUMBER(CJ747),IFERROR(MAX(0,CJ747-AW253),0),0)</f>
        <v>0</v>
      </c>
      <c r="CP747" t="e">
        <f>CB253</f>
        <v>#N/A</v>
      </c>
      <c r="CQ747" t="e">
        <f>CC253</f>
        <v>#N/A</v>
      </c>
      <c r="CR747">
        <f>IF(ISNUMBER(CP747),IFERROR(MAX(0,CD253-CP747),0),0)</f>
        <v>0</v>
      </c>
      <c r="CS747">
        <f>IF(ISNUMBER(CP747),IFERROR(MAX(0,CP747-CD253),0),0)</f>
        <v>0</v>
      </c>
      <c r="CT747">
        <f>IF(ISNUMBER(CQ747),IFERROR(MAX(0,CE253-CQ747),0),0)</f>
        <v>0</v>
      </c>
      <c r="CU747">
        <f>IF(ISNUMBER(CQ747),IFERROR(MAX(0,CQ747-CE253),0),0)</f>
        <v>0</v>
      </c>
    </row>
    <row r="748" spans="87:99" x14ac:dyDescent="0.3">
      <c r="CI748" t="e">
        <f>AL254</f>
        <v>#N/A</v>
      </c>
      <c r="CJ748" t="e">
        <f>AM254</f>
        <v>#N/A</v>
      </c>
      <c r="CK748">
        <f>IF(ISNUMBER(CI748),IFERROR(MAX(0,AN254-CI748),0),0)</f>
        <v>0</v>
      </c>
      <c r="CL748">
        <f>IF(ISNUMBER(CI748),IFERROR(MAX(0,CI748-AN254),0),0)</f>
        <v>0</v>
      </c>
      <c r="CM748">
        <f>IF(ISNUMBER(CJ748),IFERROR(MAX(0,AO254-CJ748),0),0)</f>
        <v>0</v>
      </c>
      <c r="CN748">
        <f>IF(ISNUMBER(CJ748),IFERROR(MAX(0,CJ748-AO254),0),0)</f>
        <v>0</v>
      </c>
      <c r="CP748" t="e">
        <f>BT254</f>
        <v>#N/A</v>
      </c>
      <c r="CQ748" t="e">
        <f>BU254</f>
        <v>#N/A</v>
      </c>
      <c r="CR748">
        <f>IF(ISNUMBER(CP748),IFERROR(MAX(0,BV254-CP748),0),0)</f>
        <v>0</v>
      </c>
      <c r="CS748">
        <f>IF(ISNUMBER(CP748),IFERROR(MAX(0,CP748-BV254),0),0)</f>
        <v>0</v>
      </c>
      <c r="CT748">
        <f>IF(ISNUMBER(CQ748),IFERROR(MAX(0,BW254-CQ748),0),0)</f>
        <v>0</v>
      </c>
      <c r="CU748">
        <f>IF(ISNUMBER(CQ748),IFERROR(MAX(0,CQ748-BW254),0),0)</f>
        <v>0</v>
      </c>
    </row>
    <row r="749" spans="87:99" x14ac:dyDescent="0.3">
      <c r="CI749" t="e">
        <f>AP254</f>
        <v>#N/A</v>
      </c>
      <c r="CJ749" t="e">
        <f>AQ254</f>
        <v>#N/A</v>
      </c>
      <c r="CK749">
        <f>IF(ISNUMBER(CI749),IFERROR(MAX(0,AR254-CI749),0),0)</f>
        <v>0</v>
      </c>
      <c r="CL749">
        <f>IF(ISNUMBER(CI749),IFERROR(MAX(0,CI749-AR254),0),0)</f>
        <v>0</v>
      </c>
      <c r="CM749">
        <f>IF(ISNUMBER(CJ749),IFERROR(MAX(0,AS254-CJ749),0),0)</f>
        <v>0</v>
      </c>
      <c r="CN749">
        <f>IF(ISNUMBER(CJ749),IFERROR(MAX(0,CJ749-AS254),0),0)</f>
        <v>0</v>
      </c>
      <c r="CP749" t="e">
        <f>BX254</f>
        <v>#N/A</v>
      </c>
      <c r="CQ749" t="e">
        <f>BY254</f>
        <v>#N/A</v>
      </c>
      <c r="CR749">
        <f>IF(ISNUMBER(CP749),IFERROR(MAX(0,BZ254-CP749),0),0)</f>
        <v>0</v>
      </c>
      <c r="CS749">
        <f>IF(ISNUMBER(CP749),IFERROR(MAX(0,CP749-BZ254),0),0)</f>
        <v>0</v>
      </c>
      <c r="CT749">
        <f>IF(ISNUMBER(CQ749),IFERROR(MAX(0,CA254-CQ749),0),0)</f>
        <v>0</v>
      </c>
      <c r="CU749">
        <f>IF(ISNUMBER(CQ749),IFERROR(MAX(0,CQ749-CA254),0),0)</f>
        <v>0</v>
      </c>
    </row>
    <row r="750" spans="87:99" x14ac:dyDescent="0.3">
      <c r="CI750" t="e">
        <f>AT254</f>
        <v>#N/A</v>
      </c>
      <c r="CJ750" t="e">
        <f>AU254</f>
        <v>#N/A</v>
      </c>
      <c r="CK750">
        <f>IF(ISNUMBER(CI750),IFERROR(MAX(0,AV254-CI750),0),0)</f>
        <v>0</v>
      </c>
      <c r="CL750">
        <f>IF(ISNUMBER(CI750),IFERROR(MAX(0,CI750-AV254),0),0)</f>
        <v>0</v>
      </c>
      <c r="CM750">
        <f>IF(ISNUMBER(CJ750),IFERROR(MAX(0,AW254-CJ750),0),0)</f>
        <v>0</v>
      </c>
      <c r="CN750">
        <f>IF(ISNUMBER(CJ750),IFERROR(MAX(0,CJ750-AW254),0),0)</f>
        <v>0</v>
      </c>
      <c r="CP750" t="e">
        <f>CB254</f>
        <v>#N/A</v>
      </c>
      <c r="CQ750" t="e">
        <f>CC254</f>
        <v>#N/A</v>
      </c>
      <c r="CR750">
        <f>IF(ISNUMBER(CP750),IFERROR(MAX(0,CD254-CP750),0),0)</f>
        <v>0</v>
      </c>
      <c r="CS750">
        <f>IF(ISNUMBER(CP750),IFERROR(MAX(0,CP750-CD254),0),0)</f>
        <v>0</v>
      </c>
      <c r="CT750">
        <f>IF(ISNUMBER(CQ750),IFERROR(MAX(0,CE254-CQ750),0),0)</f>
        <v>0</v>
      </c>
      <c r="CU750">
        <f>IF(ISNUMBER(CQ750),IFERROR(MAX(0,CQ750-CE254),0),0)</f>
        <v>0</v>
      </c>
    </row>
    <row r="751" spans="87:99" x14ac:dyDescent="0.3">
      <c r="CI751" t="e">
        <f>AL255</f>
        <v>#N/A</v>
      </c>
      <c r="CJ751" t="e">
        <f>AM255</f>
        <v>#N/A</v>
      </c>
      <c r="CK751">
        <f>IF(ISNUMBER(CI751),IFERROR(MAX(0,AN255-CI751),0),0)</f>
        <v>0</v>
      </c>
      <c r="CL751">
        <f>IF(ISNUMBER(CI751),IFERROR(MAX(0,CI751-AN255),0),0)</f>
        <v>0</v>
      </c>
      <c r="CM751">
        <f>IF(ISNUMBER(CJ751),IFERROR(MAX(0,AO255-CJ751),0),0)</f>
        <v>0</v>
      </c>
      <c r="CN751">
        <f>IF(ISNUMBER(CJ751),IFERROR(MAX(0,CJ751-AO255),0),0)</f>
        <v>0</v>
      </c>
      <c r="CP751" t="e">
        <f>BT255</f>
        <v>#N/A</v>
      </c>
      <c r="CQ751" t="e">
        <f>BU255</f>
        <v>#N/A</v>
      </c>
      <c r="CR751">
        <f>IF(ISNUMBER(CP751),IFERROR(MAX(0,BV255-CP751),0),0)</f>
        <v>0</v>
      </c>
      <c r="CS751">
        <f>IF(ISNUMBER(CP751),IFERROR(MAX(0,CP751-BV255),0),0)</f>
        <v>0</v>
      </c>
      <c r="CT751">
        <f>IF(ISNUMBER(CQ751),IFERROR(MAX(0,BW255-CQ751),0),0)</f>
        <v>0</v>
      </c>
      <c r="CU751">
        <f>IF(ISNUMBER(CQ751),IFERROR(MAX(0,CQ751-BW255),0),0)</f>
        <v>0</v>
      </c>
    </row>
    <row r="752" spans="87:99" x14ac:dyDescent="0.3">
      <c r="CI752" t="e">
        <f>AP255</f>
        <v>#N/A</v>
      </c>
      <c r="CJ752" t="e">
        <f>AQ255</f>
        <v>#N/A</v>
      </c>
      <c r="CK752">
        <f>IF(ISNUMBER(CI752),IFERROR(MAX(0,AR255-CI752),0),0)</f>
        <v>0</v>
      </c>
      <c r="CL752">
        <f>IF(ISNUMBER(CI752),IFERROR(MAX(0,CI752-AR255),0),0)</f>
        <v>0</v>
      </c>
      <c r="CM752">
        <f>IF(ISNUMBER(CJ752),IFERROR(MAX(0,AS255-CJ752),0),0)</f>
        <v>0</v>
      </c>
      <c r="CN752">
        <f>IF(ISNUMBER(CJ752),IFERROR(MAX(0,CJ752-AS255),0),0)</f>
        <v>0</v>
      </c>
      <c r="CP752" t="e">
        <f>BX255</f>
        <v>#N/A</v>
      </c>
      <c r="CQ752" t="e">
        <f>BY255</f>
        <v>#N/A</v>
      </c>
      <c r="CR752">
        <f>IF(ISNUMBER(CP752),IFERROR(MAX(0,BZ255-CP752),0),0)</f>
        <v>0</v>
      </c>
      <c r="CS752">
        <f>IF(ISNUMBER(CP752),IFERROR(MAX(0,CP752-BZ255),0),0)</f>
        <v>0</v>
      </c>
      <c r="CT752">
        <f>IF(ISNUMBER(CQ752),IFERROR(MAX(0,CA255-CQ752),0),0)</f>
        <v>0</v>
      </c>
      <c r="CU752">
        <f>IF(ISNUMBER(CQ752),IFERROR(MAX(0,CQ752-CA255),0),0)</f>
        <v>0</v>
      </c>
    </row>
    <row r="753" spans="87:99" x14ac:dyDescent="0.3">
      <c r="CI753" t="e">
        <f>AT255</f>
        <v>#N/A</v>
      </c>
      <c r="CJ753" t="e">
        <f>AU255</f>
        <v>#N/A</v>
      </c>
      <c r="CK753">
        <f>IF(ISNUMBER(CI753),IFERROR(MAX(0,AV255-CI753),0),0)</f>
        <v>0</v>
      </c>
      <c r="CL753">
        <f>IF(ISNUMBER(CI753),IFERROR(MAX(0,CI753-AV255),0),0)</f>
        <v>0</v>
      </c>
      <c r="CM753">
        <f>IF(ISNUMBER(CJ753),IFERROR(MAX(0,AW255-CJ753),0),0)</f>
        <v>0</v>
      </c>
      <c r="CN753">
        <f>IF(ISNUMBER(CJ753),IFERROR(MAX(0,CJ753-AW255),0),0)</f>
        <v>0</v>
      </c>
      <c r="CP753" t="e">
        <f>CB255</f>
        <v>#N/A</v>
      </c>
      <c r="CQ753" t="e">
        <f>CC255</f>
        <v>#N/A</v>
      </c>
      <c r="CR753">
        <f>IF(ISNUMBER(CP753),IFERROR(MAX(0,CD255-CP753),0),0)</f>
        <v>0</v>
      </c>
      <c r="CS753">
        <f>IF(ISNUMBER(CP753),IFERROR(MAX(0,CP753-CD255),0),0)</f>
        <v>0</v>
      </c>
      <c r="CT753">
        <f>IF(ISNUMBER(CQ753),IFERROR(MAX(0,CE255-CQ753),0),0)</f>
        <v>0</v>
      </c>
      <c r="CU753">
        <f>IF(ISNUMBER(CQ753),IFERROR(MAX(0,CQ753-CE255),0),0)</f>
        <v>0</v>
      </c>
    </row>
    <row r="754" spans="87:99" x14ac:dyDescent="0.3">
      <c r="CI754" t="e">
        <f>AL256</f>
        <v>#N/A</v>
      </c>
      <c r="CJ754" t="e">
        <f>AM256</f>
        <v>#N/A</v>
      </c>
      <c r="CK754">
        <f>IF(ISNUMBER(CI754),IFERROR(MAX(0,AN256-CI754),0),0)</f>
        <v>0</v>
      </c>
      <c r="CL754">
        <f>IF(ISNUMBER(CI754),IFERROR(MAX(0,CI754-AN256),0),0)</f>
        <v>0</v>
      </c>
      <c r="CM754">
        <f>IF(ISNUMBER(CJ754),IFERROR(MAX(0,AO256-CJ754),0),0)</f>
        <v>0</v>
      </c>
      <c r="CN754">
        <f>IF(ISNUMBER(CJ754),IFERROR(MAX(0,CJ754-AO256),0),0)</f>
        <v>0</v>
      </c>
      <c r="CP754" t="e">
        <f>BT256</f>
        <v>#N/A</v>
      </c>
      <c r="CQ754" t="e">
        <f>BU256</f>
        <v>#N/A</v>
      </c>
      <c r="CR754">
        <f>IF(ISNUMBER(CP754),IFERROR(MAX(0,BV256-CP754),0),0)</f>
        <v>0</v>
      </c>
      <c r="CS754">
        <f>IF(ISNUMBER(CP754),IFERROR(MAX(0,CP754-BV256),0),0)</f>
        <v>0</v>
      </c>
      <c r="CT754">
        <f>IF(ISNUMBER(CQ754),IFERROR(MAX(0,BW256-CQ754),0),0)</f>
        <v>0</v>
      </c>
      <c r="CU754">
        <f>IF(ISNUMBER(CQ754),IFERROR(MAX(0,CQ754-BW256),0),0)</f>
        <v>0</v>
      </c>
    </row>
    <row r="755" spans="87:99" x14ac:dyDescent="0.3">
      <c r="CI755" t="e">
        <f>AP256</f>
        <v>#N/A</v>
      </c>
      <c r="CJ755" t="e">
        <f>AQ256</f>
        <v>#N/A</v>
      </c>
      <c r="CK755">
        <f>IF(ISNUMBER(CI755),IFERROR(MAX(0,AR256-CI755),0),0)</f>
        <v>0</v>
      </c>
      <c r="CL755">
        <f>IF(ISNUMBER(CI755),IFERROR(MAX(0,CI755-AR256),0),0)</f>
        <v>0</v>
      </c>
      <c r="CM755">
        <f>IF(ISNUMBER(CJ755),IFERROR(MAX(0,AS256-CJ755),0),0)</f>
        <v>0</v>
      </c>
      <c r="CN755">
        <f>IF(ISNUMBER(CJ755),IFERROR(MAX(0,CJ755-AS256),0),0)</f>
        <v>0</v>
      </c>
      <c r="CP755" t="e">
        <f>BX256</f>
        <v>#N/A</v>
      </c>
      <c r="CQ755" t="e">
        <f>BY256</f>
        <v>#N/A</v>
      </c>
      <c r="CR755">
        <f>IF(ISNUMBER(CP755),IFERROR(MAX(0,BZ256-CP755),0),0)</f>
        <v>0</v>
      </c>
      <c r="CS755">
        <f>IF(ISNUMBER(CP755),IFERROR(MAX(0,CP755-BZ256),0),0)</f>
        <v>0</v>
      </c>
      <c r="CT755">
        <f>IF(ISNUMBER(CQ755),IFERROR(MAX(0,CA256-CQ755),0),0)</f>
        <v>0</v>
      </c>
      <c r="CU755">
        <f>IF(ISNUMBER(CQ755),IFERROR(MAX(0,CQ755-CA256),0),0)</f>
        <v>0</v>
      </c>
    </row>
    <row r="756" spans="87:99" x14ac:dyDescent="0.3">
      <c r="CI756" t="e">
        <f>AT256</f>
        <v>#N/A</v>
      </c>
      <c r="CJ756" t="e">
        <f>AU256</f>
        <v>#N/A</v>
      </c>
      <c r="CK756">
        <f>IF(ISNUMBER(CI756),IFERROR(MAX(0,AV256-CI756),0),0)</f>
        <v>0</v>
      </c>
      <c r="CL756">
        <f>IF(ISNUMBER(CI756),IFERROR(MAX(0,CI756-AV256),0),0)</f>
        <v>0</v>
      </c>
      <c r="CM756">
        <f>IF(ISNUMBER(CJ756),IFERROR(MAX(0,AW256-CJ756),0),0)</f>
        <v>0</v>
      </c>
      <c r="CN756">
        <f>IF(ISNUMBER(CJ756),IFERROR(MAX(0,CJ756-AW256),0),0)</f>
        <v>0</v>
      </c>
      <c r="CP756" t="e">
        <f>CB256</f>
        <v>#N/A</v>
      </c>
      <c r="CQ756" t="e">
        <f>CC256</f>
        <v>#N/A</v>
      </c>
      <c r="CR756">
        <f>IF(ISNUMBER(CP756),IFERROR(MAX(0,CD256-CP756),0),0)</f>
        <v>0</v>
      </c>
      <c r="CS756">
        <f>IF(ISNUMBER(CP756),IFERROR(MAX(0,CP756-CD256),0),0)</f>
        <v>0</v>
      </c>
      <c r="CT756">
        <f>IF(ISNUMBER(CQ756),IFERROR(MAX(0,CE256-CQ756),0),0)</f>
        <v>0</v>
      </c>
      <c r="CU756">
        <f>IF(ISNUMBER(CQ756),IFERROR(MAX(0,CQ756-CE256),0),0)</f>
        <v>0</v>
      </c>
    </row>
    <row r="757" spans="87:99" x14ac:dyDescent="0.3">
      <c r="CI757" t="e">
        <f>AL257</f>
        <v>#N/A</v>
      </c>
      <c r="CJ757" t="e">
        <f>AM257</f>
        <v>#N/A</v>
      </c>
      <c r="CK757">
        <f>IF(ISNUMBER(CI757),IFERROR(MAX(0,AN257-CI757),0),0)</f>
        <v>0</v>
      </c>
      <c r="CL757">
        <f>IF(ISNUMBER(CI757),IFERROR(MAX(0,CI757-AN257),0),0)</f>
        <v>0</v>
      </c>
      <c r="CM757">
        <f>IF(ISNUMBER(CJ757),IFERROR(MAX(0,AO257-CJ757),0),0)</f>
        <v>0</v>
      </c>
      <c r="CN757">
        <f>IF(ISNUMBER(CJ757),IFERROR(MAX(0,CJ757-AO257),0),0)</f>
        <v>0</v>
      </c>
      <c r="CP757" t="e">
        <f>BT257</f>
        <v>#N/A</v>
      </c>
      <c r="CQ757" t="e">
        <f>BU257</f>
        <v>#N/A</v>
      </c>
      <c r="CR757">
        <f>IF(ISNUMBER(CP757),IFERROR(MAX(0,BV257-CP757),0),0)</f>
        <v>0</v>
      </c>
      <c r="CS757">
        <f>IF(ISNUMBER(CP757),IFERROR(MAX(0,CP757-BV257),0),0)</f>
        <v>0</v>
      </c>
      <c r="CT757">
        <f>IF(ISNUMBER(CQ757),IFERROR(MAX(0,BW257-CQ757),0),0)</f>
        <v>0</v>
      </c>
      <c r="CU757">
        <f>IF(ISNUMBER(CQ757),IFERROR(MAX(0,CQ757-BW257),0),0)</f>
        <v>0</v>
      </c>
    </row>
    <row r="758" spans="87:99" x14ac:dyDescent="0.3">
      <c r="CI758" t="e">
        <f>AP257</f>
        <v>#N/A</v>
      </c>
      <c r="CJ758" t="e">
        <f>AQ257</f>
        <v>#N/A</v>
      </c>
      <c r="CK758">
        <f>IF(ISNUMBER(CI758),IFERROR(MAX(0,AR257-CI758),0),0)</f>
        <v>0</v>
      </c>
      <c r="CL758">
        <f>IF(ISNUMBER(CI758),IFERROR(MAX(0,CI758-AR257),0),0)</f>
        <v>0</v>
      </c>
      <c r="CM758">
        <f>IF(ISNUMBER(CJ758),IFERROR(MAX(0,AS257-CJ758),0),0)</f>
        <v>0</v>
      </c>
      <c r="CN758">
        <f>IF(ISNUMBER(CJ758),IFERROR(MAX(0,CJ758-AS257),0),0)</f>
        <v>0</v>
      </c>
      <c r="CP758" t="e">
        <f>BX257</f>
        <v>#N/A</v>
      </c>
      <c r="CQ758" t="e">
        <f>BY257</f>
        <v>#N/A</v>
      </c>
      <c r="CR758">
        <f>IF(ISNUMBER(CP758),IFERROR(MAX(0,BZ257-CP758),0),0)</f>
        <v>0</v>
      </c>
      <c r="CS758">
        <f>IF(ISNUMBER(CP758),IFERROR(MAX(0,CP758-BZ257),0),0)</f>
        <v>0</v>
      </c>
      <c r="CT758">
        <f>IF(ISNUMBER(CQ758),IFERROR(MAX(0,CA257-CQ758),0),0)</f>
        <v>0</v>
      </c>
      <c r="CU758">
        <f>IF(ISNUMBER(CQ758),IFERROR(MAX(0,CQ758-CA257),0),0)</f>
        <v>0</v>
      </c>
    </row>
    <row r="759" spans="87:99" x14ac:dyDescent="0.3">
      <c r="CI759" t="e">
        <f>AT257</f>
        <v>#N/A</v>
      </c>
      <c r="CJ759" t="e">
        <f>AU257</f>
        <v>#N/A</v>
      </c>
      <c r="CK759">
        <f>IF(ISNUMBER(CI759),IFERROR(MAX(0,AV257-CI759),0),0)</f>
        <v>0</v>
      </c>
      <c r="CL759">
        <f>IF(ISNUMBER(CI759),IFERROR(MAX(0,CI759-AV257),0),0)</f>
        <v>0</v>
      </c>
      <c r="CM759">
        <f>IF(ISNUMBER(CJ759),IFERROR(MAX(0,AW257-CJ759),0),0)</f>
        <v>0</v>
      </c>
      <c r="CN759">
        <f>IF(ISNUMBER(CJ759),IFERROR(MAX(0,CJ759-AW257),0),0)</f>
        <v>0</v>
      </c>
      <c r="CP759" t="e">
        <f>CB257</f>
        <v>#N/A</v>
      </c>
      <c r="CQ759" t="e">
        <f>CC257</f>
        <v>#N/A</v>
      </c>
      <c r="CR759">
        <f>IF(ISNUMBER(CP759),IFERROR(MAX(0,CD257-CP759),0),0)</f>
        <v>0</v>
      </c>
      <c r="CS759">
        <f>IF(ISNUMBER(CP759),IFERROR(MAX(0,CP759-CD257),0),0)</f>
        <v>0</v>
      </c>
      <c r="CT759">
        <f>IF(ISNUMBER(CQ759),IFERROR(MAX(0,CE257-CQ759),0),0)</f>
        <v>0</v>
      </c>
      <c r="CU759">
        <f>IF(ISNUMBER(CQ759),IFERROR(MAX(0,CQ759-CE257),0),0)</f>
        <v>0</v>
      </c>
    </row>
    <row r="760" spans="87:99" x14ac:dyDescent="0.3">
      <c r="CI760" t="e">
        <f>AL258</f>
        <v>#N/A</v>
      </c>
      <c r="CJ760" t="e">
        <f>AM258</f>
        <v>#N/A</v>
      </c>
      <c r="CK760">
        <f>IF(ISNUMBER(CI760),IFERROR(MAX(0,AN258-CI760),0),0)</f>
        <v>0</v>
      </c>
      <c r="CL760">
        <f>IF(ISNUMBER(CI760),IFERROR(MAX(0,CI760-AN258),0),0)</f>
        <v>0</v>
      </c>
      <c r="CM760">
        <f>IF(ISNUMBER(CJ760),IFERROR(MAX(0,AO258-CJ760),0),0)</f>
        <v>0</v>
      </c>
      <c r="CN760">
        <f>IF(ISNUMBER(CJ760),IFERROR(MAX(0,CJ760-AO258),0),0)</f>
        <v>0</v>
      </c>
      <c r="CP760" t="e">
        <f>BT258</f>
        <v>#N/A</v>
      </c>
      <c r="CQ760" t="e">
        <f>BU258</f>
        <v>#N/A</v>
      </c>
      <c r="CR760">
        <f>IF(ISNUMBER(CP760),IFERROR(MAX(0,BV258-CP760),0),0)</f>
        <v>0</v>
      </c>
      <c r="CS760">
        <f>IF(ISNUMBER(CP760),IFERROR(MAX(0,CP760-BV258),0),0)</f>
        <v>0</v>
      </c>
      <c r="CT760">
        <f>IF(ISNUMBER(CQ760),IFERROR(MAX(0,BW258-CQ760),0),0)</f>
        <v>0</v>
      </c>
      <c r="CU760">
        <f>IF(ISNUMBER(CQ760),IFERROR(MAX(0,CQ760-BW258),0),0)</f>
        <v>0</v>
      </c>
    </row>
    <row r="761" spans="87:99" x14ac:dyDescent="0.3">
      <c r="CI761" t="e">
        <f>AP258</f>
        <v>#N/A</v>
      </c>
      <c r="CJ761" t="e">
        <f>AQ258</f>
        <v>#N/A</v>
      </c>
      <c r="CK761">
        <f>IF(ISNUMBER(CI761),IFERROR(MAX(0,AR258-CI761),0),0)</f>
        <v>0</v>
      </c>
      <c r="CL761">
        <f>IF(ISNUMBER(CI761),IFERROR(MAX(0,CI761-AR258),0),0)</f>
        <v>0</v>
      </c>
      <c r="CM761">
        <f>IF(ISNUMBER(CJ761),IFERROR(MAX(0,AS258-CJ761),0),0)</f>
        <v>0</v>
      </c>
      <c r="CN761">
        <f>IF(ISNUMBER(CJ761),IFERROR(MAX(0,CJ761-AS258),0),0)</f>
        <v>0</v>
      </c>
      <c r="CP761" t="e">
        <f>BX258</f>
        <v>#N/A</v>
      </c>
      <c r="CQ761" t="e">
        <f>BY258</f>
        <v>#N/A</v>
      </c>
      <c r="CR761">
        <f>IF(ISNUMBER(CP761),IFERROR(MAX(0,BZ258-CP761),0),0)</f>
        <v>0</v>
      </c>
      <c r="CS761">
        <f>IF(ISNUMBER(CP761),IFERROR(MAX(0,CP761-BZ258),0),0)</f>
        <v>0</v>
      </c>
      <c r="CT761">
        <f>IF(ISNUMBER(CQ761),IFERROR(MAX(0,CA258-CQ761),0),0)</f>
        <v>0</v>
      </c>
      <c r="CU761">
        <f>IF(ISNUMBER(CQ761),IFERROR(MAX(0,CQ761-CA258),0),0)</f>
        <v>0</v>
      </c>
    </row>
    <row r="762" spans="87:99" x14ac:dyDescent="0.3">
      <c r="CI762" t="e">
        <f>AT258</f>
        <v>#N/A</v>
      </c>
      <c r="CJ762" t="e">
        <f>AU258</f>
        <v>#N/A</v>
      </c>
      <c r="CK762">
        <f>IF(ISNUMBER(CI762),IFERROR(MAX(0,AV258-CI762),0),0)</f>
        <v>0</v>
      </c>
      <c r="CL762">
        <f>IF(ISNUMBER(CI762),IFERROR(MAX(0,CI762-AV258),0),0)</f>
        <v>0</v>
      </c>
      <c r="CM762">
        <f>IF(ISNUMBER(CJ762),IFERROR(MAX(0,AW258-CJ762),0),0)</f>
        <v>0</v>
      </c>
      <c r="CN762">
        <f>IF(ISNUMBER(CJ762),IFERROR(MAX(0,CJ762-AW258),0),0)</f>
        <v>0</v>
      </c>
      <c r="CP762" t="e">
        <f>CB258</f>
        <v>#N/A</v>
      </c>
      <c r="CQ762" t="e">
        <f>CC258</f>
        <v>#N/A</v>
      </c>
      <c r="CR762">
        <f>IF(ISNUMBER(CP762),IFERROR(MAX(0,CD258-CP762),0),0)</f>
        <v>0</v>
      </c>
      <c r="CS762">
        <f>IF(ISNUMBER(CP762),IFERROR(MAX(0,CP762-CD258),0),0)</f>
        <v>0</v>
      </c>
      <c r="CT762">
        <f>IF(ISNUMBER(CQ762),IFERROR(MAX(0,CE258-CQ762),0),0)</f>
        <v>0</v>
      </c>
      <c r="CU762">
        <f>IF(ISNUMBER(CQ762),IFERROR(MAX(0,CQ762-CE258),0),0)</f>
        <v>0</v>
      </c>
    </row>
    <row r="763" spans="87:99" x14ac:dyDescent="0.3">
      <c r="CI763" t="e">
        <f>AL259</f>
        <v>#N/A</v>
      </c>
      <c r="CJ763" t="e">
        <f>AM259</f>
        <v>#N/A</v>
      </c>
      <c r="CK763">
        <f>IF(ISNUMBER(CI763),IFERROR(MAX(0,AN259-CI763),0),0)</f>
        <v>0</v>
      </c>
      <c r="CL763">
        <f>IF(ISNUMBER(CI763),IFERROR(MAX(0,CI763-AN259),0),0)</f>
        <v>0</v>
      </c>
      <c r="CM763">
        <f>IF(ISNUMBER(CJ763),IFERROR(MAX(0,AO259-CJ763),0),0)</f>
        <v>0</v>
      </c>
      <c r="CN763">
        <f>IF(ISNUMBER(CJ763),IFERROR(MAX(0,CJ763-AO259),0),0)</f>
        <v>0</v>
      </c>
      <c r="CP763" t="e">
        <f>BT259</f>
        <v>#N/A</v>
      </c>
      <c r="CQ763" t="e">
        <f>BU259</f>
        <v>#N/A</v>
      </c>
      <c r="CR763">
        <f>IF(ISNUMBER(CP763),IFERROR(MAX(0,BV259-CP763),0),0)</f>
        <v>0</v>
      </c>
      <c r="CS763">
        <f>IF(ISNUMBER(CP763),IFERROR(MAX(0,CP763-BV259),0),0)</f>
        <v>0</v>
      </c>
      <c r="CT763">
        <f>IF(ISNUMBER(CQ763),IFERROR(MAX(0,BW259-CQ763),0),0)</f>
        <v>0</v>
      </c>
      <c r="CU763">
        <f>IF(ISNUMBER(CQ763),IFERROR(MAX(0,CQ763-BW259),0),0)</f>
        <v>0</v>
      </c>
    </row>
    <row r="764" spans="87:99" x14ac:dyDescent="0.3">
      <c r="CI764" t="e">
        <f>AP259</f>
        <v>#N/A</v>
      </c>
      <c r="CJ764" t="e">
        <f>AQ259</f>
        <v>#N/A</v>
      </c>
      <c r="CK764">
        <f>IF(ISNUMBER(CI764),IFERROR(MAX(0,AR259-CI764),0),0)</f>
        <v>0</v>
      </c>
      <c r="CL764">
        <f>IF(ISNUMBER(CI764),IFERROR(MAX(0,CI764-AR259),0),0)</f>
        <v>0</v>
      </c>
      <c r="CM764">
        <f>IF(ISNUMBER(CJ764),IFERROR(MAX(0,AS259-CJ764),0),0)</f>
        <v>0</v>
      </c>
      <c r="CN764">
        <f>IF(ISNUMBER(CJ764),IFERROR(MAX(0,CJ764-AS259),0),0)</f>
        <v>0</v>
      </c>
      <c r="CP764" t="e">
        <f>BX259</f>
        <v>#N/A</v>
      </c>
      <c r="CQ764" t="e">
        <f>BY259</f>
        <v>#N/A</v>
      </c>
      <c r="CR764">
        <f>IF(ISNUMBER(CP764),IFERROR(MAX(0,BZ259-CP764),0),0)</f>
        <v>0</v>
      </c>
      <c r="CS764">
        <f>IF(ISNUMBER(CP764),IFERROR(MAX(0,CP764-BZ259),0),0)</f>
        <v>0</v>
      </c>
      <c r="CT764">
        <f>IF(ISNUMBER(CQ764),IFERROR(MAX(0,CA259-CQ764),0),0)</f>
        <v>0</v>
      </c>
      <c r="CU764">
        <f>IF(ISNUMBER(CQ764),IFERROR(MAX(0,CQ764-CA259),0),0)</f>
        <v>0</v>
      </c>
    </row>
    <row r="765" spans="87:99" x14ac:dyDescent="0.3">
      <c r="CI765" t="e">
        <f>AT259</f>
        <v>#N/A</v>
      </c>
      <c r="CJ765" t="e">
        <f>AU259</f>
        <v>#N/A</v>
      </c>
      <c r="CK765">
        <f>IF(ISNUMBER(CI765),IFERROR(MAX(0,AV259-CI765),0),0)</f>
        <v>0</v>
      </c>
      <c r="CL765">
        <f>IF(ISNUMBER(CI765),IFERROR(MAX(0,CI765-AV259),0),0)</f>
        <v>0</v>
      </c>
      <c r="CM765">
        <f>IF(ISNUMBER(CJ765),IFERROR(MAX(0,AW259-CJ765),0),0)</f>
        <v>0</v>
      </c>
      <c r="CN765">
        <f>IF(ISNUMBER(CJ765),IFERROR(MAX(0,CJ765-AW259),0),0)</f>
        <v>0</v>
      </c>
      <c r="CP765" t="e">
        <f>CB259</f>
        <v>#N/A</v>
      </c>
      <c r="CQ765" t="e">
        <f>CC259</f>
        <v>#N/A</v>
      </c>
      <c r="CR765">
        <f>IF(ISNUMBER(CP765),IFERROR(MAX(0,CD259-CP765),0),0)</f>
        <v>0</v>
      </c>
      <c r="CS765">
        <f>IF(ISNUMBER(CP765),IFERROR(MAX(0,CP765-CD259),0),0)</f>
        <v>0</v>
      </c>
      <c r="CT765">
        <f>IF(ISNUMBER(CQ765),IFERROR(MAX(0,CE259-CQ765),0),0)</f>
        <v>0</v>
      </c>
      <c r="CU765">
        <f>IF(ISNUMBER(CQ765),IFERROR(MAX(0,CQ765-CE259),0),0)</f>
        <v>0</v>
      </c>
    </row>
    <row r="766" spans="87:99" x14ac:dyDescent="0.3">
      <c r="CI766" t="e">
        <f>AL260</f>
        <v>#N/A</v>
      </c>
      <c r="CJ766" t="e">
        <f>AM260</f>
        <v>#N/A</v>
      </c>
      <c r="CK766">
        <f>IF(ISNUMBER(CI766),IFERROR(MAX(0,AN260-CI766),0),0)</f>
        <v>0</v>
      </c>
      <c r="CL766">
        <f>IF(ISNUMBER(CI766),IFERROR(MAX(0,CI766-AN260),0),0)</f>
        <v>0</v>
      </c>
      <c r="CM766">
        <f>IF(ISNUMBER(CJ766),IFERROR(MAX(0,AO260-CJ766),0),0)</f>
        <v>0</v>
      </c>
      <c r="CN766">
        <f>IF(ISNUMBER(CJ766),IFERROR(MAX(0,CJ766-AO260),0),0)</f>
        <v>0</v>
      </c>
      <c r="CP766" t="e">
        <f>BT260</f>
        <v>#N/A</v>
      </c>
      <c r="CQ766" t="e">
        <f>BU260</f>
        <v>#N/A</v>
      </c>
      <c r="CR766">
        <f>IF(ISNUMBER(CP766),IFERROR(MAX(0,BV260-CP766),0),0)</f>
        <v>0</v>
      </c>
      <c r="CS766">
        <f>IF(ISNUMBER(CP766),IFERROR(MAX(0,CP766-BV260),0),0)</f>
        <v>0</v>
      </c>
      <c r="CT766">
        <f>IF(ISNUMBER(CQ766),IFERROR(MAX(0,BW260-CQ766),0),0)</f>
        <v>0</v>
      </c>
      <c r="CU766">
        <f>IF(ISNUMBER(CQ766),IFERROR(MAX(0,CQ766-BW260),0),0)</f>
        <v>0</v>
      </c>
    </row>
    <row r="767" spans="87:99" x14ac:dyDescent="0.3">
      <c r="CI767" t="e">
        <f>AP260</f>
        <v>#N/A</v>
      </c>
      <c r="CJ767" t="e">
        <f>AQ260</f>
        <v>#N/A</v>
      </c>
      <c r="CK767">
        <f>IF(ISNUMBER(CI767),IFERROR(MAX(0,AR260-CI767),0),0)</f>
        <v>0</v>
      </c>
      <c r="CL767">
        <f>IF(ISNUMBER(CI767),IFERROR(MAX(0,CI767-AR260),0),0)</f>
        <v>0</v>
      </c>
      <c r="CM767">
        <f>IF(ISNUMBER(CJ767),IFERROR(MAX(0,AS260-CJ767),0),0)</f>
        <v>0</v>
      </c>
      <c r="CN767">
        <f>IF(ISNUMBER(CJ767),IFERROR(MAX(0,CJ767-AS260),0),0)</f>
        <v>0</v>
      </c>
      <c r="CP767" t="e">
        <f>BX260</f>
        <v>#N/A</v>
      </c>
      <c r="CQ767" t="e">
        <f>BY260</f>
        <v>#N/A</v>
      </c>
      <c r="CR767">
        <f>IF(ISNUMBER(CP767),IFERROR(MAX(0,BZ260-CP767),0),0)</f>
        <v>0</v>
      </c>
      <c r="CS767">
        <f>IF(ISNUMBER(CP767),IFERROR(MAX(0,CP767-BZ260),0),0)</f>
        <v>0</v>
      </c>
      <c r="CT767">
        <f>IF(ISNUMBER(CQ767),IFERROR(MAX(0,CA260-CQ767),0),0)</f>
        <v>0</v>
      </c>
      <c r="CU767">
        <f>IF(ISNUMBER(CQ767),IFERROR(MAX(0,CQ767-CA260),0),0)</f>
        <v>0</v>
      </c>
    </row>
    <row r="768" spans="87:99" x14ac:dyDescent="0.3">
      <c r="CI768" t="e">
        <f>AT260</f>
        <v>#N/A</v>
      </c>
      <c r="CJ768" t="e">
        <f>AU260</f>
        <v>#N/A</v>
      </c>
      <c r="CK768">
        <f>IF(ISNUMBER(CI768),IFERROR(MAX(0,AV260-CI768),0),0)</f>
        <v>0</v>
      </c>
      <c r="CL768">
        <f>IF(ISNUMBER(CI768),IFERROR(MAX(0,CI768-AV260),0),0)</f>
        <v>0</v>
      </c>
      <c r="CM768">
        <f>IF(ISNUMBER(CJ768),IFERROR(MAX(0,AW260-CJ768),0),0)</f>
        <v>0</v>
      </c>
      <c r="CN768">
        <f>IF(ISNUMBER(CJ768),IFERROR(MAX(0,CJ768-AW260),0),0)</f>
        <v>0</v>
      </c>
      <c r="CP768" t="e">
        <f>CB260</f>
        <v>#N/A</v>
      </c>
      <c r="CQ768" t="e">
        <f>CC260</f>
        <v>#N/A</v>
      </c>
      <c r="CR768">
        <f>IF(ISNUMBER(CP768),IFERROR(MAX(0,CD260-CP768),0),0)</f>
        <v>0</v>
      </c>
      <c r="CS768">
        <f>IF(ISNUMBER(CP768),IFERROR(MAX(0,CP768-CD260),0),0)</f>
        <v>0</v>
      </c>
      <c r="CT768">
        <f>IF(ISNUMBER(CQ768),IFERROR(MAX(0,CE260-CQ768),0),0)</f>
        <v>0</v>
      </c>
      <c r="CU768">
        <f>IF(ISNUMBER(CQ768),IFERROR(MAX(0,CQ768-CE260),0),0)</f>
        <v>0</v>
      </c>
    </row>
    <row r="769" spans="87:99" x14ac:dyDescent="0.3">
      <c r="CI769" t="e">
        <f>AL261</f>
        <v>#N/A</v>
      </c>
      <c r="CJ769" t="e">
        <f>AM261</f>
        <v>#N/A</v>
      </c>
      <c r="CK769">
        <f>IF(ISNUMBER(CI769),IFERROR(MAX(0,AN261-CI769),0),0)</f>
        <v>0</v>
      </c>
      <c r="CL769">
        <f>IF(ISNUMBER(CI769),IFERROR(MAX(0,CI769-AN261),0),0)</f>
        <v>0</v>
      </c>
      <c r="CM769">
        <f>IF(ISNUMBER(CJ769),IFERROR(MAX(0,AO261-CJ769),0),0)</f>
        <v>0</v>
      </c>
      <c r="CN769">
        <f>IF(ISNUMBER(CJ769),IFERROR(MAX(0,CJ769-AO261),0),0)</f>
        <v>0</v>
      </c>
      <c r="CP769" t="e">
        <f>BT261</f>
        <v>#N/A</v>
      </c>
      <c r="CQ769" t="e">
        <f>BU261</f>
        <v>#N/A</v>
      </c>
      <c r="CR769">
        <f>IF(ISNUMBER(CP769),IFERROR(MAX(0,BV261-CP769),0),0)</f>
        <v>0</v>
      </c>
      <c r="CS769">
        <f>IF(ISNUMBER(CP769),IFERROR(MAX(0,CP769-BV261),0),0)</f>
        <v>0</v>
      </c>
      <c r="CT769">
        <f>IF(ISNUMBER(CQ769),IFERROR(MAX(0,BW261-CQ769),0),0)</f>
        <v>0</v>
      </c>
      <c r="CU769">
        <f>IF(ISNUMBER(CQ769),IFERROR(MAX(0,CQ769-BW261),0),0)</f>
        <v>0</v>
      </c>
    </row>
    <row r="770" spans="87:99" x14ac:dyDescent="0.3">
      <c r="CI770" t="e">
        <f>AP261</f>
        <v>#N/A</v>
      </c>
      <c r="CJ770" t="e">
        <f>AQ261</f>
        <v>#N/A</v>
      </c>
      <c r="CK770">
        <f>IF(ISNUMBER(CI770),IFERROR(MAX(0,AR261-CI770),0),0)</f>
        <v>0</v>
      </c>
      <c r="CL770">
        <f>IF(ISNUMBER(CI770),IFERROR(MAX(0,CI770-AR261),0),0)</f>
        <v>0</v>
      </c>
      <c r="CM770">
        <f>IF(ISNUMBER(CJ770),IFERROR(MAX(0,AS261-CJ770),0),0)</f>
        <v>0</v>
      </c>
      <c r="CN770">
        <f>IF(ISNUMBER(CJ770),IFERROR(MAX(0,CJ770-AS261),0),0)</f>
        <v>0</v>
      </c>
      <c r="CP770" t="e">
        <f>BX261</f>
        <v>#N/A</v>
      </c>
      <c r="CQ770" t="e">
        <f>BY261</f>
        <v>#N/A</v>
      </c>
      <c r="CR770">
        <f>IF(ISNUMBER(CP770),IFERROR(MAX(0,BZ261-CP770),0),0)</f>
        <v>0</v>
      </c>
      <c r="CS770">
        <f>IF(ISNUMBER(CP770),IFERROR(MAX(0,CP770-BZ261),0),0)</f>
        <v>0</v>
      </c>
      <c r="CT770">
        <f>IF(ISNUMBER(CQ770),IFERROR(MAX(0,CA261-CQ770),0),0)</f>
        <v>0</v>
      </c>
      <c r="CU770">
        <f>IF(ISNUMBER(CQ770),IFERROR(MAX(0,CQ770-CA261),0),0)</f>
        <v>0</v>
      </c>
    </row>
    <row r="771" spans="87:99" x14ac:dyDescent="0.3">
      <c r="CI771" t="e">
        <f>AT261</f>
        <v>#N/A</v>
      </c>
      <c r="CJ771" t="e">
        <f>AU261</f>
        <v>#N/A</v>
      </c>
      <c r="CK771">
        <f>IF(ISNUMBER(CI771),IFERROR(MAX(0,AV261-CI771),0),0)</f>
        <v>0</v>
      </c>
      <c r="CL771">
        <f>IF(ISNUMBER(CI771),IFERROR(MAX(0,CI771-AV261),0),0)</f>
        <v>0</v>
      </c>
      <c r="CM771">
        <f>IF(ISNUMBER(CJ771),IFERROR(MAX(0,AW261-CJ771),0),0)</f>
        <v>0</v>
      </c>
      <c r="CN771">
        <f>IF(ISNUMBER(CJ771),IFERROR(MAX(0,CJ771-AW261),0),0)</f>
        <v>0</v>
      </c>
      <c r="CP771" t="e">
        <f>CB261</f>
        <v>#N/A</v>
      </c>
      <c r="CQ771" t="e">
        <f>CC261</f>
        <v>#N/A</v>
      </c>
      <c r="CR771">
        <f>IF(ISNUMBER(CP771),IFERROR(MAX(0,CD261-CP771),0),0)</f>
        <v>0</v>
      </c>
      <c r="CS771">
        <f>IF(ISNUMBER(CP771),IFERROR(MAX(0,CP771-CD261),0),0)</f>
        <v>0</v>
      </c>
      <c r="CT771">
        <f>IF(ISNUMBER(CQ771),IFERROR(MAX(0,CE261-CQ771),0),0)</f>
        <v>0</v>
      </c>
      <c r="CU771">
        <f>IF(ISNUMBER(CQ771),IFERROR(MAX(0,CQ771-CE261),0),0)</f>
        <v>0</v>
      </c>
    </row>
    <row r="772" spans="87:99" x14ac:dyDescent="0.3">
      <c r="CI772" t="e">
        <f>AL262</f>
        <v>#N/A</v>
      </c>
      <c r="CJ772" t="e">
        <f>AM262</f>
        <v>#N/A</v>
      </c>
      <c r="CK772">
        <f>IF(ISNUMBER(CI772),IFERROR(MAX(0,AN262-CI772),0),0)</f>
        <v>0</v>
      </c>
      <c r="CL772">
        <f>IF(ISNUMBER(CI772),IFERROR(MAX(0,CI772-AN262),0),0)</f>
        <v>0</v>
      </c>
      <c r="CM772">
        <f>IF(ISNUMBER(CJ772),IFERROR(MAX(0,AO262-CJ772),0),0)</f>
        <v>0</v>
      </c>
      <c r="CN772">
        <f>IF(ISNUMBER(CJ772),IFERROR(MAX(0,CJ772-AO262),0),0)</f>
        <v>0</v>
      </c>
      <c r="CP772" t="e">
        <f>BT262</f>
        <v>#N/A</v>
      </c>
      <c r="CQ772" t="e">
        <f>BU262</f>
        <v>#N/A</v>
      </c>
      <c r="CR772">
        <f>IF(ISNUMBER(CP772),IFERROR(MAX(0,BV262-CP772),0),0)</f>
        <v>0</v>
      </c>
      <c r="CS772">
        <f>IF(ISNUMBER(CP772),IFERROR(MAX(0,CP772-BV262),0),0)</f>
        <v>0</v>
      </c>
      <c r="CT772">
        <f>IF(ISNUMBER(CQ772),IFERROR(MAX(0,BW262-CQ772),0),0)</f>
        <v>0</v>
      </c>
      <c r="CU772">
        <f>IF(ISNUMBER(CQ772),IFERROR(MAX(0,CQ772-BW262),0),0)</f>
        <v>0</v>
      </c>
    </row>
    <row r="773" spans="87:99" x14ac:dyDescent="0.3">
      <c r="CI773" t="e">
        <f>AP262</f>
        <v>#N/A</v>
      </c>
      <c r="CJ773" t="e">
        <f>AQ262</f>
        <v>#N/A</v>
      </c>
      <c r="CK773">
        <f>IF(ISNUMBER(CI773),IFERROR(MAX(0,AR262-CI773),0),0)</f>
        <v>0</v>
      </c>
      <c r="CL773">
        <f>IF(ISNUMBER(CI773),IFERROR(MAX(0,CI773-AR262),0),0)</f>
        <v>0</v>
      </c>
      <c r="CM773">
        <f>IF(ISNUMBER(CJ773),IFERROR(MAX(0,AS262-CJ773),0),0)</f>
        <v>0</v>
      </c>
      <c r="CN773">
        <f>IF(ISNUMBER(CJ773),IFERROR(MAX(0,CJ773-AS262),0),0)</f>
        <v>0</v>
      </c>
      <c r="CP773" t="e">
        <f>BX262</f>
        <v>#N/A</v>
      </c>
      <c r="CQ773" t="e">
        <f>BY262</f>
        <v>#N/A</v>
      </c>
      <c r="CR773">
        <f>IF(ISNUMBER(CP773),IFERROR(MAX(0,BZ262-CP773),0),0)</f>
        <v>0</v>
      </c>
      <c r="CS773">
        <f>IF(ISNUMBER(CP773),IFERROR(MAX(0,CP773-BZ262),0),0)</f>
        <v>0</v>
      </c>
      <c r="CT773">
        <f>IF(ISNUMBER(CQ773),IFERROR(MAX(0,CA262-CQ773),0),0)</f>
        <v>0</v>
      </c>
      <c r="CU773">
        <f>IF(ISNUMBER(CQ773),IFERROR(MAX(0,CQ773-CA262),0),0)</f>
        <v>0</v>
      </c>
    </row>
    <row r="774" spans="87:99" x14ac:dyDescent="0.3">
      <c r="CI774" t="e">
        <f>AT262</f>
        <v>#N/A</v>
      </c>
      <c r="CJ774" t="e">
        <f>AU262</f>
        <v>#N/A</v>
      </c>
      <c r="CK774">
        <f>IF(ISNUMBER(CI774),IFERROR(MAX(0,AV262-CI774),0),0)</f>
        <v>0</v>
      </c>
      <c r="CL774">
        <f>IF(ISNUMBER(CI774),IFERROR(MAX(0,CI774-AV262),0),0)</f>
        <v>0</v>
      </c>
      <c r="CM774">
        <f>IF(ISNUMBER(CJ774),IFERROR(MAX(0,AW262-CJ774),0),0)</f>
        <v>0</v>
      </c>
      <c r="CN774">
        <f>IF(ISNUMBER(CJ774),IFERROR(MAX(0,CJ774-AW262),0),0)</f>
        <v>0</v>
      </c>
      <c r="CP774" t="e">
        <f>CB262</f>
        <v>#N/A</v>
      </c>
      <c r="CQ774" t="e">
        <f>CC262</f>
        <v>#N/A</v>
      </c>
      <c r="CR774">
        <f>IF(ISNUMBER(CP774),IFERROR(MAX(0,CD262-CP774),0),0)</f>
        <v>0</v>
      </c>
      <c r="CS774">
        <f>IF(ISNUMBER(CP774),IFERROR(MAX(0,CP774-CD262),0),0)</f>
        <v>0</v>
      </c>
      <c r="CT774">
        <f>IF(ISNUMBER(CQ774),IFERROR(MAX(0,CE262-CQ774),0),0)</f>
        <v>0</v>
      </c>
      <c r="CU774">
        <f>IF(ISNUMBER(CQ774),IFERROR(MAX(0,CQ774-CE262),0),0)</f>
        <v>0</v>
      </c>
    </row>
    <row r="775" spans="87:99" x14ac:dyDescent="0.3">
      <c r="CI775" t="e">
        <f>AL263</f>
        <v>#N/A</v>
      </c>
      <c r="CJ775" t="e">
        <f>AM263</f>
        <v>#N/A</v>
      </c>
      <c r="CK775">
        <f>IF(ISNUMBER(CI775),IFERROR(MAX(0,AN263-CI775),0),0)</f>
        <v>0</v>
      </c>
      <c r="CL775">
        <f>IF(ISNUMBER(CI775),IFERROR(MAX(0,CI775-AN263),0),0)</f>
        <v>0</v>
      </c>
      <c r="CM775">
        <f>IF(ISNUMBER(CJ775),IFERROR(MAX(0,AO263-CJ775),0),0)</f>
        <v>0</v>
      </c>
      <c r="CN775">
        <f>IF(ISNUMBER(CJ775),IFERROR(MAX(0,CJ775-AO263),0),0)</f>
        <v>0</v>
      </c>
      <c r="CP775" t="e">
        <f>BT263</f>
        <v>#N/A</v>
      </c>
      <c r="CQ775" t="e">
        <f>BU263</f>
        <v>#N/A</v>
      </c>
      <c r="CR775">
        <f>IF(ISNUMBER(CP775),IFERROR(MAX(0,BV263-CP775),0),0)</f>
        <v>0</v>
      </c>
      <c r="CS775">
        <f>IF(ISNUMBER(CP775),IFERROR(MAX(0,CP775-BV263),0),0)</f>
        <v>0</v>
      </c>
      <c r="CT775">
        <f>IF(ISNUMBER(CQ775),IFERROR(MAX(0,BW263-CQ775),0),0)</f>
        <v>0</v>
      </c>
      <c r="CU775">
        <f>IF(ISNUMBER(CQ775),IFERROR(MAX(0,CQ775-BW263),0),0)</f>
        <v>0</v>
      </c>
    </row>
    <row r="776" spans="87:99" x14ac:dyDescent="0.3">
      <c r="CI776" t="e">
        <f>AP263</f>
        <v>#N/A</v>
      </c>
      <c r="CJ776" t="e">
        <f>AQ263</f>
        <v>#N/A</v>
      </c>
      <c r="CK776">
        <f>IF(ISNUMBER(CI776),IFERROR(MAX(0,AR263-CI776),0),0)</f>
        <v>0</v>
      </c>
      <c r="CL776">
        <f>IF(ISNUMBER(CI776),IFERROR(MAX(0,CI776-AR263),0),0)</f>
        <v>0</v>
      </c>
      <c r="CM776">
        <f>IF(ISNUMBER(CJ776),IFERROR(MAX(0,AS263-CJ776),0),0)</f>
        <v>0</v>
      </c>
      <c r="CN776">
        <f>IF(ISNUMBER(CJ776),IFERROR(MAX(0,CJ776-AS263),0),0)</f>
        <v>0</v>
      </c>
      <c r="CP776" t="e">
        <f>BX263</f>
        <v>#N/A</v>
      </c>
      <c r="CQ776" t="e">
        <f>BY263</f>
        <v>#N/A</v>
      </c>
      <c r="CR776">
        <f>IF(ISNUMBER(CP776),IFERROR(MAX(0,BZ263-CP776),0),0)</f>
        <v>0</v>
      </c>
      <c r="CS776">
        <f>IF(ISNUMBER(CP776),IFERROR(MAX(0,CP776-BZ263),0),0)</f>
        <v>0</v>
      </c>
      <c r="CT776">
        <f>IF(ISNUMBER(CQ776),IFERROR(MAX(0,CA263-CQ776),0),0)</f>
        <v>0</v>
      </c>
      <c r="CU776">
        <f>IF(ISNUMBER(CQ776),IFERROR(MAX(0,CQ776-CA263),0),0)</f>
        <v>0</v>
      </c>
    </row>
    <row r="777" spans="87:99" x14ac:dyDescent="0.3">
      <c r="CI777" t="e">
        <f>AT263</f>
        <v>#N/A</v>
      </c>
      <c r="CJ777" t="e">
        <f>AU263</f>
        <v>#N/A</v>
      </c>
      <c r="CK777">
        <f>IF(ISNUMBER(CI777),IFERROR(MAX(0,AV263-CI777),0),0)</f>
        <v>0</v>
      </c>
      <c r="CL777">
        <f>IF(ISNUMBER(CI777),IFERROR(MAX(0,CI777-AV263),0),0)</f>
        <v>0</v>
      </c>
      <c r="CM777">
        <f>IF(ISNUMBER(CJ777),IFERROR(MAX(0,AW263-CJ777),0),0)</f>
        <v>0</v>
      </c>
      <c r="CN777">
        <f>IF(ISNUMBER(CJ777),IFERROR(MAX(0,CJ777-AW263),0),0)</f>
        <v>0</v>
      </c>
      <c r="CP777" t="e">
        <f>CB263</f>
        <v>#N/A</v>
      </c>
      <c r="CQ777" t="e">
        <f>CC263</f>
        <v>#N/A</v>
      </c>
      <c r="CR777">
        <f>IF(ISNUMBER(CP777),IFERROR(MAX(0,CD263-CP777),0),0)</f>
        <v>0</v>
      </c>
      <c r="CS777">
        <f>IF(ISNUMBER(CP777),IFERROR(MAX(0,CP777-CD263),0),0)</f>
        <v>0</v>
      </c>
      <c r="CT777">
        <f>IF(ISNUMBER(CQ777),IFERROR(MAX(0,CE263-CQ777),0),0)</f>
        <v>0</v>
      </c>
      <c r="CU777">
        <f>IF(ISNUMBER(CQ777),IFERROR(MAX(0,CQ777-CE263),0),0)</f>
        <v>0</v>
      </c>
    </row>
    <row r="778" spans="87:99" x14ac:dyDescent="0.3">
      <c r="CI778" t="e">
        <f>AL264</f>
        <v>#N/A</v>
      </c>
      <c r="CJ778" t="e">
        <f>AM264</f>
        <v>#N/A</v>
      </c>
      <c r="CK778">
        <f>IF(ISNUMBER(CI778),IFERROR(MAX(0,AN264-CI778),0),0)</f>
        <v>0</v>
      </c>
      <c r="CL778">
        <f>IF(ISNUMBER(CI778),IFERROR(MAX(0,CI778-AN264),0),0)</f>
        <v>0</v>
      </c>
      <c r="CM778">
        <f>IF(ISNUMBER(CJ778),IFERROR(MAX(0,AO264-CJ778),0),0)</f>
        <v>0</v>
      </c>
      <c r="CN778">
        <f>IF(ISNUMBER(CJ778),IFERROR(MAX(0,CJ778-AO264),0),0)</f>
        <v>0</v>
      </c>
      <c r="CP778" t="e">
        <f>BT264</f>
        <v>#N/A</v>
      </c>
      <c r="CQ778" t="e">
        <f>BU264</f>
        <v>#N/A</v>
      </c>
      <c r="CR778">
        <f>IF(ISNUMBER(CP778),IFERROR(MAX(0,BV264-CP778),0),0)</f>
        <v>0</v>
      </c>
      <c r="CS778">
        <f>IF(ISNUMBER(CP778),IFERROR(MAX(0,CP778-BV264),0),0)</f>
        <v>0</v>
      </c>
      <c r="CT778">
        <f>IF(ISNUMBER(CQ778),IFERROR(MAX(0,BW264-CQ778),0),0)</f>
        <v>0</v>
      </c>
      <c r="CU778">
        <f>IF(ISNUMBER(CQ778),IFERROR(MAX(0,CQ778-BW264),0),0)</f>
        <v>0</v>
      </c>
    </row>
    <row r="779" spans="87:99" x14ac:dyDescent="0.3">
      <c r="CI779" t="e">
        <f>AP264</f>
        <v>#N/A</v>
      </c>
      <c r="CJ779" t="e">
        <f>AQ264</f>
        <v>#N/A</v>
      </c>
      <c r="CK779">
        <f>IF(ISNUMBER(CI779),IFERROR(MAX(0,AR264-CI779),0),0)</f>
        <v>0</v>
      </c>
      <c r="CL779">
        <f>IF(ISNUMBER(CI779),IFERROR(MAX(0,CI779-AR264),0),0)</f>
        <v>0</v>
      </c>
      <c r="CM779">
        <f>IF(ISNUMBER(CJ779),IFERROR(MAX(0,AS264-CJ779),0),0)</f>
        <v>0</v>
      </c>
      <c r="CN779">
        <f>IF(ISNUMBER(CJ779),IFERROR(MAX(0,CJ779-AS264),0),0)</f>
        <v>0</v>
      </c>
      <c r="CP779" t="e">
        <f>BX264</f>
        <v>#N/A</v>
      </c>
      <c r="CQ779" t="e">
        <f>BY264</f>
        <v>#N/A</v>
      </c>
      <c r="CR779">
        <f>IF(ISNUMBER(CP779),IFERROR(MAX(0,BZ264-CP779),0),0)</f>
        <v>0</v>
      </c>
      <c r="CS779">
        <f>IF(ISNUMBER(CP779),IFERROR(MAX(0,CP779-BZ264),0),0)</f>
        <v>0</v>
      </c>
      <c r="CT779">
        <f>IF(ISNUMBER(CQ779),IFERROR(MAX(0,CA264-CQ779),0),0)</f>
        <v>0</v>
      </c>
      <c r="CU779">
        <f>IF(ISNUMBER(CQ779),IFERROR(MAX(0,CQ779-CA264),0),0)</f>
        <v>0</v>
      </c>
    </row>
    <row r="780" spans="87:99" x14ac:dyDescent="0.3">
      <c r="CI780" t="e">
        <f>AT264</f>
        <v>#N/A</v>
      </c>
      <c r="CJ780" t="e">
        <f>AU264</f>
        <v>#N/A</v>
      </c>
      <c r="CK780">
        <f>IF(ISNUMBER(CI780),IFERROR(MAX(0,AV264-CI780),0),0)</f>
        <v>0</v>
      </c>
      <c r="CL780">
        <f>IF(ISNUMBER(CI780),IFERROR(MAX(0,CI780-AV264),0),0)</f>
        <v>0</v>
      </c>
      <c r="CM780">
        <f>IF(ISNUMBER(CJ780),IFERROR(MAX(0,AW264-CJ780),0),0)</f>
        <v>0</v>
      </c>
      <c r="CN780">
        <f>IF(ISNUMBER(CJ780),IFERROR(MAX(0,CJ780-AW264),0),0)</f>
        <v>0</v>
      </c>
      <c r="CP780" t="e">
        <f>CB264</f>
        <v>#N/A</v>
      </c>
      <c r="CQ780" t="e">
        <f>CC264</f>
        <v>#N/A</v>
      </c>
      <c r="CR780">
        <f>IF(ISNUMBER(CP780),IFERROR(MAX(0,CD264-CP780),0),0)</f>
        <v>0</v>
      </c>
      <c r="CS780">
        <f>IF(ISNUMBER(CP780),IFERROR(MAX(0,CP780-CD264),0),0)</f>
        <v>0</v>
      </c>
      <c r="CT780">
        <f>IF(ISNUMBER(CQ780),IFERROR(MAX(0,CE264-CQ780),0),0)</f>
        <v>0</v>
      </c>
      <c r="CU780">
        <f>IF(ISNUMBER(CQ780),IFERROR(MAX(0,CQ780-CE264),0),0)</f>
        <v>0</v>
      </c>
    </row>
    <row r="781" spans="87:99" x14ac:dyDescent="0.3">
      <c r="CI781" t="e">
        <f>AL265</f>
        <v>#N/A</v>
      </c>
      <c r="CJ781" t="e">
        <f>AM265</f>
        <v>#N/A</v>
      </c>
      <c r="CK781">
        <f>IF(ISNUMBER(CI781),IFERROR(MAX(0,AN265-CI781),0),0)</f>
        <v>0</v>
      </c>
      <c r="CL781">
        <f>IF(ISNUMBER(CI781),IFERROR(MAX(0,CI781-AN265),0),0)</f>
        <v>0</v>
      </c>
      <c r="CM781">
        <f>IF(ISNUMBER(CJ781),IFERROR(MAX(0,AO265-CJ781),0),0)</f>
        <v>0</v>
      </c>
      <c r="CN781">
        <f>IF(ISNUMBER(CJ781),IFERROR(MAX(0,CJ781-AO265),0),0)</f>
        <v>0</v>
      </c>
      <c r="CP781" t="e">
        <f>BT265</f>
        <v>#N/A</v>
      </c>
      <c r="CQ781" t="e">
        <f>BU265</f>
        <v>#N/A</v>
      </c>
      <c r="CR781">
        <f>IF(ISNUMBER(CP781),IFERROR(MAX(0,BV265-CP781),0),0)</f>
        <v>0</v>
      </c>
      <c r="CS781">
        <f>IF(ISNUMBER(CP781),IFERROR(MAX(0,CP781-BV265),0),0)</f>
        <v>0</v>
      </c>
      <c r="CT781">
        <f>IF(ISNUMBER(CQ781),IFERROR(MAX(0,BW265-CQ781),0),0)</f>
        <v>0</v>
      </c>
      <c r="CU781">
        <f>IF(ISNUMBER(CQ781),IFERROR(MAX(0,CQ781-BW265),0),0)</f>
        <v>0</v>
      </c>
    </row>
    <row r="782" spans="87:99" x14ac:dyDescent="0.3">
      <c r="CI782" t="e">
        <f>AP265</f>
        <v>#N/A</v>
      </c>
      <c r="CJ782" t="e">
        <f>AQ265</f>
        <v>#N/A</v>
      </c>
      <c r="CK782">
        <f>IF(ISNUMBER(CI782),IFERROR(MAX(0,AR265-CI782),0),0)</f>
        <v>0</v>
      </c>
      <c r="CL782">
        <f>IF(ISNUMBER(CI782),IFERROR(MAX(0,CI782-AR265),0),0)</f>
        <v>0</v>
      </c>
      <c r="CM782">
        <f>IF(ISNUMBER(CJ782),IFERROR(MAX(0,AS265-CJ782),0),0)</f>
        <v>0</v>
      </c>
      <c r="CN782">
        <f>IF(ISNUMBER(CJ782),IFERROR(MAX(0,CJ782-AS265),0),0)</f>
        <v>0</v>
      </c>
      <c r="CP782" t="e">
        <f>BX265</f>
        <v>#N/A</v>
      </c>
      <c r="CQ782" t="e">
        <f>BY265</f>
        <v>#N/A</v>
      </c>
      <c r="CR782">
        <f>IF(ISNUMBER(CP782),IFERROR(MAX(0,BZ265-CP782),0),0)</f>
        <v>0</v>
      </c>
      <c r="CS782">
        <f>IF(ISNUMBER(CP782),IFERROR(MAX(0,CP782-BZ265),0),0)</f>
        <v>0</v>
      </c>
      <c r="CT782">
        <f>IF(ISNUMBER(CQ782),IFERROR(MAX(0,CA265-CQ782),0),0)</f>
        <v>0</v>
      </c>
      <c r="CU782">
        <f>IF(ISNUMBER(CQ782),IFERROR(MAX(0,CQ782-CA265),0),0)</f>
        <v>0</v>
      </c>
    </row>
    <row r="783" spans="87:99" x14ac:dyDescent="0.3">
      <c r="CI783" t="e">
        <f>AT265</f>
        <v>#N/A</v>
      </c>
      <c r="CJ783" t="e">
        <f>AU265</f>
        <v>#N/A</v>
      </c>
      <c r="CK783">
        <f>IF(ISNUMBER(CI783),IFERROR(MAX(0,AV265-CI783),0),0)</f>
        <v>0</v>
      </c>
      <c r="CL783">
        <f>IF(ISNUMBER(CI783),IFERROR(MAX(0,CI783-AV265),0),0)</f>
        <v>0</v>
      </c>
      <c r="CM783">
        <f>IF(ISNUMBER(CJ783),IFERROR(MAX(0,AW265-CJ783),0),0)</f>
        <v>0</v>
      </c>
      <c r="CN783">
        <f>IF(ISNUMBER(CJ783),IFERROR(MAX(0,CJ783-AW265),0),0)</f>
        <v>0</v>
      </c>
      <c r="CP783" t="e">
        <f>CB265</f>
        <v>#N/A</v>
      </c>
      <c r="CQ783" t="e">
        <f>CC265</f>
        <v>#N/A</v>
      </c>
      <c r="CR783">
        <f>IF(ISNUMBER(CP783),IFERROR(MAX(0,CD265-CP783),0),0)</f>
        <v>0</v>
      </c>
      <c r="CS783">
        <f>IF(ISNUMBER(CP783),IFERROR(MAX(0,CP783-CD265),0),0)</f>
        <v>0</v>
      </c>
      <c r="CT783">
        <f>IF(ISNUMBER(CQ783),IFERROR(MAX(0,CE265-CQ783),0),0)</f>
        <v>0</v>
      </c>
      <c r="CU783">
        <f>IF(ISNUMBER(CQ783),IFERROR(MAX(0,CQ783-CE265),0),0)</f>
        <v>0</v>
      </c>
    </row>
    <row r="784" spans="87:99" x14ac:dyDescent="0.3">
      <c r="CI784" t="e">
        <f>AL266</f>
        <v>#N/A</v>
      </c>
      <c r="CJ784" t="e">
        <f>AM266</f>
        <v>#N/A</v>
      </c>
      <c r="CK784">
        <f>IF(ISNUMBER(CI784),IFERROR(MAX(0,AN266-CI784),0),0)</f>
        <v>0</v>
      </c>
      <c r="CL784">
        <f>IF(ISNUMBER(CI784),IFERROR(MAX(0,CI784-AN266),0),0)</f>
        <v>0</v>
      </c>
      <c r="CM784">
        <f>IF(ISNUMBER(CJ784),IFERROR(MAX(0,AO266-CJ784),0),0)</f>
        <v>0</v>
      </c>
      <c r="CN784">
        <f>IF(ISNUMBER(CJ784),IFERROR(MAX(0,CJ784-AO266),0),0)</f>
        <v>0</v>
      </c>
      <c r="CP784" t="e">
        <f>BT266</f>
        <v>#N/A</v>
      </c>
      <c r="CQ784" t="e">
        <f>BU266</f>
        <v>#N/A</v>
      </c>
      <c r="CR784">
        <f>IF(ISNUMBER(CP784),IFERROR(MAX(0,BV266-CP784),0),0)</f>
        <v>0</v>
      </c>
      <c r="CS784">
        <f>IF(ISNUMBER(CP784),IFERROR(MAX(0,CP784-BV266),0),0)</f>
        <v>0</v>
      </c>
      <c r="CT784">
        <f>IF(ISNUMBER(CQ784),IFERROR(MAX(0,BW266-CQ784),0),0)</f>
        <v>0</v>
      </c>
      <c r="CU784">
        <f>IF(ISNUMBER(CQ784),IFERROR(MAX(0,CQ784-BW266),0),0)</f>
        <v>0</v>
      </c>
    </row>
    <row r="785" spans="87:99" x14ac:dyDescent="0.3">
      <c r="CI785" t="e">
        <f>AP266</f>
        <v>#N/A</v>
      </c>
      <c r="CJ785" t="e">
        <f>AQ266</f>
        <v>#N/A</v>
      </c>
      <c r="CK785">
        <f>IF(ISNUMBER(CI785),IFERROR(MAX(0,AR266-CI785),0),0)</f>
        <v>0</v>
      </c>
      <c r="CL785">
        <f>IF(ISNUMBER(CI785),IFERROR(MAX(0,CI785-AR266),0),0)</f>
        <v>0</v>
      </c>
      <c r="CM785">
        <f>IF(ISNUMBER(CJ785),IFERROR(MAX(0,AS266-CJ785),0),0)</f>
        <v>0</v>
      </c>
      <c r="CN785">
        <f>IF(ISNUMBER(CJ785),IFERROR(MAX(0,CJ785-AS266),0),0)</f>
        <v>0</v>
      </c>
      <c r="CP785" t="e">
        <f>BX266</f>
        <v>#N/A</v>
      </c>
      <c r="CQ785" t="e">
        <f>BY266</f>
        <v>#N/A</v>
      </c>
      <c r="CR785">
        <f>IF(ISNUMBER(CP785),IFERROR(MAX(0,BZ266-CP785),0),0)</f>
        <v>0</v>
      </c>
      <c r="CS785">
        <f>IF(ISNUMBER(CP785),IFERROR(MAX(0,CP785-BZ266),0),0)</f>
        <v>0</v>
      </c>
      <c r="CT785">
        <f>IF(ISNUMBER(CQ785),IFERROR(MAX(0,CA266-CQ785),0),0)</f>
        <v>0</v>
      </c>
      <c r="CU785">
        <f>IF(ISNUMBER(CQ785),IFERROR(MAX(0,CQ785-CA266),0),0)</f>
        <v>0</v>
      </c>
    </row>
    <row r="786" spans="87:99" x14ac:dyDescent="0.3">
      <c r="CI786" t="e">
        <f>AT266</f>
        <v>#N/A</v>
      </c>
      <c r="CJ786" t="e">
        <f>AU266</f>
        <v>#N/A</v>
      </c>
      <c r="CK786">
        <f>IF(ISNUMBER(CI786),IFERROR(MAX(0,AV266-CI786),0),0)</f>
        <v>0</v>
      </c>
      <c r="CL786">
        <f>IF(ISNUMBER(CI786),IFERROR(MAX(0,CI786-AV266),0),0)</f>
        <v>0</v>
      </c>
      <c r="CM786">
        <f>IF(ISNUMBER(CJ786),IFERROR(MAX(0,AW266-CJ786),0),0)</f>
        <v>0</v>
      </c>
      <c r="CN786">
        <f>IF(ISNUMBER(CJ786),IFERROR(MAX(0,CJ786-AW266),0),0)</f>
        <v>0</v>
      </c>
      <c r="CP786" t="e">
        <f>CB266</f>
        <v>#N/A</v>
      </c>
      <c r="CQ786" t="e">
        <f>CC266</f>
        <v>#N/A</v>
      </c>
      <c r="CR786">
        <f>IF(ISNUMBER(CP786),IFERROR(MAX(0,CD266-CP786),0),0)</f>
        <v>0</v>
      </c>
      <c r="CS786">
        <f>IF(ISNUMBER(CP786),IFERROR(MAX(0,CP786-CD266),0),0)</f>
        <v>0</v>
      </c>
      <c r="CT786">
        <f>IF(ISNUMBER(CQ786),IFERROR(MAX(0,CE266-CQ786),0),0)</f>
        <v>0</v>
      </c>
      <c r="CU786">
        <f>IF(ISNUMBER(CQ786),IFERROR(MAX(0,CQ786-CE266),0),0)</f>
        <v>0</v>
      </c>
    </row>
    <row r="787" spans="87:99" x14ac:dyDescent="0.3">
      <c r="CI787" t="e">
        <f>AL267</f>
        <v>#N/A</v>
      </c>
      <c r="CJ787" t="e">
        <f>AM267</f>
        <v>#N/A</v>
      </c>
      <c r="CK787">
        <f>IF(ISNUMBER(CI787),IFERROR(MAX(0,AN267-CI787),0),0)</f>
        <v>0</v>
      </c>
      <c r="CL787">
        <f>IF(ISNUMBER(CI787),IFERROR(MAX(0,CI787-AN267),0),0)</f>
        <v>0</v>
      </c>
      <c r="CM787">
        <f>IF(ISNUMBER(CJ787),IFERROR(MAX(0,AO267-CJ787),0),0)</f>
        <v>0</v>
      </c>
      <c r="CN787">
        <f>IF(ISNUMBER(CJ787),IFERROR(MAX(0,CJ787-AO267),0),0)</f>
        <v>0</v>
      </c>
      <c r="CP787" t="e">
        <f>BT267</f>
        <v>#N/A</v>
      </c>
      <c r="CQ787" t="e">
        <f>BU267</f>
        <v>#N/A</v>
      </c>
      <c r="CR787">
        <f>IF(ISNUMBER(CP787),IFERROR(MAX(0,BV267-CP787),0),0)</f>
        <v>0</v>
      </c>
      <c r="CS787">
        <f>IF(ISNUMBER(CP787),IFERROR(MAX(0,CP787-BV267),0),0)</f>
        <v>0</v>
      </c>
      <c r="CT787">
        <f>IF(ISNUMBER(CQ787),IFERROR(MAX(0,BW267-CQ787),0),0)</f>
        <v>0</v>
      </c>
      <c r="CU787">
        <f>IF(ISNUMBER(CQ787),IFERROR(MAX(0,CQ787-BW267),0),0)</f>
        <v>0</v>
      </c>
    </row>
    <row r="788" spans="87:99" x14ac:dyDescent="0.3">
      <c r="CI788" t="e">
        <f>AP267</f>
        <v>#N/A</v>
      </c>
      <c r="CJ788" t="e">
        <f>AQ267</f>
        <v>#N/A</v>
      </c>
      <c r="CK788">
        <f>IF(ISNUMBER(CI788),IFERROR(MAX(0,AR267-CI788),0),0)</f>
        <v>0</v>
      </c>
      <c r="CL788">
        <f>IF(ISNUMBER(CI788),IFERROR(MAX(0,CI788-AR267),0),0)</f>
        <v>0</v>
      </c>
      <c r="CM788">
        <f>IF(ISNUMBER(CJ788),IFERROR(MAX(0,AS267-CJ788),0),0)</f>
        <v>0</v>
      </c>
      <c r="CN788">
        <f>IF(ISNUMBER(CJ788),IFERROR(MAX(0,CJ788-AS267),0),0)</f>
        <v>0</v>
      </c>
      <c r="CP788" t="e">
        <f>BX267</f>
        <v>#N/A</v>
      </c>
      <c r="CQ788" t="e">
        <f>BY267</f>
        <v>#N/A</v>
      </c>
      <c r="CR788">
        <f>IF(ISNUMBER(CP788),IFERROR(MAX(0,BZ267-CP788),0),0)</f>
        <v>0</v>
      </c>
      <c r="CS788">
        <f>IF(ISNUMBER(CP788),IFERROR(MAX(0,CP788-BZ267),0),0)</f>
        <v>0</v>
      </c>
      <c r="CT788">
        <f>IF(ISNUMBER(CQ788),IFERROR(MAX(0,CA267-CQ788),0),0)</f>
        <v>0</v>
      </c>
      <c r="CU788">
        <f>IF(ISNUMBER(CQ788),IFERROR(MAX(0,CQ788-CA267),0),0)</f>
        <v>0</v>
      </c>
    </row>
    <row r="789" spans="87:99" x14ac:dyDescent="0.3">
      <c r="CI789" t="e">
        <f>AT267</f>
        <v>#N/A</v>
      </c>
      <c r="CJ789" t="e">
        <f>AU267</f>
        <v>#N/A</v>
      </c>
      <c r="CK789">
        <f>IF(ISNUMBER(CI789),IFERROR(MAX(0,AV267-CI789),0),0)</f>
        <v>0</v>
      </c>
      <c r="CL789">
        <f>IF(ISNUMBER(CI789),IFERROR(MAX(0,CI789-AV267),0),0)</f>
        <v>0</v>
      </c>
      <c r="CM789">
        <f>IF(ISNUMBER(CJ789),IFERROR(MAX(0,AW267-CJ789),0),0)</f>
        <v>0</v>
      </c>
      <c r="CN789">
        <f>IF(ISNUMBER(CJ789),IFERROR(MAX(0,CJ789-AW267),0),0)</f>
        <v>0</v>
      </c>
      <c r="CP789" t="e">
        <f>CB267</f>
        <v>#N/A</v>
      </c>
      <c r="CQ789" t="e">
        <f>CC267</f>
        <v>#N/A</v>
      </c>
      <c r="CR789">
        <f>IF(ISNUMBER(CP789),IFERROR(MAX(0,CD267-CP789),0),0)</f>
        <v>0</v>
      </c>
      <c r="CS789">
        <f>IF(ISNUMBER(CP789),IFERROR(MAX(0,CP789-CD267),0),0)</f>
        <v>0</v>
      </c>
      <c r="CT789">
        <f>IF(ISNUMBER(CQ789),IFERROR(MAX(0,CE267-CQ789),0),0)</f>
        <v>0</v>
      </c>
      <c r="CU789">
        <f>IF(ISNUMBER(CQ789),IFERROR(MAX(0,CQ789-CE267),0),0)</f>
        <v>0</v>
      </c>
    </row>
    <row r="790" spans="87:99" x14ac:dyDescent="0.3">
      <c r="CI790" t="e">
        <f>AL268</f>
        <v>#N/A</v>
      </c>
      <c r="CJ790" t="e">
        <f>AM268</f>
        <v>#N/A</v>
      </c>
      <c r="CK790">
        <f>IF(ISNUMBER(CI790),IFERROR(MAX(0,AN268-CI790),0),0)</f>
        <v>0</v>
      </c>
      <c r="CL790">
        <f>IF(ISNUMBER(CI790),IFERROR(MAX(0,CI790-AN268),0),0)</f>
        <v>0</v>
      </c>
      <c r="CM790">
        <f>IF(ISNUMBER(CJ790),IFERROR(MAX(0,AO268-CJ790),0),0)</f>
        <v>0</v>
      </c>
      <c r="CN790">
        <f>IF(ISNUMBER(CJ790),IFERROR(MAX(0,CJ790-AO268),0),0)</f>
        <v>0</v>
      </c>
      <c r="CP790" t="e">
        <f>BT268</f>
        <v>#N/A</v>
      </c>
      <c r="CQ790" t="e">
        <f>BU268</f>
        <v>#N/A</v>
      </c>
      <c r="CR790">
        <f>IF(ISNUMBER(CP790),IFERROR(MAX(0,BV268-CP790),0),0)</f>
        <v>0</v>
      </c>
      <c r="CS790">
        <f>IF(ISNUMBER(CP790),IFERROR(MAX(0,CP790-BV268),0),0)</f>
        <v>0</v>
      </c>
      <c r="CT790">
        <f>IF(ISNUMBER(CQ790),IFERROR(MAX(0,BW268-CQ790),0),0)</f>
        <v>0</v>
      </c>
      <c r="CU790">
        <f>IF(ISNUMBER(CQ790),IFERROR(MAX(0,CQ790-BW268),0),0)</f>
        <v>0</v>
      </c>
    </row>
    <row r="791" spans="87:99" x14ac:dyDescent="0.3">
      <c r="CI791" t="e">
        <f>AP268</f>
        <v>#N/A</v>
      </c>
      <c r="CJ791" t="e">
        <f>AQ268</f>
        <v>#N/A</v>
      </c>
      <c r="CK791">
        <f>IF(ISNUMBER(CI791),IFERROR(MAX(0,AR268-CI791),0),0)</f>
        <v>0</v>
      </c>
      <c r="CL791">
        <f>IF(ISNUMBER(CI791),IFERROR(MAX(0,CI791-AR268),0),0)</f>
        <v>0</v>
      </c>
      <c r="CM791">
        <f>IF(ISNUMBER(CJ791),IFERROR(MAX(0,AS268-CJ791),0),0)</f>
        <v>0</v>
      </c>
      <c r="CN791">
        <f>IF(ISNUMBER(CJ791),IFERROR(MAX(0,CJ791-AS268),0),0)</f>
        <v>0</v>
      </c>
      <c r="CP791" t="e">
        <f>BX268</f>
        <v>#N/A</v>
      </c>
      <c r="CQ791" t="e">
        <f>BY268</f>
        <v>#N/A</v>
      </c>
      <c r="CR791">
        <f>IF(ISNUMBER(CP791),IFERROR(MAX(0,BZ268-CP791),0),0)</f>
        <v>0</v>
      </c>
      <c r="CS791">
        <f>IF(ISNUMBER(CP791),IFERROR(MAX(0,CP791-BZ268),0),0)</f>
        <v>0</v>
      </c>
      <c r="CT791">
        <f>IF(ISNUMBER(CQ791),IFERROR(MAX(0,CA268-CQ791),0),0)</f>
        <v>0</v>
      </c>
      <c r="CU791">
        <f>IF(ISNUMBER(CQ791),IFERROR(MAX(0,CQ791-CA268),0),0)</f>
        <v>0</v>
      </c>
    </row>
    <row r="792" spans="87:99" x14ac:dyDescent="0.3">
      <c r="CI792" t="e">
        <f>AT268</f>
        <v>#N/A</v>
      </c>
      <c r="CJ792" t="e">
        <f>AU268</f>
        <v>#N/A</v>
      </c>
      <c r="CK792">
        <f>IF(ISNUMBER(CI792),IFERROR(MAX(0,AV268-CI792),0),0)</f>
        <v>0</v>
      </c>
      <c r="CL792">
        <f>IF(ISNUMBER(CI792),IFERROR(MAX(0,CI792-AV268),0),0)</f>
        <v>0</v>
      </c>
      <c r="CM792">
        <f>IF(ISNUMBER(CJ792),IFERROR(MAX(0,AW268-CJ792),0),0)</f>
        <v>0</v>
      </c>
      <c r="CN792">
        <f>IF(ISNUMBER(CJ792),IFERROR(MAX(0,CJ792-AW268),0),0)</f>
        <v>0</v>
      </c>
      <c r="CP792" t="e">
        <f>CB268</f>
        <v>#N/A</v>
      </c>
      <c r="CQ792" t="e">
        <f>CC268</f>
        <v>#N/A</v>
      </c>
      <c r="CR792">
        <f>IF(ISNUMBER(CP792),IFERROR(MAX(0,CD268-CP792),0),0)</f>
        <v>0</v>
      </c>
      <c r="CS792">
        <f>IF(ISNUMBER(CP792),IFERROR(MAX(0,CP792-CD268),0),0)</f>
        <v>0</v>
      </c>
      <c r="CT792">
        <f>IF(ISNUMBER(CQ792),IFERROR(MAX(0,CE268-CQ792),0),0)</f>
        <v>0</v>
      </c>
      <c r="CU792">
        <f>IF(ISNUMBER(CQ792),IFERROR(MAX(0,CQ792-CE268),0),0)</f>
        <v>0</v>
      </c>
    </row>
    <row r="793" spans="87:99" x14ac:dyDescent="0.3">
      <c r="CI793" t="e">
        <f>AL269</f>
        <v>#N/A</v>
      </c>
      <c r="CJ793" t="e">
        <f>AM269</f>
        <v>#N/A</v>
      </c>
      <c r="CK793">
        <f>IF(ISNUMBER(CI793),IFERROR(MAX(0,AN269-CI793),0),0)</f>
        <v>0</v>
      </c>
      <c r="CL793">
        <f>IF(ISNUMBER(CI793),IFERROR(MAX(0,CI793-AN269),0),0)</f>
        <v>0</v>
      </c>
      <c r="CM793">
        <f>IF(ISNUMBER(CJ793),IFERROR(MAX(0,AO269-CJ793),0),0)</f>
        <v>0</v>
      </c>
      <c r="CN793">
        <f>IF(ISNUMBER(CJ793),IFERROR(MAX(0,CJ793-AO269),0),0)</f>
        <v>0</v>
      </c>
      <c r="CP793" t="e">
        <f>BT269</f>
        <v>#N/A</v>
      </c>
      <c r="CQ793" t="e">
        <f>BU269</f>
        <v>#N/A</v>
      </c>
      <c r="CR793">
        <f>IF(ISNUMBER(CP793),IFERROR(MAX(0,BV269-CP793),0),0)</f>
        <v>0</v>
      </c>
      <c r="CS793">
        <f>IF(ISNUMBER(CP793),IFERROR(MAX(0,CP793-BV269),0),0)</f>
        <v>0</v>
      </c>
      <c r="CT793">
        <f>IF(ISNUMBER(CQ793),IFERROR(MAX(0,BW269-CQ793),0),0)</f>
        <v>0</v>
      </c>
      <c r="CU793">
        <f>IF(ISNUMBER(CQ793),IFERROR(MAX(0,CQ793-BW269),0),0)</f>
        <v>0</v>
      </c>
    </row>
    <row r="794" spans="87:99" x14ac:dyDescent="0.3">
      <c r="CI794" t="e">
        <f>AP269</f>
        <v>#N/A</v>
      </c>
      <c r="CJ794" t="e">
        <f>AQ269</f>
        <v>#N/A</v>
      </c>
      <c r="CK794">
        <f>IF(ISNUMBER(CI794),IFERROR(MAX(0,AR269-CI794),0),0)</f>
        <v>0</v>
      </c>
      <c r="CL794">
        <f>IF(ISNUMBER(CI794),IFERROR(MAX(0,CI794-AR269),0),0)</f>
        <v>0</v>
      </c>
      <c r="CM794">
        <f>IF(ISNUMBER(CJ794),IFERROR(MAX(0,AS269-CJ794),0),0)</f>
        <v>0</v>
      </c>
      <c r="CN794">
        <f>IF(ISNUMBER(CJ794),IFERROR(MAX(0,CJ794-AS269),0),0)</f>
        <v>0</v>
      </c>
      <c r="CP794" t="e">
        <f>BX269</f>
        <v>#N/A</v>
      </c>
      <c r="CQ794" t="e">
        <f>BY269</f>
        <v>#N/A</v>
      </c>
      <c r="CR794">
        <f>IF(ISNUMBER(CP794),IFERROR(MAX(0,BZ269-CP794),0),0)</f>
        <v>0</v>
      </c>
      <c r="CS794">
        <f>IF(ISNUMBER(CP794),IFERROR(MAX(0,CP794-BZ269),0),0)</f>
        <v>0</v>
      </c>
      <c r="CT794">
        <f>IF(ISNUMBER(CQ794),IFERROR(MAX(0,CA269-CQ794),0),0)</f>
        <v>0</v>
      </c>
      <c r="CU794">
        <f>IF(ISNUMBER(CQ794),IFERROR(MAX(0,CQ794-CA269),0),0)</f>
        <v>0</v>
      </c>
    </row>
    <row r="795" spans="87:99" x14ac:dyDescent="0.3">
      <c r="CI795" t="e">
        <f>AT269</f>
        <v>#N/A</v>
      </c>
      <c r="CJ795" t="e">
        <f>AU269</f>
        <v>#N/A</v>
      </c>
      <c r="CK795">
        <f>IF(ISNUMBER(CI795),IFERROR(MAX(0,AV269-CI795),0),0)</f>
        <v>0</v>
      </c>
      <c r="CL795">
        <f>IF(ISNUMBER(CI795),IFERROR(MAX(0,CI795-AV269),0),0)</f>
        <v>0</v>
      </c>
      <c r="CM795">
        <f>IF(ISNUMBER(CJ795),IFERROR(MAX(0,AW269-CJ795),0),0)</f>
        <v>0</v>
      </c>
      <c r="CN795">
        <f>IF(ISNUMBER(CJ795),IFERROR(MAX(0,CJ795-AW269),0),0)</f>
        <v>0</v>
      </c>
      <c r="CP795" t="e">
        <f>CB269</f>
        <v>#N/A</v>
      </c>
      <c r="CQ795" t="e">
        <f>CC269</f>
        <v>#N/A</v>
      </c>
      <c r="CR795">
        <f>IF(ISNUMBER(CP795),IFERROR(MAX(0,CD269-CP795),0),0)</f>
        <v>0</v>
      </c>
      <c r="CS795">
        <f>IF(ISNUMBER(CP795),IFERROR(MAX(0,CP795-CD269),0),0)</f>
        <v>0</v>
      </c>
      <c r="CT795">
        <f>IF(ISNUMBER(CQ795),IFERROR(MAX(0,CE269-CQ795),0),0)</f>
        <v>0</v>
      </c>
      <c r="CU795">
        <f>IF(ISNUMBER(CQ795),IFERROR(MAX(0,CQ795-CE269),0),0)</f>
        <v>0</v>
      </c>
    </row>
    <row r="796" spans="87:99" x14ac:dyDescent="0.3">
      <c r="CI796" t="e">
        <f>AL270</f>
        <v>#N/A</v>
      </c>
      <c r="CJ796" t="e">
        <f>AM270</f>
        <v>#N/A</v>
      </c>
      <c r="CK796">
        <f>IF(ISNUMBER(CI796),IFERROR(MAX(0,AN270-CI796),0),0)</f>
        <v>0</v>
      </c>
      <c r="CL796">
        <f>IF(ISNUMBER(CI796),IFERROR(MAX(0,CI796-AN270),0),0)</f>
        <v>0</v>
      </c>
      <c r="CM796">
        <f>IF(ISNUMBER(CJ796),IFERROR(MAX(0,AO270-CJ796),0),0)</f>
        <v>0</v>
      </c>
      <c r="CN796">
        <f>IF(ISNUMBER(CJ796),IFERROR(MAX(0,CJ796-AO270),0),0)</f>
        <v>0</v>
      </c>
      <c r="CP796" t="e">
        <f>BT270</f>
        <v>#N/A</v>
      </c>
      <c r="CQ796" t="e">
        <f>BU270</f>
        <v>#N/A</v>
      </c>
      <c r="CR796">
        <f>IF(ISNUMBER(CP796),IFERROR(MAX(0,BV270-CP796),0),0)</f>
        <v>0</v>
      </c>
      <c r="CS796">
        <f>IF(ISNUMBER(CP796),IFERROR(MAX(0,CP796-BV270),0),0)</f>
        <v>0</v>
      </c>
      <c r="CT796">
        <f>IF(ISNUMBER(CQ796),IFERROR(MAX(0,BW270-CQ796),0),0)</f>
        <v>0</v>
      </c>
      <c r="CU796">
        <f>IF(ISNUMBER(CQ796),IFERROR(MAX(0,CQ796-BW270),0),0)</f>
        <v>0</v>
      </c>
    </row>
    <row r="797" spans="87:99" x14ac:dyDescent="0.3">
      <c r="CI797" t="e">
        <f>AP270</f>
        <v>#N/A</v>
      </c>
      <c r="CJ797" t="e">
        <f>AQ270</f>
        <v>#N/A</v>
      </c>
      <c r="CK797">
        <f>IF(ISNUMBER(CI797),IFERROR(MAX(0,AR270-CI797),0),0)</f>
        <v>0</v>
      </c>
      <c r="CL797">
        <f>IF(ISNUMBER(CI797),IFERROR(MAX(0,CI797-AR270),0),0)</f>
        <v>0</v>
      </c>
      <c r="CM797">
        <f>IF(ISNUMBER(CJ797),IFERROR(MAX(0,AS270-CJ797),0),0)</f>
        <v>0</v>
      </c>
      <c r="CN797">
        <f>IF(ISNUMBER(CJ797),IFERROR(MAX(0,CJ797-AS270),0),0)</f>
        <v>0</v>
      </c>
      <c r="CP797" t="e">
        <f>BX270</f>
        <v>#N/A</v>
      </c>
      <c r="CQ797" t="e">
        <f>BY270</f>
        <v>#N/A</v>
      </c>
      <c r="CR797">
        <f>IF(ISNUMBER(CP797),IFERROR(MAX(0,BZ270-CP797),0),0)</f>
        <v>0</v>
      </c>
      <c r="CS797">
        <f>IF(ISNUMBER(CP797),IFERROR(MAX(0,CP797-BZ270),0),0)</f>
        <v>0</v>
      </c>
      <c r="CT797">
        <f>IF(ISNUMBER(CQ797),IFERROR(MAX(0,CA270-CQ797),0),0)</f>
        <v>0</v>
      </c>
      <c r="CU797">
        <f>IF(ISNUMBER(CQ797),IFERROR(MAX(0,CQ797-CA270),0),0)</f>
        <v>0</v>
      </c>
    </row>
    <row r="798" spans="87:99" x14ac:dyDescent="0.3">
      <c r="CI798" t="e">
        <f>AT270</f>
        <v>#N/A</v>
      </c>
      <c r="CJ798" t="e">
        <f>AU270</f>
        <v>#N/A</v>
      </c>
      <c r="CK798">
        <f>IF(ISNUMBER(CI798),IFERROR(MAX(0,AV270-CI798),0),0)</f>
        <v>0</v>
      </c>
      <c r="CL798">
        <f>IF(ISNUMBER(CI798),IFERROR(MAX(0,CI798-AV270),0),0)</f>
        <v>0</v>
      </c>
      <c r="CM798">
        <f>IF(ISNUMBER(CJ798),IFERROR(MAX(0,AW270-CJ798),0),0)</f>
        <v>0</v>
      </c>
      <c r="CN798">
        <f>IF(ISNUMBER(CJ798),IFERROR(MAX(0,CJ798-AW270),0),0)</f>
        <v>0</v>
      </c>
      <c r="CP798" t="e">
        <f>CB270</f>
        <v>#N/A</v>
      </c>
      <c r="CQ798" t="e">
        <f>CC270</f>
        <v>#N/A</v>
      </c>
      <c r="CR798">
        <f>IF(ISNUMBER(CP798),IFERROR(MAX(0,CD270-CP798),0),0)</f>
        <v>0</v>
      </c>
      <c r="CS798">
        <f>IF(ISNUMBER(CP798),IFERROR(MAX(0,CP798-CD270),0),0)</f>
        <v>0</v>
      </c>
      <c r="CT798">
        <f>IF(ISNUMBER(CQ798),IFERROR(MAX(0,CE270-CQ798),0),0)</f>
        <v>0</v>
      </c>
      <c r="CU798">
        <f>IF(ISNUMBER(CQ798),IFERROR(MAX(0,CQ798-CE270),0),0)</f>
        <v>0</v>
      </c>
    </row>
    <row r="799" spans="87:99" x14ac:dyDescent="0.3">
      <c r="CI799" t="e">
        <f>AL271</f>
        <v>#N/A</v>
      </c>
      <c r="CJ799" t="e">
        <f>AM271</f>
        <v>#N/A</v>
      </c>
      <c r="CK799">
        <f>IF(ISNUMBER(CI799),IFERROR(MAX(0,AN271-CI799),0),0)</f>
        <v>0</v>
      </c>
      <c r="CL799">
        <f>IF(ISNUMBER(CI799),IFERROR(MAX(0,CI799-AN271),0),0)</f>
        <v>0</v>
      </c>
      <c r="CM799">
        <f>IF(ISNUMBER(CJ799),IFERROR(MAX(0,AO271-CJ799),0),0)</f>
        <v>0</v>
      </c>
      <c r="CN799">
        <f>IF(ISNUMBER(CJ799),IFERROR(MAX(0,CJ799-AO271),0),0)</f>
        <v>0</v>
      </c>
      <c r="CP799" t="e">
        <f>BT271</f>
        <v>#N/A</v>
      </c>
      <c r="CQ799" t="e">
        <f>BU271</f>
        <v>#N/A</v>
      </c>
      <c r="CR799">
        <f>IF(ISNUMBER(CP799),IFERROR(MAX(0,BV271-CP799),0),0)</f>
        <v>0</v>
      </c>
      <c r="CS799">
        <f>IF(ISNUMBER(CP799),IFERROR(MAX(0,CP799-BV271),0),0)</f>
        <v>0</v>
      </c>
      <c r="CT799">
        <f>IF(ISNUMBER(CQ799),IFERROR(MAX(0,BW271-CQ799),0),0)</f>
        <v>0</v>
      </c>
      <c r="CU799">
        <f>IF(ISNUMBER(CQ799),IFERROR(MAX(0,CQ799-BW271),0),0)</f>
        <v>0</v>
      </c>
    </row>
    <row r="800" spans="87:99" x14ac:dyDescent="0.3">
      <c r="CI800" t="e">
        <f>AP271</f>
        <v>#N/A</v>
      </c>
      <c r="CJ800" t="e">
        <f>AQ271</f>
        <v>#N/A</v>
      </c>
      <c r="CK800">
        <f>IF(ISNUMBER(CI800),IFERROR(MAX(0,AR271-CI800),0),0)</f>
        <v>0</v>
      </c>
      <c r="CL800">
        <f>IF(ISNUMBER(CI800),IFERROR(MAX(0,CI800-AR271),0),0)</f>
        <v>0</v>
      </c>
      <c r="CM800">
        <f>IF(ISNUMBER(CJ800),IFERROR(MAX(0,AS271-CJ800),0),0)</f>
        <v>0</v>
      </c>
      <c r="CN800">
        <f>IF(ISNUMBER(CJ800),IFERROR(MAX(0,CJ800-AS271),0),0)</f>
        <v>0</v>
      </c>
      <c r="CP800" t="e">
        <f>BX271</f>
        <v>#N/A</v>
      </c>
      <c r="CQ800" t="e">
        <f>BY271</f>
        <v>#N/A</v>
      </c>
      <c r="CR800">
        <f>IF(ISNUMBER(CP800),IFERROR(MAX(0,BZ271-CP800),0),0)</f>
        <v>0</v>
      </c>
      <c r="CS800">
        <f>IF(ISNUMBER(CP800),IFERROR(MAX(0,CP800-BZ271),0),0)</f>
        <v>0</v>
      </c>
      <c r="CT800">
        <f>IF(ISNUMBER(CQ800),IFERROR(MAX(0,CA271-CQ800),0),0)</f>
        <v>0</v>
      </c>
      <c r="CU800">
        <f>IF(ISNUMBER(CQ800),IFERROR(MAX(0,CQ800-CA271),0),0)</f>
        <v>0</v>
      </c>
    </row>
    <row r="801" spans="87:99" x14ac:dyDescent="0.3">
      <c r="CI801" t="e">
        <f>AT271</f>
        <v>#N/A</v>
      </c>
      <c r="CJ801" t="e">
        <f>AU271</f>
        <v>#N/A</v>
      </c>
      <c r="CK801">
        <f>IF(ISNUMBER(CI801),IFERROR(MAX(0,AV271-CI801),0),0)</f>
        <v>0</v>
      </c>
      <c r="CL801">
        <f>IF(ISNUMBER(CI801),IFERROR(MAX(0,CI801-AV271),0),0)</f>
        <v>0</v>
      </c>
      <c r="CM801">
        <f>IF(ISNUMBER(CJ801),IFERROR(MAX(0,AW271-CJ801),0),0)</f>
        <v>0</v>
      </c>
      <c r="CN801">
        <f>IF(ISNUMBER(CJ801),IFERROR(MAX(0,CJ801-AW271),0),0)</f>
        <v>0</v>
      </c>
      <c r="CP801" t="e">
        <f>CB271</f>
        <v>#N/A</v>
      </c>
      <c r="CQ801" t="e">
        <f>CC271</f>
        <v>#N/A</v>
      </c>
      <c r="CR801">
        <f>IF(ISNUMBER(CP801),IFERROR(MAX(0,CD271-CP801),0),0)</f>
        <v>0</v>
      </c>
      <c r="CS801">
        <f>IF(ISNUMBER(CP801),IFERROR(MAX(0,CP801-CD271),0),0)</f>
        <v>0</v>
      </c>
      <c r="CT801">
        <f>IF(ISNUMBER(CQ801),IFERROR(MAX(0,CE271-CQ801),0),0)</f>
        <v>0</v>
      </c>
      <c r="CU801">
        <f>IF(ISNUMBER(CQ801),IFERROR(MAX(0,CQ801-CE271),0),0)</f>
        <v>0</v>
      </c>
    </row>
    <row r="802" spans="87:99" x14ac:dyDescent="0.3">
      <c r="CI802" t="e">
        <f>AL272</f>
        <v>#N/A</v>
      </c>
      <c r="CJ802" t="e">
        <f>AM272</f>
        <v>#N/A</v>
      </c>
      <c r="CK802">
        <f>IF(ISNUMBER(CI802),IFERROR(MAX(0,AN272-CI802),0),0)</f>
        <v>0</v>
      </c>
      <c r="CL802">
        <f>IF(ISNUMBER(CI802),IFERROR(MAX(0,CI802-AN272),0),0)</f>
        <v>0</v>
      </c>
      <c r="CM802">
        <f>IF(ISNUMBER(CJ802),IFERROR(MAX(0,AO272-CJ802),0),0)</f>
        <v>0</v>
      </c>
      <c r="CN802">
        <f>IF(ISNUMBER(CJ802),IFERROR(MAX(0,CJ802-AO272),0),0)</f>
        <v>0</v>
      </c>
      <c r="CP802" t="e">
        <f>BT272</f>
        <v>#N/A</v>
      </c>
      <c r="CQ802" t="e">
        <f>BU272</f>
        <v>#N/A</v>
      </c>
      <c r="CR802">
        <f>IF(ISNUMBER(CP802),IFERROR(MAX(0,BV272-CP802),0),0)</f>
        <v>0</v>
      </c>
      <c r="CS802">
        <f>IF(ISNUMBER(CP802),IFERROR(MAX(0,CP802-BV272),0),0)</f>
        <v>0</v>
      </c>
      <c r="CT802">
        <f>IF(ISNUMBER(CQ802),IFERROR(MAX(0,BW272-CQ802),0),0)</f>
        <v>0</v>
      </c>
      <c r="CU802">
        <f>IF(ISNUMBER(CQ802),IFERROR(MAX(0,CQ802-BW272),0),0)</f>
        <v>0</v>
      </c>
    </row>
    <row r="803" spans="87:99" x14ac:dyDescent="0.3">
      <c r="CI803" t="e">
        <f>AP272</f>
        <v>#N/A</v>
      </c>
      <c r="CJ803" t="e">
        <f>AQ272</f>
        <v>#N/A</v>
      </c>
      <c r="CK803">
        <f>IF(ISNUMBER(CI803),IFERROR(MAX(0,AR272-CI803),0),0)</f>
        <v>0</v>
      </c>
      <c r="CL803">
        <f>IF(ISNUMBER(CI803),IFERROR(MAX(0,CI803-AR272),0),0)</f>
        <v>0</v>
      </c>
      <c r="CM803">
        <f>IF(ISNUMBER(CJ803),IFERROR(MAX(0,AS272-CJ803),0),0)</f>
        <v>0</v>
      </c>
      <c r="CN803">
        <f>IF(ISNUMBER(CJ803),IFERROR(MAX(0,CJ803-AS272),0),0)</f>
        <v>0</v>
      </c>
      <c r="CP803" t="e">
        <f>BX272</f>
        <v>#N/A</v>
      </c>
      <c r="CQ803" t="e">
        <f>BY272</f>
        <v>#N/A</v>
      </c>
      <c r="CR803">
        <f>IF(ISNUMBER(CP803),IFERROR(MAX(0,BZ272-CP803),0),0)</f>
        <v>0</v>
      </c>
      <c r="CS803">
        <f>IF(ISNUMBER(CP803),IFERROR(MAX(0,CP803-BZ272),0),0)</f>
        <v>0</v>
      </c>
      <c r="CT803">
        <f>IF(ISNUMBER(CQ803),IFERROR(MAX(0,CA272-CQ803),0),0)</f>
        <v>0</v>
      </c>
      <c r="CU803">
        <f>IF(ISNUMBER(CQ803),IFERROR(MAX(0,CQ803-CA272),0),0)</f>
        <v>0</v>
      </c>
    </row>
    <row r="804" spans="87:99" x14ac:dyDescent="0.3">
      <c r="CI804" t="e">
        <f>AT272</f>
        <v>#N/A</v>
      </c>
      <c r="CJ804" t="e">
        <f>AU272</f>
        <v>#N/A</v>
      </c>
      <c r="CK804">
        <f>IF(ISNUMBER(CI804),IFERROR(MAX(0,AV272-CI804),0),0)</f>
        <v>0</v>
      </c>
      <c r="CL804">
        <f>IF(ISNUMBER(CI804),IFERROR(MAX(0,CI804-AV272),0),0)</f>
        <v>0</v>
      </c>
      <c r="CM804">
        <f>IF(ISNUMBER(CJ804),IFERROR(MAX(0,AW272-CJ804),0),0)</f>
        <v>0</v>
      </c>
      <c r="CN804">
        <f>IF(ISNUMBER(CJ804),IFERROR(MAX(0,CJ804-AW272),0),0)</f>
        <v>0</v>
      </c>
      <c r="CP804" t="e">
        <f>CB272</f>
        <v>#N/A</v>
      </c>
      <c r="CQ804" t="e">
        <f>CC272</f>
        <v>#N/A</v>
      </c>
      <c r="CR804">
        <f>IF(ISNUMBER(CP804),IFERROR(MAX(0,CD272-CP804),0),0)</f>
        <v>0</v>
      </c>
      <c r="CS804">
        <f>IF(ISNUMBER(CP804),IFERROR(MAX(0,CP804-CD272),0),0)</f>
        <v>0</v>
      </c>
      <c r="CT804">
        <f>IF(ISNUMBER(CQ804),IFERROR(MAX(0,CE272-CQ804),0),0)</f>
        <v>0</v>
      </c>
      <c r="CU804">
        <f>IF(ISNUMBER(CQ804),IFERROR(MAX(0,CQ804-CE272),0),0)</f>
        <v>0</v>
      </c>
    </row>
    <row r="805" spans="87:99" x14ac:dyDescent="0.3">
      <c r="CI805" t="e">
        <f>AL273</f>
        <v>#N/A</v>
      </c>
      <c r="CJ805" t="e">
        <f>AM273</f>
        <v>#N/A</v>
      </c>
      <c r="CK805">
        <f>IF(ISNUMBER(CI805),IFERROR(MAX(0,AN273-CI805),0),0)</f>
        <v>0</v>
      </c>
      <c r="CL805">
        <f>IF(ISNUMBER(CI805),IFERROR(MAX(0,CI805-AN273),0),0)</f>
        <v>0</v>
      </c>
      <c r="CM805">
        <f>IF(ISNUMBER(CJ805),IFERROR(MAX(0,AO273-CJ805),0),0)</f>
        <v>0</v>
      </c>
      <c r="CN805">
        <f>IF(ISNUMBER(CJ805),IFERROR(MAX(0,CJ805-AO273),0),0)</f>
        <v>0</v>
      </c>
      <c r="CP805" t="e">
        <f>BT273</f>
        <v>#N/A</v>
      </c>
      <c r="CQ805" t="e">
        <f>BU273</f>
        <v>#N/A</v>
      </c>
      <c r="CR805">
        <f>IF(ISNUMBER(CP805),IFERROR(MAX(0,BV273-CP805),0),0)</f>
        <v>0</v>
      </c>
      <c r="CS805">
        <f>IF(ISNUMBER(CP805),IFERROR(MAX(0,CP805-BV273),0),0)</f>
        <v>0</v>
      </c>
      <c r="CT805">
        <f>IF(ISNUMBER(CQ805),IFERROR(MAX(0,BW273-CQ805),0),0)</f>
        <v>0</v>
      </c>
      <c r="CU805">
        <f>IF(ISNUMBER(CQ805),IFERROR(MAX(0,CQ805-BW273),0),0)</f>
        <v>0</v>
      </c>
    </row>
    <row r="806" spans="87:99" x14ac:dyDescent="0.3">
      <c r="CI806" t="e">
        <f>AP273</f>
        <v>#N/A</v>
      </c>
      <c r="CJ806" t="e">
        <f>AQ273</f>
        <v>#N/A</v>
      </c>
      <c r="CK806">
        <f>IF(ISNUMBER(CI806),IFERROR(MAX(0,AR273-CI806),0),0)</f>
        <v>0</v>
      </c>
      <c r="CL806">
        <f>IF(ISNUMBER(CI806),IFERROR(MAX(0,CI806-AR273),0),0)</f>
        <v>0</v>
      </c>
      <c r="CM806">
        <f>IF(ISNUMBER(CJ806),IFERROR(MAX(0,AS273-CJ806),0),0)</f>
        <v>0</v>
      </c>
      <c r="CN806">
        <f>IF(ISNUMBER(CJ806),IFERROR(MAX(0,CJ806-AS273),0),0)</f>
        <v>0</v>
      </c>
      <c r="CP806" t="e">
        <f>BX273</f>
        <v>#N/A</v>
      </c>
      <c r="CQ806" t="e">
        <f>BY273</f>
        <v>#N/A</v>
      </c>
      <c r="CR806">
        <f>IF(ISNUMBER(CP806),IFERROR(MAX(0,BZ273-CP806),0),0)</f>
        <v>0</v>
      </c>
      <c r="CS806">
        <f>IF(ISNUMBER(CP806),IFERROR(MAX(0,CP806-BZ273),0),0)</f>
        <v>0</v>
      </c>
      <c r="CT806">
        <f>IF(ISNUMBER(CQ806),IFERROR(MAX(0,CA273-CQ806),0),0)</f>
        <v>0</v>
      </c>
      <c r="CU806">
        <f>IF(ISNUMBER(CQ806),IFERROR(MAX(0,CQ806-CA273),0),0)</f>
        <v>0</v>
      </c>
    </row>
    <row r="807" spans="87:99" x14ac:dyDescent="0.3">
      <c r="CI807" t="e">
        <f>AT273</f>
        <v>#N/A</v>
      </c>
      <c r="CJ807" t="e">
        <f>AU273</f>
        <v>#N/A</v>
      </c>
      <c r="CK807">
        <f>IF(ISNUMBER(CI807),IFERROR(MAX(0,AV273-CI807),0),0)</f>
        <v>0</v>
      </c>
      <c r="CL807">
        <f>IF(ISNUMBER(CI807),IFERROR(MAX(0,CI807-AV273),0),0)</f>
        <v>0</v>
      </c>
      <c r="CM807">
        <f>IF(ISNUMBER(CJ807),IFERROR(MAX(0,AW273-CJ807),0),0)</f>
        <v>0</v>
      </c>
      <c r="CN807">
        <f>IF(ISNUMBER(CJ807),IFERROR(MAX(0,CJ807-AW273),0),0)</f>
        <v>0</v>
      </c>
      <c r="CP807" t="e">
        <f>CB273</f>
        <v>#N/A</v>
      </c>
      <c r="CQ807" t="e">
        <f>CC273</f>
        <v>#N/A</v>
      </c>
      <c r="CR807">
        <f>IF(ISNUMBER(CP807),IFERROR(MAX(0,CD273-CP807),0),0)</f>
        <v>0</v>
      </c>
      <c r="CS807">
        <f>IF(ISNUMBER(CP807),IFERROR(MAX(0,CP807-CD273),0),0)</f>
        <v>0</v>
      </c>
      <c r="CT807">
        <f>IF(ISNUMBER(CQ807),IFERROR(MAX(0,CE273-CQ807),0),0)</f>
        <v>0</v>
      </c>
      <c r="CU807">
        <f>IF(ISNUMBER(CQ807),IFERROR(MAX(0,CQ807-CE273),0),0)</f>
        <v>0</v>
      </c>
    </row>
    <row r="808" spans="87:99" x14ac:dyDescent="0.3">
      <c r="CI808" t="e">
        <f>AL274</f>
        <v>#N/A</v>
      </c>
      <c r="CJ808" t="e">
        <f>AM274</f>
        <v>#N/A</v>
      </c>
      <c r="CK808">
        <f>IF(ISNUMBER(CI808),IFERROR(MAX(0,AN274-CI808),0),0)</f>
        <v>0</v>
      </c>
      <c r="CL808">
        <f>IF(ISNUMBER(CI808),IFERROR(MAX(0,CI808-AN274),0),0)</f>
        <v>0</v>
      </c>
      <c r="CM808">
        <f>IF(ISNUMBER(CJ808),IFERROR(MAX(0,AO274-CJ808),0),0)</f>
        <v>0</v>
      </c>
      <c r="CN808">
        <f>IF(ISNUMBER(CJ808),IFERROR(MAX(0,CJ808-AO274),0),0)</f>
        <v>0</v>
      </c>
      <c r="CP808" t="e">
        <f>BT274</f>
        <v>#N/A</v>
      </c>
      <c r="CQ808" t="e">
        <f>BU274</f>
        <v>#N/A</v>
      </c>
      <c r="CR808">
        <f>IF(ISNUMBER(CP808),IFERROR(MAX(0,BV274-CP808),0),0)</f>
        <v>0</v>
      </c>
      <c r="CS808">
        <f>IF(ISNUMBER(CP808),IFERROR(MAX(0,CP808-BV274),0),0)</f>
        <v>0</v>
      </c>
      <c r="CT808">
        <f>IF(ISNUMBER(CQ808),IFERROR(MAX(0,BW274-CQ808),0),0)</f>
        <v>0</v>
      </c>
      <c r="CU808">
        <f>IF(ISNUMBER(CQ808),IFERROR(MAX(0,CQ808-BW274),0),0)</f>
        <v>0</v>
      </c>
    </row>
    <row r="809" spans="87:99" x14ac:dyDescent="0.3">
      <c r="CI809" t="e">
        <f>AP274</f>
        <v>#N/A</v>
      </c>
      <c r="CJ809" t="e">
        <f>AQ274</f>
        <v>#N/A</v>
      </c>
      <c r="CK809">
        <f>IF(ISNUMBER(CI809),IFERROR(MAX(0,AR274-CI809),0),0)</f>
        <v>0</v>
      </c>
      <c r="CL809">
        <f>IF(ISNUMBER(CI809),IFERROR(MAX(0,CI809-AR274),0),0)</f>
        <v>0</v>
      </c>
      <c r="CM809">
        <f>IF(ISNUMBER(CJ809),IFERROR(MAX(0,AS274-CJ809),0),0)</f>
        <v>0</v>
      </c>
      <c r="CN809">
        <f>IF(ISNUMBER(CJ809),IFERROR(MAX(0,CJ809-AS274),0),0)</f>
        <v>0</v>
      </c>
      <c r="CP809" t="e">
        <f>BX274</f>
        <v>#N/A</v>
      </c>
      <c r="CQ809" t="e">
        <f>BY274</f>
        <v>#N/A</v>
      </c>
      <c r="CR809">
        <f>IF(ISNUMBER(CP809),IFERROR(MAX(0,BZ274-CP809),0),0)</f>
        <v>0</v>
      </c>
      <c r="CS809">
        <f>IF(ISNUMBER(CP809),IFERROR(MAX(0,CP809-BZ274),0),0)</f>
        <v>0</v>
      </c>
      <c r="CT809">
        <f>IF(ISNUMBER(CQ809),IFERROR(MAX(0,CA274-CQ809),0),0)</f>
        <v>0</v>
      </c>
      <c r="CU809">
        <f>IF(ISNUMBER(CQ809),IFERROR(MAX(0,CQ809-CA274),0),0)</f>
        <v>0</v>
      </c>
    </row>
    <row r="810" spans="87:99" x14ac:dyDescent="0.3">
      <c r="CI810" t="e">
        <f>AT274</f>
        <v>#N/A</v>
      </c>
      <c r="CJ810" t="e">
        <f>AU274</f>
        <v>#N/A</v>
      </c>
      <c r="CK810">
        <f>IF(ISNUMBER(CI810),IFERROR(MAX(0,AV274-CI810),0),0)</f>
        <v>0</v>
      </c>
      <c r="CL810">
        <f>IF(ISNUMBER(CI810),IFERROR(MAX(0,CI810-AV274),0),0)</f>
        <v>0</v>
      </c>
      <c r="CM810">
        <f>IF(ISNUMBER(CJ810),IFERROR(MAX(0,AW274-CJ810),0),0)</f>
        <v>0</v>
      </c>
      <c r="CN810">
        <f>IF(ISNUMBER(CJ810),IFERROR(MAX(0,CJ810-AW274),0),0)</f>
        <v>0</v>
      </c>
      <c r="CP810" t="e">
        <f>CB274</f>
        <v>#N/A</v>
      </c>
      <c r="CQ810" t="e">
        <f>CC274</f>
        <v>#N/A</v>
      </c>
      <c r="CR810">
        <f>IF(ISNUMBER(CP810),IFERROR(MAX(0,CD274-CP810),0),0)</f>
        <v>0</v>
      </c>
      <c r="CS810">
        <f>IF(ISNUMBER(CP810),IFERROR(MAX(0,CP810-CD274),0),0)</f>
        <v>0</v>
      </c>
      <c r="CT810">
        <f>IF(ISNUMBER(CQ810),IFERROR(MAX(0,CE274-CQ810),0),0)</f>
        <v>0</v>
      </c>
      <c r="CU810">
        <f>IF(ISNUMBER(CQ810),IFERROR(MAX(0,CQ810-CE274),0),0)</f>
        <v>0</v>
      </c>
    </row>
    <row r="811" spans="87:99" x14ac:dyDescent="0.3">
      <c r="CI811" t="e">
        <f>AL275</f>
        <v>#N/A</v>
      </c>
      <c r="CJ811" t="e">
        <f>AM275</f>
        <v>#N/A</v>
      </c>
      <c r="CK811">
        <f>IF(ISNUMBER(CI811),IFERROR(MAX(0,AN275-CI811),0),0)</f>
        <v>0</v>
      </c>
      <c r="CL811">
        <f>IF(ISNUMBER(CI811),IFERROR(MAX(0,CI811-AN275),0),0)</f>
        <v>0</v>
      </c>
      <c r="CM811">
        <f>IF(ISNUMBER(CJ811),IFERROR(MAX(0,AO275-CJ811),0),0)</f>
        <v>0</v>
      </c>
      <c r="CN811">
        <f>IF(ISNUMBER(CJ811),IFERROR(MAX(0,CJ811-AO275),0),0)</f>
        <v>0</v>
      </c>
      <c r="CP811" t="e">
        <f>BT275</f>
        <v>#N/A</v>
      </c>
      <c r="CQ811" t="e">
        <f>BU275</f>
        <v>#N/A</v>
      </c>
      <c r="CR811">
        <f>IF(ISNUMBER(CP811),IFERROR(MAX(0,BV275-CP811),0),0)</f>
        <v>0</v>
      </c>
      <c r="CS811">
        <f>IF(ISNUMBER(CP811),IFERROR(MAX(0,CP811-BV275),0),0)</f>
        <v>0</v>
      </c>
      <c r="CT811">
        <f>IF(ISNUMBER(CQ811),IFERROR(MAX(0,BW275-CQ811),0),0)</f>
        <v>0</v>
      </c>
      <c r="CU811">
        <f>IF(ISNUMBER(CQ811),IFERROR(MAX(0,CQ811-BW275),0),0)</f>
        <v>0</v>
      </c>
    </row>
    <row r="812" spans="87:99" x14ac:dyDescent="0.3">
      <c r="CI812" t="e">
        <f>AP275</f>
        <v>#N/A</v>
      </c>
      <c r="CJ812" t="e">
        <f>AQ275</f>
        <v>#N/A</v>
      </c>
      <c r="CK812">
        <f>IF(ISNUMBER(CI812),IFERROR(MAX(0,AR275-CI812),0),0)</f>
        <v>0</v>
      </c>
      <c r="CL812">
        <f>IF(ISNUMBER(CI812),IFERROR(MAX(0,CI812-AR275),0),0)</f>
        <v>0</v>
      </c>
      <c r="CM812">
        <f>IF(ISNUMBER(CJ812),IFERROR(MAX(0,AS275-CJ812),0),0)</f>
        <v>0</v>
      </c>
      <c r="CN812">
        <f>IF(ISNUMBER(CJ812),IFERROR(MAX(0,CJ812-AS275),0),0)</f>
        <v>0</v>
      </c>
      <c r="CP812" t="e">
        <f>BX275</f>
        <v>#N/A</v>
      </c>
      <c r="CQ812" t="e">
        <f>BY275</f>
        <v>#N/A</v>
      </c>
      <c r="CR812">
        <f>IF(ISNUMBER(CP812),IFERROR(MAX(0,BZ275-CP812),0),0)</f>
        <v>0</v>
      </c>
      <c r="CS812">
        <f>IF(ISNUMBER(CP812),IFERROR(MAX(0,CP812-BZ275),0),0)</f>
        <v>0</v>
      </c>
      <c r="CT812">
        <f>IF(ISNUMBER(CQ812),IFERROR(MAX(0,CA275-CQ812),0),0)</f>
        <v>0</v>
      </c>
      <c r="CU812">
        <f>IF(ISNUMBER(CQ812),IFERROR(MAX(0,CQ812-CA275),0),0)</f>
        <v>0</v>
      </c>
    </row>
    <row r="813" spans="87:99" x14ac:dyDescent="0.3">
      <c r="CI813" t="e">
        <f>AT275</f>
        <v>#N/A</v>
      </c>
      <c r="CJ813" t="e">
        <f>AU275</f>
        <v>#N/A</v>
      </c>
      <c r="CK813">
        <f>IF(ISNUMBER(CI813),IFERROR(MAX(0,AV275-CI813),0),0)</f>
        <v>0</v>
      </c>
      <c r="CL813">
        <f>IF(ISNUMBER(CI813),IFERROR(MAX(0,CI813-AV275),0),0)</f>
        <v>0</v>
      </c>
      <c r="CM813">
        <f>IF(ISNUMBER(CJ813),IFERROR(MAX(0,AW275-CJ813),0),0)</f>
        <v>0</v>
      </c>
      <c r="CN813">
        <f>IF(ISNUMBER(CJ813),IFERROR(MAX(0,CJ813-AW275),0),0)</f>
        <v>0</v>
      </c>
      <c r="CP813" t="e">
        <f>CB275</f>
        <v>#N/A</v>
      </c>
      <c r="CQ813" t="e">
        <f>CC275</f>
        <v>#N/A</v>
      </c>
      <c r="CR813">
        <f>IF(ISNUMBER(CP813),IFERROR(MAX(0,CD275-CP813),0),0)</f>
        <v>0</v>
      </c>
      <c r="CS813">
        <f>IF(ISNUMBER(CP813),IFERROR(MAX(0,CP813-CD275),0),0)</f>
        <v>0</v>
      </c>
      <c r="CT813">
        <f>IF(ISNUMBER(CQ813),IFERROR(MAX(0,CE275-CQ813),0),0)</f>
        <v>0</v>
      </c>
      <c r="CU813">
        <f>IF(ISNUMBER(CQ813),IFERROR(MAX(0,CQ813-CE275),0),0)</f>
        <v>0</v>
      </c>
    </row>
    <row r="814" spans="87:99" x14ac:dyDescent="0.3">
      <c r="CI814" t="e">
        <f>AL276</f>
        <v>#N/A</v>
      </c>
      <c r="CJ814" t="e">
        <f>AM276</f>
        <v>#N/A</v>
      </c>
      <c r="CK814">
        <f>IF(ISNUMBER(CI814),IFERROR(MAX(0,AN276-CI814),0),0)</f>
        <v>0</v>
      </c>
      <c r="CL814">
        <f>IF(ISNUMBER(CI814),IFERROR(MAX(0,CI814-AN276),0),0)</f>
        <v>0</v>
      </c>
      <c r="CM814">
        <f>IF(ISNUMBER(CJ814),IFERROR(MAX(0,AO276-CJ814),0),0)</f>
        <v>0</v>
      </c>
      <c r="CN814">
        <f>IF(ISNUMBER(CJ814),IFERROR(MAX(0,CJ814-AO276),0),0)</f>
        <v>0</v>
      </c>
      <c r="CP814" t="e">
        <f>BT276</f>
        <v>#N/A</v>
      </c>
      <c r="CQ814" t="e">
        <f>BU276</f>
        <v>#N/A</v>
      </c>
      <c r="CR814">
        <f>IF(ISNUMBER(CP814),IFERROR(MAX(0,BV276-CP814),0),0)</f>
        <v>0</v>
      </c>
      <c r="CS814">
        <f>IF(ISNUMBER(CP814),IFERROR(MAX(0,CP814-BV276),0),0)</f>
        <v>0</v>
      </c>
      <c r="CT814">
        <f>IF(ISNUMBER(CQ814),IFERROR(MAX(0,BW276-CQ814),0),0)</f>
        <v>0</v>
      </c>
      <c r="CU814">
        <f>IF(ISNUMBER(CQ814),IFERROR(MAX(0,CQ814-BW276),0),0)</f>
        <v>0</v>
      </c>
    </row>
    <row r="815" spans="87:99" x14ac:dyDescent="0.3">
      <c r="CI815" t="e">
        <f>AP276</f>
        <v>#N/A</v>
      </c>
      <c r="CJ815" t="e">
        <f>AQ276</f>
        <v>#N/A</v>
      </c>
      <c r="CK815">
        <f>IF(ISNUMBER(CI815),IFERROR(MAX(0,AR276-CI815),0),0)</f>
        <v>0</v>
      </c>
      <c r="CL815">
        <f>IF(ISNUMBER(CI815),IFERROR(MAX(0,CI815-AR276),0),0)</f>
        <v>0</v>
      </c>
      <c r="CM815">
        <f>IF(ISNUMBER(CJ815),IFERROR(MAX(0,AS276-CJ815),0),0)</f>
        <v>0</v>
      </c>
      <c r="CN815">
        <f>IF(ISNUMBER(CJ815),IFERROR(MAX(0,CJ815-AS276),0),0)</f>
        <v>0</v>
      </c>
      <c r="CP815" t="e">
        <f>BX276</f>
        <v>#N/A</v>
      </c>
      <c r="CQ815" t="e">
        <f>BY276</f>
        <v>#N/A</v>
      </c>
      <c r="CR815">
        <f>IF(ISNUMBER(CP815),IFERROR(MAX(0,BZ276-CP815),0),0)</f>
        <v>0</v>
      </c>
      <c r="CS815">
        <f>IF(ISNUMBER(CP815),IFERROR(MAX(0,CP815-BZ276),0),0)</f>
        <v>0</v>
      </c>
      <c r="CT815">
        <f>IF(ISNUMBER(CQ815),IFERROR(MAX(0,CA276-CQ815),0),0)</f>
        <v>0</v>
      </c>
      <c r="CU815">
        <f>IF(ISNUMBER(CQ815),IFERROR(MAX(0,CQ815-CA276),0),0)</f>
        <v>0</v>
      </c>
    </row>
    <row r="816" spans="87:99" x14ac:dyDescent="0.3">
      <c r="CI816" t="e">
        <f>AT276</f>
        <v>#N/A</v>
      </c>
      <c r="CJ816" t="e">
        <f>AU276</f>
        <v>#N/A</v>
      </c>
      <c r="CK816">
        <f>IF(ISNUMBER(CI816),IFERROR(MAX(0,AV276-CI816),0),0)</f>
        <v>0</v>
      </c>
      <c r="CL816">
        <f>IF(ISNUMBER(CI816),IFERROR(MAX(0,CI816-AV276),0),0)</f>
        <v>0</v>
      </c>
      <c r="CM816">
        <f>IF(ISNUMBER(CJ816),IFERROR(MAX(0,AW276-CJ816),0),0)</f>
        <v>0</v>
      </c>
      <c r="CN816">
        <f>IF(ISNUMBER(CJ816),IFERROR(MAX(0,CJ816-AW276),0),0)</f>
        <v>0</v>
      </c>
      <c r="CP816" t="e">
        <f>CB276</f>
        <v>#N/A</v>
      </c>
      <c r="CQ816" t="e">
        <f>CC276</f>
        <v>#N/A</v>
      </c>
      <c r="CR816">
        <f>IF(ISNUMBER(CP816),IFERROR(MAX(0,CD276-CP816),0),0)</f>
        <v>0</v>
      </c>
      <c r="CS816">
        <f>IF(ISNUMBER(CP816),IFERROR(MAX(0,CP816-CD276),0),0)</f>
        <v>0</v>
      </c>
      <c r="CT816">
        <f>IF(ISNUMBER(CQ816),IFERROR(MAX(0,CE276-CQ816),0),0)</f>
        <v>0</v>
      </c>
      <c r="CU816">
        <f>IF(ISNUMBER(CQ816),IFERROR(MAX(0,CQ816-CE276),0),0)</f>
        <v>0</v>
      </c>
    </row>
    <row r="817" spans="87:99" x14ac:dyDescent="0.3">
      <c r="CI817" t="e">
        <f>AL277</f>
        <v>#N/A</v>
      </c>
      <c r="CJ817" t="e">
        <f>AM277</f>
        <v>#N/A</v>
      </c>
      <c r="CK817">
        <f>IF(ISNUMBER(CI817),IFERROR(MAX(0,AN277-CI817),0),0)</f>
        <v>0</v>
      </c>
      <c r="CL817">
        <f>IF(ISNUMBER(CI817),IFERROR(MAX(0,CI817-AN277),0),0)</f>
        <v>0</v>
      </c>
      <c r="CM817">
        <f>IF(ISNUMBER(CJ817),IFERROR(MAX(0,AO277-CJ817),0),0)</f>
        <v>0</v>
      </c>
      <c r="CN817">
        <f>IF(ISNUMBER(CJ817),IFERROR(MAX(0,CJ817-AO277),0),0)</f>
        <v>0</v>
      </c>
      <c r="CP817" t="e">
        <f>BT277</f>
        <v>#N/A</v>
      </c>
      <c r="CQ817" t="e">
        <f>BU277</f>
        <v>#N/A</v>
      </c>
      <c r="CR817">
        <f>IF(ISNUMBER(CP817),IFERROR(MAX(0,BV277-CP817),0),0)</f>
        <v>0</v>
      </c>
      <c r="CS817">
        <f>IF(ISNUMBER(CP817),IFERROR(MAX(0,CP817-BV277),0),0)</f>
        <v>0</v>
      </c>
      <c r="CT817">
        <f>IF(ISNUMBER(CQ817),IFERROR(MAX(0,BW277-CQ817),0),0)</f>
        <v>0</v>
      </c>
      <c r="CU817">
        <f>IF(ISNUMBER(CQ817),IFERROR(MAX(0,CQ817-BW277),0),0)</f>
        <v>0</v>
      </c>
    </row>
    <row r="818" spans="87:99" x14ac:dyDescent="0.3">
      <c r="CI818" t="e">
        <f>AP277</f>
        <v>#N/A</v>
      </c>
      <c r="CJ818" t="e">
        <f>AQ277</f>
        <v>#N/A</v>
      </c>
      <c r="CK818">
        <f>IF(ISNUMBER(CI818),IFERROR(MAX(0,AR277-CI818),0),0)</f>
        <v>0</v>
      </c>
      <c r="CL818">
        <f>IF(ISNUMBER(CI818),IFERROR(MAX(0,CI818-AR277),0),0)</f>
        <v>0</v>
      </c>
      <c r="CM818">
        <f>IF(ISNUMBER(CJ818),IFERROR(MAX(0,AS277-CJ818),0),0)</f>
        <v>0</v>
      </c>
      <c r="CN818">
        <f>IF(ISNUMBER(CJ818),IFERROR(MAX(0,CJ818-AS277),0),0)</f>
        <v>0</v>
      </c>
      <c r="CP818" t="e">
        <f>BX277</f>
        <v>#N/A</v>
      </c>
      <c r="CQ818" t="e">
        <f>BY277</f>
        <v>#N/A</v>
      </c>
      <c r="CR818">
        <f>IF(ISNUMBER(CP818),IFERROR(MAX(0,BZ277-CP818),0),0)</f>
        <v>0</v>
      </c>
      <c r="CS818">
        <f>IF(ISNUMBER(CP818),IFERROR(MAX(0,CP818-BZ277),0),0)</f>
        <v>0</v>
      </c>
      <c r="CT818">
        <f>IF(ISNUMBER(CQ818),IFERROR(MAX(0,CA277-CQ818),0),0)</f>
        <v>0</v>
      </c>
      <c r="CU818">
        <f>IF(ISNUMBER(CQ818),IFERROR(MAX(0,CQ818-CA277),0),0)</f>
        <v>0</v>
      </c>
    </row>
    <row r="819" spans="87:99" x14ac:dyDescent="0.3">
      <c r="CI819" t="e">
        <f>AT277</f>
        <v>#N/A</v>
      </c>
      <c r="CJ819" t="e">
        <f>AU277</f>
        <v>#N/A</v>
      </c>
      <c r="CK819">
        <f>IF(ISNUMBER(CI819),IFERROR(MAX(0,AV277-CI819),0),0)</f>
        <v>0</v>
      </c>
      <c r="CL819">
        <f>IF(ISNUMBER(CI819),IFERROR(MAX(0,CI819-AV277),0),0)</f>
        <v>0</v>
      </c>
      <c r="CM819">
        <f>IF(ISNUMBER(CJ819),IFERROR(MAX(0,AW277-CJ819),0),0)</f>
        <v>0</v>
      </c>
      <c r="CN819">
        <f>IF(ISNUMBER(CJ819),IFERROR(MAX(0,CJ819-AW277),0),0)</f>
        <v>0</v>
      </c>
      <c r="CP819" t="e">
        <f>CB277</f>
        <v>#N/A</v>
      </c>
      <c r="CQ819" t="e">
        <f>CC277</f>
        <v>#N/A</v>
      </c>
      <c r="CR819">
        <f>IF(ISNUMBER(CP819),IFERROR(MAX(0,CD277-CP819),0),0)</f>
        <v>0</v>
      </c>
      <c r="CS819">
        <f>IF(ISNUMBER(CP819),IFERROR(MAX(0,CP819-CD277),0),0)</f>
        <v>0</v>
      </c>
      <c r="CT819">
        <f>IF(ISNUMBER(CQ819),IFERROR(MAX(0,CE277-CQ819),0),0)</f>
        <v>0</v>
      </c>
      <c r="CU819">
        <f>IF(ISNUMBER(CQ819),IFERROR(MAX(0,CQ819-CE277),0),0)</f>
        <v>0</v>
      </c>
    </row>
    <row r="820" spans="87:99" x14ac:dyDescent="0.3">
      <c r="CI820" t="e">
        <f>AL278</f>
        <v>#N/A</v>
      </c>
      <c r="CJ820" t="e">
        <f>AM278</f>
        <v>#N/A</v>
      </c>
      <c r="CK820">
        <f>IF(ISNUMBER(CI820),IFERROR(MAX(0,AN278-CI820),0),0)</f>
        <v>0</v>
      </c>
      <c r="CL820">
        <f>IF(ISNUMBER(CI820),IFERROR(MAX(0,CI820-AN278),0),0)</f>
        <v>0</v>
      </c>
      <c r="CM820">
        <f>IF(ISNUMBER(CJ820),IFERROR(MAX(0,AO278-CJ820),0),0)</f>
        <v>0</v>
      </c>
      <c r="CN820">
        <f>IF(ISNUMBER(CJ820),IFERROR(MAX(0,CJ820-AO278),0),0)</f>
        <v>0</v>
      </c>
      <c r="CP820" t="e">
        <f>BT278</f>
        <v>#N/A</v>
      </c>
      <c r="CQ820" t="e">
        <f>BU278</f>
        <v>#N/A</v>
      </c>
      <c r="CR820">
        <f>IF(ISNUMBER(CP820),IFERROR(MAX(0,BV278-CP820),0),0)</f>
        <v>0</v>
      </c>
      <c r="CS820">
        <f>IF(ISNUMBER(CP820),IFERROR(MAX(0,CP820-BV278),0),0)</f>
        <v>0</v>
      </c>
      <c r="CT820">
        <f>IF(ISNUMBER(CQ820),IFERROR(MAX(0,BW278-CQ820),0),0)</f>
        <v>0</v>
      </c>
      <c r="CU820">
        <f>IF(ISNUMBER(CQ820),IFERROR(MAX(0,CQ820-BW278),0),0)</f>
        <v>0</v>
      </c>
    </row>
    <row r="821" spans="87:99" x14ac:dyDescent="0.3">
      <c r="CI821" t="e">
        <f>AP278</f>
        <v>#N/A</v>
      </c>
      <c r="CJ821" t="e">
        <f>AQ278</f>
        <v>#N/A</v>
      </c>
      <c r="CK821">
        <f>IF(ISNUMBER(CI821),IFERROR(MAX(0,AR278-CI821),0),0)</f>
        <v>0</v>
      </c>
      <c r="CL821">
        <f>IF(ISNUMBER(CI821),IFERROR(MAX(0,CI821-AR278),0),0)</f>
        <v>0</v>
      </c>
      <c r="CM821">
        <f>IF(ISNUMBER(CJ821),IFERROR(MAX(0,AS278-CJ821),0),0)</f>
        <v>0</v>
      </c>
      <c r="CN821">
        <f>IF(ISNUMBER(CJ821),IFERROR(MAX(0,CJ821-AS278),0),0)</f>
        <v>0</v>
      </c>
      <c r="CP821" t="e">
        <f>BX278</f>
        <v>#N/A</v>
      </c>
      <c r="CQ821" t="e">
        <f>BY278</f>
        <v>#N/A</v>
      </c>
      <c r="CR821">
        <f>IF(ISNUMBER(CP821),IFERROR(MAX(0,BZ278-CP821),0),0)</f>
        <v>0</v>
      </c>
      <c r="CS821">
        <f>IF(ISNUMBER(CP821),IFERROR(MAX(0,CP821-BZ278),0),0)</f>
        <v>0</v>
      </c>
      <c r="CT821">
        <f>IF(ISNUMBER(CQ821),IFERROR(MAX(0,CA278-CQ821),0),0)</f>
        <v>0</v>
      </c>
      <c r="CU821">
        <f>IF(ISNUMBER(CQ821),IFERROR(MAX(0,CQ821-CA278),0),0)</f>
        <v>0</v>
      </c>
    </row>
    <row r="822" spans="87:99" x14ac:dyDescent="0.3">
      <c r="CI822" t="e">
        <f>AT278</f>
        <v>#N/A</v>
      </c>
      <c r="CJ822" t="e">
        <f>AU278</f>
        <v>#N/A</v>
      </c>
      <c r="CK822">
        <f>IF(ISNUMBER(CI822),IFERROR(MAX(0,AV278-CI822),0),0)</f>
        <v>0</v>
      </c>
      <c r="CL822">
        <f>IF(ISNUMBER(CI822),IFERROR(MAX(0,CI822-AV278),0),0)</f>
        <v>0</v>
      </c>
      <c r="CM822">
        <f>IF(ISNUMBER(CJ822),IFERROR(MAX(0,AW278-CJ822),0),0)</f>
        <v>0</v>
      </c>
      <c r="CN822">
        <f>IF(ISNUMBER(CJ822),IFERROR(MAX(0,CJ822-AW278),0),0)</f>
        <v>0</v>
      </c>
      <c r="CP822" t="e">
        <f>CB278</f>
        <v>#N/A</v>
      </c>
      <c r="CQ822" t="e">
        <f>CC278</f>
        <v>#N/A</v>
      </c>
      <c r="CR822">
        <f>IF(ISNUMBER(CP822),IFERROR(MAX(0,CD278-CP822),0),0)</f>
        <v>0</v>
      </c>
      <c r="CS822">
        <f>IF(ISNUMBER(CP822),IFERROR(MAX(0,CP822-CD278),0),0)</f>
        <v>0</v>
      </c>
      <c r="CT822">
        <f>IF(ISNUMBER(CQ822),IFERROR(MAX(0,CE278-CQ822),0),0)</f>
        <v>0</v>
      </c>
      <c r="CU822">
        <f>IF(ISNUMBER(CQ822),IFERROR(MAX(0,CQ822-CE278),0),0)</f>
        <v>0</v>
      </c>
    </row>
    <row r="823" spans="87:99" x14ac:dyDescent="0.3">
      <c r="CI823" t="e">
        <f>AL279</f>
        <v>#N/A</v>
      </c>
      <c r="CJ823" t="e">
        <f>AM279</f>
        <v>#N/A</v>
      </c>
      <c r="CK823">
        <f>IF(ISNUMBER(CI823),IFERROR(MAX(0,AN279-CI823),0),0)</f>
        <v>0</v>
      </c>
      <c r="CL823">
        <f>IF(ISNUMBER(CI823),IFERROR(MAX(0,CI823-AN279),0),0)</f>
        <v>0</v>
      </c>
      <c r="CM823">
        <f>IF(ISNUMBER(CJ823),IFERROR(MAX(0,AO279-CJ823),0),0)</f>
        <v>0</v>
      </c>
      <c r="CN823">
        <f>IF(ISNUMBER(CJ823),IFERROR(MAX(0,CJ823-AO279),0),0)</f>
        <v>0</v>
      </c>
      <c r="CP823" t="e">
        <f>BT279</f>
        <v>#N/A</v>
      </c>
      <c r="CQ823" t="e">
        <f>BU279</f>
        <v>#N/A</v>
      </c>
      <c r="CR823">
        <f>IF(ISNUMBER(CP823),IFERROR(MAX(0,BV279-CP823),0),0)</f>
        <v>0</v>
      </c>
      <c r="CS823">
        <f>IF(ISNUMBER(CP823),IFERROR(MAX(0,CP823-BV279),0),0)</f>
        <v>0</v>
      </c>
      <c r="CT823">
        <f>IF(ISNUMBER(CQ823),IFERROR(MAX(0,BW279-CQ823),0),0)</f>
        <v>0</v>
      </c>
      <c r="CU823">
        <f>IF(ISNUMBER(CQ823),IFERROR(MAX(0,CQ823-BW279),0),0)</f>
        <v>0</v>
      </c>
    </row>
    <row r="824" spans="87:99" x14ac:dyDescent="0.3">
      <c r="CI824" t="e">
        <f>AP279</f>
        <v>#N/A</v>
      </c>
      <c r="CJ824" t="e">
        <f>AQ279</f>
        <v>#N/A</v>
      </c>
      <c r="CK824">
        <f>IF(ISNUMBER(CI824),IFERROR(MAX(0,AR279-CI824),0),0)</f>
        <v>0</v>
      </c>
      <c r="CL824">
        <f>IF(ISNUMBER(CI824),IFERROR(MAX(0,CI824-AR279),0),0)</f>
        <v>0</v>
      </c>
      <c r="CM824">
        <f>IF(ISNUMBER(CJ824),IFERROR(MAX(0,AS279-CJ824),0),0)</f>
        <v>0</v>
      </c>
      <c r="CN824">
        <f>IF(ISNUMBER(CJ824),IFERROR(MAX(0,CJ824-AS279),0),0)</f>
        <v>0</v>
      </c>
      <c r="CP824" t="e">
        <f>BX279</f>
        <v>#N/A</v>
      </c>
      <c r="CQ824" t="e">
        <f>BY279</f>
        <v>#N/A</v>
      </c>
      <c r="CR824">
        <f>IF(ISNUMBER(CP824),IFERROR(MAX(0,BZ279-CP824),0),0)</f>
        <v>0</v>
      </c>
      <c r="CS824">
        <f>IF(ISNUMBER(CP824),IFERROR(MAX(0,CP824-BZ279),0),0)</f>
        <v>0</v>
      </c>
      <c r="CT824">
        <f>IF(ISNUMBER(CQ824),IFERROR(MAX(0,CA279-CQ824),0),0)</f>
        <v>0</v>
      </c>
      <c r="CU824">
        <f>IF(ISNUMBER(CQ824),IFERROR(MAX(0,CQ824-CA279),0),0)</f>
        <v>0</v>
      </c>
    </row>
    <row r="825" spans="87:99" x14ac:dyDescent="0.3">
      <c r="CI825" t="e">
        <f>AT279</f>
        <v>#N/A</v>
      </c>
      <c r="CJ825" t="e">
        <f>AU279</f>
        <v>#N/A</v>
      </c>
      <c r="CK825">
        <f>IF(ISNUMBER(CI825),IFERROR(MAX(0,AV279-CI825),0),0)</f>
        <v>0</v>
      </c>
      <c r="CL825">
        <f>IF(ISNUMBER(CI825),IFERROR(MAX(0,CI825-AV279),0),0)</f>
        <v>0</v>
      </c>
      <c r="CM825">
        <f>IF(ISNUMBER(CJ825),IFERROR(MAX(0,AW279-CJ825),0),0)</f>
        <v>0</v>
      </c>
      <c r="CN825">
        <f>IF(ISNUMBER(CJ825),IFERROR(MAX(0,CJ825-AW279),0),0)</f>
        <v>0</v>
      </c>
      <c r="CP825" t="e">
        <f>CB279</f>
        <v>#N/A</v>
      </c>
      <c r="CQ825" t="e">
        <f>CC279</f>
        <v>#N/A</v>
      </c>
      <c r="CR825">
        <f>IF(ISNUMBER(CP825),IFERROR(MAX(0,CD279-CP825),0),0)</f>
        <v>0</v>
      </c>
      <c r="CS825">
        <f>IF(ISNUMBER(CP825),IFERROR(MAX(0,CP825-CD279),0),0)</f>
        <v>0</v>
      </c>
      <c r="CT825">
        <f>IF(ISNUMBER(CQ825),IFERROR(MAX(0,CE279-CQ825),0),0)</f>
        <v>0</v>
      </c>
      <c r="CU825">
        <f>IF(ISNUMBER(CQ825),IFERROR(MAX(0,CQ825-CE279),0),0)</f>
        <v>0</v>
      </c>
    </row>
    <row r="826" spans="87:99" x14ac:dyDescent="0.3">
      <c r="CI826" t="e">
        <f>AL280</f>
        <v>#N/A</v>
      </c>
      <c r="CJ826" t="e">
        <f>AM280</f>
        <v>#N/A</v>
      </c>
      <c r="CK826">
        <f>IF(ISNUMBER(CI826),IFERROR(MAX(0,AN280-CI826),0),0)</f>
        <v>0</v>
      </c>
      <c r="CL826">
        <f>IF(ISNUMBER(CI826),IFERROR(MAX(0,CI826-AN280),0),0)</f>
        <v>0</v>
      </c>
      <c r="CM826">
        <f>IF(ISNUMBER(CJ826),IFERROR(MAX(0,AO280-CJ826),0),0)</f>
        <v>0</v>
      </c>
      <c r="CN826">
        <f>IF(ISNUMBER(CJ826),IFERROR(MAX(0,CJ826-AO280),0),0)</f>
        <v>0</v>
      </c>
      <c r="CP826" t="e">
        <f>BT280</f>
        <v>#N/A</v>
      </c>
      <c r="CQ826" t="e">
        <f>BU280</f>
        <v>#N/A</v>
      </c>
      <c r="CR826">
        <f>IF(ISNUMBER(CP826),IFERROR(MAX(0,BV280-CP826),0),0)</f>
        <v>0</v>
      </c>
      <c r="CS826">
        <f>IF(ISNUMBER(CP826),IFERROR(MAX(0,CP826-BV280),0),0)</f>
        <v>0</v>
      </c>
      <c r="CT826">
        <f>IF(ISNUMBER(CQ826),IFERROR(MAX(0,BW280-CQ826),0),0)</f>
        <v>0</v>
      </c>
      <c r="CU826">
        <f>IF(ISNUMBER(CQ826),IFERROR(MAX(0,CQ826-BW280),0),0)</f>
        <v>0</v>
      </c>
    </row>
    <row r="827" spans="87:99" x14ac:dyDescent="0.3">
      <c r="CI827" t="e">
        <f>AP280</f>
        <v>#N/A</v>
      </c>
      <c r="CJ827" t="e">
        <f>AQ280</f>
        <v>#N/A</v>
      </c>
      <c r="CK827">
        <f>IF(ISNUMBER(CI827),IFERROR(MAX(0,AR280-CI827),0),0)</f>
        <v>0</v>
      </c>
      <c r="CL827">
        <f>IF(ISNUMBER(CI827),IFERROR(MAX(0,CI827-AR280),0),0)</f>
        <v>0</v>
      </c>
      <c r="CM827">
        <f>IF(ISNUMBER(CJ827),IFERROR(MAX(0,AS280-CJ827),0),0)</f>
        <v>0</v>
      </c>
      <c r="CN827">
        <f>IF(ISNUMBER(CJ827),IFERROR(MAX(0,CJ827-AS280),0),0)</f>
        <v>0</v>
      </c>
      <c r="CP827" t="e">
        <f>BX280</f>
        <v>#N/A</v>
      </c>
      <c r="CQ827" t="e">
        <f>BY280</f>
        <v>#N/A</v>
      </c>
      <c r="CR827">
        <f>IF(ISNUMBER(CP827),IFERROR(MAX(0,BZ280-CP827),0),0)</f>
        <v>0</v>
      </c>
      <c r="CS827">
        <f>IF(ISNUMBER(CP827),IFERROR(MAX(0,CP827-BZ280),0),0)</f>
        <v>0</v>
      </c>
      <c r="CT827">
        <f>IF(ISNUMBER(CQ827),IFERROR(MAX(0,CA280-CQ827),0),0)</f>
        <v>0</v>
      </c>
      <c r="CU827">
        <f>IF(ISNUMBER(CQ827),IFERROR(MAX(0,CQ827-CA280),0),0)</f>
        <v>0</v>
      </c>
    </row>
    <row r="828" spans="87:99" x14ac:dyDescent="0.3">
      <c r="CI828" t="e">
        <f>AT280</f>
        <v>#N/A</v>
      </c>
      <c r="CJ828" t="e">
        <f>AU280</f>
        <v>#N/A</v>
      </c>
      <c r="CK828">
        <f>IF(ISNUMBER(CI828),IFERROR(MAX(0,AV280-CI828),0),0)</f>
        <v>0</v>
      </c>
      <c r="CL828">
        <f>IF(ISNUMBER(CI828),IFERROR(MAX(0,CI828-AV280),0),0)</f>
        <v>0</v>
      </c>
      <c r="CM828">
        <f>IF(ISNUMBER(CJ828),IFERROR(MAX(0,AW280-CJ828),0),0)</f>
        <v>0</v>
      </c>
      <c r="CN828">
        <f>IF(ISNUMBER(CJ828),IFERROR(MAX(0,CJ828-AW280),0),0)</f>
        <v>0</v>
      </c>
      <c r="CP828" t="e">
        <f>CB280</f>
        <v>#N/A</v>
      </c>
      <c r="CQ828" t="e">
        <f>CC280</f>
        <v>#N/A</v>
      </c>
      <c r="CR828">
        <f>IF(ISNUMBER(CP828),IFERROR(MAX(0,CD280-CP828),0),0)</f>
        <v>0</v>
      </c>
      <c r="CS828">
        <f>IF(ISNUMBER(CP828),IFERROR(MAX(0,CP828-CD280),0),0)</f>
        <v>0</v>
      </c>
      <c r="CT828">
        <f>IF(ISNUMBER(CQ828),IFERROR(MAX(0,CE280-CQ828),0),0)</f>
        <v>0</v>
      </c>
      <c r="CU828">
        <f>IF(ISNUMBER(CQ828),IFERROR(MAX(0,CQ828-CE280),0),0)</f>
        <v>0</v>
      </c>
    </row>
    <row r="829" spans="87:99" x14ac:dyDescent="0.3">
      <c r="CI829" t="e">
        <f>AL281</f>
        <v>#N/A</v>
      </c>
      <c r="CJ829" t="e">
        <f>AM281</f>
        <v>#N/A</v>
      </c>
      <c r="CK829">
        <f>IF(ISNUMBER(CI829),IFERROR(MAX(0,AN281-CI829),0),0)</f>
        <v>0</v>
      </c>
      <c r="CL829">
        <f>IF(ISNUMBER(CI829),IFERROR(MAX(0,CI829-AN281),0),0)</f>
        <v>0</v>
      </c>
      <c r="CM829">
        <f>IF(ISNUMBER(CJ829),IFERROR(MAX(0,AO281-CJ829),0),0)</f>
        <v>0</v>
      </c>
      <c r="CN829">
        <f>IF(ISNUMBER(CJ829),IFERROR(MAX(0,CJ829-AO281),0),0)</f>
        <v>0</v>
      </c>
      <c r="CP829" t="e">
        <f>BT281</f>
        <v>#N/A</v>
      </c>
      <c r="CQ829" t="e">
        <f>BU281</f>
        <v>#N/A</v>
      </c>
      <c r="CR829">
        <f>IF(ISNUMBER(CP829),IFERROR(MAX(0,BV281-CP829),0),0)</f>
        <v>0</v>
      </c>
      <c r="CS829">
        <f>IF(ISNUMBER(CP829),IFERROR(MAX(0,CP829-BV281),0),0)</f>
        <v>0</v>
      </c>
      <c r="CT829">
        <f>IF(ISNUMBER(CQ829),IFERROR(MAX(0,BW281-CQ829),0),0)</f>
        <v>0</v>
      </c>
      <c r="CU829">
        <f>IF(ISNUMBER(CQ829),IFERROR(MAX(0,CQ829-BW281),0),0)</f>
        <v>0</v>
      </c>
    </row>
    <row r="830" spans="87:99" x14ac:dyDescent="0.3">
      <c r="CI830" t="e">
        <f>AP281</f>
        <v>#N/A</v>
      </c>
      <c r="CJ830" t="e">
        <f>AQ281</f>
        <v>#N/A</v>
      </c>
      <c r="CK830">
        <f>IF(ISNUMBER(CI830),IFERROR(MAX(0,AR281-CI830),0),0)</f>
        <v>0</v>
      </c>
      <c r="CL830">
        <f>IF(ISNUMBER(CI830),IFERROR(MAX(0,CI830-AR281),0),0)</f>
        <v>0</v>
      </c>
      <c r="CM830">
        <f>IF(ISNUMBER(CJ830),IFERROR(MAX(0,AS281-CJ830),0),0)</f>
        <v>0</v>
      </c>
      <c r="CN830">
        <f>IF(ISNUMBER(CJ830),IFERROR(MAX(0,CJ830-AS281),0),0)</f>
        <v>0</v>
      </c>
      <c r="CP830" t="e">
        <f>BX281</f>
        <v>#N/A</v>
      </c>
      <c r="CQ830" t="e">
        <f>BY281</f>
        <v>#N/A</v>
      </c>
      <c r="CR830">
        <f>IF(ISNUMBER(CP830),IFERROR(MAX(0,BZ281-CP830),0),0)</f>
        <v>0</v>
      </c>
      <c r="CS830">
        <f>IF(ISNUMBER(CP830),IFERROR(MAX(0,CP830-BZ281),0),0)</f>
        <v>0</v>
      </c>
      <c r="CT830">
        <f>IF(ISNUMBER(CQ830),IFERROR(MAX(0,CA281-CQ830),0),0)</f>
        <v>0</v>
      </c>
      <c r="CU830">
        <f>IF(ISNUMBER(CQ830),IFERROR(MAX(0,CQ830-CA281),0),0)</f>
        <v>0</v>
      </c>
    </row>
    <row r="831" spans="87:99" x14ac:dyDescent="0.3">
      <c r="CI831" t="e">
        <f>AT281</f>
        <v>#N/A</v>
      </c>
      <c r="CJ831" t="e">
        <f>AU281</f>
        <v>#N/A</v>
      </c>
      <c r="CK831">
        <f>IF(ISNUMBER(CI831),IFERROR(MAX(0,AV281-CI831),0),0)</f>
        <v>0</v>
      </c>
      <c r="CL831">
        <f>IF(ISNUMBER(CI831),IFERROR(MAX(0,CI831-AV281),0),0)</f>
        <v>0</v>
      </c>
      <c r="CM831">
        <f>IF(ISNUMBER(CJ831),IFERROR(MAX(0,AW281-CJ831),0),0)</f>
        <v>0</v>
      </c>
      <c r="CN831">
        <f>IF(ISNUMBER(CJ831),IFERROR(MAX(0,CJ831-AW281),0),0)</f>
        <v>0</v>
      </c>
      <c r="CP831" t="e">
        <f>CB281</f>
        <v>#N/A</v>
      </c>
      <c r="CQ831" t="e">
        <f>CC281</f>
        <v>#N/A</v>
      </c>
      <c r="CR831">
        <f>IF(ISNUMBER(CP831),IFERROR(MAX(0,CD281-CP831),0),0)</f>
        <v>0</v>
      </c>
      <c r="CS831">
        <f>IF(ISNUMBER(CP831),IFERROR(MAX(0,CP831-CD281),0),0)</f>
        <v>0</v>
      </c>
      <c r="CT831">
        <f>IF(ISNUMBER(CQ831),IFERROR(MAX(0,CE281-CQ831),0),0)</f>
        <v>0</v>
      </c>
      <c r="CU831">
        <f>IF(ISNUMBER(CQ831),IFERROR(MAX(0,CQ831-CE281),0),0)</f>
        <v>0</v>
      </c>
    </row>
    <row r="832" spans="87:99" x14ac:dyDescent="0.3">
      <c r="CI832" t="e">
        <f>AL282</f>
        <v>#N/A</v>
      </c>
      <c r="CJ832" t="e">
        <f>AM282</f>
        <v>#N/A</v>
      </c>
      <c r="CK832">
        <f>IF(ISNUMBER(CI832),IFERROR(MAX(0,AN282-CI832),0),0)</f>
        <v>0</v>
      </c>
      <c r="CL832">
        <f>IF(ISNUMBER(CI832),IFERROR(MAX(0,CI832-AN282),0),0)</f>
        <v>0</v>
      </c>
      <c r="CM832">
        <f>IF(ISNUMBER(CJ832),IFERROR(MAX(0,AO282-CJ832),0),0)</f>
        <v>0</v>
      </c>
      <c r="CN832">
        <f>IF(ISNUMBER(CJ832),IFERROR(MAX(0,CJ832-AO282),0),0)</f>
        <v>0</v>
      </c>
      <c r="CP832" t="e">
        <f>BT282</f>
        <v>#N/A</v>
      </c>
      <c r="CQ832" t="e">
        <f>BU282</f>
        <v>#N/A</v>
      </c>
      <c r="CR832">
        <f>IF(ISNUMBER(CP832),IFERROR(MAX(0,BV282-CP832),0),0)</f>
        <v>0</v>
      </c>
      <c r="CS832">
        <f>IF(ISNUMBER(CP832),IFERROR(MAX(0,CP832-BV282),0),0)</f>
        <v>0</v>
      </c>
      <c r="CT832">
        <f>IF(ISNUMBER(CQ832),IFERROR(MAX(0,BW282-CQ832),0),0)</f>
        <v>0</v>
      </c>
      <c r="CU832">
        <f>IF(ISNUMBER(CQ832),IFERROR(MAX(0,CQ832-BW282),0),0)</f>
        <v>0</v>
      </c>
    </row>
    <row r="833" spans="87:99" x14ac:dyDescent="0.3">
      <c r="CI833" t="e">
        <f>AP282</f>
        <v>#N/A</v>
      </c>
      <c r="CJ833" t="e">
        <f>AQ282</f>
        <v>#N/A</v>
      </c>
      <c r="CK833">
        <f>IF(ISNUMBER(CI833),IFERROR(MAX(0,AR282-CI833),0),0)</f>
        <v>0</v>
      </c>
      <c r="CL833">
        <f>IF(ISNUMBER(CI833),IFERROR(MAX(0,CI833-AR282),0),0)</f>
        <v>0</v>
      </c>
      <c r="CM833">
        <f>IF(ISNUMBER(CJ833),IFERROR(MAX(0,AS282-CJ833),0),0)</f>
        <v>0</v>
      </c>
      <c r="CN833">
        <f>IF(ISNUMBER(CJ833),IFERROR(MAX(0,CJ833-AS282),0),0)</f>
        <v>0</v>
      </c>
      <c r="CP833" t="e">
        <f>BX282</f>
        <v>#N/A</v>
      </c>
      <c r="CQ833" t="e">
        <f>BY282</f>
        <v>#N/A</v>
      </c>
      <c r="CR833">
        <f>IF(ISNUMBER(CP833),IFERROR(MAX(0,BZ282-CP833),0),0)</f>
        <v>0</v>
      </c>
      <c r="CS833">
        <f>IF(ISNUMBER(CP833),IFERROR(MAX(0,CP833-BZ282),0),0)</f>
        <v>0</v>
      </c>
      <c r="CT833">
        <f>IF(ISNUMBER(CQ833),IFERROR(MAX(0,CA282-CQ833),0),0)</f>
        <v>0</v>
      </c>
      <c r="CU833">
        <f>IF(ISNUMBER(CQ833),IFERROR(MAX(0,CQ833-CA282),0),0)</f>
        <v>0</v>
      </c>
    </row>
    <row r="834" spans="87:99" x14ac:dyDescent="0.3">
      <c r="CI834" t="e">
        <f>AT282</f>
        <v>#N/A</v>
      </c>
      <c r="CJ834" t="e">
        <f>AU282</f>
        <v>#N/A</v>
      </c>
      <c r="CK834">
        <f>IF(ISNUMBER(CI834),IFERROR(MAX(0,AV282-CI834),0),0)</f>
        <v>0</v>
      </c>
      <c r="CL834">
        <f>IF(ISNUMBER(CI834),IFERROR(MAX(0,CI834-AV282),0),0)</f>
        <v>0</v>
      </c>
      <c r="CM834">
        <f>IF(ISNUMBER(CJ834),IFERROR(MAX(0,AW282-CJ834),0),0)</f>
        <v>0</v>
      </c>
      <c r="CN834">
        <f>IF(ISNUMBER(CJ834),IFERROR(MAX(0,CJ834-AW282),0),0)</f>
        <v>0</v>
      </c>
      <c r="CP834" t="e">
        <f>CB282</f>
        <v>#N/A</v>
      </c>
      <c r="CQ834" t="e">
        <f>CC282</f>
        <v>#N/A</v>
      </c>
      <c r="CR834">
        <f>IF(ISNUMBER(CP834),IFERROR(MAX(0,CD282-CP834),0),0)</f>
        <v>0</v>
      </c>
      <c r="CS834">
        <f>IF(ISNUMBER(CP834),IFERROR(MAX(0,CP834-CD282),0),0)</f>
        <v>0</v>
      </c>
      <c r="CT834">
        <f>IF(ISNUMBER(CQ834),IFERROR(MAX(0,CE282-CQ834),0),0)</f>
        <v>0</v>
      </c>
      <c r="CU834">
        <f>IF(ISNUMBER(CQ834),IFERROR(MAX(0,CQ834-CE282),0),0)</f>
        <v>0</v>
      </c>
    </row>
    <row r="835" spans="87:99" x14ac:dyDescent="0.3">
      <c r="CI835" t="e">
        <f>AL283</f>
        <v>#N/A</v>
      </c>
      <c r="CJ835" t="e">
        <f>AM283</f>
        <v>#N/A</v>
      </c>
      <c r="CK835">
        <f>IF(ISNUMBER(CI835),IFERROR(MAX(0,AN283-CI835),0),0)</f>
        <v>0</v>
      </c>
      <c r="CL835">
        <f>IF(ISNUMBER(CI835),IFERROR(MAX(0,CI835-AN283),0),0)</f>
        <v>0</v>
      </c>
      <c r="CM835">
        <f>IF(ISNUMBER(CJ835),IFERROR(MAX(0,AO283-CJ835),0),0)</f>
        <v>0</v>
      </c>
      <c r="CN835">
        <f>IF(ISNUMBER(CJ835),IFERROR(MAX(0,CJ835-AO283),0),0)</f>
        <v>0</v>
      </c>
      <c r="CP835" t="e">
        <f>BT283</f>
        <v>#N/A</v>
      </c>
      <c r="CQ835" t="e">
        <f>BU283</f>
        <v>#N/A</v>
      </c>
      <c r="CR835">
        <f>IF(ISNUMBER(CP835),IFERROR(MAX(0,BV283-CP835),0),0)</f>
        <v>0</v>
      </c>
      <c r="CS835">
        <f>IF(ISNUMBER(CP835),IFERROR(MAX(0,CP835-BV283),0),0)</f>
        <v>0</v>
      </c>
      <c r="CT835">
        <f>IF(ISNUMBER(CQ835),IFERROR(MAX(0,BW283-CQ835),0),0)</f>
        <v>0</v>
      </c>
      <c r="CU835">
        <f>IF(ISNUMBER(CQ835),IFERROR(MAX(0,CQ835-BW283),0),0)</f>
        <v>0</v>
      </c>
    </row>
    <row r="836" spans="87:99" x14ac:dyDescent="0.3">
      <c r="CI836" t="e">
        <f>AP283</f>
        <v>#N/A</v>
      </c>
      <c r="CJ836" t="e">
        <f>AQ283</f>
        <v>#N/A</v>
      </c>
      <c r="CK836">
        <f>IF(ISNUMBER(CI836),IFERROR(MAX(0,AR283-CI836),0),0)</f>
        <v>0</v>
      </c>
      <c r="CL836">
        <f>IF(ISNUMBER(CI836),IFERROR(MAX(0,CI836-AR283),0),0)</f>
        <v>0</v>
      </c>
      <c r="CM836">
        <f>IF(ISNUMBER(CJ836),IFERROR(MAX(0,AS283-CJ836),0),0)</f>
        <v>0</v>
      </c>
      <c r="CN836">
        <f>IF(ISNUMBER(CJ836),IFERROR(MAX(0,CJ836-AS283),0),0)</f>
        <v>0</v>
      </c>
      <c r="CP836" t="e">
        <f>BX283</f>
        <v>#N/A</v>
      </c>
      <c r="CQ836" t="e">
        <f>BY283</f>
        <v>#N/A</v>
      </c>
      <c r="CR836">
        <f>IF(ISNUMBER(CP836),IFERROR(MAX(0,BZ283-CP836),0),0)</f>
        <v>0</v>
      </c>
      <c r="CS836">
        <f>IF(ISNUMBER(CP836),IFERROR(MAX(0,CP836-BZ283),0),0)</f>
        <v>0</v>
      </c>
      <c r="CT836">
        <f>IF(ISNUMBER(CQ836),IFERROR(MAX(0,CA283-CQ836),0),0)</f>
        <v>0</v>
      </c>
      <c r="CU836">
        <f>IF(ISNUMBER(CQ836),IFERROR(MAX(0,CQ836-CA283),0),0)</f>
        <v>0</v>
      </c>
    </row>
    <row r="837" spans="87:99" x14ac:dyDescent="0.3">
      <c r="CI837" t="e">
        <f>AT283</f>
        <v>#N/A</v>
      </c>
      <c r="CJ837" t="e">
        <f>AU283</f>
        <v>#N/A</v>
      </c>
      <c r="CK837">
        <f>IF(ISNUMBER(CI837),IFERROR(MAX(0,AV283-CI837),0),0)</f>
        <v>0</v>
      </c>
      <c r="CL837">
        <f>IF(ISNUMBER(CI837),IFERROR(MAX(0,CI837-AV283),0),0)</f>
        <v>0</v>
      </c>
      <c r="CM837">
        <f>IF(ISNUMBER(CJ837),IFERROR(MAX(0,AW283-CJ837),0),0)</f>
        <v>0</v>
      </c>
      <c r="CN837">
        <f>IF(ISNUMBER(CJ837),IFERROR(MAX(0,CJ837-AW283),0),0)</f>
        <v>0</v>
      </c>
      <c r="CP837" t="e">
        <f>CB283</f>
        <v>#N/A</v>
      </c>
      <c r="CQ837" t="e">
        <f>CC283</f>
        <v>#N/A</v>
      </c>
      <c r="CR837">
        <f>IF(ISNUMBER(CP837),IFERROR(MAX(0,CD283-CP837),0),0)</f>
        <v>0</v>
      </c>
      <c r="CS837">
        <f>IF(ISNUMBER(CP837),IFERROR(MAX(0,CP837-CD283),0),0)</f>
        <v>0</v>
      </c>
      <c r="CT837">
        <f>IF(ISNUMBER(CQ837),IFERROR(MAX(0,CE283-CQ837),0),0)</f>
        <v>0</v>
      </c>
      <c r="CU837">
        <f>IF(ISNUMBER(CQ837),IFERROR(MAX(0,CQ837-CE283),0),0)</f>
        <v>0</v>
      </c>
    </row>
    <row r="838" spans="87:99" x14ac:dyDescent="0.3">
      <c r="CI838" t="e">
        <f>AL284</f>
        <v>#N/A</v>
      </c>
      <c r="CJ838" t="e">
        <f>AM284</f>
        <v>#N/A</v>
      </c>
      <c r="CK838">
        <f>IF(ISNUMBER(CI838),IFERROR(MAX(0,AN284-CI838),0),0)</f>
        <v>0</v>
      </c>
      <c r="CL838">
        <f>IF(ISNUMBER(CI838),IFERROR(MAX(0,CI838-AN284),0),0)</f>
        <v>0</v>
      </c>
      <c r="CM838">
        <f>IF(ISNUMBER(CJ838),IFERROR(MAX(0,AO284-CJ838),0),0)</f>
        <v>0</v>
      </c>
      <c r="CN838">
        <f>IF(ISNUMBER(CJ838),IFERROR(MAX(0,CJ838-AO284),0),0)</f>
        <v>0</v>
      </c>
      <c r="CP838" t="e">
        <f>BT284</f>
        <v>#N/A</v>
      </c>
      <c r="CQ838" t="e">
        <f>BU284</f>
        <v>#N/A</v>
      </c>
      <c r="CR838">
        <f>IF(ISNUMBER(CP838),IFERROR(MAX(0,BV284-CP838),0),0)</f>
        <v>0</v>
      </c>
      <c r="CS838">
        <f>IF(ISNUMBER(CP838),IFERROR(MAX(0,CP838-BV284),0),0)</f>
        <v>0</v>
      </c>
      <c r="CT838">
        <f>IF(ISNUMBER(CQ838),IFERROR(MAX(0,BW284-CQ838),0),0)</f>
        <v>0</v>
      </c>
      <c r="CU838">
        <f>IF(ISNUMBER(CQ838),IFERROR(MAX(0,CQ838-BW284),0),0)</f>
        <v>0</v>
      </c>
    </row>
    <row r="839" spans="87:99" x14ac:dyDescent="0.3">
      <c r="CI839" t="e">
        <f>AP284</f>
        <v>#N/A</v>
      </c>
      <c r="CJ839" t="e">
        <f>AQ284</f>
        <v>#N/A</v>
      </c>
      <c r="CK839">
        <f>IF(ISNUMBER(CI839),IFERROR(MAX(0,AR284-CI839),0),0)</f>
        <v>0</v>
      </c>
      <c r="CL839">
        <f>IF(ISNUMBER(CI839),IFERROR(MAX(0,CI839-AR284),0),0)</f>
        <v>0</v>
      </c>
      <c r="CM839">
        <f>IF(ISNUMBER(CJ839),IFERROR(MAX(0,AS284-CJ839),0),0)</f>
        <v>0</v>
      </c>
      <c r="CN839">
        <f>IF(ISNUMBER(CJ839),IFERROR(MAX(0,CJ839-AS284),0),0)</f>
        <v>0</v>
      </c>
      <c r="CP839" t="e">
        <f>BX284</f>
        <v>#N/A</v>
      </c>
      <c r="CQ839" t="e">
        <f>BY284</f>
        <v>#N/A</v>
      </c>
      <c r="CR839">
        <f>IF(ISNUMBER(CP839),IFERROR(MAX(0,BZ284-CP839),0),0)</f>
        <v>0</v>
      </c>
      <c r="CS839">
        <f>IF(ISNUMBER(CP839),IFERROR(MAX(0,CP839-BZ284),0),0)</f>
        <v>0</v>
      </c>
      <c r="CT839">
        <f>IF(ISNUMBER(CQ839),IFERROR(MAX(0,CA284-CQ839),0),0)</f>
        <v>0</v>
      </c>
      <c r="CU839">
        <f>IF(ISNUMBER(CQ839),IFERROR(MAX(0,CQ839-CA284),0),0)</f>
        <v>0</v>
      </c>
    </row>
    <row r="840" spans="87:99" x14ac:dyDescent="0.3">
      <c r="CI840" t="e">
        <f>AT284</f>
        <v>#N/A</v>
      </c>
      <c r="CJ840" t="e">
        <f>AU284</f>
        <v>#N/A</v>
      </c>
      <c r="CK840">
        <f>IF(ISNUMBER(CI840),IFERROR(MAX(0,AV284-CI840),0),0)</f>
        <v>0</v>
      </c>
      <c r="CL840">
        <f>IF(ISNUMBER(CI840),IFERROR(MAX(0,CI840-AV284),0),0)</f>
        <v>0</v>
      </c>
      <c r="CM840">
        <f>IF(ISNUMBER(CJ840),IFERROR(MAX(0,AW284-CJ840),0),0)</f>
        <v>0</v>
      </c>
      <c r="CN840">
        <f>IF(ISNUMBER(CJ840),IFERROR(MAX(0,CJ840-AW284),0),0)</f>
        <v>0</v>
      </c>
      <c r="CP840" t="e">
        <f>CB284</f>
        <v>#N/A</v>
      </c>
      <c r="CQ840" t="e">
        <f>CC284</f>
        <v>#N/A</v>
      </c>
      <c r="CR840">
        <f>IF(ISNUMBER(CP840),IFERROR(MAX(0,CD284-CP840),0),0)</f>
        <v>0</v>
      </c>
      <c r="CS840">
        <f>IF(ISNUMBER(CP840),IFERROR(MAX(0,CP840-CD284),0),0)</f>
        <v>0</v>
      </c>
      <c r="CT840">
        <f>IF(ISNUMBER(CQ840),IFERROR(MAX(0,CE284-CQ840),0),0)</f>
        <v>0</v>
      </c>
      <c r="CU840">
        <f>IF(ISNUMBER(CQ840),IFERROR(MAX(0,CQ840-CE284),0),0)</f>
        <v>0</v>
      </c>
    </row>
    <row r="841" spans="87:99" x14ac:dyDescent="0.3">
      <c r="CI841" t="e">
        <f>AL285</f>
        <v>#N/A</v>
      </c>
      <c r="CJ841" t="e">
        <f>AM285</f>
        <v>#N/A</v>
      </c>
      <c r="CK841">
        <f>IF(ISNUMBER(CI841),IFERROR(MAX(0,AN285-CI841),0),0)</f>
        <v>0</v>
      </c>
      <c r="CL841">
        <f>IF(ISNUMBER(CI841),IFERROR(MAX(0,CI841-AN285),0),0)</f>
        <v>0</v>
      </c>
      <c r="CM841">
        <f>IF(ISNUMBER(CJ841),IFERROR(MAX(0,AO285-CJ841),0),0)</f>
        <v>0</v>
      </c>
      <c r="CN841">
        <f>IF(ISNUMBER(CJ841),IFERROR(MAX(0,CJ841-AO285),0),0)</f>
        <v>0</v>
      </c>
      <c r="CP841" t="e">
        <f>BT285</f>
        <v>#N/A</v>
      </c>
      <c r="CQ841" t="e">
        <f>BU285</f>
        <v>#N/A</v>
      </c>
      <c r="CR841">
        <f>IF(ISNUMBER(CP841),IFERROR(MAX(0,BV285-CP841),0),0)</f>
        <v>0</v>
      </c>
      <c r="CS841">
        <f>IF(ISNUMBER(CP841),IFERROR(MAX(0,CP841-BV285),0),0)</f>
        <v>0</v>
      </c>
      <c r="CT841">
        <f>IF(ISNUMBER(CQ841),IFERROR(MAX(0,BW285-CQ841),0),0)</f>
        <v>0</v>
      </c>
      <c r="CU841">
        <f>IF(ISNUMBER(CQ841),IFERROR(MAX(0,CQ841-BW285),0),0)</f>
        <v>0</v>
      </c>
    </row>
    <row r="842" spans="87:99" x14ac:dyDescent="0.3">
      <c r="CI842" t="e">
        <f>AP285</f>
        <v>#N/A</v>
      </c>
      <c r="CJ842" t="e">
        <f>AQ285</f>
        <v>#N/A</v>
      </c>
      <c r="CK842">
        <f>IF(ISNUMBER(CI842),IFERROR(MAX(0,AR285-CI842),0),0)</f>
        <v>0</v>
      </c>
      <c r="CL842">
        <f>IF(ISNUMBER(CI842),IFERROR(MAX(0,CI842-AR285),0),0)</f>
        <v>0</v>
      </c>
      <c r="CM842">
        <f>IF(ISNUMBER(CJ842),IFERROR(MAX(0,AS285-CJ842),0),0)</f>
        <v>0</v>
      </c>
      <c r="CN842">
        <f>IF(ISNUMBER(CJ842),IFERROR(MAX(0,CJ842-AS285),0),0)</f>
        <v>0</v>
      </c>
      <c r="CP842" t="e">
        <f>BX285</f>
        <v>#N/A</v>
      </c>
      <c r="CQ842" t="e">
        <f>BY285</f>
        <v>#N/A</v>
      </c>
      <c r="CR842">
        <f>IF(ISNUMBER(CP842),IFERROR(MAX(0,BZ285-CP842),0),0)</f>
        <v>0</v>
      </c>
      <c r="CS842">
        <f>IF(ISNUMBER(CP842),IFERROR(MAX(0,CP842-BZ285),0),0)</f>
        <v>0</v>
      </c>
      <c r="CT842">
        <f>IF(ISNUMBER(CQ842),IFERROR(MAX(0,CA285-CQ842),0),0)</f>
        <v>0</v>
      </c>
      <c r="CU842">
        <f>IF(ISNUMBER(CQ842),IFERROR(MAX(0,CQ842-CA285),0),0)</f>
        <v>0</v>
      </c>
    </row>
    <row r="843" spans="87:99" x14ac:dyDescent="0.3">
      <c r="CI843" t="e">
        <f>AT285</f>
        <v>#N/A</v>
      </c>
      <c r="CJ843" t="e">
        <f>AU285</f>
        <v>#N/A</v>
      </c>
      <c r="CK843">
        <f>IF(ISNUMBER(CI843),IFERROR(MAX(0,AV285-CI843),0),0)</f>
        <v>0</v>
      </c>
      <c r="CL843">
        <f>IF(ISNUMBER(CI843),IFERROR(MAX(0,CI843-AV285),0),0)</f>
        <v>0</v>
      </c>
      <c r="CM843">
        <f>IF(ISNUMBER(CJ843),IFERROR(MAX(0,AW285-CJ843),0),0)</f>
        <v>0</v>
      </c>
      <c r="CN843">
        <f>IF(ISNUMBER(CJ843),IFERROR(MAX(0,CJ843-AW285),0),0)</f>
        <v>0</v>
      </c>
      <c r="CP843" t="e">
        <f>CB285</f>
        <v>#N/A</v>
      </c>
      <c r="CQ843" t="e">
        <f>CC285</f>
        <v>#N/A</v>
      </c>
      <c r="CR843">
        <f>IF(ISNUMBER(CP843),IFERROR(MAX(0,CD285-CP843),0),0)</f>
        <v>0</v>
      </c>
      <c r="CS843">
        <f>IF(ISNUMBER(CP843),IFERROR(MAX(0,CP843-CD285),0),0)</f>
        <v>0</v>
      </c>
      <c r="CT843">
        <f>IF(ISNUMBER(CQ843),IFERROR(MAX(0,CE285-CQ843),0),0)</f>
        <v>0</v>
      </c>
      <c r="CU843">
        <f>IF(ISNUMBER(CQ843),IFERROR(MAX(0,CQ843-CE285),0),0)</f>
        <v>0</v>
      </c>
    </row>
    <row r="844" spans="87:99" x14ac:dyDescent="0.3">
      <c r="CI844" t="e">
        <f>AL286</f>
        <v>#N/A</v>
      </c>
      <c r="CJ844" t="e">
        <f>AM286</f>
        <v>#N/A</v>
      </c>
      <c r="CK844">
        <f>IF(ISNUMBER(CI844),IFERROR(MAX(0,AN286-CI844),0),0)</f>
        <v>0</v>
      </c>
      <c r="CL844">
        <f>IF(ISNUMBER(CI844),IFERROR(MAX(0,CI844-AN286),0),0)</f>
        <v>0</v>
      </c>
      <c r="CM844">
        <f>IF(ISNUMBER(CJ844),IFERROR(MAX(0,AO286-CJ844),0),0)</f>
        <v>0</v>
      </c>
      <c r="CN844">
        <f>IF(ISNUMBER(CJ844),IFERROR(MAX(0,CJ844-AO286),0),0)</f>
        <v>0</v>
      </c>
      <c r="CP844" t="e">
        <f>BT286</f>
        <v>#N/A</v>
      </c>
      <c r="CQ844" t="e">
        <f>BU286</f>
        <v>#N/A</v>
      </c>
      <c r="CR844">
        <f>IF(ISNUMBER(CP844),IFERROR(MAX(0,BV286-CP844),0),0)</f>
        <v>0</v>
      </c>
      <c r="CS844">
        <f>IF(ISNUMBER(CP844),IFERROR(MAX(0,CP844-BV286),0),0)</f>
        <v>0</v>
      </c>
      <c r="CT844">
        <f>IF(ISNUMBER(CQ844),IFERROR(MAX(0,BW286-CQ844),0),0)</f>
        <v>0</v>
      </c>
      <c r="CU844">
        <f>IF(ISNUMBER(CQ844),IFERROR(MAX(0,CQ844-BW286),0),0)</f>
        <v>0</v>
      </c>
    </row>
    <row r="845" spans="87:99" x14ac:dyDescent="0.3">
      <c r="CI845" t="e">
        <f>AP286</f>
        <v>#N/A</v>
      </c>
      <c r="CJ845" t="e">
        <f>AQ286</f>
        <v>#N/A</v>
      </c>
      <c r="CK845">
        <f>IF(ISNUMBER(CI845),IFERROR(MAX(0,AR286-CI845),0),0)</f>
        <v>0</v>
      </c>
      <c r="CL845">
        <f>IF(ISNUMBER(CI845),IFERROR(MAX(0,CI845-AR286),0),0)</f>
        <v>0</v>
      </c>
      <c r="CM845">
        <f>IF(ISNUMBER(CJ845),IFERROR(MAX(0,AS286-CJ845),0),0)</f>
        <v>0</v>
      </c>
      <c r="CN845">
        <f>IF(ISNUMBER(CJ845),IFERROR(MAX(0,CJ845-AS286),0),0)</f>
        <v>0</v>
      </c>
      <c r="CP845" t="e">
        <f>BX286</f>
        <v>#N/A</v>
      </c>
      <c r="CQ845" t="e">
        <f>BY286</f>
        <v>#N/A</v>
      </c>
      <c r="CR845">
        <f>IF(ISNUMBER(CP845),IFERROR(MAX(0,BZ286-CP845),0),0)</f>
        <v>0</v>
      </c>
      <c r="CS845">
        <f>IF(ISNUMBER(CP845),IFERROR(MAX(0,CP845-BZ286),0),0)</f>
        <v>0</v>
      </c>
      <c r="CT845">
        <f>IF(ISNUMBER(CQ845),IFERROR(MAX(0,CA286-CQ845),0),0)</f>
        <v>0</v>
      </c>
      <c r="CU845">
        <f>IF(ISNUMBER(CQ845),IFERROR(MAX(0,CQ845-CA286),0),0)</f>
        <v>0</v>
      </c>
    </row>
    <row r="846" spans="87:99" x14ac:dyDescent="0.3">
      <c r="CI846" t="e">
        <f>AT286</f>
        <v>#N/A</v>
      </c>
      <c r="CJ846" t="e">
        <f>AU286</f>
        <v>#N/A</v>
      </c>
      <c r="CK846">
        <f>IF(ISNUMBER(CI846),IFERROR(MAX(0,AV286-CI846),0),0)</f>
        <v>0</v>
      </c>
      <c r="CL846">
        <f>IF(ISNUMBER(CI846),IFERROR(MAX(0,CI846-AV286),0),0)</f>
        <v>0</v>
      </c>
      <c r="CM846">
        <f>IF(ISNUMBER(CJ846),IFERROR(MAX(0,AW286-CJ846),0),0)</f>
        <v>0</v>
      </c>
      <c r="CN846">
        <f>IF(ISNUMBER(CJ846),IFERROR(MAX(0,CJ846-AW286),0),0)</f>
        <v>0</v>
      </c>
      <c r="CP846" t="e">
        <f>CB286</f>
        <v>#N/A</v>
      </c>
      <c r="CQ846" t="e">
        <f>CC286</f>
        <v>#N/A</v>
      </c>
      <c r="CR846">
        <f>IF(ISNUMBER(CP846),IFERROR(MAX(0,CD286-CP846),0),0)</f>
        <v>0</v>
      </c>
      <c r="CS846">
        <f>IF(ISNUMBER(CP846),IFERROR(MAX(0,CP846-CD286),0),0)</f>
        <v>0</v>
      </c>
      <c r="CT846">
        <f>IF(ISNUMBER(CQ846),IFERROR(MAX(0,CE286-CQ846),0),0)</f>
        <v>0</v>
      </c>
      <c r="CU846">
        <f>IF(ISNUMBER(CQ846),IFERROR(MAX(0,CQ846-CE286),0),0)</f>
        <v>0</v>
      </c>
    </row>
    <row r="847" spans="87:99" x14ac:dyDescent="0.3">
      <c r="CI847" t="e">
        <f>AL287</f>
        <v>#N/A</v>
      </c>
      <c r="CJ847" t="e">
        <f>AM287</f>
        <v>#N/A</v>
      </c>
      <c r="CK847">
        <f>IF(ISNUMBER(CI847),IFERROR(MAX(0,AN287-CI847),0),0)</f>
        <v>0</v>
      </c>
      <c r="CL847">
        <f>IF(ISNUMBER(CI847),IFERROR(MAX(0,CI847-AN287),0),0)</f>
        <v>0</v>
      </c>
      <c r="CM847">
        <f>IF(ISNUMBER(CJ847),IFERROR(MAX(0,AO287-CJ847),0),0)</f>
        <v>0</v>
      </c>
      <c r="CN847">
        <f>IF(ISNUMBER(CJ847),IFERROR(MAX(0,CJ847-AO287),0),0)</f>
        <v>0</v>
      </c>
      <c r="CP847" t="e">
        <f>BT287</f>
        <v>#N/A</v>
      </c>
      <c r="CQ847" t="e">
        <f>BU287</f>
        <v>#N/A</v>
      </c>
      <c r="CR847">
        <f>IF(ISNUMBER(CP847),IFERROR(MAX(0,BV287-CP847),0),0)</f>
        <v>0</v>
      </c>
      <c r="CS847">
        <f>IF(ISNUMBER(CP847),IFERROR(MAX(0,CP847-BV287),0),0)</f>
        <v>0</v>
      </c>
      <c r="CT847">
        <f>IF(ISNUMBER(CQ847),IFERROR(MAX(0,BW287-CQ847),0),0)</f>
        <v>0</v>
      </c>
      <c r="CU847">
        <f>IF(ISNUMBER(CQ847),IFERROR(MAX(0,CQ847-BW287),0),0)</f>
        <v>0</v>
      </c>
    </row>
    <row r="848" spans="87:99" x14ac:dyDescent="0.3">
      <c r="CI848" t="e">
        <f>AP287</f>
        <v>#N/A</v>
      </c>
      <c r="CJ848" t="e">
        <f>AQ287</f>
        <v>#N/A</v>
      </c>
      <c r="CK848">
        <f>IF(ISNUMBER(CI848),IFERROR(MAX(0,AR287-CI848),0),0)</f>
        <v>0</v>
      </c>
      <c r="CL848">
        <f>IF(ISNUMBER(CI848),IFERROR(MAX(0,CI848-AR287),0),0)</f>
        <v>0</v>
      </c>
      <c r="CM848">
        <f>IF(ISNUMBER(CJ848),IFERROR(MAX(0,AS287-CJ848),0),0)</f>
        <v>0</v>
      </c>
      <c r="CN848">
        <f>IF(ISNUMBER(CJ848),IFERROR(MAX(0,CJ848-AS287),0),0)</f>
        <v>0</v>
      </c>
      <c r="CP848" t="e">
        <f>BX287</f>
        <v>#N/A</v>
      </c>
      <c r="CQ848" t="e">
        <f>BY287</f>
        <v>#N/A</v>
      </c>
      <c r="CR848">
        <f>IF(ISNUMBER(CP848),IFERROR(MAX(0,BZ287-CP848),0),0)</f>
        <v>0</v>
      </c>
      <c r="CS848">
        <f>IF(ISNUMBER(CP848),IFERROR(MAX(0,CP848-BZ287),0),0)</f>
        <v>0</v>
      </c>
      <c r="CT848">
        <f>IF(ISNUMBER(CQ848),IFERROR(MAX(0,CA287-CQ848),0),0)</f>
        <v>0</v>
      </c>
      <c r="CU848">
        <f>IF(ISNUMBER(CQ848),IFERROR(MAX(0,CQ848-CA287),0),0)</f>
        <v>0</v>
      </c>
    </row>
    <row r="849" spans="87:99" x14ac:dyDescent="0.3">
      <c r="CI849" t="e">
        <f>AT287</f>
        <v>#N/A</v>
      </c>
      <c r="CJ849" t="e">
        <f>AU287</f>
        <v>#N/A</v>
      </c>
      <c r="CK849">
        <f>IF(ISNUMBER(CI849),IFERROR(MAX(0,AV287-CI849),0),0)</f>
        <v>0</v>
      </c>
      <c r="CL849">
        <f>IF(ISNUMBER(CI849),IFERROR(MAX(0,CI849-AV287),0),0)</f>
        <v>0</v>
      </c>
      <c r="CM849">
        <f>IF(ISNUMBER(CJ849),IFERROR(MAX(0,AW287-CJ849),0),0)</f>
        <v>0</v>
      </c>
      <c r="CN849">
        <f>IF(ISNUMBER(CJ849),IFERROR(MAX(0,CJ849-AW287),0),0)</f>
        <v>0</v>
      </c>
      <c r="CP849" t="e">
        <f>CB287</f>
        <v>#N/A</v>
      </c>
      <c r="CQ849" t="e">
        <f>CC287</f>
        <v>#N/A</v>
      </c>
      <c r="CR849">
        <f>IF(ISNUMBER(CP849),IFERROR(MAX(0,CD287-CP849),0),0)</f>
        <v>0</v>
      </c>
      <c r="CS849">
        <f>IF(ISNUMBER(CP849),IFERROR(MAX(0,CP849-CD287),0),0)</f>
        <v>0</v>
      </c>
      <c r="CT849">
        <f>IF(ISNUMBER(CQ849),IFERROR(MAX(0,CE287-CQ849),0),0)</f>
        <v>0</v>
      </c>
      <c r="CU849">
        <f>IF(ISNUMBER(CQ849),IFERROR(MAX(0,CQ849-CE287),0),0)</f>
        <v>0</v>
      </c>
    </row>
    <row r="850" spans="87:99" x14ac:dyDescent="0.3">
      <c r="CI850" t="e">
        <f>AL288</f>
        <v>#N/A</v>
      </c>
      <c r="CJ850" t="e">
        <f>AM288</f>
        <v>#N/A</v>
      </c>
      <c r="CK850">
        <f>IF(ISNUMBER(CI850),IFERROR(MAX(0,AN288-CI850),0),0)</f>
        <v>0</v>
      </c>
      <c r="CL850">
        <f>IF(ISNUMBER(CI850),IFERROR(MAX(0,CI850-AN288),0),0)</f>
        <v>0</v>
      </c>
      <c r="CM850">
        <f>IF(ISNUMBER(CJ850),IFERROR(MAX(0,AO288-CJ850),0),0)</f>
        <v>0</v>
      </c>
      <c r="CN850">
        <f>IF(ISNUMBER(CJ850),IFERROR(MAX(0,CJ850-AO288),0),0)</f>
        <v>0</v>
      </c>
      <c r="CP850" t="e">
        <f>BT288</f>
        <v>#N/A</v>
      </c>
      <c r="CQ850" t="e">
        <f>BU288</f>
        <v>#N/A</v>
      </c>
      <c r="CR850">
        <f>IF(ISNUMBER(CP850),IFERROR(MAX(0,BV288-CP850),0),0)</f>
        <v>0</v>
      </c>
      <c r="CS850">
        <f>IF(ISNUMBER(CP850),IFERROR(MAX(0,CP850-BV288),0),0)</f>
        <v>0</v>
      </c>
      <c r="CT850">
        <f>IF(ISNUMBER(CQ850),IFERROR(MAX(0,BW288-CQ850),0),0)</f>
        <v>0</v>
      </c>
      <c r="CU850">
        <f>IF(ISNUMBER(CQ850),IFERROR(MAX(0,CQ850-BW288),0),0)</f>
        <v>0</v>
      </c>
    </row>
    <row r="851" spans="87:99" x14ac:dyDescent="0.3">
      <c r="CI851" t="e">
        <f>AP288</f>
        <v>#N/A</v>
      </c>
      <c r="CJ851" t="e">
        <f>AQ288</f>
        <v>#N/A</v>
      </c>
      <c r="CK851">
        <f>IF(ISNUMBER(CI851),IFERROR(MAX(0,AR288-CI851),0),0)</f>
        <v>0</v>
      </c>
      <c r="CL851">
        <f>IF(ISNUMBER(CI851),IFERROR(MAX(0,CI851-AR288),0),0)</f>
        <v>0</v>
      </c>
      <c r="CM851">
        <f>IF(ISNUMBER(CJ851),IFERROR(MAX(0,AS288-CJ851),0),0)</f>
        <v>0</v>
      </c>
      <c r="CN851">
        <f>IF(ISNUMBER(CJ851),IFERROR(MAX(0,CJ851-AS288),0),0)</f>
        <v>0</v>
      </c>
      <c r="CP851" t="e">
        <f>BX288</f>
        <v>#N/A</v>
      </c>
      <c r="CQ851" t="e">
        <f>BY288</f>
        <v>#N/A</v>
      </c>
      <c r="CR851">
        <f>IF(ISNUMBER(CP851),IFERROR(MAX(0,BZ288-CP851),0),0)</f>
        <v>0</v>
      </c>
      <c r="CS851">
        <f>IF(ISNUMBER(CP851),IFERROR(MAX(0,CP851-BZ288),0),0)</f>
        <v>0</v>
      </c>
      <c r="CT851">
        <f>IF(ISNUMBER(CQ851),IFERROR(MAX(0,CA288-CQ851),0),0)</f>
        <v>0</v>
      </c>
      <c r="CU851">
        <f>IF(ISNUMBER(CQ851),IFERROR(MAX(0,CQ851-CA288),0),0)</f>
        <v>0</v>
      </c>
    </row>
    <row r="852" spans="87:99" x14ac:dyDescent="0.3">
      <c r="CI852" t="e">
        <f>AT288</f>
        <v>#N/A</v>
      </c>
      <c r="CJ852" t="e">
        <f>AU288</f>
        <v>#N/A</v>
      </c>
      <c r="CK852">
        <f>IF(ISNUMBER(CI852),IFERROR(MAX(0,AV288-CI852),0),0)</f>
        <v>0</v>
      </c>
      <c r="CL852">
        <f>IF(ISNUMBER(CI852),IFERROR(MAX(0,CI852-AV288),0),0)</f>
        <v>0</v>
      </c>
      <c r="CM852">
        <f>IF(ISNUMBER(CJ852),IFERROR(MAX(0,AW288-CJ852),0),0)</f>
        <v>0</v>
      </c>
      <c r="CN852">
        <f>IF(ISNUMBER(CJ852),IFERROR(MAX(0,CJ852-AW288),0),0)</f>
        <v>0</v>
      </c>
      <c r="CP852" t="e">
        <f>CB288</f>
        <v>#N/A</v>
      </c>
      <c r="CQ852" t="e">
        <f>CC288</f>
        <v>#N/A</v>
      </c>
      <c r="CR852">
        <f>IF(ISNUMBER(CP852),IFERROR(MAX(0,CD288-CP852),0),0)</f>
        <v>0</v>
      </c>
      <c r="CS852">
        <f>IF(ISNUMBER(CP852),IFERROR(MAX(0,CP852-CD288),0),0)</f>
        <v>0</v>
      </c>
      <c r="CT852">
        <f>IF(ISNUMBER(CQ852),IFERROR(MAX(0,CE288-CQ852),0),0)</f>
        <v>0</v>
      </c>
      <c r="CU852">
        <f>IF(ISNUMBER(CQ852),IFERROR(MAX(0,CQ852-CE288),0),0)</f>
        <v>0</v>
      </c>
    </row>
    <row r="853" spans="87:99" x14ac:dyDescent="0.3">
      <c r="CI853" t="e">
        <f>AL289</f>
        <v>#N/A</v>
      </c>
      <c r="CJ853" t="e">
        <f>AM289</f>
        <v>#N/A</v>
      </c>
      <c r="CK853">
        <f>IF(ISNUMBER(CI853),IFERROR(MAX(0,AN289-CI853),0),0)</f>
        <v>0</v>
      </c>
      <c r="CL853">
        <f>IF(ISNUMBER(CI853),IFERROR(MAX(0,CI853-AN289),0),0)</f>
        <v>0</v>
      </c>
      <c r="CM853">
        <f>IF(ISNUMBER(CJ853),IFERROR(MAX(0,AO289-CJ853),0),0)</f>
        <v>0</v>
      </c>
      <c r="CN853">
        <f>IF(ISNUMBER(CJ853),IFERROR(MAX(0,CJ853-AO289),0),0)</f>
        <v>0</v>
      </c>
      <c r="CP853" t="e">
        <f>BT289</f>
        <v>#N/A</v>
      </c>
      <c r="CQ853" t="e">
        <f>BU289</f>
        <v>#N/A</v>
      </c>
      <c r="CR853">
        <f>IF(ISNUMBER(CP853),IFERROR(MAX(0,BV289-CP853),0),0)</f>
        <v>0</v>
      </c>
      <c r="CS853">
        <f>IF(ISNUMBER(CP853),IFERROR(MAX(0,CP853-BV289),0),0)</f>
        <v>0</v>
      </c>
      <c r="CT853">
        <f>IF(ISNUMBER(CQ853),IFERROR(MAX(0,BW289-CQ853),0),0)</f>
        <v>0</v>
      </c>
      <c r="CU853">
        <f>IF(ISNUMBER(CQ853),IFERROR(MAX(0,CQ853-BW289),0),0)</f>
        <v>0</v>
      </c>
    </row>
    <row r="854" spans="87:99" x14ac:dyDescent="0.3">
      <c r="CI854" t="e">
        <f>AP289</f>
        <v>#N/A</v>
      </c>
      <c r="CJ854" t="e">
        <f>AQ289</f>
        <v>#N/A</v>
      </c>
      <c r="CK854">
        <f>IF(ISNUMBER(CI854),IFERROR(MAX(0,AR289-CI854),0),0)</f>
        <v>0</v>
      </c>
      <c r="CL854">
        <f>IF(ISNUMBER(CI854),IFERROR(MAX(0,CI854-AR289),0),0)</f>
        <v>0</v>
      </c>
      <c r="CM854">
        <f>IF(ISNUMBER(CJ854),IFERROR(MAX(0,AS289-CJ854),0),0)</f>
        <v>0</v>
      </c>
      <c r="CN854">
        <f>IF(ISNUMBER(CJ854),IFERROR(MAX(0,CJ854-AS289),0),0)</f>
        <v>0</v>
      </c>
      <c r="CP854" t="e">
        <f>BX289</f>
        <v>#N/A</v>
      </c>
      <c r="CQ854" t="e">
        <f>BY289</f>
        <v>#N/A</v>
      </c>
      <c r="CR854">
        <f>IF(ISNUMBER(CP854),IFERROR(MAX(0,BZ289-CP854),0),0)</f>
        <v>0</v>
      </c>
      <c r="CS854">
        <f>IF(ISNUMBER(CP854),IFERROR(MAX(0,CP854-BZ289),0),0)</f>
        <v>0</v>
      </c>
      <c r="CT854">
        <f>IF(ISNUMBER(CQ854),IFERROR(MAX(0,CA289-CQ854),0),0)</f>
        <v>0</v>
      </c>
      <c r="CU854">
        <f>IF(ISNUMBER(CQ854),IFERROR(MAX(0,CQ854-CA289),0),0)</f>
        <v>0</v>
      </c>
    </row>
    <row r="855" spans="87:99" x14ac:dyDescent="0.3">
      <c r="CI855" t="e">
        <f>AT289</f>
        <v>#N/A</v>
      </c>
      <c r="CJ855" t="e">
        <f>AU289</f>
        <v>#N/A</v>
      </c>
      <c r="CK855">
        <f>IF(ISNUMBER(CI855),IFERROR(MAX(0,AV289-CI855),0),0)</f>
        <v>0</v>
      </c>
      <c r="CL855">
        <f>IF(ISNUMBER(CI855),IFERROR(MAX(0,CI855-AV289),0),0)</f>
        <v>0</v>
      </c>
      <c r="CM855">
        <f>IF(ISNUMBER(CJ855),IFERROR(MAX(0,AW289-CJ855),0),0)</f>
        <v>0</v>
      </c>
      <c r="CN855">
        <f>IF(ISNUMBER(CJ855),IFERROR(MAX(0,CJ855-AW289),0),0)</f>
        <v>0</v>
      </c>
      <c r="CP855" t="e">
        <f>CB289</f>
        <v>#N/A</v>
      </c>
      <c r="CQ855" t="e">
        <f>CC289</f>
        <v>#N/A</v>
      </c>
      <c r="CR855">
        <f>IF(ISNUMBER(CP855),IFERROR(MAX(0,CD289-CP855),0),0)</f>
        <v>0</v>
      </c>
      <c r="CS855">
        <f>IF(ISNUMBER(CP855),IFERROR(MAX(0,CP855-CD289),0),0)</f>
        <v>0</v>
      </c>
      <c r="CT855">
        <f>IF(ISNUMBER(CQ855),IFERROR(MAX(0,CE289-CQ855),0),0)</f>
        <v>0</v>
      </c>
      <c r="CU855">
        <f>IF(ISNUMBER(CQ855),IFERROR(MAX(0,CQ855-CE289),0),0)</f>
        <v>0</v>
      </c>
    </row>
    <row r="856" spans="87:99" x14ac:dyDescent="0.3">
      <c r="CI856" t="e">
        <f>AL290</f>
        <v>#N/A</v>
      </c>
      <c r="CJ856" t="e">
        <f>AM290</f>
        <v>#N/A</v>
      </c>
      <c r="CK856">
        <f>IF(ISNUMBER(CI856),IFERROR(MAX(0,AN290-CI856),0),0)</f>
        <v>0</v>
      </c>
      <c r="CL856">
        <f>IF(ISNUMBER(CI856),IFERROR(MAX(0,CI856-AN290),0),0)</f>
        <v>0</v>
      </c>
      <c r="CM856">
        <f>IF(ISNUMBER(CJ856),IFERROR(MAX(0,AO290-CJ856),0),0)</f>
        <v>0</v>
      </c>
      <c r="CN856">
        <f>IF(ISNUMBER(CJ856),IFERROR(MAX(0,CJ856-AO290),0),0)</f>
        <v>0</v>
      </c>
      <c r="CP856" t="e">
        <f>BT290</f>
        <v>#N/A</v>
      </c>
      <c r="CQ856" t="e">
        <f>BU290</f>
        <v>#N/A</v>
      </c>
      <c r="CR856">
        <f>IF(ISNUMBER(CP856),IFERROR(MAX(0,BV290-CP856),0),0)</f>
        <v>0</v>
      </c>
      <c r="CS856">
        <f>IF(ISNUMBER(CP856),IFERROR(MAX(0,CP856-BV290),0),0)</f>
        <v>0</v>
      </c>
      <c r="CT856">
        <f>IF(ISNUMBER(CQ856),IFERROR(MAX(0,BW290-CQ856),0),0)</f>
        <v>0</v>
      </c>
      <c r="CU856">
        <f>IF(ISNUMBER(CQ856),IFERROR(MAX(0,CQ856-BW290),0),0)</f>
        <v>0</v>
      </c>
    </row>
    <row r="857" spans="87:99" x14ac:dyDescent="0.3">
      <c r="CI857" t="e">
        <f>AP290</f>
        <v>#N/A</v>
      </c>
      <c r="CJ857" t="e">
        <f>AQ290</f>
        <v>#N/A</v>
      </c>
      <c r="CK857">
        <f>IF(ISNUMBER(CI857),IFERROR(MAX(0,AR290-CI857),0),0)</f>
        <v>0</v>
      </c>
      <c r="CL857">
        <f>IF(ISNUMBER(CI857),IFERROR(MAX(0,CI857-AR290),0),0)</f>
        <v>0</v>
      </c>
      <c r="CM857">
        <f>IF(ISNUMBER(CJ857),IFERROR(MAX(0,AS290-CJ857),0),0)</f>
        <v>0</v>
      </c>
      <c r="CN857">
        <f>IF(ISNUMBER(CJ857),IFERROR(MAX(0,CJ857-AS290),0),0)</f>
        <v>0</v>
      </c>
      <c r="CP857" t="e">
        <f>BX290</f>
        <v>#N/A</v>
      </c>
      <c r="CQ857" t="e">
        <f>BY290</f>
        <v>#N/A</v>
      </c>
      <c r="CR857">
        <f>IF(ISNUMBER(CP857),IFERROR(MAX(0,BZ290-CP857),0),0)</f>
        <v>0</v>
      </c>
      <c r="CS857">
        <f>IF(ISNUMBER(CP857),IFERROR(MAX(0,CP857-BZ290),0),0)</f>
        <v>0</v>
      </c>
      <c r="CT857">
        <f>IF(ISNUMBER(CQ857),IFERROR(MAX(0,CA290-CQ857),0),0)</f>
        <v>0</v>
      </c>
      <c r="CU857">
        <f>IF(ISNUMBER(CQ857),IFERROR(MAX(0,CQ857-CA290),0),0)</f>
        <v>0</v>
      </c>
    </row>
    <row r="858" spans="87:99" x14ac:dyDescent="0.3">
      <c r="CI858" t="e">
        <f>AT290</f>
        <v>#N/A</v>
      </c>
      <c r="CJ858" t="e">
        <f>AU290</f>
        <v>#N/A</v>
      </c>
      <c r="CK858">
        <f>IF(ISNUMBER(CI858),IFERROR(MAX(0,AV290-CI858),0),0)</f>
        <v>0</v>
      </c>
      <c r="CL858">
        <f>IF(ISNUMBER(CI858),IFERROR(MAX(0,CI858-AV290),0),0)</f>
        <v>0</v>
      </c>
      <c r="CM858">
        <f>IF(ISNUMBER(CJ858),IFERROR(MAX(0,AW290-CJ858),0),0)</f>
        <v>0</v>
      </c>
      <c r="CN858">
        <f>IF(ISNUMBER(CJ858),IFERROR(MAX(0,CJ858-AW290),0),0)</f>
        <v>0</v>
      </c>
      <c r="CP858" t="e">
        <f>CB290</f>
        <v>#N/A</v>
      </c>
      <c r="CQ858" t="e">
        <f>CC290</f>
        <v>#N/A</v>
      </c>
      <c r="CR858">
        <f>IF(ISNUMBER(CP858),IFERROR(MAX(0,CD290-CP858),0),0)</f>
        <v>0</v>
      </c>
      <c r="CS858">
        <f>IF(ISNUMBER(CP858),IFERROR(MAX(0,CP858-CD290),0),0)</f>
        <v>0</v>
      </c>
      <c r="CT858">
        <f>IF(ISNUMBER(CQ858),IFERROR(MAX(0,CE290-CQ858),0),0)</f>
        <v>0</v>
      </c>
      <c r="CU858">
        <f>IF(ISNUMBER(CQ858),IFERROR(MAX(0,CQ858-CE290),0),0)</f>
        <v>0</v>
      </c>
    </row>
    <row r="859" spans="87:99" x14ac:dyDescent="0.3">
      <c r="CI859" t="e">
        <f>AL291</f>
        <v>#N/A</v>
      </c>
      <c r="CJ859" t="e">
        <f>AM291</f>
        <v>#N/A</v>
      </c>
      <c r="CK859">
        <f>IF(ISNUMBER(CI859),IFERROR(MAX(0,AN291-CI859),0),0)</f>
        <v>0</v>
      </c>
      <c r="CL859">
        <f>IF(ISNUMBER(CI859),IFERROR(MAX(0,CI859-AN291),0),0)</f>
        <v>0</v>
      </c>
      <c r="CM859">
        <f>IF(ISNUMBER(CJ859),IFERROR(MAX(0,AO291-CJ859),0),0)</f>
        <v>0</v>
      </c>
      <c r="CN859">
        <f>IF(ISNUMBER(CJ859),IFERROR(MAX(0,CJ859-AO291),0),0)</f>
        <v>0</v>
      </c>
      <c r="CP859" t="e">
        <f>BT291</f>
        <v>#N/A</v>
      </c>
      <c r="CQ859" t="e">
        <f>BU291</f>
        <v>#N/A</v>
      </c>
      <c r="CR859">
        <f>IF(ISNUMBER(CP859),IFERROR(MAX(0,BV291-CP859),0),0)</f>
        <v>0</v>
      </c>
      <c r="CS859">
        <f>IF(ISNUMBER(CP859),IFERROR(MAX(0,CP859-BV291),0),0)</f>
        <v>0</v>
      </c>
      <c r="CT859">
        <f>IF(ISNUMBER(CQ859),IFERROR(MAX(0,BW291-CQ859),0),0)</f>
        <v>0</v>
      </c>
      <c r="CU859">
        <f>IF(ISNUMBER(CQ859),IFERROR(MAX(0,CQ859-BW291),0),0)</f>
        <v>0</v>
      </c>
    </row>
    <row r="860" spans="87:99" x14ac:dyDescent="0.3">
      <c r="CI860" t="e">
        <f>AP291</f>
        <v>#N/A</v>
      </c>
      <c r="CJ860" t="e">
        <f>AQ291</f>
        <v>#N/A</v>
      </c>
      <c r="CK860">
        <f>IF(ISNUMBER(CI860),IFERROR(MAX(0,AR291-CI860),0),0)</f>
        <v>0</v>
      </c>
      <c r="CL860">
        <f>IF(ISNUMBER(CI860),IFERROR(MAX(0,CI860-AR291),0),0)</f>
        <v>0</v>
      </c>
      <c r="CM860">
        <f>IF(ISNUMBER(CJ860),IFERROR(MAX(0,AS291-CJ860),0),0)</f>
        <v>0</v>
      </c>
      <c r="CN860">
        <f>IF(ISNUMBER(CJ860),IFERROR(MAX(0,CJ860-AS291),0),0)</f>
        <v>0</v>
      </c>
      <c r="CP860" t="e">
        <f>BX291</f>
        <v>#N/A</v>
      </c>
      <c r="CQ860" t="e">
        <f>BY291</f>
        <v>#N/A</v>
      </c>
      <c r="CR860">
        <f>IF(ISNUMBER(CP860),IFERROR(MAX(0,BZ291-CP860),0),0)</f>
        <v>0</v>
      </c>
      <c r="CS860">
        <f>IF(ISNUMBER(CP860),IFERROR(MAX(0,CP860-BZ291),0),0)</f>
        <v>0</v>
      </c>
      <c r="CT860">
        <f>IF(ISNUMBER(CQ860),IFERROR(MAX(0,CA291-CQ860),0),0)</f>
        <v>0</v>
      </c>
      <c r="CU860">
        <f>IF(ISNUMBER(CQ860),IFERROR(MAX(0,CQ860-CA291),0),0)</f>
        <v>0</v>
      </c>
    </row>
    <row r="861" spans="87:99" x14ac:dyDescent="0.3">
      <c r="CI861" t="e">
        <f>AT291</f>
        <v>#N/A</v>
      </c>
      <c r="CJ861" t="e">
        <f>AU291</f>
        <v>#N/A</v>
      </c>
      <c r="CK861">
        <f>IF(ISNUMBER(CI861),IFERROR(MAX(0,AV291-CI861),0),0)</f>
        <v>0</v>
      </c>
      <c r="CL861">
        <f>IF(ISNUMBER(CI861),IFERROR(MAX(0,CI861-AV291),0),0)</f>
        <v>0</v>
      </c>
      <c r="CM861">
        <f>IF(ISNUMBER(CJ861),IFERROR(MAX(0,AW291-CJ861),0),0)</f>
        <v>0</v>
      </c>
      <c r="CN861">
        <f>IF(ISNUMBER(CJ861),IFERROR(MAX(0,CJ861-AW291),0),0)</f>
        <v>0</v>
      </c>
      <c r="CP861" t="e">
        <f>CB291</f>
        <v>#N/A</v>
      </c>
      <c r="CQ861" t="e">
        <f>CC291</f>
        <v>#N/A</v>
      </c>
      <c r="CR861">
        <f>IF(ISNUMBER(CP861),IFERROR(MAX(0,CD291-CP861),0),0)</f>
        <v>0</v>
      </c>
      <c r="CS861">
        <f>IF(ISNUMBER(CP861),IFERROR(MAX(0,CP861-CD291),0),0)</f>
        <v>0</v>
      </c>
      <c r="CT861">
        <f>IF(ISNUMBER(CQ861),IFERROR(MAX(0,CE291-CQ861),0),0)</f>
        <v>0</v>
      </c>
      <c r="CU861">
        <f>IF(ISNUMBER(CQ861),IFERROR(MAX(0,CQ861-CE291),0),0)</f>
        <v>0</v>
      </c>
    </row>
    <row r="862" spans="87:99" x14ac:dyDescent="0.3">
      <c r="CI862" t="e">
        <f>AL292</f>
        <v>#N/A</v>
      </c>
      <c r="CJ862" t="e">
        <f>AM292</f>
        <v>#N/A</v>
      </c>
      <c r="CK862">
        <f>IF(ISNUMBER(CI862),IFERROR(MAX(0,AN292-CI862),0),0)</f>
        <v>0</v>
      </c>
      <c r="CL862">
        <f>IF(ISNUMBER(CI862),IFERROR(MAX(0,CI862-AN292),0),0)</f>
        <v>0</v>
      </c>
      <c r="CM862">
        <f>IF(ISNUMBER(CJ862),IFERROR(MAX(0,AO292-CJ862),0),0)</f>
        <v>0</v>
      </c>
      <c r="CN862">
        <f>IF(ISNUMBER(CJ862),IFERROR(MAX(0,CJ862-AO292),0),0)</f>
        <v>0</v>
      </c>
      <c r="CP862" t="e">
        <f>BT292</f>
        <v>#N/A</v>
      </c>
      <c r="CQ862" t="e">
        <f>BU292</f>
        <v>#N/A</v>
      </c>
      <c r="CR862">
        <f>IF(ISNUMBER(CP862),IFERROR(MAX(0,BV292-CP862),0),0)</f>
        <v>0</v>
      </c>
      <c r="CS862">
        <f>IF(ISNUMBER(CP862),IFERROR(MAX(0,CP862-BV292),0),0)</f>
        <v>0</v>
      </c>
      <c r="CT862">
        <f>IF(ISNUMBER(CQ862),IFERROR(MAX(0,BW292-CQ862),0),0)</f>
        <v>0</v>
      </c>
      <c r="CU862">
        <f>IF(ISNUMBER(CQ862),IFERROR(MAX(0,CQ862-BW292),0),0)</f>
        <v>0</v>
      </c>
    </row>
    <row r="863" spans="87:99" x14ac:dyDescent="0.3">
      <c r="CI863" t="e">
        <f>AP292</f>
        <v>#N/A</v>
      </c>
      <c r="CJ863" t="e">
        <f>AQ292</f>
        <v>#N/A</v>
      </c>
      <c r="CK863">
        <f>IF(ISNUMBER(CI863),IFERROR(MAX(0,AR292-CI863),0),0)</f>
        <v>0</v>
      </c>
      <c r="CL863">
        <f>IF(ISNUMBER(CI863),IFERROR(MAX(0,CI863-AR292),0),0)</f>
        <v>0</v>
      </c>
      <c r="CM863">
        <f>IF(ISNUMBER(CJ863),IFERROR(MAX(0,AS292-CJ863),0),0)</f>
        <v>0</v>
      </c>
      <c r="CN863">
        <f>IF(ISNUMBER(CJ863),IFERROR(MAX(0,CJ863-AS292),0),0)</f>
        <v>0</v>
      </c>
      <c r="CP863" t="e">
        <f>BX292</f>
        <v>#N/A</v>
      </c>
      <c r="CQ863" t="e">
        <f>BY292</f>
        <v>#N/A</v>
      </c>
      <c r="CR863">
        <f>IF(ISNUMBER(CP863),IFERROR(MAX(0,BZ292-CP863),0),0)</f>
        <v>0</v>
      </c>
      <c r="CS863">
        <f>IF(ISNUMBER(CP863),IFERROR(MAX(0,CP863-BZ292),0),0)</f>
        <v>0</v>
      </c>
      <c r="CT863">
        <f>IF(ISNUMBER(CQ863),IFERROR(MAX(0,CA292-CQ863),0),0)</f>
        <v>0</v>
      </c>
      <c r="CU863">
        <f>IF(ISNUMBER(CQ863),IFERROR(MAX(0,CQ863-CA292),0),0)</f>
        <v>0</v>
      </c>
    </row>
    <row r="864" spans="87:99" x14ac:dyDescent="0.3">
      <c r="CI864" t="e">
        <f>AT292</f>
        <v>#N/A</v>
      </c>
      <c r="CJ864" t="e">
        <f>AU292</f>
        <v>#N/A</v>
      </c>
      <c r="CK864">
        <f>IF(ISNUMBER(CI864),IFERROR(MAX(0,AV292-CI864),0),0)</f>
        <v>0</v>
      </c>
      <c r="CL864">
        <f>IF(ISNUMBER(CI864),IFERROR(MAX(0,CI864-AV292),0),0)</f>
        <v>0</v>
      </c>
      <c r="CM864">
        <f>IF(ISNUMBER(CJ864),IFERROR(MAX(0,AW292-CJ864),0),0)</f>
        <v>0</v>
      </c>
      <c r="CN864">
        <f>IF(ISNUMBER(CJ864),IFERROR(MAX(0,CJ864-AW292),0),0)</f>
        <v>0</v>
      </c>
      <c r="CP864" t="e">
        <f>CB292</f>
        <v>#N/A</v>
      </c>
      <c r="CQ864" t="e">
        <f>CC292</f>
        <v>#N/A</v>
      </c>
      <c r="CR864">
        <f>IF(ISNUMBER(CP864),IFERROR(MAX(0,CD292-CP864),0),0)</f>
        <v>0</v>
      </c>
      <c r="CS864">
        <f>IF(ISNUMBER(CP864),IFERROR(MAX(0,CP864-CD292),0),0)</f>
        <v>0</v>
      </c>
      <c r="CT864">
        <f>IF(ISNUMBER(CQ864),IFERROR(MAX(0,CE292-CQ864),0),0)</f>
        <v>0</v>
      </c>
      <c r="CU864">
        <f>IF(ISNUMBER(CQ864),IFERROR(MAX(0,CQ864-CE292),0),0)</f>
        <v>0</v>
      </c>
    </row>
    <row r="865" spans="87:99" x14ac:dyDescent="0.3">
      <c r="CI865" t="e">
        <f>AL293</f>
        <v>#N/A</v>
      </c>
      <c r="CJ865" t="e">
        <f>AM293</f>
        <v>#N/A</v>
      </c>
      <c r="CK865">
        <f>IF(ISNUMBER(CI865),IFERROR(MAX(0,AN293-CI865),0),0)</f>
        <v>0</v>
      </c>
      <c r="CL865">
        <f>IF(ISNUMBER(CI865),IFERROR(MAX(0,CI865-AN293),0),0)</f>
        <v>0</v>
      </c>
      <c r="CM865">
        <f>IF(ISNUMBER(CJ865),IFERROR(MAX(0,AO293-CJ865),0),0)</f>
        <v>0</v>
      </c>
      <c r="CN865">
        <f>IF(ISNUMBER(CJ865),IFERROR(MAX(0,CJ865-AO293),0),0)</f>
        <v>0</v>
      </c>
      <c r="CP865" t="e">
        <f>BT293</f>
        <v>#N/A</v>
      </c>
      <c r="CQ865" t="e">
        <f>BU293</f>
        <v>#N/A</v>
      </c>
      <c r="CR865">
        <f>IF(ISNUMBER(CP865),IFERROR(MAX(0,BV293-CP865),0),0)</f>
        <v>0</v>
      </c>
      <c r="CS865">
        <f>IF(ISNUMBER(CP865),IFERROR(MAX(0,CP865-BV293),0),0)</f>
        <v>0</v>
      </c>
      <c r="CT865">
        <f>IF(ISNUMBER(CQ865),IFERROR(MAX(0,BW293-CQ865),0),0)</f>
        <v>0</v>
      </c>
      <c r="CU865">
        <f>IF(ISNUMBER(CQ865),IFERROR(MAX(0,CQ865-BW293),0),0)</f>
        <v>0</v>
      </c>
    </row>
    <row r="866" spans="87:99" x14ac:dyDescent="0.3">
      <c r="CI866" t="e">
        <f>AP293</f>
        <v>#N/A</v>
      </c>
      <c r="CJ866" t="e">
        <f>AQ293</f>
        <v>#N/A</v>
      </c>
      <c r="CK866">
        <f>IF(ISNUMBER(CI866),IFERROR(MAX(0,AR293-CI866),0),0)</f>
        <v>0</v>
      </c>
      <c r="CL866">
        <f>IF(ISNUMBER(CI866),IFERROR(MAX(0,CI866-AR293),0),0)</f>
        <v>0</v>
      </c>
      <c r="CM866">
        <f>IF(ISNUMBER(CJ866),IFERROR(MAX(0,AS293-CJ866),0),0)</f>
        <v>0</v>
      </c>
      <c r="CN866">
        <f>IF(ISNUMBER(CJ866),IFERROR(MAX(0,CJ866-AS293),0),0)</f>
        <v>0</v>
      </c>
      <c r="CP866" t="e">
        <f>BX293</f>
        <v>#N/A</v>
      </c>
      <c r="CQ866" t="e">
        <f>BY293</f>
        <v>#N/A</v>
      </c>
      <c r="CR866">
        <f>IF(ISNUMBER(CP866),IFERROR(MAX(0,BZ293-CP866),0),0)</f>
        <v>0</v>
      </c>
      <c r="CS866">
        <f>IF(ISNUMBER(CP866),IFERROR(MAX(0,CP866-BZ293),0),0)</f>
        <v>0</v>
      </c>
      <c r="CT866">
        <f>IF(ISNUMBER(CQ866),IFERROR(MAX(0,CA293-CQ866),0),0)</f>
        <v>0</v>
      </c>
      <c r="CU866">
        <f>IF(ISNUMBER(CQ866),IFERROR(MAX(0,CQ866-CA293),0),0)</f>
        <v>0</v>
      </c>
    </row>
    <row r="867" spans="87:99" x14ac:dyDescent="0.3">
      <c r="CI867" t="e">
        <f>AT293</f>
        <v>#N/A</v>
      </c>
      <c r="CJ867" t="e">
        <f>AU293</f>
        <v>#N/A</v>
      </c>
      <c r="CK867">
        <f>IF(ISNUMBER(CI867),IFERROR(MAX(0,AV293-CI867),0),0)</f>
        <v>0</v>
      </c>
      <c r="CL867">
        <f>IF(ISNUMBER(CI867),IFERROR(MAX(0,CI867-AV293),0),0)</f>
        <v>0</v>
      </c>
      <c r="CM867">
        <f>IF(ISNUMBER(CJ867),IFERROR(MAX(0,AW293-CJ867),0),0)</f>
        <v>0</v>
      </c>
      <c r="CN867">
        <f>IF(ISNUMBER(CJ867),IFERROR(MAX(0,CJ867-AW293),0),0)</f>
        <v>0</v>
      </c>
      <c r="CP867" t="e">
        <f>CB293</f>
        <v>#N/A</v>
      </c>
      <c r="CQ867" t="e">
        <f>CC293</f>
        <v>#N/A</v>
      </c>
      <c r="CR867">
        <f>IF(ISNUMBER(CP867),IFERROR(MAX(0,CD293-CP867),0),0)</f>
        <v>0</v>
      </c>
      <c r="CS867">
        <f>IF(ISNUMBER(CP867),IFERROR(MAX(0,CP867-CD293),0),0)</f>
        <v>0</v>
      </c>
      <c r="CT867">
        <f>IF(ISNUMBER(CQ867),IFERROR(MAX(0,CE293-CQ867),0),0)</f>
        <v>0</v>
      </c>
      <c r="CU867">
        <f>IF(ISNUMBER(CQ867),IFERROR(MAX(0,CQ867-CE293),0),0)</f>
        <v>0</v>
      </c>
    </row>
    <row r="868" spans="87:99" x14ac:dyDescent="0.3">
      <c r="CI868" t="e">
        <f>AL294</f>
        <v>#N/A</v>
      </c>
      <c r="CJ868" t="e">
        <f>AM294</f>
        <v>#N/A</v>
      </c>
      <c r="CK868">
        <f>IF(ISNUMBER(CI868),IFERROR(MAX(0,AN294-CI868),0),0)</f>
        <v>0</v>
      </c>
      <c r="CL868">
        <f>IF(ISNUMBER(CI868),IFERROR(MAX(0,CI868-AN294),0),0)</f>
        <v>0</v>
      </c>
      <c r="CM868">
        <f>IF(ISNUMBER(CJ868),IFERROR(MAX(0,AO294-CJ868),0),0)</f>
        <v>0</v>
      </c>
      <c r="CN868">
        <f>IF(ISNUMBER(CJ868),IFERROR(MAX(0,CJ868-AO294),0),0)</f>
        <v>0</v>
      </c>
      <c r="CP868" t="e">
        <f>BT294</f>
        <v>#N/A</v>
      </c>
      <c r="CQ868" t="e">
        <f>BU294</f>
        <v>#N/A</v>
      </c>
      <c r="CR868">
        <f>IF(ISNUMBER(CP868),IFERROR(MAX(0,BV294-CP868),0),0)</f>
        <v>0</v>
      </c>
      <c r="CS868">
        <f>IF(ISNUMBER(CP868),IFERROR(MAX(0,CP868-BV294),0),0)</f>
        <v>0</v>
      </c>
      <c r="CT868">
        <f>IF(ISNUMBER(CQ868),IFERROR(MAX(0,BW294-CQ868),0),0)</f>
        <v>0</v>
      </c>
      <c r="CU868">
        <f>IF(ISNUMBER(CQ868),IFERROR(MAX(0,CQ868-BW294),0),0)</f>
        <v>0</v>
      </c>
    </row>
    <row r="869" spans="87:99" x14ac:dyDescent="0.3">
      <c r="CI869" t="e">
        <f>AP294</f>
        <v>#N/A</v>
      </c>
      <c r="CJ869" t="e">
        <f>AQ294</f>
        <v>#N/A</v>
      </c>
      <c r="CK869">
        <f>IF(ISNUMBER(CI869),IFERROR(MAX(0,AR294-CI869),0),0)</f>
        <v>0</v>
      </c>
      <c r="CL869">
        <f>IF(ISNUMBER(CI869),IFERROR(MAX(0,CI869-AR294),0),0)</f>
        <v>0</v>
      </c>
      <c r="CM869">
        <f>IF(ISNUMBER(CJ869),IFERROR(MAX(0,AS294-CJ869),0),0)</f>
        <v>0</v>
      </c>
      <c r="CN869">
        <f>IF(ISNUMBER(CJ869),IFERROR(MAX(0,CJ869-AS294),0),0)</f>
        <v>0</v>
      </c>
      <c r="CP869" t="e">
        <f>BX294</f>
        <v>#N/A</v>
      </c>
      <c r="CQ869" t="e">
        <f>BY294</f>
        <v>#N/A</v>
      </c>
      <c r="CR869">
        <f>IF(ISNUMBER(CP869),IFERROR(MAX(0,BZ294-CP869),0),0)</f>
        <v>0</v>
      </c>
      <c r="CS869">
        <f>IF(ISNUMBER(CP869),IFERROR(MAX(0,CP869-BZ294),0),0)</f>
        <v>0</v>
      </c>
      <c r="CT869">
        <f>IF(ISNUMBER(CQ869),IFERROR(MAX(0,CA294-CQ869),0),0)</f>
        <v>0</v>
      </c>
      <c r="CU869">
        <f>IF(ISNUMBER(CQ869),IFERROR(MAX(0,CQ869-CA294),0),0)</f>
        <v>0</v>
      </c>
    </row>
    <row r="870" spans="87:99" x14ac:dyDescent="0.3">
      <c r="CI870" t="e">
        <f>AT294</f>
        <v>#N/A</v>
      </c>
      <c r="CJ870" t="e">
        <f>AU294</f>
        <v>#N/A</v>
      </c>
      <c r="CK870">
        <f>IF(ISNUMBER(CI870),IFERROR(MAX(0,AV294-CI870),0),0)</f>
        <v>0</v>
      </c>
      <c r="CL870">
        <f>IF(ISNUMBER(CI870),IFERROR(MAX(0,CI870-AV294),0),0)</f>
        <v>0</v>
      </c>
      <c r="CM870">
        <f>IF(ISNUMBER(CJ870),IFERROR(MAX(0,AW294-CJ870),0),0)</f>
        <v>0</v>
      </c>
      <c r="CN870">
        <f>IF(ISNUMBER(CJ870),IFERROR(MAX(0,CJ870-AW294),0),0)</f>
        <v>0</v>
      </c>
      <c r="CP870" t="e">
        <f>CB294</f>
        <v>#N/A</v>
      </c>
      <c r="CQ870" t="e">
        <f>CC294</f>
        <v>#N/A</v>
      </c>
      <c r="CR870">
        <f>IF(ISNUMBER(CP870),IFERROR(MAX(0,CD294-CP870),0),0)</f>
        <v>0</v>
      </c>
      <c r="CS870">
        <f>IF(ISNUMBER(CP870),IFERROR(MAX(0,CP870-CD294),0),0)</f>
        <v>0</v>
      </c>
      <c r="CT870">
        <f>IF(ISNUMBER(CQ870),IFERROR(MAX(0,CE294-CQ870),0),0)</f>
        <v>0</v>
      </c>
      <c r="CU870">
        <f>IF(ISNUMBER(CQ870),IFERROR(MAX(0,CQ870-CE294),0),0)</f>
        <v>0</v>
      </c>
    </row>
    <row r="871" spans="87:99" x14ac:dyDescent="0.3">
      <c r="CI871" t="e">
        <f>AL295</f>
        <v>#N/A</v>
      </c>
      <c r="CJ871" t="e">
        <f>AM295</f>
        <v>#N/A</v>
      </c>
      <c r="CK871">
        <f>IF(ISNUMBER(CI871),IFERROR(MAX(0,AN295-CI871),0),0)</f>
        <v>0</v>
      </c>
      <c r="CL871">
        <f>IF(ISNUMBER(CI871),IFERROR(MAX(0,CI871-AN295),0),0)</f>
        <v>0</v>
      </c>
      <c r="CM871">
        <f>IF(ISNUMBER(CJ871),IFERROR(MAX(0,AO295-CJ871),0),0)</f>
        <v>0</v>
      </c>
      <c r="CN871">
        <f>IF(ISNUMBER(CJ871),IFERROR(MAX(0,CJ871-AO295),0),0)</f>
        <v>0</v>
      </c>
      <c r="CP871" t="e">
        <f>BT295</f>
        <v>#N/A</v>
      </c>
      <c r="CQ871" t="e">
        <f>BU295</f>
        <v>#N/A</v>
      </c>
      <c r="CR871">
        <f>IF(ISNUMBER(CP871),IFERROR(MAX(0,BV295-CP871),0),0)</f>
        <v>0</v>
      </c>
      <c r="CS871">
        <f>IF(ISNUMBER(CP871),IFERROR(MAX(0,CP871-BV295),0),0)</f>
        <v>0</v>
      </c>
      <c r="CT871">
        <f>IF(ISNUMBER(CQ871),IFERROR(MAX(0,BW295-CQ871),0),0)</f>
        <v>0</v>
      </c>
      <c r="CU871">
        <f>IF(ISNUMBER(CQ871),IFERROR(MAX(0,CQ871-BW295),0),0)</f>
        <v>0</v>
      </c>
    </row>
    <row r="872" spans="87:99" x14ac:dyDescent="0.3">
      <c r="CI872" t="e">
        <f>AP295</f>
        <v>#N/A</v>
      </c>
      <c r="CJ872" t="e">
        <f>AQ295</f>
        <v>#N/A</v>
      </c>
      <c r="CK872">
        <f>IF(ISNUMBER(CI872),IFERROR(MAX(0,AR295-CI872),0),0)</f>
        <v>0</v>
      </c>
      <c r="CL872">
        <f>IF(ISNUMBER(CI872),IFERROR(MAX(0,CI872-AR295),0),0)</f>
        <v>0</v>
      </c>
      <c r="CM872">
        <f>IF(ISNUMBER(CJ872),IFERROR(MAX(0,AS295-CJ872),0),0)</f>
        <v>0</v>
      </c>
      <c r="CN872">
        <f>IF(ISNUMBER(CJ872),IFERROR(MAX(0,CJ872-AS295),0),0)</f>
        <v>0</v>
      </c>
      <c r="CP872" t="e">
        <f>BX295</f>
        <v>#N/A</v>
      </c>
      <c r="CQ872" t="e">
        <f>BY295</f>
        <v>#N/A</v>
      </c>
      <c r="CR872">
        <f>IF(ISNUMBER(CP872),IFERROR(MAX(0,BZ295-CP872),0),0)</f>
        <v>0</v>
      </c>
      <c r="CS872">
        <f>IF(ISNUMBER(CP872),IFERROR(MAX(0,CP872-BZ295),0),0)</f>
        <v>0</v>
      </c>
      <c r="CT872">
        <f>IF(ISNUMBER(CQ872),IFERROR(MAX(0,CA295-CQ872),0),0)</f>
        <v>0</v>
      </c>
      <c r="CU872">
        <f>IF(ISNUMBER(CQ872),IFERROR(MAX(0,CQ872-CA295),0),0)</f>
        <v>0</v>
      </c>
    </row>
    <row r="873" spans="87:99" x14ac:dyDescent="0.3">
      <c r="CI873" t="e">
        <f>AT295</f>
        <v>#N/A</v>
      </c>
      <c r="CJ873" t="e">
        <f>AU295</f>
        <v>#N/A</v>
      </c>
      <c r="CK873">
        <f>IF(ISNUMBER(CI873),IFERROR(MAX(0,AV295-CI873),0),0)</f>
        <v>0</v>
      </c>
      <c r="CL873">
        <f>IF(ISNUMBER(CI873),IFERROR(MAX(0,CI873-AV295),0),0)</f>
        <v>0</v>
      </c>
      <c r="CM873">
        <f>IF(ISNUMBER(CJ873),IFERROR(MAX(0,AW295-CJ873),0),0)</f>
        <v>0</v>
      </c>
      <c r="CN873">
        <f>IF(ISNUMBER(CJ873),IFERROR(MAX(0,CJ873-AW295),0),0)</f>
        <v>0</v>
      </c>
      <c r="CP873" t="e">
        <f>CB295</f>
        <v>#N/A</v>
      </c>
      <c r="CQ873" t="e">
        <f>CC295</f>
        <v>#N/A</v>
      </c>
      <c r="CR873">
        <f>IF(ISNUMBER(CP873),IFERROR(MAX(0,CD295-CP873),0),0)</f>
        <v>0</v>
      </c>
      <c r="CS873">
        <f>IF(ISNUMBER(CP873),IFERROR(MAX(0,CP873-CD295),0),0)</f>
        <v>0</v>
      </c>
      <c r="CT873">
        <f>IF(ISNUMBER(CQ873),IFERROR(MAX(0,CE295-CQ873),0),0)</f>
        <v>0</v>
      </c>
      <c r="CU873">
        <f>IF(ISNUMBER(CQ873),IFERROR(MAX(0,CQ873-CE295),0),0)</f>
        <v>0</v>
      </c>
    </row>
    <row r="874" spans="87:99" x14ac:dyDescent="0.3">
      <c r="CI874" t="e">
        <f>AL296</f>
        <v>#N/A</v>
      </c>
      <c r="CJ874" t="e">
        <f>AM296</f>
        <v>#N/A</v>
      </c>
      <c r="CK874">
        <f>IF(ISNUMBER(CI874),IFERROR(MAX(0,AN296-CI874),0),0)</f>
        <v>0</v>
      </c>
      <c r="CL874">
        <f>IF(ISNUMBER(CI874),IFERROR(MAX(0,CI874-AN296),0),0)</f>
        <v>0</v>
      </c>
      <c r="CM874">
        <f>IF(ISNUMBER(CJ874),IFERROR(MAX(0,AO296-CJ874),0),0)</f>
        <v>0</v>
      </c>
      <c r="CN874">
        <f>IF(ISNUMBER(CJ874),IFERROR(MAX(0,CJ874-AO296),0),0)</f>
        <v>0</v>
      </c>
      <c r="CP874" t="e">
        <f>BT296</f>
        <v>#N/A</v>
      </c>
      <c r="CQ874" t="e">
        <f>BU296</f>
        <v>#N/A</v>
      </c>
      <c r="CR874">
        <f>IF(ISNUMBER(CP874),IFERROR(MAX(0,BV296-CP874),0),0)</f>
        <v>0</v>
      </c>
      <c r="CS874">
        <f>IF(ISNUMBER(CP874),IFERROR(MAX(0,CP874-BV296),0),0)</f>
        <v>0</v>
      </c>
      <c r="CT874">
        <f>IF(ISNUMBER(CQ874),IFERROR(MAX(0,BW296-CQ874),0),0)</f>
        <v>0</v>
      </c>
      <c r="CU874">
        <f>IF(ISNUMBER(CQ874),IFERROR(MAX(0,CQ874-BW296),0),0)</f>
        <v>0</v>
      </c>
    </row>
    <row r="875" spans="87:99" x14ac:dyDescent="0.3">
      <c r="CI875" t="e">
        <f>AP296</f>
        <v>#N/A</v>
      </c>
      <c r="CJ875" t="e">
        <f>AQ296</f>
        <v>#N/A</v>
      </c>
      <c r="CK875">
        <f>IF(ISNUMBER(CI875),IFERROR(MAX(0,AR296-CI875),0),0)</f>
        <v>0</v>
      </c>
      <c r="CL875">
        <f>IF(ISNUMBER(CI875),IFERROR(MAX(0,CI875-AR296),0),0)</f>
        <v>0</v>
      </c>
      <c r="CM875">
        <f>IF(ISNUMBER(CJ875),IFERROR(MAX(0,AS296-CJ875),0),0)</f>
        <v>0</v>
      </c>
      <c r="CN875">
        <f>IF(ISNUMBER(CJ875),IFERROR(MAX(0,CJ875-AS296),0),0)</f>
        <v>0</v>
      </c>
      <c r="CP875" t="e">
        <f>BX296</f>
        <v>#N/A</v>
      </c>
      <c r="CQ875" t="e">
        <f>BY296</f>
        <v>#N/A</v>
      </c>
      <c r="CR875">
        <f>IF(ISNUMBER(CP875),IFERROR(MAX(0,BZ296-CP875),0),0)</f>
        <v>0</v>
      </c>
      <c r="CS875">
        <f>IF(ISNUMBER(CP875),IFERROR(MAX(0,CP875-BZ296),0),0)</f>
        <v>0</v>
      </c>
      <c r="CT875">
        <f>IF(ISNUMBER(CQ875),IFERROR(MAX(0,CA296-CQ875),0),0)</f>
        <v>0</v>
      </c>
      <c r="CU875">
        <f>IF(ISNUMBER(CQ875),IFERROR(MAX(0,CQ875-CA296),0),0)</f>
        <v>0</v>
      </c>
    </row>
    <row r="876" spans="87:99" x14ac:dyDescent="0.3">
      <c r="CI876" t="e">
        <f>AT296</f>
        <v>#N/A</v>
      </c>
      <c r="CJ876" t="e">
        <f>AU296</f>
        <v>#N/A</v>
      </c>
      <c r="CK876">
        <f>IF(ISNUMBER(CI876),IFERROR(MAX(0,AV296-CI876),0),0)</f>
        <v>0</v>
      </c>
      <c r="CL876">
        <f>IF(ISNUMBER(CI876),IFERROR(MAX(0,CI876-AV296),0),0)</f>
        <v>0</v>
      </c>
      <c r="CM876">
        <f>IF(ISNUMBER(CJ876),IFERROR(MAX(0,AW296-CJ876),0),0)</f>
        <v>0</v>
      </c>
      <c r="CN876">
        <f>IF(ISNUMBER(CJ876),IFERROR(MAX(0,CJ876-AW296),0),0)</f>
        <v>0</v>
      </c>
      <c r="CP876" t="e">
        <f>CB296</f>
        <v>#N/A</v>
      </c>
      <c r="CQ876" t="e">
        <f>CC296</f>
        <v>#N/A</v>
      </c>
      <c r="CR876">
        <f>IF(ISNUMBER(CP876),IFERROR(MAX(0,CD296-CP876),0),0)</f>
        <v>0</v>
      </c>
      <c r="CS876">
        <f>IF(ISNUMBER(CP876),IFERROR(MAX(0,CP876-CD296),0),0)</f>
        <v>0</v>
      </c>
      <c r="CT876">
        <f>IF(ISNUMBER(CQ876),IFERROR(MAX(0,CE296-CQ876),0),0)</f>
        <v>0</v>
      </c>
      <c r="CU876">
        <f>IF(ISNUMBER(CQ876),IFERROR(MAX(0,CQ876-CE296),0),0)</f>
        <v>0</v>
      </c>
    </row>
    <row r="877" spans="87:99" x14ac:dyDescent="0.3">
      <c r="CI877" t="e">
        <f>AL297</f>
        <v>#N/A</v>
      </c>
      <c r="CJ877" t="e">
        <f>AM297</f>
        <v>#N/A</v>
      </c>
      <c r="CK877">
        <f>IF(ISNUMBER(CI877),IFERROR(MAX(0,AN297-CI877),0),0)</f>
        <v>0</v>
      </c>
      <c r="CL877">
        <f>IF(ISNUMBER(CI877),IFERROR(MAX(0,CI877-AN297),0),0)</f>
        <v>0</v>
      </c>
      <c r="CM877">
        <f>IF(ISNUMBER(CJ877),IFERROR(MAX(0,AO297-CJ877),0),0)</f>
        <v>0</v>
      </c>
      <c r="CN877">
        <f>IF(ISNUMBER(CJ877),IFERROR(MAX(0,CJ877-AO297),0),0)</f>
        <v>0</v>
      </c>
      <c r="CP877" t="e">
        <f>BT297</f>
        <v>#N/A</v>
      </c>
      <c r="CQ877" t="e">
        <f>BU297</f>
        <v>#N/A</v>
      </c>
      <c r="CR877">
        <f>IF(ISNUMBER(CP877),IFERROR(MAX(0,BV297-CP877),0),0)</f>
        <v>0</v>
      </c>
      <c r="CS877">
        <f>IF(ISNUMBER(CP877),IFERROR(MAX(0,CP877-BV297),0),0)</f>
        <v>0</v>
      </c>
      <c r="CT877">
        <f>IF(ISNUMBER(CQ877),IFERROR(MAX(0,BW297-CQ877),0),0)</f>
        <v>0</v>
      </c>
      <c r="CU877">
        <f>IF(ISNUMBER(CQ877),IFERROR(MAX(0,CQ877-BW297),0),0)</f>
        <v>0</v>
      </c>
    </row>
    <row r="878" spans="87:99" x14ac:dyDescent="0.3">
      <c r="CI878" t="e">
        <f>AP297</f>
        <v>#N/A</v>
      </c>
      <c r="CJ878" t="e">
        <f>AQ297</f>
        <v>#N/A</v>
      </c>
      <c r="CK878">
        <f>IF(ISNUMBER(CI878),IFERROR(MAX(0,AR297-CI878),0),0)</f>
        <v>0</v>
      </c>
      <c r="CL878">
        <f>IF(ISNUMBER(CI878),IFERROR(MAX(0,CI878-AR297),0),0)</f>
        <v>0</v>
      </c>
      <c r="CM878">
        <f>IF(ISNUMBER(CJ878),IFERROR(MAX(0,AS297-CJ878),0),0)</f>
        <v>0</v>
      </c>
      <c r="CN878">
        <f>IF(ISNUMBER(CJ878),IFERROR(MAX(0,CJ878-AS297),0),0)</f>
        <v>0</v>
      </c>
      <c r="CP878" t="e">
        <f>BX297</f>
        <v>#N/A</v>
      </c>
      <c r="CQ878" t="e">
        <f>BY297</f>
        <v>#N/A</v>
      </c>
      <c r="CR878">
        <f>IF(ISNUMBER(CP878),IFERROR(MAX(0,BZ297-CP878),0),0)</f>
        <v>0</v>
      </c>
      <c r="CS878">
        <f>IF(ISNUMBER(CP878),IFERROR(MAX(0,CP878-BZ297),0),0)</f>
        <v>0</v>
      </c>
      <c r="CT878">
        <f>IF(ISNUMBER(CQ878),IFERROR(MAX(0,CA297-CQ878),0),0)</f>
        <v>0</v>
      </c>
      <c r="CU878">
        <f>IF(ISNUMBER(CQ878),IFERROR(MAX(0,CQ878-CA297),0),0)</f>
        <v>0</v>
      </c>
    </row>
    <row r="879" spans="87:99" x14ac:dyDescent="0.3">
      <c r="CI879" t="e">
        <f>AT297</f>
        <v>#N/A</v>
      </c>
      <c r="CJ879" t="e">
        <f>AU297</f>
        <v>#N/A</v>
      </c>
      <c r="CK879">
        <f>IF(ISNUMBER(CI879),IFERROR(MAX(0,AV297-CI879),0),0)</f>
        <v>0</v>
      </c>
      <c r="CL879">
        <f>IF(ISNUMBER(CI879),IFERROR(MAX(0,CI879-AV297),0),0)</f>
        <v>0</v>
      </c>
      <c r="CM879">
        <f>IF(ISNUMBER(CJ879),IFERROR(MAX(0,AW297-CJ879),0),0)</f>
        <v>0</v>
      </c>
      <c r="CN879">
        <f>IF(ISNUMBER(CJ879),IFERROR(MAX(0,CJ879-AW297),0),0)</f>
        <v>0</v>
      </c>
      <c r="CP879" t="e">
        <f>CB297</f>
        <v>#N/A</v>
      </c>
      <c r="CQ879" t="e">
        <f>CC297</f>
        <v>#N/A</v>
      </c>
      <c r="CR879">
        <f>IF(ISNUMBER(CP879),IFERROR(MAX(0,CD297-CP879),0),0)</f>
        <v>0</v>
      </c>
      <c r="CS879">
        <f>IF(ISNUMBER(CP879),IFERROR(MAX(0,CP879-CD297),0),0)</f>
        <v>0</v>
      </c>
      <c r="CT879">
        <f>IF(ISNUMBER(CQ879),IFERROR(MAX(0,CE297-CQ879),0),0)</f>
        <v>0</v>
      </c>
      <c r="CU879">
        <f>IF(ISNUMBER(CQ879),IFERROR(MAX(0,CQ879-CE297),0),0)</f>
        <v>0</v>
      </c>
    </row>
    <row r="880" spans="87:99" x14ac:dyDescent="0.3">
      <c r="CI880" t="e">
        <f>AL298</f>
        <v>#N/A</v>
      </c>
      <c r="CJ880" t="e">
        <f>AM298</f>
        <v>#N/A</v>
      </c>
      <c r="CK880">
        <f>IF(ISNUMBER(CI880),IFERROR(MAX(0,AN298-CI880),0),0)</f>
        <v>0</v>
      </c>
      <c r="CL880">
        <f>IF(ISNUMBER(CI880),IFERROR(MAX(0,CI880-AN298),0),0)</f>
        <v>0</v>
      </c>
      <c r="CM880">
        <f>IF(ISNUMBER(CJ880),IFERROR(MAX(0,AO298-CJ880),0),0)</f>
        <v>0</v>
      </c>
      <c r="CN880">
        <f>IF(ISNUMBER(CJ880),IFERROR(MAX(0,CJ880-AO298),0),0)</f>
        <v>0</v>
      </c>
      <c r="CP880" t="e">
        <f>BT298</f>
        <v>#N/A</v>
      </c>
      <c r="CQ880" t="e">
        <f>BU298</f>
        <v>#N/A</v>
      </c>
      <c r="CR880">
        <f>IF(ISNUMBER(CP880),IFERROR(MAX(0,BV298-CP880),0),0)</f>
        <v>0</v>
      </c>
      <c r="CS880">
        <f>IF(ISNUMBER(CP880),IFERROR(MAX(0,CP880-BV298),0),0)</f>
        <v>0</v>
      </c>
      <c r="CT880">
        <f>IF(ISNUMBER(CQ880),IFERROR(MAX(0,BW298-CQ880),0),0)</f>
        <v>0</v>
      </c>
      <c r="CU880">
        <f>IF(ISNUMBER(CQ880),IFERROR(MAX(0,CQ880-BW298),0),0)</f>
        <v>0</v>
      </c>
    </row>
    <row r="881" spans="87:99" x14ac:dyDescent="0.3">
      <c r="CI881" t="e">
        <f>AP298</f>
        <v>#N/A</v>
      </c>
      <c r="CJ881" t="e">
        <f>AQ298</f>
        <v>#N/A</v>
      </c>
      <c r="CK881">
        <f>IF(ISNUMBER(CI881),IFERROR(MAX(0,AR298-CI881),0),0)</f>
        <v>0</v>
      </c>
      <c r="CL881">
        <f>IF(ISNUMBER(CI881),IFERROR(MAX(0,CI881-AR298),0),0)</f>
        <v>0</v>
      </c>
      <c r="CM881">
        <f>IF(ISNUMBER(CJ881),IFERROR(MAX(0,AS298-CJ881),0),0)</f>
        <v>0</v>
      </c>
      <c r="CN881">
        <f>IF(ISNUMBER(CJ881),IFERROR(MAX(0,CJ881-AS298),0),0)</f>
        <v>0</v>
      </c>
      <c r="CP881" t="e">
        <f>BX298</f>
        <v>#N/A</v>
      </c>
      <c r="CQ881" t="e">
        <f>BY298</f>
        <v>#N/A</v>
      </c>
      <c r="CR881">
        <f>IF(ISNUMBER(CP881),IFERROR(MAX(0,BZ298-CP881),0),0)</f>
        <v>0</v>
      </c>
      <c r="CS881">
        <f>IF(ISNUMBER(CP881),IFERROR(MAX(0,CP881-BZ298),0),0)</f>
        <v>0</v>
      </c>
      <c r="CT881">
        <f>IF(ISNUMBER(CQ881),IFERROR(MAX(0,CA298-CQ881),0),0)</f>
        <v>0</v>
      </c>
      <c r="CU881">
        <f>IF(ISNUMBER(CQ881),IFERROR(MAX(0,CQ881-CA298),0),0)</f>
        <v>0</v>
      </c>
    </row>
    <row r="882" spans="87:99" x14ac:dyDescent="0.3">
      <c r="CI882" t="e">
        <f>AT298</f>
        <v>#N/A</v>
      </c>
      <c r="CJ882" t="e">
        <f>AU298</f>
        <v>#N/A</v>
      </c>
      <c r="CK882">
        <f>IF(ISNUMBER(CI882),IFERROR(MAX(0,AV298-CI882),0),0)</f>
        <v>0</v>
      </c>
      <c r="CL882">
        <f>IF(ISNUMBER(CI882),IFERROR(MAX(0,CI882-AV298),0),0)</f>
        <v>0</v>
      </c>
      <c r="CM882">
        <f>IF(ISNUMBER(CJ882),IFERROR(MAX(0,AW298-CJ882),0),0)</f>
        <v>0</v>
      </c>
      <c r="CN882">
        <f>IF(ISNUMBER(CJ882),IFERROR(MAX(0,CJ882-AW298),0),0)</f>
        <v>0</v>
      </c>
      <c r="CP882" t="e">
        <f>CB298</f>
        <v>#N/A</v>
      </c>
      <c r="CQ882" t="e">
        <f>CC298</f>
        <v>#N/A</v>
      </c>
      <c r="CR882">
        <f>IF(ISNUMBER(CP882),IFERROR(MAX(0,CD298-CP882),0),0)</f>
        <v>0</v>
      </c>
      <c r="CS882">
        <f>IF(ISNUMBER(CP882),IFERROR(MAX(0,CP882-CD298),0),0)</f>
        <v>0</v>
      </c>
      <c r="CT882">
        <f>IF(ISNUMBER(CQ882),IFERROR(MAX(0,CE298-CQ882),0),0)</f>
        <v>0</v>
      </c>
      <c r="CU882">
        <f>IF(ISNUMBER(CQ882),IFERROR(MAX(0,CQ882-CE298),0),0)</f>
        <v>0</v>
      </c>
    </row>
    <row r="883" spans="87:99" x14ac:dyDescent="0.3">
      <c r="CI883" t="e">
        <f>AL299</f>
        <v>#N/A</v>
      </c>
      <c r="CJ883" t="e">
        <f>AM299</f>
        <v>#N/A</v>
      </c>
      <c r="CK883">
        <f>IF(ISNUMBER(CI883),IFERROR(MAX(0,AN299-CI883),0),0)</f>
        <v>0</v>
      </c>
      <c r="CL883">
        <f>IF(ISNUMBER(CI883),IFERROR(MAX(0,CI883-AN299),0),0)</f>
        <v>0</v>
      </c>
      <c r="CM883">
        <f>IF(ISNUMBER(CJ883),IFERROR(MAX(0,AO299-CJ883),0),0)</f>
        <v>0</v>
      </c>
      <c r="CN883">
        <f>IF(ISNUMBER(CJ883),IFERROR(MAX(0,CJ883-AO299),0),0)</f>
        <v>0</v>
      </c>
      <c r="CP883" t="e">
        <f>BT299</f>
        <v>#N/A</v>
      </c>
      <c r="CQ883" t="e">
        <f>BU299</f>
        <v>#N/A</v>
      </c>
      <c r="CR883">
        <f>IF(ISNUMBER(CP883),IFERROR(MAX(0,BV299-CP883),0),0)</f>
        <v>0</v>
      </c>
      <c r="CS883">
        <f>IF(ISNUMBER(CP883),IFERROR(MAX(0,CP883-BV299),0),0)</f>
        <v>0</v>
      </c>
      <c r="CT883">
        <f>IF(ISNUMBER(CQ883),IFERROR(MAX(0,BW299-CQ883),0),0)</f>
        <v>0</v>
      </c>
      <c r="CU883">
        <f>IF(ISNUMBER(CQ883),IFERROR(MAX(0,CQ883-BW299),0),0)</f>
        <v>0</v>
      </c>
    </row>
    <row r="884" spans="87:99" x14ac:dyDescent="0.3">
      <c r="CI884" t="e">
        <f>AP299</f>
        <v>#N/A</v>
      </c>
      <c r="CJ884" t="e">
        <f>AQ299</f>
        <v>#N/A</v>
      </c>
      <c r="CK884">
        <f>IF(ISNUMBER(CI884),IFERROR(MAX(0,AR299-CI884),0),0)</f>
        <v>0</v>
      </c>
      <c r="CL884">
        <f>IF(ISNUMBER(CI884),IFERROR(MAX(0,CI884-AR299),0),0)</f>
        <v>0</v>
      </c>
      <c r="CM884">
        <f>IF(ISNUMBER(CJ884),IFERROR(MAX(0,AS299-CJ884),0),0)</f>
        <v>0</v>
      </c>
      <c r="CN884">
        <f>IF(ISNUMBER(CJ884),IFERROR(MAX(0,CJ884-AS299),0),0)</f>
        <v>0</v>
      </c>
      <c r="CP884" t="e">
        <f>BX299</f>
        <v>#N/A</v>
      </c>
      <c r="CQ884" t="e">
        <f>BY299</f>
        <v>#N/A</v>
      </c>
      <c r="CR884">
        <f>IF(ISNUMBER(CP884),IFERROR(MAX(0,BZ299-CP884),0),0)</f>
        <v>0</v>
      </c>
      <c r="CS884">
        <f>IF(ISNUMBER(CP884),IFERROR(MAX(0,CP884-BZ299),0),0)</f>
        <v>0</v>
      </c>
      <c r="CT884">
        <f>IF(ISNUMBER(CQ884),IFERROR(MAX(0,CA299-CQ884),0),0)</f>
        <v>0</v>
      </c>
      <c r="CU884">
        <f>IF(ISNUMBER(CQ884),IFERROR(MAX(0,CQ884-CA299),0),0)</f>
        <v>0</v>
      </c>
    </row>
    <row r="885" spans="87:99" x14ac:dyDescent="0.3">
      <c r="CI885" t="e">
        <f>AT299</f>
        <v>#N/A</v>
      </c>
      <c r="CJ885" t="e">
        <f>AU299</f>
        <v>#N/A</v>
      </c>
      <c r="CK885">
        <f>IF(ISNUMBER(CI885),IFERROR(MAX(0,AV299-CI885),0),0)</f>
        <v>0</v>
      </c>
      <c r="CL885">
        <f>IF(ISNUMBER(CI885),IFERROR(MAX(0,CI885-AV299),0),0)</f>
        <v>0</v>
      </c>
      <c r="CM885">
        <f>IF(ISNUMBER(CJ885),IFERROR(MAX(0,AW299-CJ885),0),0)</f>
        <v>0</v>
      </c>
      <c r="CN885">
        <f>IF(ISNUMBER(CJ885),IFERROR(MAX(0,CJ885-AW299),0),0)</f>
        <v>0</v>
      </c>
      <c r="CP885" t="e">
        <f>CB299</f>
        <v>#N/A</v>
      </c>
      <c r="CQ885" t="e">
        <f>CC299</f>
        <v>#N/A</v>
      </c>
      <c r="CR885">
        <f>IF(ISNUMBER(CP885),IFERROR(MAX(0,CD299-CP885),0),0)</f>
        <v>0</v>
      </c>
      <c r="CS885">
        <f>IF(ISNUMBER(CP885),IFERROR(MAX(0,CP885-CD299),0),0)</f>
        <v>0</v>
      </c>
      <c r="CT885">
        <f>IF(ISNUMBER(CQ885),IFERROR(MAX(0,CE299-CQ885),0),0)</f>
        <v>0</v>
      </c>
      <c r="CU885">
        <f>IF(ISNUMBER(CQ885),IFERROR(MAX(0,CQ885-CE299),0),0)</f>
        <v>0</v>
      </c>
    </row>
    <row r="886" spans="87:99" x14ac:dyDescent="0.3">
      <c r="CI886" t="e">
        <f>AL300</f>
        <v>#N/A</v>
      </c>
      <c r="CJ886" t="e">
        <f>AM300</f>
        <v>#N/A</v>
      </c>
      <c r="CK886">
        <f>IF(ISNUMBER(CI886),IFERROR(MAX(0,AN300-CI886),0),0)</f>
        <v>0</v>
      </c>
      <c r="CL886">
        <f>IF(ISNUMBER(CI886),IFERROR(MAX(0,CI886-AN300),0),0)</f>
        <v>0</v>
      </c>
      <c r="CM886">
        <f>IF(ISNUMBER(CJ886),IFERROR(MAX(0,AO300-CJ886),0),0)</f>
        <v>0</v>
      </c>
      <c r="CN886">
        <f>IF(ISNUMBER(CJ886),IFERROR(MAX(0,CJ886-AO300),0),0)</f>
        <v>0</v>
      </c>
      <c r="CP886" t="e">
        <f>BT300</f>
        <v>#N/A</v>
      </c>
      <c r="CQ886" t="e">
        <f>BU300</f>
        <v>#N/A</v>
      </c>
      <c r="CR886">
        <f>IF(ISNUMBER(CP886),IFERROR(MAX(0,BV300-CP886),0),0)</f>
        <v>0</v>
      </c>
      <c r="CS886">
        <f>IF(ISNUMBER(CP886),IFERROR(MAX(0,CP886-BV300),0),0)</f>
        <v>0</v>
      </c>
      <c r="CT886">
        <f>IF(ISNUMBER(CQ886),IFERROR(MAX(0,BW300-CQ886),0),0)</f>
        <v>0</v>
      </c>
      <c r="CU886">
        <f>IF(ISNUMBER(CQ886),IFERROR(MAX(0,CQ886-BW300),0),0)</f>
        <v>0</v>
      </c>
    </row>
    <row r="887" spans="87:99" x14ac:dyDescent="0.3">
      <c r="CI887" t="e">
        <f>AP300</f>
        <v>#N/A</v>
      </c>
      <c r="CJ887" t="e">
        <f>AQ300</f>
        <v>#N/A</v>
      </c>
      <c r="CK887">
        <f>IF(ISNUMBER(CI887),IFERROR(MAX(0,AR300-CI887),0),0)</f>
        <v>0</v>
      </c>
      <c r="CL887">
        <f>IF(ISNUMBER(CI887),IFERROR(MAX(0,CI887-AR300),0),0)</f>
        <v>0</v>
      </c>
      <c r="CM887">
        <f>IF(ISNUMBER(CJ887),IFERROR(MAX(0,AS300-CJ887),0),0)</f>
        <v>0</v>
      </c>
      <c r="CN887">
        <f>IF(ISNUMBER(CJ887),IFERROR(MAX(0,CJ887-AS300),0),0)</f>
        <v>0</v>
      </c>
      <c r="CP887" t="e">
        <f>BX300</f>
        <v>#N/A</v>
      </c>
      <c r="CQ887" t="e">
        <f>BY300</f>
        <v>#N/A</v>
      </c>
      <c r="CR887">
        <f>IF(ISNUMBER(CP887),IFERROR(MAX(0,BZ300-CP887),0),0)</f>
        <v>0</v>
      </c>
      <c r="CS887">
        <f>IF(ISNUMBER(CP887),IFERROR(MAX(0,CP887-BZ300),0),0)</f>
        <v>0</v>
      </c>
      <c r="CT887">
        <f>IF(ISNUMBER(CQ887),IFERROR(MAX(0,CA300-CQ887),0),0)</f>
        <v>0</v>
      </c>
      <c r="CU887">
        <f>IF(ISNUMBER(CQ887),IFERROR(MAX(0,CQ887-CA300),0),0)</f>
        <v>0</v>
      </c>
    </row>
    <row r="888" spans="87:99" x14ac:dyDescent="0.3">
      <c r="CI888" t="e">
        <f>AT300</f>
        <v>#N/A</v>
      </c>
      <c r="CJ888" t="e">
        <f>AU300</f>
        <v>#N/A</v>
      </c>
      <c r="CK888">
        <f>IF(ISNUMBER(CI888),IFERROR(MAX(0,AV300-CI888),0),0)</f>
        <v>0</v>
      </c>
      <c r="CL888">
        <f>IF(ISNUMBER(CI888),IFERROR(MAX(0,CI888-AV300),0),0)</f>
        <v>0</v>
      </c>
      <c r="CM888">
        <f>IF(ISNUMBER(CJ888),IFERROR(MAX(0,AW300-CJ888),0),0)</f>
        <v>0</v>
      </c>
      <c r="CN888">
        <f>IF(ISNUMBER(CJ888),IFERROR(MAX(0,CJ888-AW300),0),0)</f>
        <v>0</v>
      </c>
      <c r="CP888" t="e">
        <f>CB300</f>
        <v>#N/A</v>
      </c>
      <c r="CQ888" t="e">
        <f>CC300</f>
        <v>#N/A</v>
      </c>
      <c r="CR888">
        <f>IF(ISNUMBER(CP888),IFERROR(MAX(0,CD300-CP888),0),0)</f>
        <v>0</v>
      </c>
      <c r="CS888">
        <f>IF(ISNUMBER(CP888),IFERROR(MAX(0,CP888-CD300),0),0)</f>
        <v>0</v>
      </c>
      <c r="CT888">
        <f>IF(ISNUMBER(CQ888),IFERROR(MAX(0,CE300-CQ888),0),0)</f>
        <v>0</v>
      </c>
      <c r="CU888">
        <f>IF(ISNUMBER(CQ888),IFERROR(MAX(0,CQ888-CE300),0),0)</f>
        <v>0</v>
      </c>
    </row>
    <row r="889" spans="87:99" x14ac:dyDescent="0.3">
      <c r="CI889" t="e">
        <f>AL301</f>
        <v>#N/A</v>
      </c>
      <c r="CJ889" t="e">
        <f>AM301</f>
        <v>#N/A</v>
      </c>
      <c r="CK889">
        <f>IF(ISNUMBER(CI889),IFERROR(MAX(0,AN301-CI889),0),0)</f>
        <v>0</v>
      </c>
      <c r="CL889">
        <f>IF(ISNUMBER(CI889),IFERROR(MAX(0,CI889-AN301),0),0)</f>
        <v>0</v>
      </c>
      <c r="CM889">
        <f>IF(ISNUMBER(CJ889),IFERROR(MAX(0,AO301-CJ889),0),0)</f>
        <v>0</v>
      </c>
      <c r="CN889">
        <f>IF(ISNUMBER(CJ889),IFERROR(MAX(0,CJ889-AO301),0),0)</f>
        <v>0</v>
      </c>
      <c r="CP889" t="e">
        <f>BT301</f>
        <v>#N/A</v>
      </c>
      <c r="CQ889" t="e">
        <f>BU301</f>
        <v>#N/A</v>
      </c>
      <c r="CR889">
        <f>IF(ISNUMBER(CP889),IFERROR(MAX(0,BV301-CP889),0),0)</f>
        <v>0</v>
      </c>
      <c r="CS889">
        <f>IF(ISNUMBER(CP889),IFERROR(MAX(0,CP889-BV301),0),0)</f>
        <v>0</v>
      </c>
      <c r="CT889">
        <f>IF(ISNUMBER(CQ889),IFERROR(MAX(0,BW301-CQ889),0),0)</f>
        <v>0</v>
      </c>
      <c r="CU889">
        <f>IF(ISNUMBER(CQ889),IFERROR(MAX(0,CQ889-BW301),0),0)</f>
        <v>0</v>
      </c>
    </row>
    <row r="890" spans="87:99" x14ac:dyDescent="0.3">
      <c r="CI890" t="e">
        <f>AP301</f>
        <v>#N/A</v>
      </c>
      <c r="CJ890" t="e">
        <f>AQ301</f>
        <v>#N/A</v>
      </c>
      <c r="CK890">
        <f>IF(ISNUMBER(CI890),IFERROR(MAX(0,AR301-CI890),0),0)</f>
        <v>0</v>
      </c>
      <c r="CL890">
        <f>IF(ISNUMBER(CI890),IFERROR(MAX(0,CI890-AR301),0),0)</f>
        <v>0</v>
      </c>
      <c r="CM890">
        <f>IF(ISNUMBER(CJ890),IFERROR(MAX(0,AS301-CJ890),0),0)</f>
        <v>0</v>
      </c>
      <c r="CN890">
        <f>IF(ISNUMBER(CJ890),IFERROR(MAX(0,CJ890-AS301),0),0)</f>
        <v>0</v>
      </c>
      <c r="CP890" t="e">
        <f>BX301</f>
        <v>#N/A</v>
      </c>
      <c r="CQ890" t="e">
        <f>BY301</f>
        <v>#N/A</v>
      </c>
      <c r="CR890">
        <f>IF(ISNUMBER(CP890),IFERROR(MAX(0,BZ301-CP890),0),0)</f>
        <v>0</v>
      </c>
      <c r="CS890">
        <f>IF(ISNUMBER(CP890),IFERROR(MAX(0,CP890-BZ301),0),0)</f>
        <v>0</v>
      </c>
      <c r="CT890">
        <f>IF(ISNUMBER(CQ890),IFERROR(MAX(0,CA301-CQ890),0),0)</f>
        <v>0</v>
      </c>
      <c r="CU890">
        <f>IF(ISNUMBER(CQ890),IFERROR(MAX(0,CQ890-CA301),0),0)</f>
        <v>0</v>
      </c>
    </row>
    <row r="891" spans="87:99" x14ac:dyDescent="0.3">
      <c r="CI891" t="e">
        <f>AT301</f>
        <v>#N/A</v>
      </c>
      <c r="CJ891" t="e">
        <f>AU301</f>
        <v>#N/A</v>
      </c>
      <c r="CK891">
        <f>IF(ISNUMBER(CI891),IFERROR(MAX(0,AV301-CI891),0),0)</f>
        <v>0</v>
      </c>
      <c r="CL891">
        <f>IF(ISNUMBER(CI891),IFERROR(MAX(0,CI891-AV301),0),0)</f>
        <v>0</v>
      </c>
      <c r="CM891">
        <f>IF(ISNUMBER(CJ891),IFERROR(MAX(0,AW301-CJ891),0),0)</f>
        <v>0</v>
      </c>
      <c r="CN891">
        <f>IF(ISNUMBER(CJ891),IFERROR(MAX(0,CJ891-AW301),0),0)</f>
        <v>0</v>
      </c>
      <c r="CP891" t="e">
        <f>CB301</f>
        <v>#N/A</v>
      </c>
      <c r="CQ891" t="e">
        <f>CC301</f>
        <v>#N/A</v>
      </c>
      <c r="CR891">
        <f>IF(ISNUMBER(CP891),IFERROR(MAX(0,CD301-CP891),0),0)</f>
        <v>0</v>
      </c>
      <c r="CS891">
        <f>IF(ISNUMBER(CP891),IFERROR(MAX(0,CP891-CD301),0),0)</f>
        <v>0</v>
      </c>
      <c r="CT891">
        <f>IF(ISNUMBER(CQ891),IFERROR(MAX(0,CE301-CQ891),0),0)</f>
        <v>0</v>
      </c>
      <c r="CU891">
        <f>IF(ISNUMBER(CQ891),IFERROR(MAX(0,CQ891-CE301),0),0)</f>
        <v>0</v>
      </c>
    </row>
    <row r="892" spans="87:99" x14ac:dyDescent="0.3">
      <c r="CI892" t="e">
        <f>AL302</f>
        <v>#N/A</v>
      </c>
      <c r="CJ892" t="e">
        <f>AM302</f>
        <v>#N/A</v>
      </c>
      <c r="CK892">
        <f>IF(ISNUMBER(CI892),IFERROR(MAX(0,AN302-CI892),0),0)</f>
        <v>0</v>
      </c>
      <c r="CL892">
        <f>IF(ISNUMBER(CI892),IFERROR(MAX(0,CI892-AN302),0),0)</f>
        <v>0</v>
      </c>
      <c r="CM892">
        <f>IF(ISNUMBER(CJ892),IFERROR(MAX(0,AO302-CJ892),0),0)</f>
        <v>0</v>
      </c>
      <c r="CN892">
        <f>IF(ISNUMBER(CJ892),IFERROR(MAX(0,CJ892-AO302),0),0)</f>
        <v>0</v>
      </c>
      <c r="CP892" t="e">
        <f>BT302</f>
        <v>#N/A</v>
      </c>
      <c r="CQ892" t="e">
        <f>BU302</f>
        <v>#N/A</v>
      </c>
      <c r="CR892">
        <f>IF(ISNUMBER(CP892),IFERROR(MAX(0,BV302-CP892),0),0)</f>
        <v>0</v>
      </c>
      <c r="CS892">
        <f>IF(ISNUMBER(CP892),IFERROR(MAX(0,CP892-BV302),0),0)</f>
        <v>0</v>
      </c>
      <c r="CT892">
        <f>IF(ISNUMBER(CQ892),IFERROR(MAX(0,BW302-CQ892),0),0)</f>
        <v>0</v>
      </c>
      <c r="CU892">
        <f>IF(ISNUMBER(CQ892),IFERROR(MAX(0,CQ892-BW302),0),0)</f>
        <v>0</v>
      </c>
    </row>
    <row r="893" spans="87:99" x14ac:dyDescent="0.3">
      <c r="CI893" t="e">
        <f>AP302</f>
        <v>#N/A</v>
      </c>
      <c r="CJ893" t="e">
        <f>AQ302</f>
        <v>#N/A</v>
      </c>
      <c r="CK893">
        <f>IF(ISNUMBER(CI893),IFERROR(MAX(0,AR302-CI893),0),0)</f>
        <v>0</v>
      </c>
      <c r="CL893">
        <f>IF(ISNUMBER(CI893),IFERROR(MAX(0,CI893-AR302),0),0)</f>
        <v>0</v>
      </c>
      <c r="CM893">
        <f>IF(ISNUMBER(CJ893),IFERROR(MAX(0,AS302-CJ893),0),0)</f>
        <v>0</v>
      </c>
      <c r="CN893">
        <f>IF(ISNUMBER(CJ893),IFERROR(MAX(0,CJ893-AS302),0),0)</f>
        <v>0</v>
      </c>
      <c r="CP893" t="e">
        <f>BX302</f>
        <v>#N/A</v>
      </c>
      <c r="CQ893" t="e">
        <f>BY302</f>
        <v>#N/A</v>
      </c>
      <c r="CR893">
        <f>IF(ISNUMBER(CP893),IFERROR(MAX(0,BZ302-CP893),0),0)</f>
        <v>0</v>
      </c>
      <c r="CS893">
        <f>IF(ISNUMBER(CP893),IFERROR(MAX(0,CP893-BZ302),0),0)</f>
        <v>0</v>
      </c>
      <c r="CT893">
        <f>IF(ISNUMBER(CQ893),IFERROR(MAX(0,CA302-CQ893),0),0)</f>
        <v>0</v>
      </c>
      <c r="CU893">
        <f>IF(ISNUMBER(CQ893),IFERROR(MAX(0,CQ893-CA302),0),0)</f>
        <v>0</v>
      </c>
    </row>
    <row r="894" spans="87:99" x14ac:dyDescent="0.3">
      <c r="CI894" t="e">
        <f>AT302</f>
        <v>#N/A</v>
      </c>
      <c r="CJ894" t="e">
        <f>AU302</f>
        <v>#N/A</v>
      </c>
      <c r="CK894">
        <f>IF(ISNUMBER(CI894),IFERROR(MAX(0,AV302-CI894),0),0)</f>
        <v>0</v>
      </c>
      <c r="CL894">
        <f>IF(ISNUMBER(CI894),IFERROR(MAX(0,CI894-AV302),0),0)</f>
        <v>0</v>
      </c>
      <c r="CM894">
        <f>IF(ISNUMBER(CJ894),IFERROR(MAX(0,AW302-CJ894),0),0)</f>
        <v>0</v>
      </c>
      <c r="CN894">
        <f>IF(ISNUMBER(CJ894),IFERROR(MAX(0,CJ894-AW302),0),0)</f>
        <v>0</v>
      </c>
      <c r="CP894" t="e">
        <f>CB302</f>
        <v>#N/A</v>
      </c>
      <c r="CQ894" t="e">
        <f>CC302</f>
        <v>#N/A</v>
      </c>
      <c r="CR894">
        <f>IF(ISNUMBER(CP894),IFERROR(MAX(0,CD302-CP894),0),0)</f>
        <v>0</v>
      </c>
      <c r="CS894">
        <f>IF(ISNUMBER(CP894),IFERROR(MAX(0,CP894-CD302),0),0)</f>
        <v>0</v>
      </c>
      <c r="CT894">
        <f>IF(ISNUMBER(CQ894),IFERROR(MAX(0,CE302-CQ894),0),0)</f>
        <v>0</v>
      </c>
      <c r="CU894">
        <f>IF(ISNUMBER(CQ894),IFERROR(MAX(0,CQ894-CE302),0),0)</f>
        <v>0</v>
      </c>
    </row>
    <row r="895" spans="87:99" x14ac:dyDescent="0.3">
      <c r="CI895" t="e">
        <f>AL303</f>
        <v>#N/A</v>
      </c>
      <c r="CJ895" t="e">
        <f>AM303</f>
        <v>#N/A</v>
      </c>
      <c r="CK895">
        <f>IF(ISNUMBER(CI895),IFERROR(MAX(0,AN303-CI895),0),0)</f>
        <v>0</v>
      </c>
      <c r="CL895">
        <f>IF(ISNUMBER(CI895),IFERROR(MAX(0,CI895-AN303),0),0)</f>
        <v>0</v>
      </c>
      <c r="CM895">
        <f>IF(ISNUMBER(CJ895),IFERROR(MAX(0,AO303-CJ895),0),0)</f>
        <v>0</v>
      </c>
      <c r="CN895">
        <f>IF(ISNUMBER(CJ895),IFERROR(MAX(0,CJ895-AO303),0),0)</f>
        <v>0</v>
      </c>
      <c r="CP895" t="e">
        <f>BT303</f>
        <v>#N/A</v>
      </c>
      <c r="CQ895" t="e">
        <f>BU303</f>
        <v>#N/A</v>
      </c>
      <c r="CR895">
        <f>IF(ISNUMBER(CP895),IFERROR(MAX(0,BV303-CP895),0),0)</f>
        <v>0</v>
      </c>
      <c r="CS895">
        <f>IF(ISNUMBER(CP895),IFERROR(MAX(0,CP895-BV303),0),0)</f>
        <v>0</v>
      </c>
      <c r="CT895">
        <f>IF(ISNUMBER(CQ895),IFERROR(MAX(0,BW303-CQ895),0),0)</f>
        <v>0</v>
      </c>
      <c r="CU895">
        <f>IF(ISNUMBER(CQ895),IFERROR(MAX(0,CQ895-BW303),0),0)</f>
        <v>0</v>
      </c>
    </row>
    <row r="896" spans="87:99" x14ac:dyDescent="0.3">
      <c r="CI896" t="e">
        <f>AP303</f>
        <v>#N/A</v>
      </c>
      <c r="CJ896" t="e">
        <f>AQ303</f>
        <v>#N/A</v>
      </c>
      <c r="CK896">
        <f>IF(ISNUMBER(CI896),IFERROR(MAX(0,AR303-CI896),0),0)</f>
        <v>0</v>
      </c>
      <c r="CL896">
        <f>IF(ISNUMBER(CI896),IFERROR(MAX(0,CI896-AR303),0),0)</f>
        <v>0</v>
      </c>
      <c r="CM896">
        <f>IF(ISNUMBER(CJ896),IFERROR(MAX(0,AS303-CJ896),0),0)</f>
        <v>0</v>
      </c>
      <c r="CN896">
        <f>IF(ISNUMBER(CJ896),IFERROR(MAX(0,CJ896-AS303),0),0)</f>
        <v>0</v>
      </c>
      <c r="CP896" t="e">
        <f>BX303</f>
        <v>#N/A</v>
      </c>
      <c r="CQ896" t="e">
        <f>BY303</f>
        <v>#N/A</v>
      </c>
      <c r="CR896">
        <f>IF(ISNUMBER(CP896),IFERROR(MAX(0,BZ303-CP896),0),0)</f>
        <v>0</v>
      </c>
      <c r="CS896">
        <f>IF(ISNUMBER(CP896),IFERROR(MAX(0,CP896-BZ303),0),0)</f>
        <v>0</v>
      </c>
      <c r="CT896">
        <f>IF(ISNUMBER(CQ896),IFERROR(MAX(0,CA303-CQ896),0),0)</f>
        <v>0</v>
      </c>
      <c r="CU896">
        <f>IF(ISNUMBER(CQ896),IFERROR(MAX(0,CQ896-CA303),0),0)</f>
        <v>0</v>
      </c>
    </row>
    <row r="897" spans="87:99" x14ac:dyDescent="0.3">
      <c r="CI897" t="e">
        <f>AT303</f>
        <v>#N/A</v>
      </c>
      <c r="CJ897" t="e">
        <f>AU303</f>
        <v>#N/A</v>
      </c>
      <c r="CK897">
        <f>IF(ISNUMBER(CI897),IFERROR(MAX(0,AV303-CI897),0),0)</f>
        <v>0</v>
      </c>
      <c r="CL897">
        <f>IF(ISNUMBER(CI897),IFERROR(MAX(0,CI897-AV303),0),0)</f>
        <v>0</v>
      </c>
      <c r="CM897">
        <f>IF(ISNUMBER(CJ897),IFERROR(MAX(0,AW303-CJ897),0),0)</f>
        <v>0</v>
      </c>
      <c r="CN897">
        <f>IF(ISNUMBER(CJ897),IFERROR(MAX(0,CJ897-AW303),0),0)</f>
        <v>0</v>
      </c>
      <c r="CP897" t="e">
        <f>CB303</f>
        <v>#N/A</v>
      </c>
      <c r="CQ897" t="e">
        <f>CC303</f>
        <v>#N/A</v>
      </c>
      <c r="CR897">
        <f>IF(ISNUMBER(CP897),IFERROR(MAX(0,CD303-CP897),0),0)</f>
        <v>0</v>
      </c>
      <c r="CS897">
        <f>IF(ISNUMBER(CP897),IFERROR(MAX(0,CP897-CD303),0),0)</f>
        <v>0</v>
      </c>
      <c r="CT897">
        <f>IF(ISNUMBER(CQ897),IFERROR(MAX(0,CE303-CQ897),0),0)</f>
        <v>0</v>
      </c>
      <c r="CU897">
        <f>IF(ISNUMBER(CQ897),IFERROR(MAX(0,CQ897-CE303),0),0)</f>
        <v>0</v>
      </c>
    </row>
    <row r="898" spans="87:99" x14ac:dyDescent="0.3">
      <c r="CI898" t="e">
        <f>AL304</f>
        <v>#N/A</v>
      </c>
      <c r="CJ898" t="e">
        <f>AM304</f>
        <v>#N/A</v>
      </c>
      <c r="CK898">
        <f>IF(ISNUMBER(CI898),IFERROR(MAX(0,AN304-CI898),0),0)</f>
        <v>0</v>
      </c>
      <c r="CL898">
        <f>IF(ISNUMBER(CI898),IFERROR(MAX(0,CI898-AN304),0),0)</f>
        <v>0</v>
      </c>
      <c r="CM898">
        <f>IF(ISNUMBER(CJ898),IFERROR(MAX(0,AO304-CJ898),0),0)</f>
        <v>0</v>
      </c>
      <c r="CN898">
        <f>IF(ISNUMBER(CJ898),IFERROR(MAX(0,CJ898-AO304),0),0)</f>
        <v>0</v>
      </c>
      <c r="CP898" t="e">
        <f>BT304</f>
        <v>#N/A</v>
      </c>
      <c r="CQ898" t="e">
        <f>BU304</f>
        <v>#N/A</v>
      </c>
      <c r="CR898">
        <f>IF(ISNUMBER(CP898),IFERROR(MAX(0,BV304-CP898),0),0)</f>
        <v>0</v>
      </c>
      <c r="CS898">
        <f>IF(ISNUMBER(CP898),IFERROR(MAX(0,CP898-BV304),0),0)</f>
        <v>0</v>
      </c>
      <c r="CT898">
        <f>IF(ISNUMBER(CQ898),IFERROR(MAX(0,BW304-CQ898),0),0)</f>
        <v>0</v>
      </c>
      <c r="CU898">
        <f>IF(ISNUMBER(CQ898),IFERROR(MAX(0,CQ898-BW304),0),0)</f>
        <v>0</v>
      </c>
    </row>
    <row r="899" spans="87:99" x14ac:dyDescent="0.3">
      <c r="CI899" t="e">
        <f>AP304</f>
        <v>#N/A</v>
      </c>
      <c r="CJ899" t="e">
        <f>AQ304</f>
        <v>#N/A</v>
      </c>
      <c r="CK899">
        <f>IF(ISNUMBER(CI899),IFERROR(MAX(0,AR304-CI899),0),0)</f>
        <v>0</v>
      </c>
      <c r="CL899">
        <f>IF(ISNUMBER(CI899),IFERROR(MAX(0,CI899-AR304),0),0)</f>
        <v>0</v>
      </c>
      <c r="CM899">
        <f>IF(ISNUMBER(CJ899),IFERROR(MAX(0,AS304-CJ899),0),0)</f>
        <v>0</v>
      </c>
      <c r="CN899">
        <f>IF(ISNUMBER(CJ899),IFERROR(MAX(0,CJ899-AS304),0),0)</f>
        <v>0</v>
      </c>
      <c r="CP899" t="e">
        <f>BX304</f>
        <v>#N/A</v>
      </c>
      <c r="CQ899" t="e">
        <f>BY304</f>
        <v>#N/A</v>
      </c>
      <c r="CR899">
        <f>IF(ISNUMBER(CP899),IFERROR(MAX(0,BZ304-CP899),0),0)</f>
        <v>0</v>
      </c>
      <c r="CS899">
        <f>IF(ISNUMBER(CP899),IFERROR(MAX(0,CP899-BZ304),0),0)</f>
        <v>0</v>
      </c>
      <c r="CT899">
        <f>IF(ISNUMBER(CQ899),IFERROR(MAX(0,CA304-CQ899),0),0)</f>
        <v>0</v>
      </c>
      <c r="CU899">
        <f>IF(ISNUMBER(CQ899),IFERROR(MAX(0,CQ899-CA304),0),0)</f>
        <v>0</v>
      </c>
    </row>
    <row r="900" spans="87:99" x14ac:dyDescent="0.3">
      <c r="CI900" t="e">
        <f>AT304</f>
        <v>#N/A</v>
      </c>
      <c r="CJ900" t="e">
        <f>AU304</f>
        <v>#N/A</v>
      </c>
      <c r="CK900">
        <f>IF(ISNUMBER(CI900),IFERROR(MAX(0,AV304-CI900),0),0)</f>
        <v>0</v>
      </c>
      <c r="CL900">
        <f>IF(ISNUMBER(CI900),IFERROR(MAX(0,CI900-AV304),0),0)</f>
        <v>0</v>
      </c>
      <c r="CM900">
        <f>IF(ISNUMBER(CJ900),IFERROR(MAX(0,AW304-CJ900),0),0)</f>
        <v>0</v>
      </c>
      <c r="CN900">
        <f>IF(ISNUMBER(CJ900),IFERROR(MAX(0,CJ900-AW304),0),0)</f>
        <v>0</v>
      </c>
      <c r="CP900" t="e">
        <f>CB304</f>
        <v>#N/A</v>
      </c>
      <c r="CQ900" t="e">
        <f>CC304</f>
        <v>#N/A</v>
      </c>
      <c r="CR900">
        <f>IF(ISNUMBER(CP900),IFERROR(MAX(0,CD304-CP900),0),0)</f>
        <v>0</v>
      </c>
      <c r="CS900">
        <f>IF(ISNUMBER(CP900),IFERROR(MAX(0,CP900-CD304),0),0)</f>
        <v>0</v>
      </c>
      <c r="CT900">
        <f>IF(ISNUMBER(CQ900),IFERROR(MAX(0,CE304-CQ900),0),0)</f>
        <v>0</v>
      </c>
      <c r="CU900">
        <f>IF(ISNUMBER(CQ900),IFERROR(MAX(0,CQ900-CE304),0),0)</f>
        <v>0</v>
      </c>
    </row>
    <row r="901" spans="87:99" x14ac:dyDescent="0.3">
      <c r="CI901" t="e">
        <f>AL305</f>
        <v>#N/A</v>
      </c>
      <c r="CJ901" t="e">
        <f>AM305</f>
        <v>#N/A</v>
      </c>
      <c r="CK901">
        <f>IF(ISNUMBER(CI901),IFERROR(MAX(0,AN305-CI901),0),0)</f>
        <v>0</v>
      </c>
      <c r="CL901">
        <f>IF(ISNUMBER(CI901),IFERROR(MAX(0,CI901-AN305),0),0)</f>
        <v>0</v>
      </c>
      <c r="CM901">
        <f>IF(ISNUMBER(CJ901),IFERROR(MAX(0,AO305-CJ901),0),0)</f>
        <v>0</v>
      </c>
      <c r="CN901">
        <f>IF(ISNUMBER(CJ901),IFERROR(MAX(0,CJ901-AO305),0),0)</f>
        <v>0</v>
      </c>
      <c r="CP901" t="e">
        <f>BT305</f>
        <v>#N/A</v>
      </c>
      <c r="CQ901" t="e">
        <f>BU305</f>
        <v>#N/A</v>
      </c>
      <c r="CR901">
        <f>IF(ISNUMBER(CP901),IFERROR(MAX(0,BV305-CP901),0),0)</f>
        <v>0</v>
      </c>
      <c r="CS901">
        <f>IF(ISNUMBER(CP901),IFERROR(MAX(0,CP901-BV305),0),0)</f>
        <v>0</v>
      </c>
      <c r="CT901">
        <f>IF(ISNUMBER(CQ901),IFERROR(MAX(0,BW305-CQ901),0),0)</f>
        <v>0</v>
      </c>
      <c r="CU901">
        <f>IF(ISNUMBER(CQ901),IFERROR(MAX(0,CQ901-BW305),0),0)</f>
        <v>0</v>
      </c>
    </row>
    <row r="902" spans="87:99" x14ac:dyDescent="0.3">
      <c r="CI902" t="e">
        <f>AP305</f>
        <v>#N/A</v>
      </c>
      <c r="CJ902" t="e">
        <f>AQ305</f>
        <v>#N/A</v>
      </c>
      <c r="CK902">
        <f>IF(ISNUMBER(CI902),IFERROR(MAX(0,AR305-CI902),0),0)</f>
        <v>0</v>
      </c>
      <c r="CL902">
        <f>IF(ISNUMBER(CI902),IFERROR(MAX(0,CI902-AR305),0),0)</f>
        <v>0</v>
      </c>
      <c r="CM902">
        <f>IF(ISNUMBER(CJ902),IFERROR(MAX(0,AS305-CJ902),0),0)</f>
        <v>0</v>
      </c>
      <c r="CN902">
        <f>IF(ISNUMBER(CJ902),IFERROR(MAX(0,CJ902-AS305),0),0)</f>
        <v>0</v>
      </c>
      <c r="CP902" t="e">
        <f>BX305</f>
        <v>#N/A</v>
      </c>
      <c r="CQ902" t="e">
        <f>BY305</f>
        <v>#N/A</v>
      </c>
      <c r="CR902">
        <f>IF(ISNUMBER(CP902),IFERROR(MAX(0,BZ305-CP902),0),0)</f>
        <v>0</v>
      </c>
      <c r="CS902">
        <f>IF(ISNUMBER(CP902),IFERROR(MAX(0,CP902-BZ305),0),0)</f>
        <v>0</v>
      </c>
      <c r="CT902">
        <f>IF(ISNUMBER(CQ902),IFERROR(MAX(0,CA305-CQ902),0),0)</f>
        <v>0</v>
      </c>
      <c r="CU902">
        <f>IF(ISNUMBER(CQ902),IFERROR(MAX(0,CQ902-CA305),0),0)</f>
        <v>0</v>
      </c>
    </row>
    <row r="903" spans="87:99" x14ac:dyDescent="0.3">
      <c r="CI903" t="e">
        <f>AT305</f>
        <v>#N/A</v>
      </c>
      <c r="CJ903" t="e">
        <f>AU305</f>
        <v>#N/A</v>
      </c>
      <c r="CK903">
        <f>IF(ISNUMBER(CI903),IFERROR(MAX(0,AV305-CI903),0),0)</f>
        <v>0</v>
      </c>
      <c r="CL903">
        <f>IF(ISNUMBER(CI903),IFERROR(MAX(0,CI903-AV305),0),0)</f>
        <v>0</v>
      </c>
      <c r="CM903">
        <f>IF(ISNUMBER(CJ903),IFERROR(MAX(0,AW305-CJ903),0),0)</f>
        <v>0</v>
      </c>
      <c r="CN903">
        <f>IF(ISNUMBER(CJ903),IFERROR(MAX(0,CJ903-AW305),0),0)</f>
        <v>0</v>
      </c>
      <c r="CP903" t="e">
        <f>CB305</f>
        <v>#N/A</v>
      </c>
      <c r="CQ903" t="e">
        <f>CC305</f>
        <v>#N/A</v>
      </c>
      <c r="CR903">
        <f>IF(ISNUMBER(CP903),IFERROR(MAX(0,CD305-CP903),0),0)</f>
        <v>0</v>
      </c>
      <c r="CS903">
        <f>IF(ISNUMBER(CP903),IFERROR(MAX(0,CP903-CD305),0),0)</f>
        <v>0</v>
      </c>
      <c r="CT903">
        <f>IF(ISNUMBER(CQ903),IFERROR(MAX(0,CE305-CQ903),0),0)</f>
        <v>0</v>
      </c>
      <c r="CU903">
        <f>IF(ISNUMBER(CQ903),IFERROR(MAX(0,CQ903-CE305),0),0)</f>
        <v>0</v>
      </c>
    </row>
    <row r="904" spans="87:99" x14ac:dyDescent="0.3">
      <c r="CI904" t="e">
        <f>AL306</f>
        <v>#N/A</v>
      </c>
      <c r="CJ904" t="e">
        <f>AM306</f>
        <v>#N/A</v>
      </c>
      <c r="CK904">
        <f>IF(ISNUMBER(CI904),IFERROR(MAX(0,AN306-CI904),0),0)</f>
        <v>0</v>
      </c>
      <c r="CL904">
        <f>IF(ISNUMBER(CI904),IFERROR(MAX(0,CI904-AN306),0),0)</f>
        <v>0</v>
      </c>
      <c r="CM904">
        <f>IF(ISNUMBER(CJ904),IFERROR(MAX(0,AO306-CJ904),0),0)</f>
        <v>0</v>
      </c>
      <c r="CN904">
        <f>IF(ISNUMBER(CJ904),IFERROR(MAX(0,CJ904-AO306),0),0)</f>
        <v>0</v>
      </c>
      <c r="CP904" t="e">
        <f>BT306</f>
        <v>#N/A</v>
      </c>
      <c r="CQ904" t="e">
        <f>BU306</f>
        <v>#N/A</v>
      </c>
      <c r="CR904">
        <f>IF(ISNUMBER(CP904),IFERROR(MAX(0,BV306-CP904),0),0)</f>
        <v>0</v>
      </c>
      <c r="CS904">
        <f>IF(ISNUMBER(CP904),IFERROR(MAX(0,CP904-BV306),0),0)</f>
        <v>0</v>
      </c>
      <c r="CT904">
        <f>IF(ISNUMBER(CQ904),IFERROR(MAX(0,BW306-CQ904),0),0)</f>
        <v>0</v>
      </c>
      <c r="CU904">
        <f>IF(ISNUMBER(CQ904),IFERROR(MAX(0,CQ904-BW306),0),0)</f>
        <v>0</v>
      </c>
    </row>
    <row r="905" spans="87:99" x14ac:dyDescent="0.3">
      <c r="CI905" t="e">
        <f>AP306</f>
        <v>#N/A</v>
      </c>
      <c r="CJ905" t="e">
        <f>AQ306</f>
        <v>#N/A</v>
      </c>
      <c r="CK905">
        <f>IF(ISNUMBER(CI905),IFERROR(MAX(0,AR306-CI905),0),0)</f>
        <v>0</v>
      </c>
      <c r="CL905">
        <f>IF(ISNUMBER(CI905),IFERROR(MAX(0,CI905-AR306),0),0)</f>
        <v>0</v>
      </c>
      <c r="CM905">
        <f>IF(ISNUMBER(CJ905),IFERROR(MAX(0,AS306-CJ905),0),0)</f>
        <v>0</v>
      </c>
      <c r="CN905">
        <f>IF(ISNUMBER(CJ905),IFERROR(MAX(0,CJ905-AS306),0),0)</f>
        <v>0</v>
      </c>
      <c r="CP905" t="e">
        <f>BX306</f>
        <v>#N/A</v>
      </c>
      <c r="CQ905" t="e">
        <f>BY306</f>
        <v>#N/A</v>
      </c>
      <c r="CR905">
        <f>IF(ISNUMBER(CP905),IFERROR(MAX(0,BZ306-CP905),0),0)</f>
        <v>0</v>
      </c>
      <c r="CS905">
        <f>IF(ISNUMBER(CP905),IFERROR(MAX(0,CP905-BZ306),0),0)</f>
        <v>0</v>
      </c>
      <c r="CT905">
        <f>IF(ISNUMBER(CQ905),IFERROR(MAX(0,CA306-CQ905),0),0)</f>
        <v>0</v>
      </c>
      <c r="CU905">
        <f>IF(ISNUMBER(CQ905),IFERROR(MAX(0,CQ905-CA306),0),0)</f>
        <v>0</v>
      </c>
    </row>
    <row r="906" spans="87:99" x14ac:dyDescent="0.3">
      <c r="CI906" t="e">
        <f>AT306</f>
        <v>#N/A</v>
      </c>
      <c r="CJ906" t="e">
        <f>AU306</f>
        <v>#N/A</v>
      </c>
      <c r="CK906">
        <f>IF(ISNUMBER(CI906),IFERROR(MAX(0,AV306-CI906),0),0)</f>
        <v>0</v>
      </c>
      <c r="CL906">
        <f>IF(ISNUMBER(CI906),IFERROR(MAX(0,CI906-AV306),0),0)</f>
        <v>0</v>
      </c>
      <c r="CM906">
        <f>IF(ISNUMBER(CJ906),IFERROR(MAX(0,AW306-CJ906),0),0)</f>
        <v>0</v>
      </c>
      <c r="CN906">
        <f>IF(ISNUMBER(CJ906),IFERROR(MAX(0,CJ906-AW306),0),0)</f>
        <v>0</v>
      </c>
      <c r="CP906" t="e">
        <f>CB306</f>
        <v>#N/A</v>
      </c>
      <c r="CQ906" t="e">
        <f>CC306</f>
        <v>#N/A</v>
      </c>
      <c r="CR906">
        <f>IF(ISNUMBER(CP906),IFERROR(MAX(0,CD306-CP906),0),0)</f>
        <v>0</v>
      </c>
      <c r="CS906">
        <f>IF(ISNUMBER(CP906),IFERROR(MAX(0,CP906-CD306),0),0)</f>
        <v>0</v>
      </c>
      <c r="CT906">
        <f>IF(ISNUMBER(CQ906),IFERROR(MAX(0,CE306-CQ906),0),0)</f>
        <v>0</v>
      </c>
      <c r="CU906">
        <f>IF(ISNUMBER(CQ906),IFERROR(MAX(0,CQ906-CE306),0),0)</f>
        <v>0</v>
      </c>
    </row>
    <row r="907" spans="87:99" x14ac:dyDescent="0.3">
      <c r="CI907" t="e">
        <f>AL307</f>
        <v>#N/A</v>
      </c>
      <c r="CJ907" t="e">
        <f>AM307</f>
        <v>#N/A</v>
      </c>
      <c r="CK907">
        <f>IF(ISNUMBER(CI907),IFERROR(MAX(0,AN307-CI907),0),0)</f>
        <v>0</v>
      </c>
      <c r="CL907">
        <f>IF(ISNUMBER(CI907),IFERROR(MAX(0,CI907-AN307),0),0)</f>
        <v>0</v>
      </c>
      <c r="CM907">
        <f>IF(ISNUMBER(CJ907),IFERROR(MAX(0,AO307-CJ907),0),0)</f>
        <v>0</v>
      </c>
      <c r="CN907">
        <f>IF(ISNUMBER(CJ907),IFERROR(MAX(0,CJ907-AO307),0),0)</f>
        <v>0</v>
      </c>
      <c r="CP907" t="e">
        <f>BT307</f>
        <v>#N/A</v>
      </c>
      <c r="CQ907" t="e">
        <f>BU307</f>
        <v>#N/A</v>
      </c>
      <c r="CR907">
        <f>IF(ISNUMBER(CP907),IFERROR(MAX(0,BV307-CP907),0),0)</f>
        <v>0</v>
      </c>
      <c r="CS907">
        <f>IF(ISNUMBER(CP907),IFERROR(MAX(0,CP907-BV307),0),0)</f>
        <v>0</v>
      </c>
      <c r="CT907">
        <f>IF(ISNUMBER(CQ907),IFERROR(MAX(0,BW307-CQ907),0),0)</f>
        <v>0</v>
      </c>
      <c r="CU907">
        <f>IF(ISNUMBER(CQ907),IFERROR(MAX(0,CQ907-BW307),0),0)</f>
        <v>0</v>
      </c>
    </row>
    <row r="908" spans="87:99" x14ac:dyDescent="0.3">
      <c r="CI908" t="e">
        <f>AP307</f>
        <v>#N/A</v>
      </c>
      <c r="CJ908" t="e">
        <f>AQ307</f>
        <v>#N/A</v>
      </c>
      <c r="CK908">
        <f>IF(ISNUMBER(CI908),IFERROR(MAX(0,AR307-CI908),0),0)</f>
        <v>0</v>
      </c>
      <c r="CL908">
        <f>IF(ISNUMBER(CI908),IFERROR(MAX(0,CI908-AR307),0),0)</f>
        <v>0</v>
      </c>
      <c r="CM908">
        <f>IF(ISNUMBER(CJ908),IFERROR(MAX(0,AS307-CJ908),0),0)</f>
        <v>0</v>
      </c>
      <c r="CN908">
        <f>IF(ISNUMBER(CJ908),IFERROR(MAX(0,CJ908-AS307),0),0)</f>
        <v>0</v>
      </c>
      <c r="CP908" t="e">
        <f>BX307</f>
        <v>#N/A</v>
      </c>
      <c r="CQ908" t="e">
        <f>BY307</f>
        <v>#N/A</v>
      </c>
      <c r="CR908">
        <f>IF(ISNUMBER(CP908),IFERROR(MAX(0,BZ307-CP908),0),0)</f>
        <v>0</v>
      </c>
      <c r="CS908">
        <f>IF(ISNUMBER(CP908),IFERROR(MAX(0,CP908-BZ307),0),0)</f>
        <v>0</v>
      </c>
      <c r="CT908">
        <f>IF(ISNUMBER(CQ908),IFERROR(MAX(0,CA307-CQ908),0),0)</f>
        <v>0</v>
      </c>
      <c r="CU908">
        <f>IF(ISNUMBER(CQ908),IFERROR(MAX(0,CQ908-CA307),0),0)</f>
        <v>0</v>
      </c>
    </row>
    <row r="909" spans="87:99" x14ac:dyDescent="0.3">
      <c r="CI909" t="e">
        <f>AT307</f>
        <v>#N/A</v>
      </c>
      <c r="CJ909" t="e">
        <f>AU307</f>
        <v>#N/A</v>
      </c>
      <c r="CK909">
        <f>IF(ISNUMBER(CI909),IFERROR(MAX(0,AV307-CI909),0),0)</f>
        <v>0</v>
      </c>
      <c r="CL909">
        <f>IF(ISNUMBER(CI909),IFERROR(MAX(0,CI909-AV307),0),0)</f>
        <v>0</v>
      </c>
      <c r="CM909">
        <f>IF(ISNUMBER(CJ909),IFERROR(MAX(0,AW307-CJ909),0),0)</f>
        <v>0</v>
      </c>
      <c r="CN909">
        <f>IF(ISNUMBER(CJ909),IFERROR(MAX(0,CJ909-AW307),0),0)</f>
        <v>0</v>
      </c>
      <c r="CP909" t="e">
        <f>CB307</f>
        <v>#N/A</v>
      </c>
      <c r="CQ909" t="e">
        <f>CC307</f>
        <v>#N/A</v>
      </c>
      <c r="CR909">
        <f>IF(ISNUMBER(CP909),IFERROR(MAX(0,CD307-CP909),0),0)</f>
        <v>0</v>
      </c>
      <c r="CS909">
        <f>IF(ISNUMBER(CP909),IFERROR(MAX(0,CP909-CD307),0),0)</f>
        <v>0</v>
      </c>
      <c r="CT909">
        <f>IF(ISNUMBER(CQ909),IFERROR(MAX(0,CE307-CQ909),0),0)</f>
        <v>0</v>
      </c>
      <c r="CU909">
        <f>IF(ISNUMBER(CQ909),IFERROR(MAX(0,CQ909-CE307),0),0)</f>
        <v>0</v>
      </c>
    </row>
    <row r="910" spans="87:99" x14ac:dyDescent="0.3">
      <c r="CI910" t="e">
        <f>AL308</f>
        <v>#N/A</v>
      </c>
      <c r="CJ910" t="e">
        <f>AM308</f>
        <v>#N/A</v>
      </c>
      <c r="CK910">
        <f>IF(ISNUMBER(CI910),IFERROR(MAX(0,AN308-CI910),0),0)</f>
        <v>0</v>
      </c>
      <c r="CL910">
        <f>IF(ISNUMBER(CI910),IFERROR(MAX(0,CI910-AN308),0),0)</f>
        <v>0</v>
      </c>
      <c r="CM910">
        <f>IF(ISNUMBER(CJ910),IFERROR(MAX(0,AO308-CJ910),0),0)</f>
        <v>0</v>
      </c>
      <c r="CN910">
        <f>IF(ISNUMBER(CJ910),IFERROR(MAX(0,CJ910-AO308),0),0)</f>
        <v>0</v>
      </c>
      <c r="CP910" t="e">
        <f>BT308</f>
        <v>#N/A</v>
      </c>
      <c r="CQ910" t="e">
        <f>BU308</f>
        <v>#N/A</v>
      </c>
      <c r="CR910">
        <f>IF(ISNUMBER(CP910),IFERROR(MAX(0,BV308-CP910),0),0)</f>
        <v>0</v>
      </c>
      <c r="CS910">
        <f>IF(ISNUMBER(CP910),IFERROR(MAX(0,CP910-BV308),0),0)</f>
        <v>0</v>
      </c>
      <c r="CT910">
        <f>IF(ISNUMBER(CQ910),IFERROR(MAX(0,BW308-CQ910),0),0)</f>
        <v>0</v>
      </c>
      <c r="CU910">
        <f>IF(ISNUMBER(CQ910),IFERROR(MAX(0,CQ910-BW308),0),0)</f>
        <v>0</v>
      </c>
    </row>
    <row r="911" spans="87:99" x14ac:dyDescent="0.3">
      <c r="CI911" t="e">
        <f>AP308</f>
        <v>#N/A</v>
      </c>
      <c r="CJ911" t="e">
        <f>AQ308</f>
        <v>#N/A</v>
      </c>
      <c r="CK911">
        <f>IF(ISNUMBER(CI911),IFERROR(MAX(0,AR308-CI911),0),0)</f>
        <v>0</v>
      </c>
      <c r="CL911">
        <f>IF(ISNUMBER(CI911),IFERROR(MAX(0,CI911-AR308),0),0)</f>
        <v>0</v>
      </c>
      <c r="CM911">
        <f>IF(ISNUMBER(CJ911),IFERROR(MAX(0,AS308-CJ911),0),0)</f>
        <v>0</v>
      </c>
      <c r="CN911">
        <f>IF(ISNUMBER(CJ911),IFERROR(MAX(0,CJ911-AS308),0),0)</f>
        <v>0</v>
      </c>
      <c r="CP911" t="e">
        <f>BX308</f>
        <v>#N/A</v>
      </c>
      <c r="CQ911" t="e">
        <f>BY308</f>
        <v>#N/A</v>
      </c>
      <c r="CR911">
        <f>IF(ISNUMBER(CP911),IFERROR(MAX(0,BZ308-CP911),0),0)</f>
        <v>0</v>
      </c>
      <c r="CS911">
        <f>IF(ISNUMBER(CP911),IFERROR(MAX(0,CP911-BZ308),0),0)</f>
        <v>0</v>
      </c>
      <c r="CT911">
        <f>IF(ISNUMBER(CQ911),IFERROR(MAX(0,CA308-CQ911),0),0)</f>
        <v>0</v>
      </c>
      <c r="CU911">
        <f>IF(ISNUMBER(CQ911),IFERROR(MAX(0,CQ911-CA308),0),0)</f>
        <v>0</v>
      </c>
    </row>
    <row r="912" spans="87:99" x14ac:dyDescent="0.3">
      <c r="CI912" t="e">
        <f>AT308</f>
        <v>#N/A</v>
      </c>
      <c r="CJ912" t="e">
        <f>AU308</f>
        <v>#N/A</v>
      </c>
      <c r="CK912">
        <f>IF(ISNUMBER(CI912),IFERROR(MAX(0,AV308-CI912),0),0)</f>
        <v>0</v>
      </c>
      <c r="CL912">
        <f>IF(ISNUMBER(CI912),IFERROR(MAX(0,CI912-AV308),0),0)</f>
        <v>0</v>
      </c>
      <c r="CM912">
        <f>IF(ISNUMBER(CJ912),IFERROR(MAX(0,AW308-CJ912),0),0)</f>
        <v>0</v>
      </c>
      <c r="CN912">
        <f>IF(ISNUMBER(CJ912),IFERROR(MAX(0,CJ912-AW308),0),0)</f>
        <v>0</v>
      </c>
      <c r="CP912" t="e">
        <f>CB308</f>
        <v>#N/A</v>
      </c>
      <c r="CQ912" t="e">
        <f>CC308</f>
        <v>#N/A</v>
      </c>
      <c r="CR912">
        <f>IF(ISNUMBER(CP912),IFERROR(MAX(0,CD308-CP912),0),0)</f>
        <v>0</v>
      </c>
      <c r="CS912">
        <f>IF(ISNUMBER(CP912),IFERROR(MAX(0,CP912-CD308),0),0)</f>
        <v>0</v>
      </c>
      <c r="CT912">
        <f>IF(ISNUMBER(CQ912),IFERROR(MAX(0,CE308-CQ912),0),0)</f>
        <v>0</v>
      </c>
      <c r="CU912">
        <f>IF(ISNUMBER(CQ912),IFERROR(MAX(0,CQ912-CE308),0),0)</f>
        <v>0</v>
      </c>
    </row>
    <row r="913" spans="87:99" x14ac:dyDescent="0.3">
      <c r="CI913" t="e">
        <f>AL309</f>
        <v>#N/A</v>
      </c>
      <c r="CJ913" t="e">
        <f>AM309</f>
        <v>#N/A</v>
      </c>
      <c r="CK913">
        <f>IF(ISNUMBER(CI913),IFERROR(MAX(0,AN309-CI913),0),0)</f>
        <v>0</v>
      </c>
      <c r="CL913">
        <f>IF(ISNUMBER(CI913),IFERROR(MAX(0,CI913-AN309),0),0)</f>
        <v>0</v>
      </c>
      <c r="CM913">
        <f>IF(ISNUMBER(CJ913),IFERROR(MAX(0,AO309-CJ913),0),0)</f>
        <v>0</v>
      </c>
      <c r="CN913">
        <f>IF(ISNUMBER(CJ913),IFERROR(MAX(0,CJ913-AO309),0),0)</f>
        <v>0</v>
      </c>
      <c r="CP913" t="e">
        <f>BT309</f>
        <v>#N/A</v>
      </c>
      <c r="CQ913" t="e">
        <f>BU309</f>
        <v>#N/A</v>
      </c>
      <c r="CR913">
        <f>IF(ISNUMBER(CP913),IFERROR(MAX(0,BV309-CP913),0),0)</f>
        <v>0</v>
      </c>
      <c r="CS913">
        <f>IF(ISNUMBER(CP913),IFERROR(MAX(0,CP913-BV309),0),0)</f>
        <v>0</v>
      </c>
      <c r="CT913">
        <f>IF(ISNUMBER(CQ913),IFERROR(MAX(0,BW309-CQ913),0),0)</f>
        <v>0</v>
      </c>
      <c r="CU913">
        <f>IF(ISNUMBER(CQ913),IFERROR(MAX(0,CQ913-BW309),0),0)</f>
        <v>0</v>
      </c>
    </row>
    <row r="914" spans="87:99" x14ac:dyDescent="0.3">
      <c r="CI914" t="e">
        <f>AP309</f>
        <v>#N/A</v>
      </c>
      <c r="CJ914" t="e">
        <f>AQ309</f>
        <v>#N/A</v>
      </c>
      <c r="CK914">
        <f>IF(ISNUMBER(CI914),IFERROR(MAX(0,AR309-CI914),0),0)</f>
        <v>0</v>
      </c>
      <c r="CL914">
        <f>IF(ISNUMBER(CI914),IFERROR(MAX(0,CI914-AR309),0),0)</f>
        <v>0</v>
      </c>
      <c r="CM914">
        <f>IF(ISNUMBER(CJ914),IFERROR(MAX(0,AS309-CJ914),0),0)</f>
        <v>0</v>
      </c>
      <c r="CN914">
        <f>IF(ISNUMBER(CJ914),IFERROR(MAX(0,CJ914-AS309),0),0)</f>
        <v>0</v>
      </c>
      <c r="CP914" t="e">
        <f>BX309</f>
        <v>#N/A</v>
      </c>
      <c r="CQ914" t="e">
        <f>BY309</f>
        <v>#N/A</v>
      </c>
      <c r="CR914">
        <f>IF(ISNUMBER(CP914),IFERROR(MAX(0,BZ309-CP914),0),0)</f>
        <v>0</v>
      </c>
      <c r="CS914">
        <f>IF(ISNUMBER(CP914),IFERROR(MAX(0,CP914-BZ309),0),0)</f>
        <v>0</v>
      </c>
      <c r="CT914">
        <f>IF(ISNUMBER(CQ914),IFERROR(MAX(0,CA309-CQ914),0),0)</f>
        <v>0</v>
      </c>
      <c r="CU914">
        <f>IF(ISNUMBER(CQ914),IFERROR(MAX(0,CQ914-CA309),0),0)</f>
        <v>0</v>
      </c>
    </row>
    <row r="915" spans="87:99" x14ac:dyDescent="0.3">
      <c r="CI915" t="e">
        <f>AT309</f>
        <v>#N/A</v>
      </c>
      <c r="CJ915" t="e">
        <f>AU309</f>
        <v>#N/A</v>
      </c>
      <c r="CK915">
        <f>IF(ISNUMBER(CI915),IFERROR(MAX(0,AV309-CI915),0),0)</f>
        <v>0</v>
      </c>
      <c r="CL915">
        <f>IF(ISNUMBER(CI915),IFERROR(MAX(0,CI915-AV309),0),0)</f>
        <v>0</v>
      </c>
      <c r="CM915">
        <f>IF(ISNUMBER(CJ915),IFERROR(MAX(0,AW309-CJ915),0),0)</f>
        <v>0</v>
      </c>
      <c r="CN915">
        <f>IF(ISNUMBER(CJ915),IFERROR(MAX(0,CJ915-AW309),0),0)</f>
        <v>0</v>
      </c>
      <c r="CP915" t="e">
        <f>CB309</f>
        <v>#N/A</v>
      </c>
      <c r="CQ915" t="e">
        <f>CC309</f>
        <v>#N/A</v>
      </c>
      <c r="CR915">
        <f>IF(ISNUMBER(CP915),IFERROR(MAX(0,CD309-CP915),0),0)</f>
        <v>0</v>
      </c>
      <c r="CS915">
        <f>IF(ISNUMBER(CP915),IFERROR(MAX(0,CP915-CD309),0),0)</f>
        <v>0</v>
      </c>
      <c r="CT915">
        <f>IF(ISNUMBER(CQ915),IFERROR(MAX(0,CE309-CQ915),0),0)</f>
        <v>0</v>
      </c>
      <c r="CU915">
        <f>IF(ISNUMBER(CQ915),IFERROR(MAX(0,CQ915-CE309),0),0)</f>
        <v>0</v>
      </c>
    </row>
    <row r="916" spans="87:99" x14ac:dyDescent="0.3">
      <c r="CI916" t="e">
        <f>AL310</f>
        <v>#N/A</v>
      </c>
      <c r="CJ916" t="e">
        <f>AM310</f>
        <v>#N/A</v>
      </c>
      <c r="CK916">
        <f>IF(ISNUMBER(CI916),IFERROR(MAX(0,AN310-CI916),0),0)</f>
        <v>0</v>
      </c>
      <c r="CL916">
        <f>IF(ISNUMBER(CI916),IFERROR(MAX(0,CI916-AN310),0),0)</f>
        <v>0</v>
      </c>
      <c r="CM916">
        <f>IF(ISNUMBER(CJ916),IFERROR(MAX(0,AO310-CJ916),0),0)</f>
        <v>0</v>
      </c>
      <c r="CN916">
        <f>IF(ISNUMBER(CJ916),IFERROR(MAX(0,CJ916-AO310),0),0)</f>
        <v>0</v>
      </c>
      <c r="CP916" t="e">
        <f>BT310</f>
        <v>#N/A</v>
      </c>
      <c r="CQ916" t="e">
        <f>BU310</f>
        <v>#N/A</v>
      </c>
      <c r="CR916">
        <f>IF(ISNUMBER(CP916),IFERROR(MAX(0,BV310-CP916),0),0)</f>
        <v>0</v>
      </c>
      <c r="CS916">
        <f>IF(ISNUMBER(CP916),IFERROR(MAX(0,CP916-BV310),0),0)</f>
        <v>0</v>
      </c>
      <c r="CT916">
        <f>IF(ISNUMBER(CQ916),IFERROR(MAX(0,BW310-CQ916),0),0)</f>
        <v>0</v>
      </c>
      <c r="CU916">
        <f>IF(ISNUMBER(CQ916),IFERROR(MAX(0,CQ916-BW310),0),0)</f>
        <v>0</v>
      </c>
    </row>
    <row r="917" spans="87:99" x14ac:dyDescent="0.3">
      <c r="CI917" t="e">
        <f>AP310</f>
        <v>#N/A</v>
      </c>
      <c r="CJ917" t="e">
        <f>AQ310</f>
        <v>#N/A</v>
      </c>
      <c r="CK917">
        <f>IF(ISNUMBER(CI917),IFERROR(MAX(0,AR310-CI917),0),0)</f>
        <v>0</v>
      </c>
      <c r="CL917">
        <f>IF(ISNUMBER(CI917),IFERROR(MAX(0,CI917-AR310),0),0)</f>
        <v>0</v>
      </c>
      <c r="CM917">
        <f>IF(ISNUMBER(CJ917),IFERROR(MAX(0,AS310-CJ917),0),0)</f>
        <v>0</v>
      </c>
      <c r="CN917">
        <f>IF(ISNUMBER(CJ917),IFERROR(MAX(0,CJ917-AS310),0),0)</f>
        <v>0</v>
      </c>
      <c r="CP917" t="e">
        <f>BX310</f>
        <v>#N/A</v>
      </c>
      <c r="CQ917" t="e">
        <f>BY310</f>
        <v>#N/A</v>
      </c>
      <c r="CR917">
        <f>IF(ISNUMBER(CP917),IFERROR(MAX(0,BZ310-CP917),0),0)</f>
        <v>0</v>
      </c>
      <c r="CS917">
        <f>IF(ISNUMBER(CP917),IFERROR(MAX(0,CP917-BZ310),0),0)</f>
        <v>0</v>
      </c>
      <c r="CT917">
        <f>IF(ISNUMBER(CQ917),IFERROR(MAX(0,CA310-CQ917),0),0)</f>
        <v>0</v>
      </c>
      <c r="CU917">
        <f>IF(ISNUMBER(CQ917),IFERROR(MAX(0,CQ917-CA310),0),0)</f>
        <v>0</v>
      </c>
    </row>
    <row r="918" spans="87:99" x14ac:dyDescent="0.3">
      <c r="CI918" t="e">
        <f>AT310</f>
        <v>#N/A</v>
      </c>
      <c r="CJ918" t="e">
        <f>AU310</f>
        <v>#N/A</v>
      </c>
      <c r="CK918">
        <f>IF(ISNUMBER(CI918),IFERROR(MAX(0,AV310-CI918),0),0)</f>
        <v>0</v>
      </c>
      <c r="CL918">
        <f>IF(ISNUMBER(CI918),IFERROR(MAX(0,CI918-AV310),0),0)</f>
        <v>0</v>
      </c>
      <c r="CM918">
        <f>IF(ISNUMBER(CJ918),IFERROR(MAX(0,AW310-CJ918),0),0)</f>
        <v>0</v>
      </c>
      <c r="CN918">
        <f>IF(ISNUMBER(CJ918),IFERROR(MAX(0,CJ918-AW310),0),0)</f>
        <v>0</v>
      </c>
      <c r="CP918" t="e">
        <f>CB310</f>
        <v>#N/A</v>
      </c>
      <c r="CQ918" t="e">
        <f>CC310</f>
        <v>#N/A</v>
      </c>
      <c r="CR918">
        <f>IF(ISNUMBER(CP918),IFERROR(MAX(0,CD310-CP918),0),0)</f>
        <v>0</v>
      </c>
      <c r="CS918">
        <f>IF(ISNUMBER(CP918),IFERROR(MAX(0,CP918-CD310),0),0)</f>
        <v>0</v>
      </c>
      <c r="CT918">
        <f>IF(ISNUMBER(CQ918),IFERROR(MAX(0,CE310-CQ918),0),0)</f>
        <v>0</v>
      </c>
      <c r="CU918">
        <f>IF(ISNUMBER(CQ918),IFERROR(MAX(0,CQ918-CE310),0),0)</f>
        <v>0</v>
      </c>
    </row>
    <row r="919" spans="87:99" x14ac:dyDescent="0.3">
      <c r="CI919" t="e">
        <f>AL311</f>
        <v>#N/A</v>
      </c>
      <c r="CJ919" t="e">
        <f>AM311</f>
        <v>#N/A</v>
      </c>
      <c r="CK919">
        <f>IF(ISNUMBER(CI919),IFERROR(MAX(0,AN311-CI919),0),0)</f>
        <v>0</v>
      </c>
      <c r="CL919">
        <f>IF(ISNUMBER(CI919),IFERROR(MAX(0,CI919-AN311),0),0)</f>
        <v>0</v>
      </c>
      <c r="CM919">
        <f>IF(ISNUMBER(CJ919),IFERROR(MAX(0,AO311-CJ919),0),0)</f>
        <v>0</v>
      </c>
      <c r="CN919">
        <f>IF(ISNUMBER(CJ919),IFERROR(MAX(0,CJ919-AO311),0),0)</f>
        <v>0</v>
      </c>
      <c r="CP919" t="e">
        <f>BT311</f>
        <v>#N/A</v>
      </c>
      <c r="CQ919" t="e">
        <f>BU311</f>
        <v>#N/A</v>
      </c>
      <c r="CR919">
        <f>IF(ISNUMBER(CP919),IFERROR(MAX(0,BV311-CP919),0),0)</f>
        <v>0</v>
      </c>
      <c r="CS919">
        <f>IF(ISNUMBER(CP919),IFERROR(MAX(0,CP919-BV311),0),0)</f>
        <v>0</v>
      </c>
      <c r="CT919">
        <f>IF(ISNUMBER(CQ919),IFERROR(MAX(0,BW311-CQ919),0),0)</f>
        <v>0</v>
      </c>
      <c r="CU919">
        <f>IF(ISNUMBER(CQ919),IFERROR(MAX(0,CQ919-BW311),0),0)</f>
        <v>0</v>
      </c>
    </row>
    <row r="920" spans="87:99" x14ac:dyDescent="0.3">
      <c r="CI920" t="e">
        <f>AP311</f>
        <v>#N/A</v>
      </c>
      <c r="CJ920" t="e">
        <f>AQ311</f>
        <v>#N/A</v>
      </c>
      <c r="CK920">
        <f>IF(ISNUMBER(CI920),IFERROR(MAX(0,AR311-CI920),0),0)</f>
        <v>0</v>
      </c>
      <c r="CL920">
        <f>IF(ISNUMBER(CI920),IFERROR(MAX(0,CI920-AR311),0),0)</f>
        <v>0</v>
      </c>
      <c r="CM920">
        <f>IF(ISNUMBER(CJ920),IFERROR(MAX(0,AS311-CJ920),0),0)</f>
        <v>0</v>
      </c>
      <c r="CN920">
        <f>IF(ISNUMBER(CJ920),IFERROR(MAX(0,CJ920-AS311),0),0)</f>
        <v>0</v>
      </c>
      <c r="CP920" t="e">
        <f>BX311</f>
        <v>#N/A</v>
      </c>
      <c r="CQ920" t="e">
        <f>BY311</f>
        <v>#N/A</v>
      </c>
      <c r="CR920">
        <f>IF(ISNUMBER(CP920),IFERROR(MAX(0,BZ311-CP920),0),0)</f>
        <v>0</v>
      </c>
      <c r="CS920">
        <f>IF(ISNUMBER(CP920),IFERROR(MAX(0,CP920-BZ311),0),0)</f>
        <v>0</v>
      </c>
      <c r="CT920">
        <f>IF(ISNUMBER(CQ920),IFERROR(MAX(0,CA311-CQ920),0),0)</f>
        <v>0</v>
      </c>
      <c r="CU920">
        <f>IF(ISNUMBER(CQ920),IFERROR(MAX(0,CQ920-CA311),0),0)</f>
        <v>0</v>
      </c>
    </row>
    <row r="921" spans="87:99" x14ac:dyDescent="0.3">
      <c r="CI921" t="e">
        <f>AT311</f>
        <v>#N/A</v>
      </c>
      <c r="CJ921" t="e">
        <f>AU311</f>
        <v>#N/A</v>
      </c>
      <c r="CK921">
        <f>IF(ISNUMBER(CI921),IFERROR(MAX(0,AV311-CI921),0),0)</f>
        <v>0</v>
      </c>
      <c r="CL921">
        <f>IF(ISNUMBER(CI921),IFERROR(MAX(0,CI921-AV311),0),0)</f>
        <v>0</v>
      </c>
      <c r="CM921">
        <f>IF(ISNUMBER(CJ921),IFERROR(MAX(0,AW311-CJ921),0),0)</f>
        <v>0</v>
      </c>
      <c r="CN921">
        <f>IF(ISNUMBER(CJ921),IFERROR(MAX(0,CJ921-AW311),0),0)</f>
        <v>0</v>
      </c>
      <c r="CP921" t="e">
        <f>CB311</f>
        <v>#N/A</v>
      </c>
      <c r="CQ921" t="e">
        <f>CC311</f>
        <v>#N/A</v>
      </c>
      <c r="CR921">
        <f>IF(ISNUMBER(CP921),IFERROR(MAX(0,CD311-CP921),0),0)</f>
        <v>0</v>
      </c>
      <c r="CS921">
        <f>IF(ISNUMBER(CP921),IFERROR(MAX(0,CP921-CD311),0),0)</f>
        <v>0</v>
      </c>
      <c r="CT921">
        <f>IF(ISNUMBER(CQ921),IFERROR(MAX(0,CE311-CQ921),0),0)</f>
        <v>0</v>
      </c>
      <c r="CU921">
        <f>IF(ISNUMBER(CQ921),IFERROR(MAX(0,CQ921-CE311),0),0)</f>
        <v>0</v>
      </c>
    </row>
    <row r="922" spans="87:99" x14ac:dyDescent="0.3">
      <c r="CI922" t="e">
        <f>AL312</f>
        <v>#N/A</v>
      </c>
      <c r="CJ922" t="e">
        <f>AM312</f>
        <v>#N/A</v>
      </c>
      <c r="CK922">
        <f>IF(ISNUMBER(CI922),IFERROR(MAX(0,AN312-CI922),0),0)</f>
        <v>0</v>
      </c>
      <c r="CL922">
        <f>IF(ISNUMBER(CI922),IFERROR(MAX(0,CI922-AN312),0),0)</f>
        <v>0</v>
      </c>
      <c r="CM922">
        <f>IF(ISNUMBER(CJ922),IFERROR(MAX(0,AO312-CJ922),0),0)</f>
        <v>0</v>
      </c>
      <c r="CN922">
        <f>IF(ISNUMBER(CJ922),IFERROR(MAX(0,CJ922-AO312),0),0)</f>
        <v>0</v>
      </c>
      <c r="CP922" t="e">
        <f>BT312</f>
        <v>#N/A</v>
      </c>
      <c r="CQ922" t="e">
        <f>BU312</f>
        <v>#N/A</v>
      </c>
      <c r="CR922">
        <f>IF(ISNUMBER(CP922),IFERROR(MAX(0,BV312-CP922),0),0)</f>
        <v>0</v>
      </c>
      <c r="CS922">
        <f>IF(ISNUMBER(CP922),IFERROR(MAX(0,CP922-BV312),0),0)</f>
        <v>0</v>
      </c>
      <c r="CT922">
        <f>IF(ISNUMBER(CQ922),IFERROR(MAX(0,BW312-CQ922),0),0)</f>
        <v>0</v>
      </c>
      <c r="CU922">
        <f>IF(ISNUMBER(CQ922),IFERROR(MAX(0,CQ922-BW312),0),0)</f>
        <v>0</v>
      </c>
    </row>
    <row r="923" spans="87:99" x14ac:dyDescent="0.3">
      <c r="CI923" t="e">
        <f>AP312</f>
        <v>#N/A</v>
      </c>
      <c r="CJ923" t="e">
        <f>AQ312</f>
        <v>#N/A</v>
      </c>
      <c r="CK923">
        <f>IF(ISNUMBER(CI923),IFERROR(MAX(0,AR312-CI923),0),0)</f>
        <v>0</v>
      </c>
      <c r="CL923">
        <f>IF(ISNUMBER(CI923),IFERROR(MAX(0,CI923-AR312),0),0)</f>
        <v>0</v>
      </c>
      <c r="CM923">
        <f>IF(ISNUMBER(CJ923),IFERROR(MAX(0,AS312-CJ923),0),0)</f>
        <v>0</v>
      </c>
      <c r="CN923">
        <f>IF(ISNUMBER(CJ923),IFERROR(MAX(0,CJ923-AS312),0),0)</f>
        <v>0</v>
      </c>
      <c r="CP923" t="e">
        <f>BX312</f>
        <v>#N/A</v>
      </c>
      <c r="CQ923" t="e">
        <f>BY312</f>
        <v>#N/A</v>
      </c>
      <c r="CR923">
        <f>IF(ISNUMBER(CP923),IFERROR(MAX(0,BZ312-CP923),0),0)</f>
        <v>0</v>
      </c>
      <c r="CS923">
        <f>IF(ISNUMBER(CP923),IFERROR(MAX(0,CP923-BZ312),0),0)</f>
        <v>0</v>
      </c>
      <c r="CT923">
        <f>IF(ISNUMBER(CQ923),IFERROR(MAX(0,CA312-CQ923),0),0)</f>
        <v>0</v>
      </c>
      <c r="CU923">
        <f>IF(ISNUMBER(CQ923),IFERROR(MAX(0,CQ923-CA312),0),0)</f>
        <v>0</v>
      </c>
    </row>
    <row r="924" spans="87:99" x14ac:dyDescent="0.3">
      <c r="CI924" t="e">
        <f>AT312</f>
        <v>#N/A</v>
      </c>
      <c r="CJ924" t="e">
        <f>AU312</f>
        <v>#N/A</v>
      </c>
      <c r="CK924">
        <f>IF(ISNUMBER(CI924),IFERROR(MAX(0,AV312-CI924),0),0)</f>
        <v>0</v>
      </c>
      <c r="CL924">
        <f>IF(ISNUMBER(CI924),IFERROR(MAX(0,CI924-AV312),0),0)</f>
        <v>0</v>
      </c>
      <c r="CM924">
        <f>IF(ISNUMBER(CJ924),IFERROR(MAX(0,AW312-CJ924),0),0)</f>
        <v>0</v>
      </c>
      <c r="CN924">
        <f>IF(ISNUMBER(CJ924),IFERROR(MAX(0,CJ924-AW312),0),0)</f>
        <v>0</v>
      </c>
      <c r="CP924" t="e">
        <f>CB312</f>
        <v>#N/A</v>
      </c>
      <c r="CQ924" t="e">
        <f>CC312</f>
        <v>#N/A</v>
      </c>
      <c r="CR924">
        <f>IF(ISNUMBER(CP924),IFERROR(MAX(0,CD312-CP924),0),0)</f>
        <v>0</v>
      </c>
      <c r="CS924">
        <f>IF(ISNUMBER(CP924),IFERROR(MAX(0,CP924-CD312),0),0)</f>
        <v>0</v>
      </c>
      <c r="CT924">
        <f>IF(ISNUMBER(CQ924),IFERROR(MAX(0,CE312-CQ924),0),0)</f>
        <v>0</v>
      </c>
      <c r="CU924">
        <f>IF(ISNUMBER(CQ924),IFERROR(MAX(0,CQ924-CE312),0),0)</f>
        <v>0</v>
      </c>
    </row>
    <row r="925" spans="87:99" x14ac:dyDescent="0.3">
      <c r="CI925" t="e">
        <f>AL313</f>
        <v>#N/A</v>
      </c>
      <c r="CJ925" t="e">
        <f>AM313</f>
        <v>#N/A</v>
      </c>
      <c r="CK925">
        <f>IF(ISNUMBER(CI925),IFERROR(MAX(0,AN313-CI925),0),0)</f>
        <v>0</v>
      </c>
      <c r="CL925">
        <f>IF(ISNUMBER(CI925),IFERROR(MAX(0,CI925-AN313),0),0)</f>
        <v>0</v>
      </c>
      <c r="CM925">
        <f>IF(ISNUMBER(CJ925),IFERROR(MAX(0,AO313-CJ925),0),0)</f>
        <v>0</v>
      </c>
      <c r="CN925">
        <f>IF(ISNUMBER(CJ925),IFERROR(MAX(0,CJ925-AO313),0),0)</f>
        <v>0</v>
      </c>
      <c r="CP925" t="e">
        <f>BT313</f>
        <v>#N/A</v>
      </c>
      <c r="CQ925" t="e">
        <f>BU313</f>
        <v>#N/A</v>
      </c>
      <c r="CR925">
        <f>IF(ISNUMBER(CP925),IFERROR(MAX(0,BV313-CP925),0),0)</f>
        <v>0</v>
      </c>
      <c r="CS925">
        <f>IF(ISNUMBER(CP925),IFERROR(MAX(0,CP925-BV313),0),0)</f>
        <v>0</v>
      </c>
      <c r="CT925">
        <f>IF(ISNUMBER(CQ925),IFERROR(MAX(0,BW313-CQ925),0),0)</f>
        <v>0</v>
      </c>
      <c r="CU925">
        <f>IF(ISNUMBER(CQ925),IFERROR(MAX(0,CQ925-BW313),0),0)</f>
        <v>0</v>
      </c>
    </row>
    <row r="926" spans="87:99" x14ac:dyDescent="0.3">
      <c r="CI926" t="e">
        <f>AP313</f>
        <v>#N/A</v>
      </c>
      <c r="CJ926" t="e">
        <f>AQ313</f>
        <v>#N/A</v>
      </c>
      <c r="CK926">
        <f>IF(ISNUMBER(CI926),IFERROR(MAX(0,AR313-CI926),0),0)</f>
        <v>0</v>
      </c>
      <c r="CL926">
        <f>IF(ISNUMBER(CI926),IFERROR(MAX(0,CI926-AR313),0),0)</f>
        <v>0</v>
      </c>
      <c r="CM926">
        <f>IF(ISNUMBER(CJ926),IFERROR(MAX(0,AS313-CJ926),0),0)</f>
        <v>0</v>
      </c>
      <c r="CN926">
        <f>IF(ISNUMBER(CJ926),IFERROR(MAX(0,CJ926-AS313),0),0)</f>
        <v>0</v>
      </c>
      <c r="CP926" t="e">
        <f>BX313</f>
        <v>#N/A</v>
      </c>
      <c r="CQ926" t="e">
        <f>BY313</f>
        <v>#N/A</v>
      </c>
      <c r="CR926">
        <f>IF(ISNUMBER(CP926),IFERROR(MAX(0,BZ313-CP926),0),0)</f>
        <v>0</v>
      </c>
      <c r="CS926">
        <f>IF(ISNUMBER(CP926),IFERROR(MAX(0,CP926-BZ313),0),0)</f>
        <v>0</v>
      </c>
      <c r="CT926">
        <f>IF(ISNUMBER(CQ926),IFERROR(MAX(0,CA313-CQ926),0),0)</f>
        <v>0</v>
      </c>
      <c r="CU926">
        <f>IF(ISNUMBER(CQ926),IFERROR(MAX(0,CQ926-CA313),0),0)</f>
        <v>0</v>
      </c>
    </row>
    <row r="927" spans="87:99" x14ac:dyDescent="0.3">
      <c r="CI927" t="e">
        <f>AT313</f>
        <v>#N/A</v>
      </c>
      <c r="CJ927" t="e">
        <f>AU313</f>
        <v>#N/A</v>
      </c>
      <c r="CK927">
        <f>IF(ISNUMBER(CI927),IFERROR(MAX(0,AV313-CI927),0),0)</f>
        <v>0</v>
      </c>
      <c r="CL927">
        <f>IF(ISNUMBER(CI927),IFERROR(MAX(0,CI927-AV313),0),0)</f>
        <v>0</v>
      </c>
      <c r="CM927">
        <f>IF(ISNUMBER(CJ927),IFERROR(MAX(0,AW313-CJ927),0),0)</f>
        <v>0</v>
      </c>
      <c r="CN927">
        <f>IF(ISNUMBER(CJ927),IFERROR(MAX(0,CJ927-AW313),0),0)</f>
        <v>0</v>
      </c>
      <c r="CP927" t="e">
        <f>CB313</f>
        <v>#N/A</v>
      </c>
      <c r="CQ927" t="e">
        <f>CC313</f>
        <v>#N/A</v>
      </c>
      <c r="CR927">
        <f>IF(ISNUMBER(CP927),IFERROR(MAX(0,CD313-CP927),0),0)</f>
        <v>0</v>
      </c>
      <c r="CS927">
        <f>IF(ISNUMBER(CP927),IFERROR(MAX(0,CP927-CD313),0),0)</f>
        <v>0</v>
      </c>
      <c r="CT927">
        <f>IF(ISNUMBER(CQ927),IFERROR(MAX(0,CE313-CQ927),0),0)</f>
        <v>0</v>
      </c>
      <c r="CU927">
        <f>IF(ISNUMBER(CQ927),IFERROR(MAX(0,CQ927-CE313),0),0)</f>
        <v>0</v>
      </c>
    </row>
    <row r="928" spans="87:99" x14ac:dyDescent="0.3">
      <c r="CI928" t="e">
        <f>AL314</f>
        <v>#N/A</v>
      </c>
      <c r="CJ928" t="e">
        <f>AM314</f>
        <v>#N/A</v>
      </c>
      <c r="CK928">
        <f>IF(ISNUMBER(CI928),IFERROR(MAX(0,AN314-CI928),0),0)</f>
        <v>0</v>
      </c>
      <c r="CL928">
        <f>IF(ISNUMBER(CI928),IFERROR(MAX(0,CI928-AN314),0),0)</f>
        <v>0</v>
      </c>
      <c r="CM928">
        <f>IF(ISNUMBER(CJ928),IFERROR(MAX(0,AO314-CJ928),0),0)</f>
        <v>0</v>
      </c>
      <c r="CN928">
        <f>IF(ISNUMBER(CJ928),IFERROR(MAX(0,CJ928-AO314),0),0)</f>
        <v>0</v>
      </c>
      <c r="CP928" t="e">
        <f>BT314</f>
        <v>#N/A</v>
      </c>
      <c r="CQ928" t="e">
        <f>BU314</f>
        <v>#N/A</v>
      </c>
      <c r="CR928">
        <f>IF(ISNUMBER(CP928),IFERROR(MAX(0,BV314-CP928),0),0)</f>
        <v>0</v>
      </c>
      <c r="CS928">
        <f>IF(ISNUMBER(CP928),IFERROR(MAX(0,CP928-BV314),0),0)</f>
        <v>0</v>
      </c>
      <c r="CT928">
        <f>IF(ISNUMBER(CQ928),IFERROR(MAX(0,BW314-CQ928),0),0)</f>
        <v>0</v>
      </c>
      <c r="CU928">
        <f>IF(ISNUMBER(CQ928),IFERROR(MAX(0,CQ928-BW314),0),0)</f>
        <v>0</v>
      </c>
    </row>
    <row r="929" spans="87:99" x14ac:dyDescent="0.3">
      <c r="CI929" t="e">
        <f>AP314</f>
        <v>#N/A</v>
      </c>
      <c r="CJ929" t="e">
        <f>AQ314</f>
        <v>#N/A</v>
      </c>
      <c r="CK929">
        <f>IF(ISNUMBER(CI929),IFERROR(MAX(0,AR314-CI929),0),0)</f>
        <v>0</v>
      </c>
      <c r="CL929">
        <f>IF(ISNUMBER(CI929),IFERROR(MAX(0,CI929-AR314),0),0)</f>
        <v>0</v>
      </c>
      <c r="CM929">
        <f>IF(ISNUMBER(CJ929),IFERROR(MAX(0,AS314-CJ929),0),0)</f>
        <v>0</v>
      </c>
      <c r="CN929">
        <f>IF(ISNUMBER(CJ929),IFERROR(MAX(0,CJ929-AS314),0),0)</f>
        <v>0</v>
      </c>
      <c r="CP929" t="e">
        <f>BX314</f>
        <v>#N/A</v>
      </c>
      <c r="CQ929" t="e">
        <f>BY314</f>
        <v>#N/A</v>
      </c>
      <c r="CR929">
        <f>IF(ISNUMBER(CP929),IFERROR(MAX(0,BZ314-CP929),0),0)</f>
        <v>0</v>
      </c>
      <c r="CS929">
        <f>IF(ISNUMBER(CP929),IFERROR(MAX(0,CP929-BZ314),0),0)</f>
        <v>0</v>
      </c>
      <c r="CT929">
        <f>IF(ISNUMBER(CQ929),IFERROR(MAX(0,CA314-CQ929),0),0)</f>
        <v>0</v>
      </c>
      <c r="CU929">
        <f>IF(ISNUMBER(CQ929),IFERROR(MAX(0,CQ929-CA314),0),0)</f>
        <v>0</v>
      </c>
    </row>
    <row r="930" spans="87:99" x14ac:dyDescent="0.3">
      <c r="CI930" t="e">
        <f>AT314</f>
        <v>#N/A</v>
      </c>
      <c r="CJ930" t="e">
        <f>AU314</f>
        <v>#N/A</v>
      </c>
      <c r="CK930">
        <f>IF(ISNUMBER(CI930),IFERROR(MAX(0,AV314-CI930),0),0)</f>
        <v>0</v>
      </c>
      <c r="CL930">
        <f>IF(ISNUMBER(CI930),IFERROR(MAX(0,CI930-AV314),0),0)</f>
        <v>0</v>
      </c>
      <c r="CM930">
        <f>IF(ISNUMBER(CJ930),IFERROR(MAX(0,AW314-CJ930),0),0)</f>
        <v>0</v>
      </c>
      <c r="CN930">
        <f>IF(ISNUMBER(CJ930),IFERROR(MAX(0,CJ930-AW314),0),0)</f>
        <v>0</v>
      </c>
      <c r="CP930" t="e">
        <f>CB314</f>
        <v>#N/A</v>
      </c>
      <c r="CQ930" t="e">
        <f>CC314</f>
        <v>#N/A</v>
      </c>
      <c r="CR930">
        <f>IF(ISNUMBER(CP930),IFERROR(MAX(0,CD314-CP930),0),0)</f>
        <v>0</v>
      </c>
      <c r="CS930">
        <f>IF(ISNUMBER(CP930),IFERROR(MAX(0,CP930-CD314),0),0)</f>
        <v>0</v>
      </c>
      <c r="CT930">
        <f>IF(ISNUMBER(CQ930),IFERROR(MAX(0,CE314-CQ930),0),0)</f>
        <v>0</v>
      </c>
      <c r="CU930">
        <f>IF(ISNUMBER(CQ930),IFERROR(MAX(0,CQ930-CE314),0),0)</f>
        <v>0</v>
      </c>
    </row>
    <row r="931" spans="87:99" x14ac:dyDescent="0.3">
      <c r="CI931" t="e">
        <f>AL315</f>
        <v>#N/A</v>
      </c>
      <c r="CJ931" t="e">
        <f>AM315</f>
        <v>#N/A</v>
      </c>
      <c r="CK931">
        <f>IF(ISNUMBER(CI931),IFERROR(MAX(0,AN315-CI931),0),0)</f>
        <v>0</v>
      </c>
      <c r="CL931">
        <f>IF(ISNUMBER(CI931),IFERROR(MAX(0,CI931-AN315),0),0)</f>
        <v>0</v>
      </c>
      <c r="CM931">
        <f>IF(ISNUMBER(CJ931),IFERROR(MAX(0,AO315-CJ931),0),0)</f>
        <v>0</v>
      </c>
      <c r="CN931">
        <f>IF(ISNUMBER(CJ931),IFERROR(MAX(0,CJ931-AO315),0),0)</f>
        <v>0</v>
      </c>
      <c r="CP931" t="e">
        <f>BT315</f>
        <v>#N/A</v>
      </c>
      <c r="CQ931" t="e">
        <f>BU315</f>
        <v>#N/A</v>
      </c>
      <c r="CR931">
        <f>IF(ISNUMBER(CP931),IFERROR(MAX(0,BV315-CP931),0),0)</f>
        <v>0</v>
      </c>
      <c r="CS931">
        <f>IF(ISNUMBER(CP931),IFERROR(MAX(0,CP931-BV315),0),0)</f>
        <v>0</v>
      </c>
      <c r="CT931">
        <f>IF(ISNUMBER(CQ931),IFERROR(MAX(0,BW315-CQ931),0),0)</f>
        <v>0</v>
      </c>
      <c r="CU931">
        <f>IF(ISNUMBER(CQ931),IFERROR(MAX(0,CQ931-BW315),0),0)</f>
        <v>0</v>
      </c>
    </row>
    <row r="932" spans="87:99" x14ac:dyDescent="0.3">
      <c r="CI932" t="e">
        <f>AP315</f>
        <v>#N/A</v>
      </c>
      <c r="CJ932" t="e">
        <f>AQ315</f>
        <v>#N/A</v>
      </c>
      <c r="CK932">
        <f>IF(ISNUMBER(CI932),IFERROR(MAX(0,AR315-CI932),0),0)</f>
        <v>0</v>
      </c>
      <c r="CL932">
        <f>IF(ISNUMBER(CI932),IFERROR(MAX(0,CI932-AR315),0),0)</f>
        <v>0</v>
      </c>
      <c r="CM932">
        <f>IF(ISNUMBER(CJ932),IFERROR(MAX(0,AS315-CJ932),0),0)</f>
        <v>0</v>
      </c>
      <c r="CN932">
        <f>IF(ISNUMBER(CJ932),IFERROR(MAX(0,CJ932-AS315),0),0)</f>
        <v>0</v>
      </c>
      <c r="CP932" t="e">
        <f>BX315</f>
        <v>#N/A</v>
      </c>
      <c r="CQ932" t="e">
        <f>BY315</f>
        <v>#N/A</v>
      </c>
      <c r="CR932">
        <f>IF(ISNUMBER(CP932),IFERROR(MAX(0,BZ315-CP932),0),0)</f>
        <v>0</v>
      </c>
      <c r="CS932">
        <f>IF(ISNUMBER(CP932),IFERROR(MAX(0,CP932-BZ315),0),0)</f>
        <v>0</v>
      </c>
      <c r="CT932">
        <f>IF(ISNUMBER(CQ932),IFERROR(MAX(0,CA315-CQ932),0),0)</f>
        <v>0</v>
      </c>
      <c r="CU932">
        <f>IF(ISNUMBER(CQ932),IFERROR(MAX(0,CQ932-CA315),0),0)</f>
        <v>0</v>
      </c>
    </row>
    <row r="933" spans="87:99" x14ac:dyDescent="0.3">
      <c r="CI933" t="e">
        <f>AT315</f>
        <v>#N/A</v>
      </c>
      <c r="CJ933" t="e">
        <f>AU315</f>
        <v>#N/A</v>
      </c>
      <c r="CK933">
        <f>IF(ISNUMBER(CI933),IFERROR(MAX(0,AV315-CI933),0),0)</f>
        <v>0</v>
      </c>
      <c r="CL933">
        <f>IF(ISNUMBER(CI933),IFERROR(MAX(0,CI933-AV315),0),0)</f>
        <v>0</v>
      </c>
      <c r="CM933">
        <f>IF(ISNUMBER(CJ933),IFERROR(MAX(0,AW315-CJ933),0),0)</f>
        <v>0</v>
      </c>
      <c r="CN933">
        <f>IF(ISNUMBER(CJ933),IFERROR(MAX(0,CJ933-AW315),0),0)</f>
        <v>0</v>
      </c>
      <c r="CP933" t="e">
        <f>CB315</f>
        <v>#N/A</v>
      </c>
      <c r="CQ933" t="e">
        <f>CC315</f>
        <v>#N/A</v>
      </c>
      <c r="CR933">
        <f>IF(ISNUMBER(CP933),IFERROR(MAX(0,CD315-CP933),0),0)</f>
        <v>0</v>
      </c>
      <c r="CS933">
        <f>IF(ISNUMBER(CP933),IFERROR(MAX(0,CP933-CD315),0),0)</f>
        <v>0</v>
      </c>
      <c r="CT933">
        <f>IF(ISNUMBER(CQ933),IFERROR(MAX(0,CE315-CQ933),0),0)</f>
        <v>0</v>
      </c>
      <c r="CU933">
        <f>IF(ISNUMBER(CQ933),IFERROR(MAX(0,CQ933-CE315),0),0)</f>
        <v>0</v>
      </c>
    </row>
    <row r="934" spans="87:99" x14ac:dyDescent="0.3">
      <c r="CI934" t="e">
        <f>AL316</f>
        <v>#N/A</v>
      </c>
      <c r="CJ934" t="e">
        <f>AM316</f>
        <v>#N/A</v>
      </c>
      <c r="CK934">
        <f>IF(ISNUMBER(CI934),IFERROR(MAX(0,AN316-CI934),0),0)</f>
        <v>0</v>
      </c>
      <c r="CL934">
        <f>IF(ISNUMBER(CI934),IFERROR(MAX(0,CI934-AN316),0),0)</f>
        <v>0</v>
      </c>
      <c r="CM934">
        <f>IF(ISNUMBER(CJ934),IFERROR(MAX(0,AO316-CJ934),0),0)</f>
        <v>0</v>
      </c>
      <c r="CN934">
        <f>IF(ISNUMBER(CJ934),IFERROR(MAX(0,CJ934-AO316),0),0)</f>
        <v>0</v>
      </c>
      <c r="CP934" t="e">
        <f>BT316</f>
        <v>#N/A</v>
      </c>
      <c r="CQ934" t="e">
        <f>BU316</f>
        <v>#N/A</v>
      </c>
      <c r="CR934">
        <f>IF(ISNUMBER(CP934),IFERROR(MAX(0,BV316-CP934),0),0)</f>
        <v>0</v>
      </c>
      <c r="CS934">
        <f>IF(ISNUMBER(CP934),IFERROR(MAX(0,CP934-BV316),0),0)</f>
        <v>0</v>
      </c>
      <c r="CT934">
        <f>IF(ISNUMBER(CQ934),IFERROR(MAX(0,BW316-CQ934),0),0)</f>
        <v>0</v>
      </c>
      <c r="CU934">
        <f>IF(ISNUMBER(CQ934),IFERROR(MAX(0,CQ934-BW316),0),0)</f>
        <v>0</v>
      </c>
    </row>
    <row r="935" spans="87:99" x14ac:dyDescent="0.3">
      <c r="CI935" t="e">
        <f>AP316</f>
        <v>#N/A</v>
      </c>
      <c r="CJ935" t="e">
        <f>AQ316</f>
        <v>#N/A</v>
      </c>
      <c r="CK935">
        <f>IF(ISNUMBER(CI935),IFERROR(MAX(0,AR316-CI935),0),0)</f>
        <v>0</v>
      </c>
      <c r="CL935">
        <f>IF(ISNUMBER(CI935),IFERROR(MAX(0,CI935-AR316),0),0)</f>
        <v>0</v>
      </c>
      <c r="CM935">
        <f>IF(ISNUMBER(CJ935),IFERROR(MAX(0,AS316-CJ935),0),0)</f>
        <v>0</v>
      </c>
      <c r="CN935">
        <f>IF(ISNUMBER(CJ935),IFERROR(MAX(0,CJ935-AS316),0),0)</f>
        <v>0</v>
      </c>
      <c r="CP935" t="e">
        <f>BX316</f>
        <v>#N/A</v>
      </c>
      <c r="CQ935" t="e">
        <f>BY316</f>
        <v>#N/A</v>
      </c>
      <c r="CR935">
        <f>IF(ISNUMBER(CP935),IFERROR(MAX(0,BZ316-CP935),0),0)</f>
        <v>0</v>
      </c>
      <c r="CS935">
        <f>IF(ISNUMBER(CP935),IFERROR(MAX(0,CP935-BZ316),0),0)</f>
        <v>0</v>
      </c>
      <c r="CT935">
        <f>IF(ISNUMBER(CQ935),IFERROR(MAX(0,CA316-CQ935),0),0)</f>
        <v>0</v>
      </c>
      <c r="CU935">
        <f>IF(ISNUMBER(CQ935),IFERROR(MAX(0,CQ935-CA316),0),0)</f>
        <v>0</v>
      </c>
    </row>
    <row r="936" spans="87:99" x14ac:dyDescent="0.3">
      <c r="CI936" t="e">
        <f>AT316</f>
        <v>#N/A</v>
      </c>
      <c r="CJ936" t="e">
        <f>AU316</f>
        <v>#N/A</v>
      </c>
      <c r="CK936">
        <f>IF(ISNUMBER(CI936),IFERROR(MAX(0,AV316-CI936),0),0)</f>
        <v>0</v>
      </c>
      <c r="CL936">
        <f>IF(ISNUMBER(CI936),IFERROR(MAX(0,CI936-AV316),0),0)</f>
        <v>0</v>
      </c>
      <c r="CM936">
        <f>IF(ISNUMBER(CJ936),IFERROR(MAX(0,AW316-CJ936),0),0)</f>
        <v>0</v>
      </c>
      <c r="CN936">
        <f>IF(ISNUMBER(CJ936),IFERROR(MAX(0,CJ936-AW316),0),0)</f>
        <v>0</v>
      </c>
      <c r="CP936" t="e">
        <f>CB316</f>
        <v>#N/A</v>
      </c>
      <c r="CQ936" t="e">
        <f>CC316</f>
        <v>#N/A</v>
      </c>
      <c r="CR936">
        <f>IF(ISNUMBER(CP936),IFERROR(MAX(0,CD316-CP936),0),0)</f>
        <v>0</v>
      </c>
      <c r="CS936">
        <f>IF(ISNUMBER(CP936),IFERROR(MAX(0,CP936-CD316),0),0)</f>
        <v>0</v>
      </c>
      <c r="CT936">
        <f>IF(ISNUMBER(CQ936),IFERROR(MAX(0,CE316-CQ936),0),0)</f>
        <v>0</v>
      </c>
      <c r="CU936">
        <f>IF(ISNUMBER(CQ936),IFERROR(MAX(0,CQ936-CE316),0),0)</f>
        <v>0</v>
      </c>
    </row>
    <row r="937" spans="87:99" x14ac:dyDescent="0.3">
      <c r="CI937" t="e">
        <f>AL317</f>
        <v>#N/A</v>
      </c>
      <c r="CJ937" t="e">
        <f>AM317</f>
        <v>#N/A</v>
      </c>
      <c r="CK937">
        <f>IF(ISNUMBER(CI937),IFERROR(MAX(0,AN317-CI937),0),0)</f>
        <v>0</v>
      </c>
      <c r="CL937">
        <f>IF(ISNUMBER(CI937),IFERROR(MAX(0,CI937-AN317),0),0)</f>
        <v>0</v>
      </c>
      <c r="CM937">
        <f>IF(ISNUMBER(CJ937),IFERROR(MAX(0,AO317-CJ937),0),0)</f>
        <v>0</v>
      </c>
      <c r="CN937">
        <f>IF(ISNUMBER(CJ937),IFERROR(MAX(0,CJ937-AO317),0),0)</f>
        <v>0</v>
      </c>
      <c r="CP937" t="e">
        <f>BT317</f>
        <v>#N/A</v>
      </c>
      <c r="CQ937" t="e">
        <f>BU317</f>
        <v>#N/A</v>
      </c>
      <c r="CR937">
        <f>IF(ISNUMBER(CP937),IFERROR(MAX(0,BV317-CP937),0),0)</f>
        <v>0</v>
      </c>
      <c r="CS937">
        <f>IF(ISNUMBER(CP937),IFERROR(MAX(0,CP937-BV317),0),0)</f>
        <v>0</v>
      </c>
      <c r="CT937">
        <f>IF(ISNUMBER(CQ937),IFERROR(MAX(0,BW317-CQ937),0),0)</f>
        <v>0</v>
      </c>
      <c r="CU937">
        <f>IF(ISNUMBER(CQ937),IFERROR(MAX(0,CQ937-BW317),0),0)</f>
        <v>0</v>
      </c>
    </row>
    <row r="938" spans="87:99" x14ac:dyDescent="0.3">
      <c r="CI938" t="e">
        <f>AP317</f>
        <v>#N/A</v>
      </c>
      <c r="CJ938" t="e">
        <f>AQ317</f>
        <v>#N/A</v>
      </c>
      <c r="CK938">
        <f>IF(ISNUMBER(CI938),IFERROR(MAX(0,AR317-CI938),0),0)</f>
        <v>0</v>
      </c>
      <c r="CL938">
        <f>IF(ISNUMBER(CI938),IFERROR(MAX(0,CI938-AR317),0),0)</f>
        <v>0</v>
      </c>
      <c r="CM938">
        <f>IF(ISNUMBER(CJ938),IFERROR(MAX(0,AS317-CJ938),0),0)</f>
        <v>0</v>
      </c>
      <c r="CN938">
        <f>IF(ISNUMBER(CJ938),IFERROR(MAX(0,CJ938-AS317),0),0)</f>
        <v>0</v>
      </c>
      <c r="CP938" t="e">
        <f>BX317</f>
        <v>#N/A</v>
      </c>
      <c r="CQ938" t="e">
        <f>BY317</f>
        <v>#N/A</v>
      </c>
      <c r="CR938">
        <f>IF(ISNUMBER(CP938),IFERROR(MAX(0,BZ317-CP938),0),0)</f>
        <v>0</v>
      </c>
      <c r="CS938">
        <f>IF(ISNUMBER(CP938),IFERROR(MAX(0,CP938-BZ317),0),0)</f>
        <v>0</v>
      </c>
      <c r="CT938">
        <f>IF(ISNUMBER(CQ938),IFERROR(MAX(0,CA317-CQ938),0),0)</f>
        <v>0</v>
      </c>
      <c r="CU938">
        <f>IF(ISNUMBER(CQ938),IFERROR(MAX(0,CQ938-CA317),0),0)</f>
        <v>0</v>
      </c>
    </row>
    <row r="939" spans="87:99" x14ac:dyDescent="0.3">
      <c r="CI939" t="e">
        <f>AT317</f>
        <v>#N/A</v>
      </c>
      <c r="CJ939" t="e">
        <f>AU317</f>
        <v>#N/A</v>
      </c>
      <c r="CK939">
        <f>IF(ISNUMBER(CI939),IFERROR(MAX(0,AV317-CI939),0),0)</f>
        <v>0</v>
      </c>
      <c r="CL939">
        <f>IF(ISNUMBER(CI939),IFERROR(MAX(0,CI939-AV317),0),0)</f>
        <v>0</v>
      </c>
      <c r="CM939">
        <f>IF(ISNUMBER(CJ939),IFERROR(MAX(0,AW317-CJ939),0),0)</f>
        <v>0</v>
      </c>
      <c r="CN939">
        <f>IF(ISNUMBER(CJ939),IFERROR(MAX(0,CJ939-AW317),0),0)</f>
        <v>0</v>
      </c>
      <c r="CP939" t="e">
        <f>CB317</f>
        <v>#N/A</v>
      </c>
      <c r="CQ939" t="e">
        <f>CC317</f>
        <v>#N/A</v>
      </c>
      <c r="CR939">
        <f>IF(ISNUMBER(CP939),IFERROR(MAX(0,CD317-CP939),0),0)</f>
        <v>0</v>
      </c>
      <c r="CS939">
        <f>IF(ISNUMBER(CP939),IFERROR(MAX(0,CP939-CD317),0),0)</f>
        <v>0</v>
      </c>
      <c r="CT939">
        <f>IF(ISNUMBER(CQ939),IFERROR(MAX(0,CE317-CQ939),0),0)</f>
        <v>0</v>
      </c>
      <c r="CU939">
        <f>IF(ISNUMBER(CQ939),IFERROR(MAX(0,CQ939-CE317),0),0)</f>
        <v>0</v>
      </c>
    </row>
    <row r="940" spans="87:99" x14ac:dyDescent="0.3">
      <c r="CI940" t="e">
        <f>AL318</f>
        <v>#N/A</v>
      </c>
      <c r="CJ940" t="e">
        <f>AM318</f>
        <v>#N/A</v>
      </c>
      <c r="CK940">
        <f>IF(ISNUMBER(CI940),IFERROR(MAX(0,AN318-CI940),0),0)</f>
        <v>0</v>
      </c>
      <c r="CL940">
        <f>IF(ISNUMBER(CI940),IFERROR(MAX(0,CI940-AN318),0),0)</f>
        <v>0</v>
      </c>
      <c r="CM940">
        <f>IF(ISNUMBER(CJ940),IFERROR(MAX(0,AO318-CJ940),0),0)</f>
        <v>0</v>
      </c>
      <c r="CN940">
        <f>IF(ISNUMBER(CJ940),IFERROR(MAX(0,CJ940-AO318),0),0)</f>
        <v>0</v>
      </c>
      <c r="CP940" t="e">
        <f>BT318</f>
        <v>#N/A</v>
      </c>
      <c r="CQ940" t="e">
        <f>BU318</f>
        <v>#N/A</v>
      </c>
      <c r="CR940">
        <f>IF(ISNUMBER(CP940),IFERROR(MAX(0,BV318-CP940),0),0)</f>
        <v>0</v>
      </c>
      <c r="CS940">
        <f>IF(ISNUMBER(CP940),IFERROR(MAX(0,CP940-BV318),0),0)</f>
        <v>0</v>
      </c>
      <c r="CT940">
        <f>IF(ISNUMBER(CQ940),IFERROR(MAX(0,BW318-CQ940),0),0)</f>
        <v>0</v>
      </c>
      <c r="CU940">
        <f>IF(ISNUMBER(CQ940),IFERROR(MAX(0,CQ940-BW318),0),0)</f>
        <v>0</v>
      </c>
    </row>
    <row r="941" spans="87:99" x14ac:dyDescent="0.3">
      <c r="CI941" t="e">
        <f>AP318</f>
        <v>#N/A</v>
      </c>
      <c r="CJ941" t="e">
        <f>AQ318</f>
        <v>#N/A</v>
      </c>
      <c r="CK941">
        <f>IF(ISNUMBER(CI941),IFERROR(MAX(0,AR318-CI941),0),0)</f>
        <v>0</v>
      </c>
      <c r="CL941">
        <f>IF(ISNUMBER(CI941),IFERROR(MAX(0,CI941-AR318),0),0)</f>
        <v>0</v>
      </c>
      <c r="CM941">
        <f>IF(ISNUMBER(CJ941),IFERROR(MAX(0,AS318-CJ941),0),0)</f>
        <v>0</v>
      </c>
      <c r="CN941">
        <f>IF(ISNUMBER(CJ941),IFERROR(MAX(0,CJ941-AS318),0),0)</f>
        <v>0</v>
      </c>
      <c r="CP941" t="e">
        <f>BX318</f>
        <v>#N/A</v>
      </c>
      <c r="CQ941" t="e">
        <f>BY318</f>
        <v>#N/A</v>
      </c>
      <c r="CR941">
        <f>IF(ISNUMBER(CP941),IFERROR(MAX(0,BZ318-CP941),0),0)</f>
        <v>0</v>
      </c>
      <c r="CS941">
        <f>IF(ISNUMBER(CP941),IFERROR(MAX(0,CP941-BZ318),0),0)</f>
        <v>0</v>
      </c>
      <c r="CT941">
        <f>IF(ISNUMBER(CQ941),IFERROR(MAX(0,CA318-CQ941),0),0)</f>
        <v>0</v>
      </c>
      <c r="CU941">
        <f>IF(ISNUMBER(CQ941),IFERROR(MAX(0,CQ941-CA318),0),0)</f>
        <v>0</v>
      </c>
    </row>
    <row r="942" spans="87:99" x14ac:dyDescent="0.3">
      <c r="CI942" t="e">
        <f>AT318</f>
        <v>#N/A</v>
      </c>
      <c r="CJ942" t="e">
        <f>AU318</f>
        <v>#N/A</v>
      </c>
      <c r="CK942">
        <f>IF(ISNUMBER(CI942),IFERROR(MAX(0,AV318-CI942),0),0)</f>
        <v>0</v>
      </c>
      <c r="CL942">
        <f>IF(ISNUMBER(CI942),IFERROR(MAX(0,CI942-AV318),0),0)</f>
        <v>0</v>
      </c>
      <c r="CM942">
        <f>IF(ISNUMBER(CJ942),IFERROR(MAX(0,AW318-CJ942),0),0)</f>
        <v>0</v>
      </c>
      <c r="CN942">
        <f>IF(ISNUMBER(CJ942),IFERROR(MAX(0,CJ942-AW318),0),0)</f>
        <v>0</v>
      </c>
      <c r="CP942" t="e">
        <f>CB318</f>
        <v>#N/A</v>
      </c>
      <c r="CQ942" t="e">
        <f>CC318</f>
        <v>#N/A</v>
      </c>
      <c r="CR942">
        <f>IF(ISNUMBER(CP942),IFERROR(MAX(0,CD318-CP942),0),0)</f>
        <v>0</v>
      </c>
      <c r="CS942">
        <f>IF(ISNUMBER(CP942),IFERROR(MAX(0,CP942-CD318),0),0)</f>
        <v>0</v>
      </c>
      <c r="CT942">
        <f>IF(ISNUMBER(CQ942),IFERROR(MAX(0,CE318-CQ942),0),0)</f>
        <v>0</v>
      </c>
      <c r="CU942">
        <f>IF(ISNUMBER(CQ942),IFERROR(MAX(0,CQ942-CE318),0),0)</f>
        <v>0</v>
      </c>
    </row>
    <row r="943" spans="87:99" x14ac:dyDescent="0.3">
      <c r="CI943" t="e">
        <f>AL319</f>
        <v>#N/A</v>
      </c>
      <c r="CJ943" t="e">
        <f>AM319</f>
        <v>#N/A</v>
      </c>
      <c r="CK943">
        <f>IF(ISNUMBER(CI943),IFERROR(MAX(0,AN319-CI943),0),0)</f>
        <v>0</v>
      </c>
      <c r="CL943">
        <f>IF(ISNUMBER(CI943),IFERROR(MAX(0,CI943-AN319),0),0)</f>
        <v>0</v>
      </c>
      <c r="CM943">
        <f>IF(ISNUMBER(CJ943),IFERROR(MAX(0,AO319-CJ943),0),0)</f>
        <v>0</v>
      </c>
      <c r="CN943">
        <f>IF(ISNUMBER(CJ943),IFERROR(MAX(0,CJ943-AO319),0),0)</f>
        <v>0</v>
      </c>
      <c r="CP943" t="e">
        <f>BT319</f>
        <v>#N/A</v>
      </c>
      <c r="CQ943" t="e">
        <f>BU319</f>
        <v>#N/A</v>
      </c>
      <c r="CR943">
        <f>IF(ISNUMBER(CP943),IFERROR(MAX(0,BV319-CP943),0),0)</f>
        <v>0</v>
      </c>
      <c r="CS943">
        <f>IF(ISNUMBER(CP943),IFERROR(MAX(0,CP943-BV319),0),0)</f>
        <v>0</v>
      </c>
      <c r="CT943">
        <f>IF(ISNUMBER(CQ943),IFERROR(MAX(0,BW319-CQ943),0),0)</f>
        <v>0</v>
      </c>
      <c r="CU943">
        <f>IF(ISNUMBER(CQ943),IFERROR(MAX(0,CQ943-BW319),0),0)</f>
        <v>0</v>
      </c>
    </row>
    <row r="944" spans="87:99" x14ac:dyDescent="0.3">
      <c r="CI944" t="e">
        <f>AP319</f>
        <v>#N/A</v>
      </c>
      <c r="CJ944" t="e">
        <f>AQ319</f>
        <v>#N/A</v>
      </c>
      <c r="CK944">
        <f>IF(ISNUMBER(CI944),IFERROR(MAX(0,AR319-CI944),0),0)</f>
        <v>0</v>
      </c>
      <c r="CL944">
        <f>IF(ISNUMBER(CI944),IFERROR(MAX(0,CI944-AR319),0),0)</f>
        <v>0</v>
      </c>
      <c r="CM944">
        <f>IF(ISNUMBER(CJ944),IFERROR(MAX(0,AS319-CJ944),0),0)</f>
        <v>0</v>
      </c>
      <c r="CN944">
        <f>IF(ISNUMBER(CJ944),IFERROR(MAX(0,CJ944-AS319),0),0)</f>
        <v>0</v>
      </c>
      <c r="CP944" t="e">
        <f>BX319</f>
        <v>#N/A</v>
      </c>
      <c r="CQ944" t="e">
        <f>BY319</f>
        <v>#N/A</v>
      </c>
      <c r="CR944">
        <f>IF(ISNUMBER(CP944),IFERROR(MAX(0,BZ319-CP944),0),0)</f>
        <v>0</v>
      </c>
      <c r="CS944">
        <f>IF(ISNUMBER(CP944),IFERROR(MAX(0,CP944-BZ319),0),0)</f>
        <v>0</v>
      </c>
      <c r="CT944">
        <f>IF(ISNUMBER(CQ944),IFERROR(MAX(0,CA319-CQ944),0),0)</f>
        <v>0</v>
      </c>
      <c r="CU944">
        <f>IF(ISNUMBER(CQ944),IFERROR(MAX(0,CQ944-CA319),0),0)</f>
        <v>0</v>
      </c>
    </row>
    <row r="945" spans="87:99" x14ac:dyDescent="0.3">
      <c r="CI945" t="e">
        <f>AT319</f>
        <v>#N/A</v>
      </c>
      <c r="CJ945" t="e">
        <f>AU319</f>
        <v>#N/A</v>
      </c>
      <c r="CK945">
        <f>IF(ISNUMBER(CI945),IFERROR(MAX(0,AV319-CI945),0),0)</f>
        <v>0</v>
      </c>
      <c r="CL945">
        <f>IF(ISNUMBER(CI945),IFERROR(MAX(0,CI945-AV319),0),0)</f>
        <v>0</v>
      </c>
      <c r="CM945">
        <f>IF(ISNUMBER(CJ945),IFERROR(MAX(0,AW319-CJ945),0),0)</f>
        <v>0</v>
      </c>
      <c r="CN945">
        <f>IF(ISNUMBER(CJ945),IFERROR(MAX(0,CJ945-AW319),0),0)</f>
        <v>0</v>
      </c>
      <c r="CP945" t="e">
        <f>CB319</f>
        <v>#N/A</v>
      </c>
      <c r="CQ945" t="e">
        <f>CC319</f>
        <v>#N/A</v>
      </c>
      <c r="CR945">
        <f>IF(ISNUMBER(CP945),IFERROR(MAX(0,CD319-CP945),0),0)</f>
        <v>0</v>
      </c>
      <c r="CS945">
        <f>IF(ISNUMBER(CP945),IFERROR(MAX(0,CP945-CD319),0),0)</f>
        <v>0</v>
      </c>
      <c r="CT945">
        <f>IF(ISNUMBER(CQ945),IFERROR(MAX(0,CE319-CQ945),0),0)</f>
        <v>0</v>
      </c>
      <c r="CU945">
        <f>IF(ISNUMBER(CQ945),IFERROR(MAX(0,CQ945-CE319),0),0)</f>
        <v>0</v>
      </c>
    </row>
    <row r="946" spans="87:99" x14ac:dyDescent="0.3">
      <c r="CI946" t="e">
        <f>AL320</f>
        <v>#N/A</v>
      </c>
      <c r="CJ946" t="e">
        <f>AM320</f>
        <v>#N/A</v>
      </c>
      <c r="CK946">
        <f>IF(ISNUMBER(CI946),IFERROR(MAX(0,AN320-CI946),0),0)</f>
        <v>0</v>
      </c>
      <c r="CL946">
        <f>IF(ISNUMBER(CI946),IFERROR(MAX(0,CI946-AN320),0),0)</f>
        <v>0</v>
      </c>
      <c r="CM946">
        <f>IF(ISNUMBER(CJ946),IFERROR(MAX(0,AO320-CJ946),0),0)</f>
        <v>0</v>
      </c>
      <c r="CN946">
        <f>IF(ISNUMBER(CJ946),IFERROR(MAX(0,CJ946-AO320),0),0)</f>
        <v>0</v>
      </c>
      <c r="CP946" t="e">
        <f>BT320</f>
        <v>#N/A</v>
      </c>
      <c r="CQ946" t="e">
        <f>BU320</f>
        <v>#N/A</v>
      </c>
      <c r="CR946">
        <f>IF(ISNUMBER(CP946),IFERROR(MAX(0,BV320-CP946),0),0)</f>
        <v>0</v>
      </c>
      <c r="CS946">
        <f>IF(ISNUMBER(CP946),IFERROR(MAX(0,CP946-BV320),0),0)</f>
        <v>0</v>
      </c>
      <c r="CT946">
        <f>IF(ISNUMBER(CQ946),IFERROR(MAX(0,BW320-CQ946),0),0)</f>
        <v>0</v>
      </c>
      <c r="CU946">
        <f>IF(ISNUMBER(CQ946),IFERROR(MAX(0,CQ946-BW320),0),0)</f>
        <v>0</v>
      </c>
    </row>
    <row r="947" spans="87:99" x14ac:dyDescent="0.3">
      <c r="CI947" t="e">
        <f>AP320</f>
        <v>#N/A</v>
      </c>
      <c r="CJ947" t="e">
        <f>AQ320</f>
        <v>#N/A</v>
      </c>
      <c r="CK947">
        <f>IF(ISNUMBER(CI947),IFERROR(MAX(0,AR320-CI947),0),0)</f>
        <v>0</v>
      </c>
      <c r="CL947">
        <f>IF(ISNUMBER(CI947),IFERROR(MAX(0,CI947-AR320),0),0)</f>
        <v>0</v>
      </c>
      <c r="CM947">
        <f>IF(ISNUMBER(CJ947),IFERROR(MAX(0,AS320-CJ947),0),0)</f>
        <v>0</v>
      </c>
      <c r="CN947">
        <f>IF(ISNUMBER(CJ947),IFERROR(MAX(0,CJ947-AS320),0),0)</f>
        <v>0</v>
      </c>
      <c r="CP947" t="e">
        <f>BX320</f>
        <v>#N/A</v>
      </c>
      <c r="CQ947" t="e">
        <f>BY320</f>
        <v>#N/A</v>
      </c>
      <c r="CR947">
        <f>IF(ISNUMBER(CP947),IFERROR(MAX(0,BZ320-CP947),0),0)</f>
        <v>0</v>
      </c>
      <c r="CS947">
        <f>IF(ISNUMBER(CP947),IFERROR(MAX(0,CP947-BZ320),0),0)</f>
        <v>0</v>
      </c>
      <c r="CT947">
        <f>IF(ISNUMBER(CQ947),IFERROR(MAX(0,CA320-CQ947),0),0)</f>
        <v>0</v>
      </c>
      <c r="CU947">
        <f>IF(ISNUMBER(CQ947),IFERROR(MAX(0,CQ947-CA320),0),0)</f>
        <v>0</v>
      </c>
    </row>
    <row r="948" spans="87:99" x14ac:dyDescent="0.3">
      <c r="CI948" t="e">
        <f>AT320</f>
        <v>#N/A</v>
      </c>
      <c r="CJ948" t="e">
        <f>AU320</f>
        <v>#N/A</v>
      </c>
      <c r="CK948">
        <f>IF(ISNUMBER(CI948),IFERROR(MAX(0,AV320-CI948),0),0)</f>
        <v>0</v>
      </c>
      <c r="CL948">
        <f>IF(ISNUMBER(CI948),IFERROR(MAX(0,CI948-AV320),0),0)</f>
        <v>0</v>
      </c>
      <c r="CM948">
        <f>IF(ISNUMBER(CJ948),IFERROR(MAX(0,AW320-CJ948),0),0)</f>
        <v>0</v>
      </c>
      <c r="CN948">
        <f>IF(ISNUMBER(CJ948),IFERROR(MAX(0,CJ948-AW320),0),0)</f>
        <v>0</v>
      </c>
      <c r="CP948" t="e">
        <f>CB320</f>
        <v>#N/A</v>
      </c>
      <c r="CQ948" t="e">
        <f>CC320</f>
        <v>#N/A</v>
      </c>
      <c r="CR948">
        <f>IF(ISNUMBER(CP948),IFERROR(MAX(0,CD320-CP948),0),0)</f>
        <v>0</v>
      </c>
      <c r="CS948">
        <f>IF(ISNUMBER(CP948),IFERROR(MAX(0,CP948-CD320),0),0)</f>
        <v>0</v>
      </c>
      <c r="CT948">
        <f>IF(ISNUMBER(CQ948),IFERROR(MAX(0,CE320-CQ948),0),0)</f>
        <v>0</v>
      </c>
      <c r="CU948">
        <f>IF(ISNUMBER(CQ948),IFERROR(MAX(0,CQ948-CE320),0),0)</f>
        <v>0</v>
      </c>
    </row>
    <row r="949" spans="87:99" x14ac:dyDescent="0.3">
      <c r="CI949" t="e">
        <f>AL321</f>
        <v>#N/A</v>
      </c>
      <c r="CJ949" t="e">
        <f>AM321</f>
        <v>#N/A</v>
      </c>
      <c r="CK949">
        <f>IF(ISNUMBER(CI949),IFERROR(MAX(0,AN321-CI949),0),0)</f>
        <v>0</v>
      </c>
      <c r="CL949">
        <f>IF(ISNUMBER(CI949),IFERROR(MAX(0,CI949-AN321),0),0)</f>
        <v>0</v>
      </c>
      <c r="CM949">
        <f>IF(ISNUMBER(CJ949),IFERROR(MAX(0,AO321-CJ949),0),0)</f>
        <v>0</v>
      </c>
      <c r="CN949">
        <f>IF(ISNUMBER(CJ949),IFERROR(MAX(0,CJ949-AO321),0),0)</f>
        <v>0</v>
      </c>
      <c r="CP949" t="e">
        <f>BT321</f>
        <v>#N/A</v>
      </c>
      <c r="CQ949" t="e">
        <f>BU321</f>
        <v>#N/A</v>
      </c>
      <c r="CR949">
        <f>IF(ISNUMBER(CP949),IFERROR(MAX(0,BV321-CP949),0),0)</f>
        <v>0</v>
      </c>
      <c r="CS949">
        <f>IF(ISNUMBER(CP949),IFERROR(MAX(0,CP949-BV321),0),0)</f>
        <v>0</v>
      </c>
      <c r="CT949">
        <f>IF(ISNUMBER(CQ949),IFERROR(MAX(0,BW321-CQ949),0),0)</f>
        <v>0</v>
      </c>
      <c r="CU949">
        <f>IF(ISNUMBER(CQ949),IFERROR(MAX(0,CQ949-BW321),0),0)</f>
        <v>0</v>
      </c>
    </row>
    <row r="950" spans="87:99" x14ac:dyDescent="0.3">
      <c r="CI950" t="e">
        <f>AP321</f>
        <v>#N/A</v>
      </c>
      <c r="CJ950" t="e">
        <f>AQ321</f>
        <v>#N/A</v>
      </c>
      <c r="CK950">
        <f>IF(ISNUMBER(CI950),IFERROR(MAX(0,AR321-CI950),0),0)</f>
        <v>0</v>
      </c>
      <c r="CL950">
        <f>IF(ISNUMBER(CI950),IFERROR(MAX(0,CI950-AR321),0),0)</f>
        <v>0</v>
      </c>
      <c r="CM950">
        <f>IF(ISNUMBER(CJ950),IFERROR(MAX(0,AS321-CJ950),0),0)</f>
        <v>0</v>
      </c>
      <c r="CN950">
        <f>IF(ISNUMBER(CJ950),IFERROR(MAX(0,CJ950-AS321),0),0)</f>
        <v>0</v>
      </c>
      <c r="CP950" t="e">
        <f>BX321</f>
        <v>#N/A</v>
      </c>
      <c r="CQ950" t="e">
        <f>BY321</f>
        <v>#N/A</v>
      </c>
      <c r="CR950">
        <f>IF(ISNUMBER(CP950),IFERROR(MAX(0,BZ321-CP950),0),0)</f>
        <v>0</v>
      </c>
      <c r="CS950">
        <f>IF(ISNUMBER(CP950),IFERROR(MAX(0,CP950-BZ321),0),0)</f>
        <v>0</v>
      </c>
      <c r="CT950">
        <f>IF(ISNUMBER(CQ950),IFERROR(MAX(0,CA321-CQ950),0),0)</f>
        <v>0</v>
      </c>
      <c r="CU950">
        <f>IF(ISNUMBER(CQ950),IFERROR(MAX(0,CQ950-CA321),0),0)</f>
        <v>0</v>
      </c>
    </row>
    <row r="951" spans="87:99" x14ac:dyDescent="0.3">
      <c r="CI951" t="e">
        <f>AT321</f>
        <v>#N/A</v>
      </c>
      <c r="CJ951" t="e">
        <f>AU321</f>
        <v>#N/A</v>
      </c>
      <c r="CK951">
        <f>IF(ISNUMBER(CI951),IFERROR(MAX(0,AV321-CI951),0),0)</f>
        <v>0</v>
      </c>
      <c r="CL951">
        <f>IF(ISNUMBER(CI951),IFERROR(MAX(0,CI951-AV321),0),0)</f>
        <v>0</v>
      </c>
      <c r="CM951">
        <f>IF(ISNUMBER(CJ951),IFERROR(MAX(0,AW321-CJ951),0),0)</f>
        <v>0</v>
      </c>
      <c r="CN951">
        <f>IF(ISNUMBER(CJ951),IFERROR(MAX(0,CJ951-AW321),0),0)</f>
        <v>0</v>
      </c>
      <c r="CP951" t="e">
        <f>CB321</f>
        <v>#N/A</v>
      </c>
      <c r="CQ951" t="e">
        <f>CC321</f>
        <v>#N/A</v>
      </c>
      <c r="CR951">
        <f>IF(ISNUMBER(CP951),IFERROR(MAX(0,CD321-CP951),0),0)</f>
        <v>0</v>
      </c>
      <c r="CS951">
        <f>IF(ISNUMBER(CP951),IFERROR(MAX(0,CP951-CD321),0),0)</f>
        <v>0</v>
      </c>
      <c r="CT951">
        <f>IF(ISNUMBER(CQ951),IFERROR(MAX(0,CE321-CQ951),0),0)</f>
        <v>0</v>
      </c>
      <c r="CU951">
        <f>IF(ISNUMBER(CQ951),IFERROR(MAX(0,CQ951-CE321),0),0)</f>
        <v>0</v>
      </c>
    </row>
    <row r="952" spans="87:99" x14ac:dyDescent="0.3">
      <c r="CI952" t="e">
        <f>AL322</f>
        <v>#N/A</v>
      </c>
      <c r="CJ952" t="e">
        <f>AM322</f>
        <v>#N/A</v>
      </c>
      <c r="CK952">
        <f>IF(ISNUMBER(CI952),IFERROR(MAX(0,AN322-CI952),0),0)</f>
        <v>0</v>
      </c>
      <c r="CL952">
        <f>IF(ISNUMBER(CI952),IFERROR(MAX(0,CI952-AN322),0),0)</f>
        <v>0</v>
      </c>
      <c r="CM952">
        <f>IF(ISNUMBER(CJ952),IFERROR(MAX(0,AO322-CJ952),0),0)</f>
        <v>0</v>
      </c>
      <c r="CN952">
        <f>IF(ISNUMBER(CJ952),IFERROR(MAX(0,CJ952-AO322),0),0)</f>
        <v>0</v>
      </c>
      <c r="CP952" t="e">
        <f>BT322</f>
        <v>#N/A</v>
      </c>
      <c r="CQ952" t="e">
        <f>BU322</f>
        <v>#N/A</v>
      </c>
      <c r="CR952">
        <f>IF(ISNUMBER(CP952),IFERROR(MAX(0,BV322-CP952),0),0)</f>
        <v>0</v>
      </c>
      <c r="CS952">
        <f>IF(ISNUMBER(CP952),IFERROR(MAX(0,CP952-BV322),0),0)</f>
        <v>0</v>
      </c>
      <c r="CT952">
        <f>IF(ISNUMBER(CQ952),IFERROR(MAX(0,BW322-CQ952),0),0)</f>
        <v>0</v>
      </c>
      <c r="CU952">
        <f>IF(ISNUMBER(CQ952),IFERROR(MAX(0,CQ952-BW322),0),0)</f>
        <v>0</v>
      </c>
    </row>
    <row r="953" spans="87:99" x14ac:dyDescent="0.3">
      <c r="CI953" t="e">
        <f>AP322</f>
        <v>#N/A</v>
      </c>
      <c r="CJ953" t="e">
        <f>AQ322</f>
        <v>#N/A</v>
      </c>
      <c r="CK953">
        <f>IF(ISNUMBER(CI953),IFERROR(MAX(0,AR322-CI953),0),0)</f>
        <v>0</v>
      </c>
      <c r="CL953">
        <f>IF(ISNUMBER(CI953),IFERROR(MAX(0,CI953-AR322),0),0)</f>
        <v>0</v>
      </c>
      <c r="CM953">
        <f>IF(ISNUMBER(CJ953),IFERROR(MAX(0,AS322-CJ953),0),0)</f>
        <v>0</v>
      </c>
      <c r="CN953">
        <f>IF(ISNUMBER(CJ953),IFERROR(MAX(0,CJ953-AS322),0),0)</f>
        <v>0</v>
      </c>
      <c r="CP953" t="e">
        <f>BX322</f>
        <v>#N/A</v>
      </c>
      <c r="CQ953" t="e">
        <f>BY322</f>
        <v>#N/A</v>
      </c>
      <c r="CR953">
        <f>IF(ISNUMBER(CP953),IFERROR(MAX(0,BZ322-CP953),0),0)</f>
        <v>0</v>
      </c>
      <c r="CS953">
        <f>IF(ISNUMBER(CP953),IFERROR(MAX(0,CP953-BZ322),0),0)</f>
        <v>0</v>
      </c>
      <c r="CT953">
        <f>IF(ISNUMBER(CQ953),IFERROR(MAX(0,CA322-CQ953),0),0)</f>
        <v>0</v>
      </c>
      <c r="CU953">
        <f>IF(ISNUMBER(CQ953),IFERROR(MAX(0,CQ953-CA322),0),0)</f>
        <v>0</v>
      </c>
    </row>
    <row r="954" spans="87:99" x14ac:dyDescent="0.3">
      <c r="CI954" t="e">
        <f>AT322</f>
        <v>#N/A</v>
      </c>
      <c r="CJ954" t="e">
        <f>AU322</f>
        <v>#N/A</v>
      </c>
      <c r="CK954">
        <f>IF(ISNUMBER(CI954),IFERROR(MAX(0,AV322-CI954),0),0)</f>
        <v>0</v>
      </c>
      <c r="CL954">
        <f>IF(ISNUMBER(CI954),IFERROR(MAX(0,CI954-AV322),0),0)</f>
        <v>0</v>
      </c>
      <c r="CM954">
        <f>IF(ISNUMBER(CJ954),IFERROR(MAX(0,AW322-CJ954),0),0)</f>
        <v>0</v>
      </c>
      <c r="CN954">
        <f>IF(ISNUMBER(CJ954),IFERROR(MAX(0,CJ954-AW322),0),0)</f>
        <v>0</v>
      </c>
      <c r="CP954" t="e">
        <f>CB322</f>
        <v>#N/A</v>
      </c>
      <c r="CQ954" t="e">
        <f>CC322</f>
        <v>#N/A</v>
      </c>
      <c r="CR954">
        <f>IF(ISNUMBER(CP954),IFERROR(MAX(0,CD322-CP954),0),0)</f>
        <v>0</v>
      </c>
      <c r="CS954">
        <f>IF(ISNUMBER(CP954),IFERROR(MAX(0,CP954-CD322),0),0)</f>
        <v>0</v>
      </c>
      <c r="CT954">
        <f>IF(ISNUMBER(CQ954),IFERROR(MAX(0,CE322-CQ954),0),0)</f>
        <v>0</v>
      </c>
      <c r="CU954">
        <f>IF(ISNUMBER(CQ954),IFERROR(MAX(0,CQ954-CE322),0),0)</f>
        <v>0</v>
      </c>
    </row>
    <row r="955" spans="87:99" x14ac:dyDescent="0.3">
      <c r="CI955" t="e">
        <f>AL323</f>
        <v>#N/A</v>
      </c>
      <c r="CJ955" t="e">
        <f>AM323</f>
        <v>#N/A</v>
      </c>
      <c r="CK955">
        <f>IF(ISNUMBER(CI955),IFERROR(MAX(0,AN323-CI955),0),0)</f>
        <v>0</v>
      </c>
      <c r="CL955">
        <f>IF(ISNUMBER(CI955),IFERROR(MAX(0,CI955-AN323),0),0)</f>
        <v>0</v>
      </c>
      <c r="CM955">
        <f>IF(ISNUMBER(CJ955),IFERROR(MAX(0,AO323-CJ955),0),0)</f>
        <v>0</v>
      </c>
      <c r="CN955">
        <f>IF(ISNUMBER(CJ955),IFERROR(MAX(0,CJ955-AO323),0),0)</f>
        <v>0</v>
      </c>
      <c r="CP955" t="e">
        <f>BT323</f>
        <v>#N/A</v>
      </c>
      <c r="CQ955" t="e">
        <f>BU323</f>
        <v>#N/A</v>
      </c>
      <c r="CR955">
        <f>IF(ISNUMBER(CP955),IFERROR(MAX(0,BV323-CP955),0),0)</f>
        <v>0</v>
      </c>
      <c r="CS955">
        <f>IF(ISNUMBER(CP955),IFERROR(MAX(0,CP955-BV323),0),0)</f>
        <v>0</v>
      </c>
      <c r="CT955">
        <f>IF(ISNUMBER(CQ955),IFERROR(MAX(0,BW323-CQ955),0),0)</f>
        <v>0</v>
      </c>
      <c r="CU955">
        <f>IF(ISNUMBER(CQ955),IFERROR(MAX(0,CQ955-BW323),0),0)</f>
        <v>0</v>
      </c>
    </row>
    <row r="956" spans="87:99" x14ac:dyDescent="0.3">
      <c r="CI956" t="e">
        <f>AP323</f>
        <v>#N/A</v>
      </c>
      <c r="CJ956" t="e">
        <f>AQ323</f>
        <v>#N/A</v>
      </c>
      <c r="CK956">
        <f>IF(ISNUMBER(CI956),IFERROR(MAX(0,AR323-CI956),0),0)</f>
        <v>0</v>
      </c>
      <c r="CL956">
        <f>IF(ISNUMBER(CI956),IFERROR(MAX(0,CI956-AR323),0),0)</f>
        <v>0</v>
      </c>
      <c r="CM956">
        <f>IF(ISNUMBER(CJ956),IFERROR(MAX(0,AS323-CJ956),0),0)</f>
        <v>0</v>
      </c>
      <c r="CN956">
        <f>IF(ISNUMBER(CJ956),IFERROR(MAX(0,CJ956-AS323),0),0)</f>
        <v>0</v>
      </c>
      <c r="CP956" t="e">
        <f>BX323</f>
        <v>#N/A</v>
      </c>
      <c r="CQ956" t="e">
        <f>BY323</f>
        <v>#N/A</v>
      </c>
      <c r="CR956">
        <f>IF(ISNUMBER(CP956),IFERROR(MAX(0,BZ323-CP956),0),0)</f>
        <v>0</v>
      </c>
      <c r="CS956">
        <f>IF(ISNUMBER(CP956),IFERROR(MAX(0,CP956-BZ323),0),0)</f>
        <v>0</v>
      </c>
      <c r="CT956">
        <f>IF(ISNUMBER(CQ956),IFERROR(MAX(0,CA323-CQ956),0),0)</f>
        <v>0</v>
      </c>
      <c r="CU956">
        <f>IF(ISNUMBER(CQ956),IFERROR(MAX(0,CQ956-CA323),0),0)</f>
        <v>0</v>
      </c>
    </row>
    <row r="957" spans="87:99" x14ac:dyDescent="0.3">
      <c r="CI957" t="e">
        <f>AT323</f>
        <v>#N/A</v>
      </c>
      <c r="CJ957" t="e">
        <f>AU323</f>
        <v>#N/A</v>
      </c>
      <c r="CK957">
        <f>IF(ISNUMBER(CI957),IFERROR(MAX(0,AV323-CI957),0),0)</f>
        <v>0</v>
      </c>
      <c r="CL957">
        <f>IF(ISNUMBER(CI957),IFERROR(MAX(0,CI957-AV323),0),0)</f>
        <v>0</v>
      </c>
      <c r="CM957">
        <f>IF(ISNUMBER(CJ957),IFERROR(MAX(0,AW323-CJ957),0),0)</f>
        <v>0</v>
      </c>
      <c r="CN957">
        <f>IF(ISNUMBER(CJ957),IFERROR(MAX(0,CJ957-AW323),0),0)</f>
        <v>0</v>
      </c>
      <c r="CP957" t="e">
        <f>CB323</f>
        <v>#N/A</v>
      </c>
      <c r="CQ957" t="e">
        <f>CC323</f>
        <v>#N/A</v>
      </c>
      <c r="CR957">
        <f>IF(ISNUMBER(CP957),IFERROR(MAX(0,CD323-CP957),0),0)</f>
        <v>0</v>
      </c>
      <c r="CS957">
        <f>IF(ISNUMBER(CP957),IFERROR(MAX(0,CP957-CD323),0),0)</f>
        <v>0</v>
      </c>
      <c r="CT957">
        <f>IF(ISNUMBER(CQ957),IFERROR(MAX(0,CE323-CQ957),0),0)</f>
        <v>0</v>
      </c>
      <c r="CU957">
        <f>IF(ISNUMBER(CQ957),IFERROR(MAX(0,CQ957-CE323),0),0)</f>
        <v>0</v>
      </c>
    </row>
    <row r="958" spans="87:99" x14ac:dyDescent="0.3">
      <c r="CI958" t="e">
        <f>AL324</f>
        <v>#N/A</v>
      </c>
      <c r="CJ958" t="e">
        <f>AM324</f>
        <v>#N/A</v>
      </c>
      <c r="CK958">
        <f>IF(ISNUMBER(CI958),IFERROR(MAX(0,AN324-CI958),0),0)</f>
        <v>0</v>
      </c>
      <c r="CL958">
        <f>IF(ISNUMBER(CI958),IFERROR(MAX(0,CI958-AN324),0),0)</f>
        <v>0</v>
      </c>
      <c r="CM958">
        <f>IF(ISNUMBER(CJ958),IFERROR(MAX(0,AO324-CJ958),0),0)</f>
        <v>0</v>
      </c>
      <c r="CN958">
        <f>IF(ISNUMBER(CJ958),IFERROR(MAX(0,CJ958-AO324),0),0)</f>
        <v>0</v>
      </c>
      <c r="CP958" t="e">
        <f>BT324</f>
        <v>#N/A</v>
      </c>
      <c r="CQ958" t="e">
        <f>BU324</f>
        <v>#N/A</v>
      </c>
      <c r="CR958">
        <f>IF(ISNUMBER(CP958),IFERROR(MAX(0,BV324-CP958),0),0)</f>
        <v>0</v>
      </c>
      <c r="CS958">
        <f>IF(ISNUMBER(CP958),IFERROR(MAX(0,CP958-BV324),0),0)</f>
        <v>0</v>
      </c>
      <c r="CT958">
        <f>IF(ISNUMBER(CQ958),IFERROR(MAX(0,BW324-CQ958),0),0)</f>
        <v>0</v>
      </c>
      <c r="CU958">
        <f>IF(ISNUMBER(CQ958),IFERROR(MAX(0,CQ958-BW324),0),0)</f>
        <v>0</v>
      </c>
    </row>
    <row r="959" spans="87:99" x14ac:dyDescent="0.3">
      <c r="CI959" t="e">
        <f>AP324</f>
        <v>#N/A</v>
      </c>
      <c r="CJ959" t="e">
        <f>AQ324</f>
        <v>#N/A</v>
      </c>
      <c r="CK959">
        <f>IF(ISNUMBER(CI959),IFERROR(MAX(0,AR324-CI959),0),0)</f>
        <v>0</v>
      </c>
      <c r="CL959">
        <f>IF(ISNUMBER(CI959),IFERROR(MAX(0,CI959-AR324),0),0)</f>
        <v>0</v>
      </c>
      <c r="CM959">
        <f>IF(ISNUMBER(CJ959),IFERROR(MAX(0,AS324-CJ959),0),0)</f>
        <v>0</v>
      </c>
      <c r="CN959">
        <f>IF(ISNUMBER(CJ959),IFERROR(MAX(0,CJ959-AS324),0),0)</f>
        <v>0</v>
      </c>
      <c r="CP959" t="e">
        <f>BX324</f>
        <v>#N/A</v>
      </c>
      <c r="CQ959" t="e">
        <f>BY324</f>
        <v>#N/A</v>
      </c>
      <c r="CR959">
        <f>IF(ISNUMBER(CP959),IFERROR(MAX(0,BZ324-CP959),0),0)</f>
        <v>0</v>
      </c>
      <c r="CS959">
        <f>IF(ISNUMBER(CP959),IFERROR(MAX(0,CP959-BZ324),0),0)</f>
        <v>0</v>
      </c>
      <c r="CT959">
        <f>IF(ISNUMBER(CQ959),IFERROR(MAX(0,CA324-CQ959),0),0)</f>
        <v>0</v>
      </c>
      <c r="CU959">
        <f>IF(ISNUMBER(CQ959),IFERROR(MAX(0,CQ959-CA324),0),0)</f>
        <v>0</v>
      </c>
    </row>
    <row r="960" spans="87:99" x14ac:dyDescent="0.3">
      <c r="CI960" t="e">
        <f>AT324</f>
        <v>#N/A</v>
      </c>
      <c r="CJ960" t="e">
        <f>AU324</f>
        <v>#N/A</v>
      </c>
      <c r="CK960">
        <f>IF(ISNUMBER(CI960),IFERROR(MAX(0,AV324-CI960),0),0)</f>
        <v>0</v>
      </c>
      <c r="CL960">
        <f>IF(ISNUMBER(CI960),IFERROR(MAX(0,CI960-AV324),0),0)</f>
        <v>0</v>
      </c>
      <c r="CM960">
        <f>IF(ISNUMBER(CJ960),IFERROR(MAX(0,AW324-CJ960),0),0)</f>
        <v>0</v>
      </c>
      <c r="CN960">
        <f>IF(ISNUMBER(CJ960),IFERROR(MAX(0,CJ960-AW324),0),0)</f>
        <v>0</v>
      </c>
      <c r="CP960" t="e">
        <f>CB324</f>
        <v>#N/A</v>
      </c>
      <c r="CQ960" t="e">
        <f>CC324</f>
        <v>#N/A</v>
      </c>
      <c r="CR960">
        <f>IF(ISNUMBER(CP960),IFERROR(MAX(0,CD324-CP960),0),0)</f>
        <v>0</v>
      </c>
      <c r="CS960">
        <f>IF(ISNUMBER(CP960),IFERROR(MAX(0,CP960-CD324),0),0)</f>
        <v>0</v>
      </c>
      <c r="CT960">
        <f>IF(ISNUMBER(CQ960),IFERROR(MAX(0,CE324-CQ960),0),0)</f>
        <v>0</v>
      </c>
      <c r="CU960">
        <f>IF(ISNUMBER(CQ960),IFERROR(MAX(0,CQ960-CE324),0),0)</f>
        <v>0</v>
      </c>
    </row>
    <row r="961" spans="87:99" x14ac:dyDescent="0.3">
      <c r="CI961" t="e">
        <f>AL325</f>
        <v>#N/A</v>
      </c>
      <c r="CJ961" t="e">
        <f>AM325</f>
        <v>#N/A</v>
      </c>
      <c r="CK961">
        <f>IF(ISNUMBER(CI961),IFERROR(MAX(0,AN325-CI961),0),0)</f>
        <v>0</v>
      </c>
      <c r="CL961">
        <f>IF(ISNUMBER(CI961),IFERROR(MAX(0,CI961-AN325),0),0)</f>
        <v>0</v>
      </c>
      <c r="CM961">
        <f>IF(ISNUMBER(CJ961),IFERROR(MAX(0,AO325-CJ961),0),0)</f>
        <v>0</v>
      </c>
      <c r="CN961">
        <f>IF(ISNUMBER(CJ961),IFERROR(MAX(0,CJ961-AO325),0),0)</f>
        <v>0</v>
      </c>
      <c r="CP961" t="e">
        <f>BT325</f>
        <v>#N/A</v>
      </c>
      <c r="CQ961" t="e">
        <f>BU325</f>
        <v>#N/A</v>
      </c>
      <c r="CR961">
        <f>IF(ISNUMBER(CP961),IFERROR(MAX(0,BV325-CP961),0),0)</f>
        <v>0</v>
      </c>
      <c r="CS961">
        <f>IF(ISNUMBER(CP961),IFERROR(MAX(0,CP961-BV325),0),0)</f>
        <v>0</v>
      </c>
      <c r="CT961">
        <f>IF(ISNUMBER(CQ961),IFERROR(MAX(0,BW325-CQ961),0),0)</f>
        <v>0</v>
      </c>
      <c r="CU961">
        <f>IF(ISNUMBER(CQ961),IFERROR(MAX(0,CQ961-BW325),0),0)</f>
        <v>0</v>
      </c>
    </row>
    <row r="962" spans="87:99" x14ac:dyDescent="0.3">
      <c r="CI962" t="e">
        <f>AP325</f>
        <v>#N/A</v>
      </c>
      <c r="CJ962" t="e">
        <f>AQ325</f>
        <v>#N/A</v>
      </c>
      <c r="CK962">
        <f>IF(ISNUMBER(CI962),IFERROR(MAX(0,AR325-CI962),0),0)</f>
        <v>0</v>
      </c>
      <c r="CL962">
        <f>IF(ISNUMBER(CI962),IFERROR(MAX(0,CI962-AR325),0),0)</f>
        <v>0</v>
      </c>
      <c r="CM962">
        <f>IF(ISNUMBER(CJ962),IFERROR(MAX(0,AS325-CJ962),0),0)</f>
        <v>0</v>
      </c>
      <c r="CN962">
        <f>IF(ISNUMBER(CJ962),IFERROR(MAX(0,CJ962-AS325),0),0)</f>
        <v>0</v>
      </c>
      <c r="CP962" t="e">
        <f>BX325</f>
        <v>#N/A</v>
      </c>
      <c r="CQ962" t="e">
        <f>BY325</f>
        <v>#N/A</v>
      </c>
      <c r="CR962">
        <f>IF(ISNUMBER(CP962),IFERROR(MAX(0,BZ325-CP962),0),0)</f>
        <v>0</v>
      </c>
      <c r="CS962">
        <f>IF(ISNUMBER(CP962),IFERROR(MAX(0,CP962-BZ325),0),0)</f>
        <v>0</v>
      </c>
      <c r="CT962">
        <f>IF(ISNUMBER(CQ962),IFERROR(MAX(0,CA325-CQ962),0),0)</f>
        <v>0</v>
      </c>
      <c r="CU962">
        <f>IF(ISNUMBER(CQ962),IFERROR(MAX(0,CQ962-CA325),0),0)</f>
        <v>0</v>
      </c>
    </row>
    <row r="963" spans="87:99" x14ac:dyDescent="0.3">
      <c r="CI963" t="e">
        <f>AT325</f>
        <v>#N/A</v>
      </c>
      <c r="CJ963" t="e">
        <f>AU325</f>
        <v>#N/A</v>
      </c>
      <c r="CK963">
        <f>IF(ISNUMBER(CI963),IFERROR(MAX(0,AV325-CI963),0),0)</f>
        <v>0</v>
      </c>
      <c r="CL963">
        <f>IF(ISNUMBER(CI963),IFERROR(MAX(0,CI963-AV325),0),0)</f>
        <v>0</v>
      </c>
      <c r="CM963">
        <f>IF(ISNUMBER(CJ963),IFERROR(MAX(0,AW325-CJ963),0),0)</f>
        <v>0</v>
      </c>
      <c r="CN963">
        <f>IF(ISNUMBER(CJ963),IFERROR(MAX(0,CJ963-AW325),0),0)</f>
        <v>0</v>
      </c>
      <c r="CP963" t="e">
        <f>CB325</f>
        <v>#N/A</v>
      </c>
      <c r="CQ963" t="e">
        <f>CC325</f>
        <v>#N/A</v>
      </c>
      <c r="CR963">
        <f>IF(ISNUMBER(CP963),IFERROR(MAX(0,CD325-CP963),0),0)</f>
        <v>0</v>
      </c>
      <c r="CS963">
        <f>IF(ISNUMBER(CP963),IFERROR(MAX(0,CP963-CD325),0),0)</f>
        <v>0</v>
      </c>
      <c r="CT963">
        <f>IF(ISNUMBER(CQ963),IFERROR(MAX(0,CE325-CQ963),0),0)</f>
        <v>0</v>
      </c>
      <c r="CU963">
        <f>IF(ISNUMBER(CQ963),IFERROR(MAX(0,CQ963-CE325),0),0)</f>
        <v>0</v>
      </c>
    </row>
    <row r="964" spans="87:99" x14ac:dyDescent="0.3">
      <c r="CI964" t="e">
        <f>AL326</f>
        <v>#N/A</v>
      </c>
      <c r="CJ964" t="e">
        <f>AM326</f>
        <v>#N/A</v>
      </c>
      <c r="CK964">
        <f>IF(ISNUMBER(CI964),IFERROR(MAX(0,AN326-CI964),0),0)</f>
        <v>0</v>
      </c>
      <c r="CL964">
        <f>IF(ISNUMBER(CI964),IFERROR(MAX(0,CI964-AN326),0),0)</f>
        <v>0</v>
      </c>
      <c r="CM964">
        <f>IF(ISNUMBER(CJ964),IFERROR(MAX(0,AO326-CJ964),0),0)</f>
        <v>0</v>
      </c>
      <c r="CN964">
        <f>IF(ISNUMBER(CJ964),IFERROR(MAX(0,CJ964-AO326),0),0)</f>
        <v>0</v>
      </c>
      <c r="CP964" t="e">
        <f>BT326</f>
        <v>#N/A</v>
      </c>
      <c r="CQ964" t="e">
        <f>BU326</f>
        <v>#N/A</v>
      </c>
      <c r="CR964">
        <f>IF(ISNUMBER(CP964),IFERROR(MAX(0,BV326-CP964),0),0)</f>
        <v>0</v>
      </c>
      <c r="CS964">
        <f>IF(ISNUMBER(CP964),IFERROR(MAX(0,CP964-BV326),0),0)</f>
        <v>0</v>
      </c>
      <c r="CT964">
        <f>IF(ISNUMBER(CQ964),IFERROR(MAX(0,BW326-CQ964),0),0)</f>
        <v>0</v>
      </c>
      <c r="CU964">
        <f>IF(ISNUMBER(CQ964),IFERROR(MAX(0,CQ964-BW326),0),0)</f>
        <v>0</v>
      </c>
    </row>
    <row r="965" spans="87:99" x14ac:dyDescent="0.3">
      <c r="CI965" t="e">
        <f>AP326</f>
        <v>#N/A</v>
      </c>
      <c r="CJ965" t="e">
        <f>AQ326</f>
        <v>#N/A</v>
      </c>
      <c r="CK965">
        <f>IF(ISNUMBER(CI965),IFERROR(MAX(0,AR326-CI965),0),0)</f>
        <v>0</v>
      </c>
      <c r="CL965">
        <f>IF(ISNUMBER(CI965),IFERROR(MAX(0,CI965-AR326),0),0)</f>
        <v>0</v>
      </c>
      <c r="CM965">
        <f>IF(ISNUMBER(CJ965),IFERROR(MAX(0,AS326-CJ965),0),0)</f>
        <v>0</v>
      </c>
      <c r="CN965">
        <f>IF(ISNUMBER(CJ965),IFERROR(MAX(0,CJ965-AS326),0),0)</f>
        <v>0</v>
      </c>
      <c r="CP965" t="e">
        <f>BX326</f>
        <v>#N/A</v>
      </c>
      <c r="CQ965" t="e">
        <f>BY326</f>
        <v>#N/A</v>
      </c>
      <c r="CR965">
        <f>IF(ISNUMBER(CP965),IFERROR(MAX(0,BZ326-CP965),0),0)</f>
        <v>0</v>
      </c>
      <c r="CS965">
        <f>IF(ISNUMBER(CP965),IFERROR(MAX(0,CP965-BZ326),0),0)</f>
        <v>0</v>
      </c>
      <c r="CT965">
        <f>IF(ISNUMBER(CQ965),IFERROR(MAX(0,CA326-CQ965),0),0)</f>
        <v>0</v>
      </c>
      <c r="CU965">
        <f>IF(ISNUMBER(CQ965),IFERROR(MAX(0,CQ965-CA326),0),0)</f>
        <v>0</v>
      </c>
    </row>
    <row r="966" spans="87:99" x14ac:dyDescent="0.3">
      <c r="CI966" t="e">
        <f>AT326</f>
        <v>#N/A</v>
      </c>
      <c r="CJ966" t="e">
        <f>AU326</f>
        <v>#N/A</v>
      </c>
      <c r="CK966">
        <f>IF(ISNUMBER(CI966),IFERROR(MAX(0,AV326-CI966),0),0)</f>
        <v>0</v>
      </c>
      <c r="CL966">
        <f>IF(ISNUMBER(CI966),IFERROR(MAX(0,CI966-AV326),0),0)</f>
        <v>0</v>
      </c>
      <c r="CM966">
        <f>IF(ISNUMBER(CJ966),IFERROR(MAX(0,AW326-CJ966),0),0)</f>
        <v>0</v>
      </c>
      <c r="CN966">
        <f>IF(ISNUMBER(CJ966),IFERROR(MAX(0,CJ966-AW326),0),0)</f>
        <v>0</v>
      </c>
      <c r="CP966" t="e">
        <f>CB326</f>
        <v>#N/A</v>
      </c>
      <c r="CQ966" t="e">
        <f>CC326</f>
        <v>#N/A</v>
      </c>
      <c r="CR966">
        <f>IF(ISNUMBER(CP966),IFERROR(MAX(0,CD326-CP966),0),0)</f>
        <v>0</v>
      </c>
      <c r="CS966">
        <f>IF(ISNUMBER(CP966),IFERROR(MAX(0,CP966-CD326),0),0)</f>
        <v>0</v>
      </c>
      <c r="CT966">
        <f>IF(ISNUMBER(CQ966),IFERROR(MAX(0,CE326-CQ966),0),0)</f>
        <v>0</v>
      </c>
      <c r="CU966">
        <f>IF(ISNUMBER(CQ966),IFERROR(MAX(0,CQ966-CE326),0),0)</f>
        <v>0</v>
      </c>
    </row>
    <row r="967" spans="87:99" x14ac:dyDescent="0.3">
      <c r="CI967" t="e">
        <f>AL327</f>
        <v>#N/A</v>
      </c>
      <c r="CJ967" t="e">
        <f>AM327</f>
        <v>#N/A</v>
      </c>
      <c r="CK967">
        <f>IF(ISNUMBER(CI967),IFERROR(MAX(0,AN327-CI967),0),0)</f>
        <v>0</v>
      </c>
      <c r="CL967">
        <f>IF(ISNUMBER(CI967),IFERROR(MAX(0,CI967-AN327),0),0)</f>
        <v>0</v>
      </c>
      <c r="CM967">
        <f>IF(ISNUMBER(CJ967),IFERROR(MAX(0,AO327-CJ967),0),0)</f>
        <v>0</v>
      </c>
      <c r="CN967">
        <f>IF(ISNUMBER(CJ967),IFERROR(MAX(0,CJ967-AO327),0),0)</f>
        <v>0</v>
      </c>
      <c r="CP967" t="e">
        <f>BT327</f>
        <v>#N/A</v>
      </c>
      <c r="CQ967" t="e">
        <f>BU327</f>
        <v>#N/A</v>
      </c>
      <c r="CR967">
        <f>IF(ISNUMBER(CP967),IFERROR(MAX(0,BV327-CP967),0),0)</f>
        <v>0</v>
      </c>
      <c r="CS967">
        <f>IF(ISNUMBER(CP967),IFERROR(MAX(0,CP967-BV327),0),0)</f>
        <v>0</v>
      </c>
      <c r="CT967">
        <f>IF(ISNUMBER(CQ967),IFERROR(MAX(0,BW327-CQ967),0),0)</f>
        <v>0</v>
      </c>
      <c r="CU967">
        <f>IF(ISNUMBER(CQ967),IFERROR(MAX(0,CQ967-BW327),0),0)</f>
        <v>0</v>
      </c>
    </row>
    <row r="968" spans="87:99" x14ac:dyDescent="0.3">
      <c r="CI968" t="e">
        <f>AP327</f>
        <v>#N/A</v>
      </c>
      <c r="CJ968" t="e">
        <f>AQ327</f>
        <v>#N/A</v>
      </c>
      <c r="CK968">
        <f>IF(ISNUMBER(CI968),IFERROR(MAX(0,AR327-CI968),0),0)</f>
        <v>0</v>
      </c>
      <c r="CL968">
        <f>IF(ISNUMBER(CI968),IFERROR(MAX(0,CI968-AR327),0),0)</f>
        <v>0</v>
      </c>
      <c r="CM968">
        <f>IF(ISNUMBER(CJ968),IFERROR(MAX(0,AS327-CJ968),0),0)</f>
        <v>0</v>
      </c>
      <c r="CN968">
        <f>IF(ISNUMBER(CJ968),IFERROR(MAX(0,CJ968-AS327),0),0)</f>
        <v>0</v>
      </c>
      <c r="CP968" t="e">
        <f>BX327</f>
        <v>#N/A</v>
      </c>
      <c r="CQ968" t="e">
        <f>BY327</f>
        <v>#N/A</v>
      </c>
      <c r="CR968">
        <f>IF(ISNUMBER(CP968),IFERROR(MAX(0,BZ327-CP968),0),0)</f>
        <v>0</v>
      </c>
      <c r="CS968">
        <f>IF(ISNUMBER(CP968),IFERROR(MAX(0,CP968-BZ327),0),0)</f>
        <v>0</v>
      </c>
      <c r="CT968">
        <f>IF(ISNUMBER(CQ968),IFERROR(MAX(0,CA327-CQ968),0),0)</f>
        <v>0</v>
      </c>
      <c r="CU968">
        <f>IF(ISNUMBER(CQ968),IFERROR(MAX(0,CQ968-CA327),0),0)</f>
        <v>0</v>
      </c>
    </row>
    <row r="969" spans="87:99" x14ac:dyDescent="0.3">
      <c r="CI969" t="e">
        <f>AT327</f>
        <v>#N/A</v>
      </c>
      <c r="CJ969" t="e">
        <f>AU327</f>
        <v>#N/A</v>
      </c>
      <c r="CK969">
        <f>IF(ISNUMBER(CI969),IFERROR(MAX(0,AV327-CI969),0),0)</f>
        <v>0</v>
      </c>
      <c r="CL969">
        <f>IF(ISNUMBER(CI969),IFERROR(MAX(0,CI969-AV327),0),0)</f>
        <v>0</v>
      </c>
      <c r="CM969">
        <f>IF(ISNUMBER(CJ969),IFERROR(MAX(0,AW327-CJ969),0),0)</f>
        <v>0</v>
      </c>
      <c r="CN969">
        <f>IF(ISNUMBER(CJ969),IFERROR(MAX(0,CJ969-AW327),0),0)</f>
        <v>0</v>
      </c>
      <c r="CP969" t="e">
        <f>CB327</f>
        <v>#N/A</v>
      </c>
      <c r="CQ969" t="e">
        <f>CC327</f>
        <v>#N/A</v>
      </c>
      <c r="CR969">
        <f>IF(ISNUMBER(CP969),IFERROR(MAX(0,CD327-CP969),0),0)</f>
        <v>0</v>
      </c>
      <c r="CS969">
        <f>IF(ISNUMBER(CP969),IFERROR(MAX(0,CP969-CD327),0),0)</f>
        <v>0</v>
      </c>
      <c r="CT969">
        <f>IF(ISNUMBER(CQ969),IFERROR(MAX(0,CE327-CQ969),0),0)</f>
        <v>0</v>
      </c>
      <c r="CU969">
        <f>IF(ISNUMBER(CQ969),IFERROR(MAX(0,CQ969-CE327),0),0)</f>
        <v>0</v>
      </c>
    </row>
    <row r="970" spans="87:99" x14ac:dyDescent="0.3">
      <c r="CI970" t="e">
        <f>AL328</f>
        <v>#N/A</v>
      </c>
      <c r="CJ970" t="e">
        <f>AM328</f>
        <v>#N/A</v>
      </c>
      <c r="CK970">
        <f>IF(ISNUMBER(CI970),IFERROR(MAX(0,AN328-CI970),0),0)</f>
        <v>0</v>
      </c>
      <c r="CL970">
        <f>IF(ISNUMBER(CI970),IFERROR(MAX(0,CI970-AN328),0),0)</f>
        <v>0</v>
      </c>
      <c r="CM970">
        <f>IF(ISNUMBER(CJ970),IFERROR(MAX(0,AO328-CJ970),0),0)</f>
        <v>0</v>
      </c>
      <c r="CN970">
        <f>IF(ISNUMBER(CJ970),IFERROR(MAX(0,CJ970-AO328),0),0)</f>
        <v>0</v>
      </c>
      <c r="CP970" t="e">
        <f>BT328</f>
        <v>#N/A</v>
      </c>
      <c r="CQ970" t="e">
        <f>BU328</f>
        <v>#N/A</v>
      </c>
      <c r="CR970">
        <f>IF(ISNUMBER(CP970),IFERROR(MAX(0,BV328-CP970),0),0)</f>
        <v>0</v>
      </c>
      <c r="CS970">
        <f>IF(ISNUMBER(CP970),IFERROR(MAX(0,CP970-BV328),0),0)</f>
        <v>0</v>
      </c>
      <c r="CT970">
        <f>IF(ISNUMBER(CQ970),IFERROR(MAX(0,BW328-CQ970),0),0)</f>
        <v>0</v>
      </c>
      <c r="CU970">
        <f>IF(ISNUMBER(CQ970),IFERROR(MAX(0,CQ970-BW328),0),0)</f>
        <v>0</v>
      </c>
    </row>
    <row r="971" spans="87:99" x14ac:dyDescent="0.3">
      <c r="CI971" t="e">
        <f>AP328</f>
        <v>#N/A</v>
      </c>
      <c r="CJ971" t="e">
        <f>AQ328</f>
        <v>#N/A</v>
      </c>
      <c r="CK971">
        <f>IF(ISNUMBER(CI971),IFERROR(MAX(0,AR328-CI971),0),0)</f>
        <v>0</v>
      </c>
      <c r="CL971">
        <f>IF(ISNUMBER(CI971),IFERROR(MAX(0,CI971-AR328),0),0)</f>
        <v>0</v>
      </c>
      <c r="CM971">
        <f>IF(ISNUMBER(CJ971),IFERROR(MAX(0,AS328-CJ971),0),0)</f>
        <v>0</v>
      </c>
      <c r="CN971">
        <f>IF(ISNUMBER(CJ971),IFERROR(MAX(0,CJ971-AS328),0),0)</f>
        <v>0</v>
      </c>
      <c r="CP971" t="e">
        <f>BX328</f>
        <v>#N/A</v>
      </c>
      <c r="CQ971" t="e">
        <f>BY328</f>
        <v>#N/A</v>
      </c>
      <c r="CR971">
        <f>IF(ISNUMBER(CP971),IFERROR(MAX(0,BZ328-CP971),0),0)</f>
        <v>0</v>
      </c>
      <c r="CS971">
        <f>IF(ISNUMBER(CP971),IFERROR(MAX(0,CP971-BZ328),0),0)</f>
        <v>0</v>
      </c>
      <c r="CT971">
        <f>IF(ISNUMBER(CQ971),IFERROR(MAX(0,CA328-CQ971),0),0)</f>
        <v>0</v>
      </c>
      <c r="CU971">
        <f>IF(ISNUMBER(CQ971),IFERROR(MAX(0,CQ971-CA328),0),0)</f>
        <v>0</v>
      </c>
    </row>
    <row r="972" spans="87:99" x14ac:dyDescent="0.3">
      <c r="CI972" t="e">
        <f>AT328</f>
        <v>#N/A</v>
      </c>
      <c r="CJ972" t="e">
        <f>AU328</f>
        <v>#N/A</v>
      </c>
      <c r="CK972">
        <f>IF(ISNUMBER(CI972),IFERROR(MAX(0,AV328-CI972),0),0)</f>
        <v>0</v>
      </c>
      <c r="CL972">
        <f>IF(ISNUMBER(CI972),IFERROR(MAX(0,CI972-AV328),0),0)</f>
        <v>0</v>
      </c>
      <c r="CM972">
        <f>IF(ISNUMBER(CJ972),IFERROR(MAX(0,AW328-CJ972),0),0)</f>
        <v>0</v>
      </c>
      <c r="CN972">
        <f>IF(ISNUMBER(CJ972),IFERROR(MAX(0,CJ972-AW328),0),0)</f>
        <v>0</v>
      </c>
      <c r="CP972" t="e">
        <f>CB328</f>
        <v>#N/A</v>
      </c>
      <c r="CQ972" t="e">
        <f>CC328</f>
        <v>#N/A</v>
      </c>
      <c r="CR972">
        <f>IF(ISNUMBER(CP972),IFERROR(MAX(0,CD328-CP972),0),0)</f>
        <v>0</v>
      </c>
      <c r="CS972">
        <f>IF(ISNUMBER(CP972),IFERROR(MAX(0,CP972-CD328),0),0)</f>
        <v>0</v>
      </c>
      <c r="CT972">
        <f>IF(ISNUMBER(CQ972),IFERROR(MAX(0,CE328-CQ972),0),0)</f>
        <v>0</v>
      </c>
      <c r="CU972">
        <f>IF(ISNUMBER(CQ972),IFERROR(MAX(0,CQ972-CE328),0),0)</f>
        <v>0</v>
      </c>
    </row>
    <row r="973" spans="87:99" x14ac:dyDescent="0.3">
      <c r="CI973" t="e">
        <f>AL329</f>
        <v>#N/A</v>
      </c>
      <c r="CJ973" t="e">
        <f>AM329</f>
        <v>#N/A</v>
      </c>
      <c r="CK973">
        <f>IF(ISNUMBER(CI973),IFERROR(MAX(0,AN329-CI973),0),0)</f>
        <v>0</v>
      </c>
      <c r="CL973">
        <f>IF(ISNUMBER(CI973),IFERROR(MAX(0,CI973-AN329),0),0)</f>
        <v>0</v>
      </c>
      <c r="CM973">
        <f>IF(ISNUMBER(CJ973),IFERROR(MAX(0,AO329-CJ973),0),0)</f>
        <v>0</v>
      </c>
      <c r="CN973">
        <f>IF(ISNUMBER(CJ973),IFERROR(MAX(0,CJ973-AO329),0),0)</f>
        <v>0</v>
      </c>
      <c r="CP973" t="e">
        <f>BT329</f>
        <v>#N/A</v>
      </c>
      <c r="CQ973" t="e">
        <f>BU329</f>
        <v>#N/A</v>
      </c>
      <c r="CR973">
        <f>IF(ISNUMBER(CP973),IFERROR(MAX(0,BV329-CP973),0),0)</f>
        <v>0</v>
      </c>
      <c r="CS973">
        <f>IF(ISNUMBER(CP973),IFERROR(MAX(0,CP973-BV329),0),0)</f>
        <v>0</v>
      </c>
      <c r="CT973">
        <f>IF(ISNUMBER(CQ973),IFERROR(MAX(0,BW329-CQ973),0),0)</f>
        <v>0</v>
      </c>
      <c r="CU973">
        <f>IF(ISNUMBER(CQ973),IFERROR(MAX(0,CQ973-BW329),0),0)</f>
        <v>0</v>
      </c>
    </row>
    <row r="974" spans="87:99" x14ac:dyDescent="0.3">
      <c r="CI974" t="e">
        <f>AP329</f>
        <v>#N/A</v>
      </c>
      <c r="CJ974" t="e">
        <f>AQ329</f>
        <v>#N/A</v>
      </c>
      <c r="CK974">
        <f>IF(ISNUMBER(CI974),IFERROR(MAX(0,AR329-CI974),0),0)</f>
        <v>0</v>
      </c>
      <c r="CL974">
        <f>IF(ISNUMBER(CI974),IFERROR(MAX(0,CI974-AR329),0),0)</f>
        <v>0</v>
      </c>
      <c r="CM974">
        <f>IF(ISNUMBER(CJ974),IFERROR(MAX(0,AS329-CJ974),0),0)</f>
        <v>0</v>
      </c>
      <c r="CN974">
        <f>IF(ISNUMBER(CJ974),IFERROR(MAX(0,CJ974-AS329),0),0)</f>
        <v>0</v>
      </c>
      <c r="CP974" t="e">
        <f>BX329</f>
        <v>#N/A</v>
      </c>
      <c r="CQ974" t="e">
        <f>BY329</f>
        <v>#N/A</v>
      </c>
      <c r="CR974">
        <f>IF(ISNUMBER(CP974),IFERROR(MAX(0,BZ329-CP974),0),0)</f>
        <v>0</v>
      </c>
      <c r="CS974">
        <f>IF(ISNUMBER(CP974),IFERROR(MAX(0,CP974-BZ329),0),0)</f>
        <v>0</v>
      </c>
      <c r="CT974">
        <f>IF(ISNUMBER(CQ974),IFERROR(MAX(0,CA329-CQ974),0),0)</f>
        <v>0</v>
      </c>
      <c r="CU974">
        <f>IF(ISNUMBER(CQ974),IFERROR(MAX(0,CQ974-CA329),0),0)</f>
        <v>0</v>
      </c>
    </row>
    <row r="975" spans="87:99" x14ac:dyDescent="0.3">
      <c r="CI975" t="e">
        <f>AT329</f>
        <v>#N/A</v>
      </c>
      <c r="CJ975" t="e">
        <f>AU329</f>
        <v>#N/A</v>
      </c>
      <c r="CK975">
        <f>IF(ISNUMBER(CI975),IFERROR(MAX(0,AV329-CI975),0),0)</f>
        <v>0</v>
      </c>
      <c r="CL975">
        <f>IF(ISNUMBER(CI975),IFERROR(MAX(0,CI975-AV329),0),0)</f>
        <v>0</v>
      </c>
      <c r="CM975">
        <f>IF(ISNUMBER(CJ975),IFERROR(MAX(0,AW329-CJ975),0),0)</f>
        <v>0</v>
      </c>
      <c r="CN975">
        <f>IF(ISNUMBER(CJ975),IFERROR(MAX(0,CJ975-AW329),0),0)</f>
        <v>0</v>
      </c>
      <c r="CP975" t="e">
        <f>CB329</f>
        <v>#N/A</v>
      </c>
      <c r="CQ975" t="e">
        <f>CC329</f>
        <v>#N/A</v>
      </c>
      <c r="CR975">
        <f>IF(ISNUMBER(CP975),IFERROR(MAX(0,CD329-CP975),0),0)</f>
        <v>0</v>
      </c>
      <c r="CS975">
        <f>IF(ISNUMBER(CP975),IFERROR(MAX(0,CP975-CD329),0),0)</f>
        <v>0</v>
      </c>
      <c r="CT975">
        <f>IF(ISNUMBER(CQ975),IFERROR(MAX(0,CE329-CQ975),0),0)</f>
        <v>0</v>
      </c>
      <c r="CU975">
        <f>IF(ISNUMBER(CQ975),IFERROR(MAX(0,CQ975-CE329),0),0)</f>
        <v>0</v>
      </c>
    </row>
    <row r="976" spans="87:99" x14ac:dyDescent="0.3">
      <c r="CI976" t="e">
        <f>AL330</f>
        <v>#N/A</v>
      </c>
      <c r="CJ976" t="e">
        <f>AM330</f>
        <v>#N/A</v>
      </c>
      <c r="CK976">
        <f>IF(ISNUMBER(CI976),IFERROR(MAX(0,AN330-CI976),0),0)</f>
        <v>0</v>
      </c>
      <c r="CL976">
        <f>IF(ISNUMBER(CI976),IFERROR(MAX(0,CI976-AN330),0),0)</f>
        <v>0</v>
      </c>
      <c r="CM976">
        <f>IF(ISNUMBER(CJ976),IFERROR(MAX(0,AO330-CJ976),0),0)</f>
        <v>0</v>
      </c>
      <c r="CN976">
        <f>IF(ISNUMBER(CJ976),IFERROR(MAX(0,CJ976-AO330),0),0)</f>
        <v>0</v>
      </c>
      <c r="CP976" t="e">
        <f>BT330</f>
        <v>#N/A</v>
      </c>
      <c r="CQ976" t="e">
        <f>BU330</f>
        <v>#N/A</v>
      </c>
      <c r="CR976">
        <f>IF(ISNUMBER(CP976),IFERROR(MAX(0,BV330-CP976),0),0)</f>
        <v>0</v>
      </c>
      <c r="CS976">
        <f>IF(ISNUMBER(CP976),IFERROR(MAX(0,CP976-BV330),0),0)</f>
        <v>0</v>
      </c>
      <c r="CT976">
        <f>IF(ISNUMBER(CQ976),IFERROR(MAX(0,BW330-CQ976),0),0)</f>
        <v>0</v>
      </c>
      <c r="CU976">
        <f>IF(ISNUMBER(CQ976),IFERROR(MAX(0,CQ976-BW330),0),0)</f>
        <v>0</v>
      </c>
    </row>
    <row r="977" spans="87:99" x14ac:dyDescent="0.3">
      <c r="CI977" t="e">
        <f>AP330</f>
        <v>#N/A</v>
      </c>
      <c r="CJ977" t="e">
        <f>AQ330</f>
        <v>#N/A</v>
      </c>
      <c r="CK977">
        <f>IF(ISNUMBER(CI977),IFERROR(MAX(0,AR330-CI977),0),0)</f>
        <v>0</v>
      </c>
      <c r="CL977">
        <f>IF(ISNUMBER(CI977),IFERROR(MAX(0,CI977-AR330),0),0)</f>
        <v>0</v>
      </c>
      <c r="CM977">
        <f>IF(ISNUMBER(CJ977),IFERROR(MAX(0,AS330-CJ977),0),0)</f>
        <v>0</v>
      </c>
      <c r="CN977">
        <f>IF(ISNUMBER(CJ977),IFERROR(MAX(0,CJ977-AS330),0),0)</f>
        <v>0</v>
      </c>
      <c r="CP977" t="e">
        <f>BX330</f>
        <v>#N/A</v>
      </c>
      <c r="CQ977" t="e">
        <f>BY330</f>
        <v>#N/A</v>
      </c>
      <c r="CR977">
        <f>IF(ISNUMBER(CP977),IFERROR(MAX(0,BZ330-CP977),0),0)</f>
        <v>0</v>
      </c>
      <c r="CS977">
        <f>IF(ISNUMBER(CP977),IFERROR(MAX(0,CP977-BZ330),0),0)</f>
        <v>0</v>
      </c>
      <c r="CT977">
        <f>IF(ISNUMBER(CQ977),IFERROR(MAX(0,CA330-CQ977),0),0)</f>
        <v>0</v>
      </c>
      <c r="CU977">
        <f>IF(ISNUMBER(CQ977),IFERROR(MAX(0,CQ977-CA330),0),0)</f>
        <v>0</v>
      </c>
    </row>
    <row r="978" spans="87:99" x14ac:dyDescent="0.3">
      <c r="CI978" t="e">
        <f>AT330</f>
        <v>#N/A</v>
      </c>
      <c r="CJ978" t="e">
        <f>AU330</f>
        <v>#N/A</v>
      </c>
      <c r="CK978">
        <f>IF(ISNUMBER(CI978),IFERROR(MAX(0,AV330-CI978),0),0)</f>
        <v>0</v>
      </c>
      <c r="CL978">
        <f>IF(ISNUMBER(CI978),IFERROR(MAX(0,CI978-AV330),0),0)</f>
        <v>0</v>
      </c>
      <c r="CM978">
        <f>IF(ISNUMBER(CJ978),IFERROR(MAX(0,AW330-CJ978),0),0)</f>
        <v>0</v>
      </c>
      <c r="CN978">
        <f>IF(ISNUMBER(CJ978),IFERROR(MAX(0,CJ978-AW330),0),0)</f>
        <v>0</v>
      </c>
      <c r="CP978" t="e">
        <f>CB330</f>
        <v>#N/A</v>
      </c>
      <c r="CQ978" t="e">
        <f>CC330</f>
        <v>#N/A</v>
      </c>
      <c r="CR978">
        <f>IF(ISNUMBER(CP978),IFERROR(MAX(0,CD330-CP978),0),0)</f>
        <v>0</v>
      </c>
      <c r="CS978">
        <f>IF(ISNUMBER(CP978),IFERROR(MAX(0,CP978-CD330),0),0)</f>
        <v>0</v>
      </c>
      <c r="CT978">
        <f>IF(ISNUMBER(CQ978),IFERROR(MAX(0,CE330-CQ978),0),0)</f>
        <v>0</v>
      </c>
      <c r="CU978">
        <f>IF(ISNUMBER(CQ978),IFERROR(MAX(0,CQ978-CE330),0),0)</f>
        <v>0</v>
      </c>
    </row>
    <row r="979" spans="87:99" x14ac:dyDescent="0.3">
      <c r="CI979" t="e">
        <f>AL331</f>
        <v>#N/A</v>
      </c>
      <c r="CJ979" t="e">
        <f>AM331</f>
        <v>#N/A</v>
      </c>
      <c r="CK979">
        <f>IF(ISNUMBER(CI979),IFERROR(MAX(0,AN331-CI979),0),0)</f>
        <v>0</v>
      </c>
      <c r="CL979">
        <f>IF(ISNUMBER(CI979),IFERROR(MAX(0,CI979-AN331),0),0)</f>
        <v>0</v>
      </c>
      <c r="CM979">
        <f>IF(ISNUMBER(CJ979),IFERROR(MAX(0,AO331-CJ979),0),0)</f>
        <v>0</v>
      </c>
      <c r="CN979">
        <f>IF(ISNUMBER(CJ979),IFERROR(MAX(0,CJ979-AO331),0),0)</f>
        <v>0</v>
      </c>
      <c r="CP979" t="e">
        <f>BT331</f>
        <v>#N/A</v>
      </c>
      <c r="CQ979" t="e">
        <f>BU331</f>
        <v>#N/A</v>
      </c>
      <c r="CR979">
        <f>IF(ISNUMBER(CP979),IFERROR(MAX(0,BV331-CP979),0),0)</f>
        <v>0</v>
      </c>
      <c r="CS979">
        <f>IF(ISNUMBER(CP979),IFERROR(MAX(0,CP979-BV331),0),0)</f>
        <v>0</v>
      </c>
      <c r="CT979">
        <f>IF(ISNUMBER(CQ979),IFERROR(MAX(0,BW331-CQ979),0),0)</f>
        <v>0</v>
      </c>
      <c r="CU979">
        <f>IF(ISNUMBER(CQ979),IFERROR(MAX(0,CQ979-BW331),0),0)</f>
        <v>0</v>
      </c>
    </row>
    <row r="980" spans="87:99" x14ac:dyDescent="0.3">
      <c r="CI980" t="e">
        <f>AP331</f>
        <v>#N/A</v>
      </c>
      <c r="CJ980" t="e">
        <f>AQ331</f>
        <v>#N/A</v>
      </c>
      <c r="CK980">
        <f>IF(ISNUMBER(CI980),IFERROR(MAX(0,AR331-CI980),0),0)</f>
        <v>0</v>
      </c>
      <c r="CL980">
        <f>IF(ISNUMBER(CI980),IFERROR(MAX(0,CI980-AR331),0),0)</f>
        <v>0</v>
      </c>
      <c r="CM980">
        <f>IF(ISNUMBER(CJ980),IFERROR(MAX(0,AS331-CJ980),0),0)</f>
        <v>0</v>
      </c>
      <c r="CN980">
        <f>IF(ISNUMBER(CJ980),IFERROR(MAX(0,CJ980-AS331),0),0)</f>
        <v>0</v>
      </c>
      <c r="CP980" t="e">
        <f>BX331</f>
        <v>#N/A</v>
      </c>
      <c r="CQ980" t="e">
        <f>BY331</f>
        <v>#N/A</v>
      </c>
      <c r="CR980">
        <f>IF(ISNUMBER(CP980),IFERROR(MAX(0,BZ331-CP980),0),0)</f>
        <v>0</v>
      </c>
      <c r="CS980">
        <f>IF(ISNUMBER(CP980),IFERROR(MAX(0,CP980-BZ331),0),0)</f>
        <v>0</v>
      </c>
      <c r="CT980">
        <f>IF(ISNUMBER(CQ980),IFERROR(MAX(0,CA331-CQ980),0),0)</f>
        <v>0</v>
      </c>
      <c r="CU980">
        <f>IF(ISNUMBER(CQ980),IFERROR(MAX(0,CQ980-CA331),0),0)</f>
        <v>0</v>
      </c>
    </row>
    <row r="981" spans="87:99" x14ac:dyDescent="0.3">
      <c r="CI981" t="e">
        <f>AT331</f>
        <v>#N/A</v>
      </c>
      <c r="CJ981" t="e">
        <f>AU331</f>
        <v>#N/A</v>
      </c>
      <c r="CK981">
        <f>IF(ISNUMBER(CI981),IFERROR(MAX(0,AV331-CI981),0),0)</f>
        <v>0</v>
      </c>
      <c r="CL981">
        <f>IF(ISNUMBER(CI981),IFERROR(MAX(0,CI981-AV331),0),0)</f>
        <v>0</v>
      </c>
      <c r="CM981">
        <f>IF(ISNUMBER(CJ981),IFERROR(MAX(0,AW331-CJ981),0),0)</f>
        <v>0</v>
      </c>
      <c r="CN981">
        <f>IF(ISNUMBER(CJ981),IFERROR(MAX(0,CJ981-AW331),0),0)</f>
        <v>0</v>
      </c>
      <c r="CP981" t="e">
        <f>CB331</f>
        <v>#N/A</v>
      </c>
      <c r="CQ981" t="e">
        <f>CC331</f>
        <v>#N/A</v>
      </c>
      <c r="CR981">
        <f>IF(ISNUMBER(CP981),IFERROR(MAX(0,CD331-CP981),0),0)</f>
        <v>0</v>
      </c>
      <c r="CS981">
        <f>IF(ISNUMBER(CP981),IFERROR(MAX(0,CP981-CD331),0),0)</f>
        <v>0</v>
      </c>
      <c r="CT981">
        <f>IF(ISNUMBER(CQ981),IFERROR(MAX(0,CE331-CQ981),0),0)</f>
        <v>0</v>
      </c>
      <c r="CU981">
        <f>IF(ISNUMBER(CQ981),IFERROR(MAX(0,CQ981-CE331),0),0)</f>
        <v>0</v>
      </c>
    </row>
    <row r="982" spans="87:99" x14ac:dyDescent="0.3">
      <c r="CI982" t="e">
        <f>AL332</f>
        <v>#N/A</v>
      </c>
      <c r="CJ982" t="e">
        <f>AM332</f>
        <v>#N/A</v>
      </c>
      <c r="CK982">
        <f>IF(ISNUMBER(CI982),IFERROR(MAX(0,AN332-CI982),0),0)</f>
        <v>0</v>
      </c>
      <c r="CL982">
        <f>IF(ISNUMBER(CI982),IFERROR(MAX(0,CI982-AN332),0),0)</f>
        <v>0</v>
      </c>
      <c r="CM982">
        <f>IF(ISNUMBER(CJ982),IFERROR(MAX(0,AO332-CJ982),0),0)</f>
        <v>0</v>
      </c>
      <c r="CN982">
        <f>IF(ISNUMBER(CJ982),IFERROR(MAX(0,CJ982-AO332),0),0)</f>
        <v>0</v>
      </c>
      <c r="CP982" t="e">
        <f>BT332</f>
        <v>#N/A</v>
      </c>
      <c r="CQ982" t="e">
        <f>BU332</f>
        <v>#N/A</v>
      </c>
      <c r="CR982">
        <f>IF(ISNUMBER(CP982),IFERROR(MAX(0,BV332-CP982),0),0)</f>
        <v>0</v>
      </c>
      <c r="CS982">
        <f>IF(ISNUMBER(CP982),IFERROR(MAX(0,CP982-BV332),0),0)</f>
        <v>0</v>
      </c>
      <c r="CT982">
        <f>IF(ISNUMBER(CQ982),IFERROR(MAX(0,BW332-CQ982),0),0)</f>
        <v>0</v>
      </c>
      <c r="CU982">
        <f>IF(ISNUMBER(CQ982),IFERROR(MAX(0,CQ982-BW332),0),0)</f>
        <v>0</v>
      </c>
    </row>
    <row r="983" spans="87:99" x14ac:dyDescent="0.3">
      <c r="CI983" t="e">
        <f>AP332</f>
        <v>#N/A</v>
      </c>
      <c r="CJ983" t="e">
        <f>AQ332</f>
        <v>#N/A</v>
      </c>
      <c r="CK983">
        <f>IF(ISNUMBER(CI983),IFERROR(MAX(0,AR332-CI983),0),0)</f>
        <v>0</v>
      </c>
      <c r="CL983">
        <f>IF(ISNUMBER(CI983),IFERROR(MAX(0,CI983-AR332),0),0)</f>
        <v>0</v>
      </c>
      <c r="CM983">
        <f>IF(ISNUMBER(CJ983),IFERROR(MAX(0,AS332-CJ983),0),0)</f>
        <v>0</v>
      </c>
      <c r="CN983">
        <f>IF(ISNUMBER(CJ983),IFERROR(MAX(0,CJ983-AS332),0),0)</f>
        <v>0</v>
      </c>
      <c r="CP983" t="e">
        <f>BX332</f>
        <v>#N/A</v>
      </c>
      <c r="CQ983" t="e">
        <f>BY332</f>
        <v>#N/A</v>
      </c>
      <c r="CR983">
        <f>IF(ISNUMBER(CP983),IFERROR(MAX(0,BZ332-CP983),0),0)</f>
        <v>0</v>
      </c>
      <c r="CS983">
        <f>IF(ISNUMBER(CP983),IFERROR(MAX(0,CP983-BZ332),0),0)</f>
        <v>0</v>
      </c>
      <c r="CT983">
        <f>IF(ISNUMBER(CQ983),IFERROR(MAX(0,CA332-CQ983),0),0)</f>
        <v>0</v>
      </c>
      <c r="CU983">
        <f>IF(ISNUMBER(CQ983),IFERROR(MAX(0,CQ983-CA332),0),0)</f>
        <v>0</v>
      </c>
    </row>
    <row r="984" spans="87:99" x14ac:dyDescent="0.3">
      <c r="CI984" t="e">
        <f>AT332</f>
        <v>#N/A</v>
      </c>
      <c r="CJ984" t="e">
        <f>AU332</f>
        <v>#N/A</v>
      </c>
      <c r="CK984">
        <f>IF(ISNUMBER(CI984),IFERROR(MAX(0,AV332-CI984),0),0)</f>
        <v>0</v>
      </c>
      <c r="CL984">
        <f>IF(ISNUMBER(CI984),IFERROR(MAX(0,CI984-AV332),0),0)</f>
        <v>0</v>
      </c>
      <c r="CM984">
        <f>IF(ISNUMBER(CJ984),IFERROR(MAX(0,AW332-CJ984),0),0)</f>
        <v>0</v>
      </c>
      <c r="CN984">
        <f>IF(ISNUMBER(CJ984),IFERROR(MAX(0,CJ984-AW332),0),0)</f>
        <v>0</v>
      </c>
      <c r="CP984" t="e">
        <f>CB332</f>
        <v>#N/A</v>
      </c>
      <c r="CQ984" t="e">
        <f>CC332</f>
        <v>#N/A</v>
      </c>
      <c r="CR984">
        <f>IF(ISNUMBER(CP984),IFERROR(MAX(0,CD332-CP984),0),0)</f>
        <v>0</v>
      </c>
      <c r="CS984">
        <f>IF(ISNUMBER(CP984),IFERROR(MAX(0,CP984-CD332),0),0)</f>
        <v>0</v>
      </c>
      <c r="CT984">
        <f>IF(ISNUMBER(CQ984),IFERROR(MAX(0,CE332-CQ984),0),0)</f>
        <v>0</v>
      </c>
      <c r="CU984">
        <f>IF(ISNUMBER(CQ984),IFERROR(MAX(0,CQ984-CE332),0),0)</f>
        <v>0</v>
      </c>
    </row>
    <row r="985" spans="87:99" x14ac:dyDescent="0.3">
      <c r="CI985" t="e">
        <f>AL333</f>
        <v>#N/A</v>
      </c>
      <c r="CJ985" t="e">
        <f>AM333</f>
        <v>#N/A</v>
      </c>
      <c r="CK985">
        <f>IF(ISNUMBER(CI985),IFERROR(MAX(0,AN333-CI985),0),0)</f>
        <v>0</v>
      </c>
      <c r="CL985">
        <f>IF(ISNUMBER(CI985),IFERROR(MAX(0,CI985-AN333),0),0)</f>
        <v>0</v>
      </c>
      <c r="CM985">
        <f>IF(ISNUMBER(CJ985),IFERROR(MAX(0,AO333-CJ985),0),0)</f>
        <v>0</v>
      </c>
      <c r="CN985">
        <f>IF(ISNUMBER(CJ985),IFERROR(MAX(0,CJ985-AO333),0),0)</f>
        <v>0</v>
      </c>
      <c r="CP985" t="e">
        <f>BT333</f>
        <v>#N/A</v>
      </c>
      <c r="CQ985" t="e">
        <f>BU333</f>
        <v>#N/A</v>
      </c>
      <c r="CR985">
        <f>IF(ISNUMBER(CP985),IFERROR(MAX(0,BV333-CP985),0),0)</f>
        <v>0</v>
      </c>
      <c r="CS985">
        <f>IF(ISNUMBER(CP985),IFERROR(MAX(0,CP985-BV333),0),0)</f>
        <v>0</v>
      </c>
      <c r="CT985">
        <f>IF(ISNUMBER(CQ985),IFERROR(MAX(0,BW333-CQ985),0),0)</f>
        <v>0</v>
      </c>
      <c r="CU985">
        <f>IF(ISNUMBER(CQ985),IFERROR(MAX(0,CQ985-BW333),0),0)</f>
        <v>0</v>
      </c>
    </row>
    <row r="986" spans="87:99" x14ac:dyDescent="0.3">
      <c r="CI986" t="e">
        <f>AP333</f>
        <v>#N/A</v>
      </c>
      <c r="CJ986" t="e">
        <f>AQ333</f>
        <v>#N/A</v>
      </c>
      <c r="CK986">
        <f>IF(ISNUMBER(CI986),IFERROR(MAX(0,AR333-CI986),0),0)</f>
        <v>0</v>
      </c>
      <c r="CL986">
        <f>IF(ISNUMBER(CI986),IFERROR(MAX(0,CI986-AR333),0),0)</f>
        <v>0</v>
      </c>
      <c r="CM986">
        <f>IF(ISNUMBER(CJ986),IFERROR(MAX(0,AS333-CJ986),0),0)</f>
        <v>0</v>
      </c>
      <c r="CN986">
        <f>IF(ISNUMBER(CJ986),IFERROR(MAX(0,CJ986-AS333),0),0)</f>
        <v>0</v>
      </c>
      <c r="CP986" t="e">
        <f>BX333</f>
        <v>#N/A</v>
      </c>
      <c r="CQ986" t="e">
        <f>BY333</f>
        <v>#N/A</v>
      </c>
      <c r="CR986">
        <f>IF(ISNUMBER(CP986),IFERROR(MAX(0,BZ333-CP986),0),0)</f>
        <v>0</v>
      </c>
      <c r="CS986">
        <f>IF(ISNUMBER(CP986),IFERROR(MAX(0,CP986-BZ333),0),0)</f>
        <v>0</v>
      </c>
      <c r="CT986">
        <f>IF(ISNUMBER(CQ986),IFERROR(MAX(0,CA333-CQ986),0),0)</f>
        <v>0</v>
      </c>
      <c r="CU986">
        <f>IF(ISNUMBER(CQ986),IFERROR(MAX(0,CQ986-CA333),0),0)</f>
        <v>0</v>
      </c>
    </row>
    <row r="987" spans="87:99" x14ac:dyDescent="0.3">
      <c r="CI987" t="e">
        <f>AT333</f>
        <v>#N/A</v>
      </c>
      <c r="CJ987" t="e">
        <f>AU333</f>
        <v>#N/A</v>
      </c>
      <c r="CK987">
        <f>IF(ISNUMBER(CI987),IFERROR(MAX(0,AV333-CI987),0),0)</f>
        <v>0</v>
      </c>
      <c r="CL987">
        <f>IF(ISNUMBER(CI987),IFERROR(MAX(0,CI987-AV333),0),0)</f>
        <v>0</v>
      </c>
      <c r="CM987">
        <f>IF(ISNUMBER(CJ987),IFERROR(MAX(0,AW333-CJ987),0),0)</f>
        <v>0</v>
      </c>
      <c r="CN987">
        <f>IF(ISNUMBER(CJ987),IFERROR(MAX(0,CJ987-AW333),0),0)</f>
        <v>0</v>
      </c>
      <c r="CP987" t="e">
        <f>CB333</f>
        <v>#N/A</v>
      </c>
      <c r="CQ987" t="e">
        <f>CC333</f>
        <v>#N/A</v>
      </c>
      <c r="CR987">
        <f>IF(ISNUMBER(CP987),IFERROR(MAX(0,CD333-CP987),0),0)</f>
        <v>0</v>
      </c>
      <c r="CS987">
        <f>IF(ISNUMBER(CP987),IFERROR(MAX(0,CP987-CD333),0),0)</f>
        <v>0</v>
      </c>
      <c r="CT987">
        <f>IF(ISNUMBER(CQ987),IFERROR(MAX(0,CE333-CQ987),0),0)</f>
        <v>0</v>
      </c>
      <c r="CU987">
        <f>IF(ISNUMBER(CQ987),IFERROR(MAX(0,CQ987-CE333),0),0)</f>
        <v>0</v>
      </c>
    </row>
    <row r="988" spans="87:99" x14ac:dyDescent="0.3">
      <c r="CI988" t="e">
        <f>AL334</f>
        <v>#N/A</v>
      </c>
      <c r="CJ988" t="e">
        <f>AM334</f>
        <v>#N/A</v>
      </c>
      <c r="CK988">
        <f>IF(ISNUMBER(CI988),IFERROR(MAX(0,AN334-CI988),0),0)</f>
        <v>0</v>
      </c>
      <c r="CL988">
        <f>IF(ISNUMBER(CI988),IFERROR(MAX(0,CI988-AN334),0),0)</f>
        <v>0</v>
      </c>
      <c r="CM988">
        <f>IF(ISNUMBER(CJ988),IFERROR(MAX(0,AO334-CJ988),0),0)</f>
        <v>0</v>
      </c>
      <c r="CN988">
        <f>IF(ISNUMBER(CJ988),IFERROR(MAX(0,CJ988-AO334),0),0)</f>
        <v>0</v>
      </c>
      <c r="CP988" t="e">
        <f>BT334</f>
        <v>#N/A</v>
      </c>
      <c r="CQ988" t="e">
        <f>BU334</f>
        <v>#N/A</v>
      </c>
      <c r="CR988">
        <f>IF(ISNUMBER(CP988),IFERROR(MAX(0,BV334-CP988),0),0)</f>
        <v>0</v>
      </c>
      <c r="CS988">
        <f>IF(ISNUMBER(CP988),IFERROR(MAX(0,CP988-BV334),0),0)</f>
        <v>0</v>
      </c>
      <c r="CT988">
        <f>IF(ISNUMBER(CQ988),IFERROR(MAX(0,BW334-CQ988),0),0)</f>
        <v>0</v>
      </c>
      <c r="CU988">
        <f>IF(ISNUMBER(CQ988),IFERROR(MAX(0,CQ988-BW334),0),0)</f>
        <v>0</v>
      </c>
    </row>
    <row r="989" spans="87:99" x14ac:dyDescent="0.3">
      <c r="CI989" t="e">
        <f>AP334</f>
        <v>#N/A</v>
      </c>
      <c r="CJ989" t="e">
        <f>AQ334</f>
        <v>#N/A</v>
      </c>
      <c r="CK989">
        <f>IF(ISNUMBER(CI989),IFERROR(MAX(0,AR334-CI989),0),0)</f>
        <v>0</v>
      </c>
      <c r="CL989">
        <f>IF(ISNUMBER(CI989),IFERROR(MAX(0,CI989-AR334),0),0)</f>
        <v>0</v>
      </c>
      <c r="CM989">
        <f>IF(ISNUMBER(CJ989),IFERROR(MAX(0,AS334-CJ989),0),0)</f>
        <v>0</v>
      </c>
      <c r="CN989">
        <f>IF(ISNUMBER(CJ989),IFERROR(MAX(0,CJ989-AS334),0),0)</f>
        <v>0</v>
      </c>
      <c r="CP989" t="e">
        <f>BX334</f>
        <v>#N/A</v>
      </c>
      <c r="CQ989" t="e">
        <f>BY334</f>
        <v>#N/A</v>
      </c>
      <c r="CR989">
        <f>IF(ISNUMBER(CP989),IFERROR(MAX(0,BZ334-CP989),0),0)</f>
        <v>0</v>
      </c>
      <c r="CS989">
        <f>IF(ISNUMBER(CP989),IFERROR(MAX(0,CP989-BZ334),0),0)</f>
        <v>0</v>
      </c>
      <c r="CT989">
        <f>IF(ISNUMBER(CQ989),IFERROR(MAX(0,CA334-CQ989),0),0)</f>
        <v>0</v>
      </c>
      <c r="CU989">
        <f>IF(ISNUMBER(CQ989),IFERROR(MAX(0,CQ989-CA334),0),0)</f>
        <v>0</v>
      </c>
    </row>
    <row r="990" spans="87:99" x14ac:dyDescent="0.3">
      <c r="CI990" t="e">
        <f>AT334</f>
        <v>#N/A</v>
      </c>
      <c r="CJ990" t="e">
        <f>AU334</f>
        <v>#N/A</v>
      </c>
      <c r="CK990">
        <f>IF(ISNUMBER(CI990),IFERROR(MAX(0,AV334-CI990),0),0)</f>
        <v>0</v>
      </c>
      <c r="CL990">
        <f>IF(ISNUMBER(CI990),IFERROR(MAX(0,CI990-AV334),0),0)</f>
        <v>0</v>
      </c>
      <c r="CM990">
        <f>IF(ISNUMBER(CJ990),IFERROR(MAX(0,AW334-CJ990),0),0)</f>
        <v>0</v>
      </c>
      <c r="CN990">
        <f>IF(ISNUMBER(CJ990),IFERROR(MAX(0,CJ990-AW334),0),0)</f>
        <v>0</v>
      </c>
      <c r="CP990" t="e">
        <f>CB334</f>
        <v>#N/A</v>
      </c>
      <c r="CQ990" t="e">
        <f>CC334</f>
        <v>#N/A</v>
      </c>
      <c r="CR990">
        <f>IF(ISNUMBER(CP990),IFERROR(MAX(0,CD334-CP990),0),0)</f>
        <v>0</v>
      </c>
      <c r="CS990">
        <f>IF(ISNUMBER(CP990),IFERROR(MAX(0,CP990-CD334),0),0)</f>
        <v>0</v>
      </c>
      <c r="CT990">
        <f>IF(ISNUMBER(CQ990),IFERROR(MAX(0,CE334-CQ990),0),0)</f>
        <v>0</v>
      </c>
      <c r="CU990">
        <f>IF(ISNUMBER(CQ990),IFERROR(MAX(0,CQ990-CE334),0),0)</f>
        <v>0</v>
      </c>
    </row>
    <row r="991" spans="87:99" x14ac:dyDescent="0.3">
      <c r="CI991" t="e">
        <f>AL335</f>
        <v>#N/A</v>
      </c>
      <c r="CJ991" t="e">
        <f>AM335</f>
        <v>#N/A</v>
      </c>
      <c r="CK991">
        <f>IF(ISNUMBER(CI991),IFERROR(MAX(0,AN335-CI991),0),0)</f>
        <v>0</v>
      </c>
      <c r="CL991">
        <f>IF(ISNUMBER(CI991),IFERROR(MAX(0,CI991-AN335),0),0)</f>
        <v>0</v>
      </c>
      <c r="CM991">
        <f>IF(ISNUMBER(CJ991),IFERROR(MAX(0,AO335-CJ991),0),0)</f>
        <v>0</v>
      </c>
      <c r="CN991">
        <f>IF(ISNUMBER(CJ991),IFERROR(MAX(0,CJ991-AO335),0),0)</f>
        <v>0</v>
      </c>
      <c r="CP991" t="e">
        <f>BT335</f>
        <v>#N/A</v>
      </c>
      <c r="CQ991" t="e">
        <f>BU335</f>
        <v>#N/A</v>
      </c>
      <c r="CR991">
        <f>IF(ISNUMBER(CP991),IFERROR(MAX(0,BV335-CP991),0),0)</f>
        <v>0</v>
      </c>
      <c r="CS991">
        <f>IF(ISNUMBER(CP991),IFERROR(MAX(0,CP991-BV335),0),0)</f>
        <v>0</v>
      </c>
      <c r="CT991">
        <f>IF(ISNUMBER(CQ991),IFERROR(MAX(0,BW335-CQ991),0),0)</f>
        <v>0</v>
      </c>
      <c r="CU991">
        <f>IF(ISNUMBER(CQ991),IFERROR(MAX(0,CQ991-BW335),0),0)</f>
        <v>0</v>
      </c>
    </row>
    <row r="992" spans="87:99" x14ac:dyDescent="0.3">
      <c r="CI992" t="e">
        <f>AP335</f>
        <v>#N/A</v>
      </c>
      <c r="CJ992" t="e">
        <f>AQ335</f>
        <v>#N/A</v>
      </c>
      <c r="CK992">
        <f>IF(ISNUMBER(CI992),IFERROR(MAX(0,AR335-CI992),0),0)</f>
        <v>0</v>
      </c>
      <c r="CL992">
        <f>IF(ISNUMBER(CI992),IFERROR(MAX(0,CI992-AR335),0),0)</f>
        <v>0</v>
      </c>
      <c r="CM992">
        <f>IF(ISNUMBER(CJ992),IFERROR(MAX(0,AS335-CJ992),0),0)</f>
        <v>0</v>
      </c>
      <c r="CN992">
        <f>IF(ISNUMBER(CJ992),IFERROR(MAX(0,CJ992-AS335),0),0)</f>
        <v>0</v>
      </c>
      <c r="CP992" t="e">
        <f>BX335</f>
        <v>#N/A</v>
      </c>
      <c r="CQ992" t="e">
        <f>BY335</f>
        <v>#N/A</v>
      </c>
      <c r="CR992">
        <f>IF(ISNUMBER(CP992),IFERROR(MAX(0,BZ335-CP992),0),0)</f>
        <v>0</v>
      </c>
      <c r="CS992">
        <f>IF(ISNUMBER(CP992),IFERROR(MAX(0,CP992-BZ335),0),0)</f>
        <v>0</v>
      </c>
      <c r="CT992">
        <f>IF(ISNUMBER(CQ992),IFERROR(MAX(0,CA335-CQ992),0),0)</f>
        <v>0</v>
      </c>
      <c r="CU992">
        <f>IF(ISNUMBER(CQ992),IFERROR(MAX(0,CQ992-CA335),0),0)</f>
        <v>0</v>
      </c>
    </row>
    <row r="993" spans="87:99" x14ac:dyDescent="0.3">
      <c r="CI993" t="e">
        <f>AT335</f>
        <v>#N/A</v>
      </c>
      <c r="CJ993" t="e">
        <f>AU335</f>
        <v>#N/A</v>
      </c>
      <c r="CK993">
        <f>IF(ISNUMBER(CI993),IFERROR(MAX(0,AV335-CI993),0),0)</f>
        <v>0</v>
      </c>
      <c r="CL993">
        <f>IF(ISNUMBER(CI993),IFERROR(MAX(0,CI993-AV335),0),0)</f>
        <v>0</v>
      </c>
      <c r="CM993">
        <f>IF(ISNUMBER(CJ993),IFERROR(MAX(0,AW335-CJ993),0),0)</f>
        <v>0</v>
      </c>
      <c r="CN993">
        <f>IF(ISNUMBER(CJ993),IFERROR(MAX(0,CJ993-AW335),0),0)</f>
        <v>0</v>
      </c>
      <c r="CP993" t="e">
        <f>CB335</f>
        <v>#N/A</v>
      </c>
      <c r="CQ993" t="e">
        <f>CC335</f>
        <v>#N/A</v>
      </c>
      <c r="CR993">
        <f>IF(ISNUMBER(CP993),IFERROR(MAX(0,CD335-CP993),0),0)</f>
        <v>0</v>
      </c>
      <c r="CS993">
        <f>IF(ISNUMBER(CP993),IFERROR(MAX(0,CP993-CD335),0),0)</f>
        <v>0</v>
      </c>
      <c r="CT993">
        <f>IF(ISNUMBER(CQ993),IFERROR(MAX(0,CE335-CQ993),0),0)</f>
        <v>0</v>
      </c>
      <c r="CU993">
        <f>IF(ISNUMBER(CQ993),IFERROR(MAX(0,CQ993-CE335),0),0)</f>
        <v>0</v>
      </c>
    </row>
    <row r="994" spans="87:99" x14ac:dyDescent="0.3">
      <c r="CI994" t="e">
        <f>AL336</f>
        <v>#N/A</v>
      </c>
      <c r="CJ994" t="e">
        <f>AM336</f>
        <v>#N/A</v>
      </c>
      <c r="CK994">
        <f>IF(ISNUMBER(CI994),IFERROR(MAX(0,AN336-CI994),0),0)</f>
        <v>0</v>
      </c>
      <c r="CL994">
        <f>IF(ISNUMBER(CI994),IFERROR(MAX(0,CI994-AN336),0),0)</f>
        <v>0</v>
      </c>
      <c r="CM994">
        <f>IF(ISNUMBER(CJ994),IFERROR(MAX(0,AO336-CJ994),0),0)</f>
        <v>0</v>
      </c>
      <c r="CN994">
        <f>IF(ISNUMBER(CJ994),IFERROR(MAX(0,CJ994-AO336),0),0)</f>
        <v>0</v>
      </c>
      <c r="CP994" t="e">
        <f>BT336</f>
        <v>#N/A</v>
      </c>
      <c r="CQ994" t="e">
        <f>BU336</f>
        <v>#N/A</v>
      </c>
      <c r="CR994">
        <f>IF(ISNUMBER(CP994),IFERROR(MAX(0,BV336-CP994),0),0)</f>
        <v>0</v>
      </c>
      <c r="CS994">
        <f>IF(ISNUMBER(CP994),IFERROR(MAX(0,CP994-BV336),0),0)</f>
        <v>0</v>
      </c>
      <c r="CT994">
        <f>IF(ISNUMBER(CQ994),IFERROR(MAX(0,BW336-CQ994),0),0)</f>
        <v>0</v>
      </c>
      <c r="CU994">
        <f>IF(ISNUMBER(CQ994),IFERROR(MAX(0,CQ994-BW336),0),0)</f>
        <v>0</v>
      </c>
    </row>
    <row r="995" spans="87:99" x14ac:dyDescent="0.3">
      <c r="CI995" t="e">
        <f>AP336</f>
        <v>#N/A</v>
      </c>
      <c r="CJ995" t="e">
        <f>AQ336</f>
        <v>#N/A</v>
      </c>
      <c r="CK995">
        <f>IF(ISNUMBER(CI995),IFERROR(MAX(0,AR336-CI995),0),0)</f>
        <v>0</v>
      </c>
      <c r="CL995">
        <f>IF(ISNUMBER(CI995),IFERROR(MAX(0,CI995-AR336),0),0)</f>
        <v>0</v>
      </c>
      <c r="CM995">
        <f>IF(ISNUMBER(CJ995),IFERROR(MAX(0,AS336-CJ995),0),0)</f>
        <v>0</v>
      </c>
      <c r="CN995">
        <f>IF(ISNUMBER(CJ995),IFERROR(MAX(0,CJ995-AS336),0),0)</f>
        <v>0</v>
      </c>
      <c r="CP995" t="e">
        <f>BX336</f>
        <v>#N/A</v>
      </c>
      <c r="CQ995" t="e">
        <f>BY336</f>
        <v>#N/A</v>
      </c>
      <c r="CR995">
        <f>IF(ISNUMBER(CP995),IFERROR(MAX(0,BZ336-CP995),0),0)</f>
        <v>0</v>
      </c>
      <c r="CS995">
        <f>IF(ISNUMBER(CP995),IFERROR(MAX(0,CP995-BZ336),0),0)</f>
        <v>0</v>
      </c>
      <c r="CT995">
        <f>IF(ISNUMBER(CQ995),IFERROR(MAX(0,CA336-CQ995),0),0)</f>
        <v>0</v>
      </c>
      <c r="CU995">
        <f>IF(ISNUMBER(CQ995),IFERROR(MAX(0,CQ995-CA336),0),0)</f>
        <v>0</v>
      </c>
    </row>
    <row r="996" spans="87:99" x14ac:dyDescent="0.3">
      <c r="CI996" t="e">
        <f>AT336</f>
        <v>#N/A</v>
      </c>
      <c r="CJ996" t="e">
        <f>AU336</f>
        <v>#N/A</v>
      </c>
      <c r="CK996">
        <f>IF(ISNUMBER(CI996),IFERROR(MAX(0,AV336-CI996),0),0)</f>
        <v>0</v>
      </c>
      <c r="CL996">
        <f>IF(ISNUMBER(CI996),IFERROR(MAX(0,CI996-AV336),0),0)</f>
        <v>0</v>
      </c>
      <c r="CM996">
        <f>IF(ISNUMBER(CJ996),IFERROR(MAX(0,AW336-CJ996),0),0)</f>
        <v>0</v>
      </c>
      <c r="CN996">
        <f>IF(ISNUMBER(CJ996),IFERROR(MAX(0,CJ996-AW336),0),0)</f>
        <v>0</v>
      </c>
      <c r="CP996" t="e">
        <f>CB336</f>
        <v>#N/A</v>
      </c>
      <c r="CQ996" t="e">
        <f>CC336</f>
        <v>#N/A</v>
      </c>
      <c r="CR996">
        <f>IF(ISNUMBER(CP996),IFERROR(MAX(0,CD336-CP996),0),0)</f>
        <v>0</v>
      </c>
      <c r="CS996">
        <f>IF(ISNUMBER(CP996),IFERROR(MAX(0,CP996-CD336),0),0)</f>
        <v>0</v>
      </c>
      <c r="CT996">
        <f>IF(ISNUMBER(CQ996),IFERROR(MAX(0,CE336-CQ996),0),0)</f>
        <v>0</v>
      </c>
      <c r="CU996">
        <f>IF(ISNUMBER(CQ996),IFERROR(MAX(0,CQ996-CE336),0),0)</f>
        <v>0</v>
      </c>
    </row>
    <row r="997" spans="87:99" x14ac:dyDescent="0.3">
      <c r="CI997" t="e">
        <f>AL337</f>
        <v>#N/A</v>
      </c>
      <c r="CJ997" t="e">
        <f>AM337</f>
        <v>#N/A</v>
      </c>
      <c r="CK997">
        <f>IF(ISNUMBER(CI997),IFERROR(MAX(0,AN337-CI997),0),0)</f>
        <v>0</v>
      </c>
      <c r="CL997">
        <f>IF(ISNUMBER(CI997),IFERROR(MAX(0,CI997-AN337),0),0)</f>
        <v>0</v>
      </c>
      <c r="CM997">
        <f>IF(ISNUMBER(CJ997),IFERROR(MAX(0,AO337-CJ997),0),0)</f>
        <v>0</v>
      </c>
      <c r="CN997">
        <f>IF(ISNUMBER(CJ997),IFERROR(MAX(0,CJ997-AO337),0),0)</f>
        <v>0</v>
      </c>
      <c r="CP997" t="e">
        <f>BT337</f>
        <v>#N/A</v>
      </c>
      <c r="CQ997" t="e">
        <f>BU337</f>
        <v>#N/A</v>
      </c>
      <c r="CR997">
        <f>IF(ISNUMBER(CP997),IFERROR(MAX(0,BV337-CP997),0),0)</f>
        <v>0</v>
      </c>
      <c r="CS997">
        <f>IF(ISNUMBER(CP997),IFERROR(MAX(0,CP997-BV337),0),0)</f>
        <v>0</v>
      </c>
      <c r="CT997">
        <f>IF(ISNUMBER(CQ997),IFERROR(MAX(0,BW337-CQ997),0),0)</f>
        <v>0</v>
      </c>
      <c r="CU997">
        <f>IF(ISNUMBER(CQ997),IFERROR(MAX(0,CQ997-BW337),0),0)</f>
        <v>0</v>
      </c>
    </row>
    <row r="998" spans="87:99" x14ac:dyDescent="0.3">
      <c r="CI998" t="e">
        <f>AP337</f>
        <v>#N/A</v>
      </c>
      <c r="CJ998" t="e">
        <f>AQ337</f>
        <v>#N/A</v>
      </c>
      <c r="CK998">
        <f>IF(ISNUMBER(CI998),IFERROR(MAX(0,AR337-CI998),0),0)</f>
        <v>0</v>
      </c>
      <c r="CL998">
        <f>IF(ISNUMBER(CI998),IFERROR(MAX(0,CI998-AR337),0),0)</f>
        <v>0</v>
      </c>
      <c r="CM998">
        <f>IF(ISNUMBER(CJ998),IFERROR(MAX(0,AS337-CJ998),0),0)</f>
        <v>0</v>
      </c>
      <c r="CN998">
        <f>IF(ISNUMBER(CJ998),IFERROR(MAX(0,CJ998-AS337),0),0)</f>
        <v>0</v>
      </c>
      <c r="CP998" t="e">
        <f>BX337</f>
        <v>#N/A</v>
      </c>
      <c r="CQ998" t="e">
        <f>BY337</f>
        <v>#N/A</v>
      </c>
      <c r="CR998">
        <f>IF(ISNUMBER(CP998),IFERROR(MAX(0,BZ337-CP998),0),0)</f>
        <v>0</v>
      </c>
      <c r="CS998">
        <f>IF(ISNUMBER(CP998),IFERROR(MAX(0,CP998-BZ337),0),0)</f>
        <v>0</v>
      </c>
      <c r="CT998">
        <f>IF(ISNUMBER(CQ998),IFERROR(MAX(0,CA337-CQ998),0),0)</f>
        <v>0</v>
      </c>
      <c r="CU998">
        <f>IF(ISNUMBER(CQ998),IFERROR(MAX(0,CQ998-CA337),0),0)</f>
        <v>0</v>
      </c>
    </row>
    <row r="999" spans="87:99" x14ac:dyDescent="0.3">
      <c r="CI999" t="e">
        <f>AT337</f>
        <v>#N/A</v>
      </c>
      <c r="CJ999" t="e">
        <f>AU337</f>
        <v>#N/A</v>
      </c>
      <c r="CK999">
        <f>IF(ISNUMBER(CI999),IFERROR(MAX(0,AV337-CI999),0),0)</f>
        <v>0</v>
      </c>
      <c r="CL999">
        <f>IF(ISNUMBER(CI999),IFERROR(MAX(0,CI999-AV337),0),0)</f>
        <v>0</v>
      </c>
      <c r="CM999">
        <f>IF(ISNUMBER(CJ999),IFERROR(MAX(0,AW337-CJ999),0),0)</f>
        <v>0</v>
      </c>
      <c r="CN999">
        <f>IF(ISNUMBER(CJ999),IFERROR(MAX(0,CJ999-AW337),0),0)</f>
        <v>0</v>
      </c>
      <c r="CP999" t="e">
        <f>CB337</f>
        <v>#N/A</v>
      </c>
      <c r="CQ999" t="e">
        <f>CC337</f>
        <v>#N/A</v>
      </c>
      <c r="CR999">
        <f>IF(ISNUMBER(CP999),IFERROR(MAX(0,CD337-CP999),0),0)</f>
        <v>0</v>
      </c>
      <c r="CS999">
        <f>IF(ISNUMBER(CP999),IFERROR(MAX(0,CP999-CD337),0),0)</f>
        <v>0</v>
      </c>
      <c r="CT999">
        <f>IF(ISNUMBER(CQ999),IFERROR(MAX(0,CE337-CQ999),0),0)</f>
        <v>0</v>
      </c>
      <c r="CU999">
        <f>IF(ISNUMBER(CQ999),IFERROR(MAX(0,CQ999-CE337),0),0)</f>
        <v>0</v>
      </c>
    </row>
    <row r="1000" spans="87:99" x14ac:dyDescent="0.3">
      <c r="CI1000" t="e">
        <f>AL338</f>
        <v>#N/A</v>
      </c>
      <c r="CJ1000" t="e">
        <f>AM338</f>
        <v>#N/A</v>
      </c>
      <c r="CK1000">
        <f>IF(ISNUMBER(CI1000),IFERROR(MAX(0,AN338-CI1000),0),0)</f>
        <v>0</v>
      </c>
      <c r="CL1000">
        <f>IF(ISNUMBER(CI1000),IFERROR(MAX(0,CI1000-AN338),0),0)</f>
        <v>0</v>
      </c>
      <c r="CM1000">
        <f>IF(ISNUMBER(CJ1000),IFERROR(MAX(0,AO338-CJ1000),0),0)</f>
        <v>0</v>
      </c>
      <c r="CN1000">
        <f>IF(ISNUMBER(CJ1000),IFERROR(MAX(0,CJ1000-AO338),0),0)</f>
        <v>0</v>
      </c>
      <c r="CP1000" t="e">
        <f>BT338</f>
        <v>#N/A</v>
      </c>
      <c r="CQ1000" t="e">
        <f>BU338</f>
        <v>#N/A</v>
      </c>
      <c r="CR1000">
        <f>IF(ISNUMBER(CP1000),IFERROR(MAX(0,BV338-CP1000),0),0)</f>
        <v>0</v>
      </c>
      <c r="CS1000">
        <f>IF(ISNUMBER(CP1000),IFERROR(MAX(0,CP1000-BV338),0),0)</f>
        <v>0</v>
      </c>
      <c r="CT1000">
        <f>IF(ISNUMBER(CQ1000),IFERROR(MAX(0,BW338-CQ1000),0),0)</f>
        <v>0</v>
      </c>
      <c r="CU1000">
        <f>IF(ISNUMBER(CQ1000),IFERROR(MAX(0,CQ1000-BW338),0),0)</f>
        <v>0</v>
      </c>
    </row>
    <row r="1001" spans="87:99" x14ac:dyDescent="0.3">
      <c r="CI1001" t="e">
        <f>AP338</f>
        <v>#N/A</v>
      </c>
      <c r="CJ1001" t="e">
        <f>AQ338</f>
        <v>#N/A</v>
      </c>
      <c r="CK1001">
        <f>IF(ISNUMBER(CI1001),IFERROR(MAX(0,AR338-CI1001),0),0)</f>
        <v>0</v>
      </c>
      <c r="CL1001">
        <f>IF(ISNUMBER(CI1001),IFERROR(MAX(0,CI1001-AR338),0),0)</f>
        <v>0</v>
      </c>
      <c r="CM1001">
        <f>IF(ISNUMBER(CJ1001),IFERROR(MAX(0,AS338-CJ1001),0),0)</f>
        <v>0</v>
      </c>
      <c r="CN1001">
        <f>IF(ISNUMBER(CJ1001),IFERROR(MAX(0,CJ1001-AS338),0),0)</f>
        <v>0</v>
      </c>
      <c r="CP1001" t="e">
        <f>BX338</f>
        <v>#N/A</v>
      </c>
      <c r="CQ1001" t="e">
        <f>BY338</f>
        <v>#N/A</v>
      </c>
      <c r="CR1001">
        <f>IF(ISNUMBER(CP1001),IFERROR(MAX(0,BZ338-CP1001),0),0)</f>
        <v>0</v>
      </c>
      <c r="CS1001">
        <f>IF(ISNUMBER(CP1001),IFERROR(MAX(0,CP1001-BZ338),0),0)</f>
        <v>0</v>
      </c>
      <c r="CT1001">
        <f>IF(ISNUMBER(CQ1001),IFERROR(MAX(0,CA338-CQ1001),0),0)</f>
        <v>0</v>
      </c>
      <c r="CU1001">
        <f>IF(ISNUMBER(CQ1001),IFERROR(MAX(0,CQ1001-CA338),0),0)</f>
        <v>0</v>
      </c>
    </row>
    <row r="1002" spans="87:99" x14ac:dyDescent="0.3">
      <c r="CI1002" t="e">
        <f>AT338</f>
        <v>#N/A</v>
      </c>
      <c r="CJ1002" t="e">
        <f>AU338</f>
        <v>#N/A</v>
      </c>
      <c r="CK1002">
        <f>IF(ISNUMBER(CI1002),IFERROR(MAX(0,AV338-CI1002),0),0)</f>
        <v>0</v>
      </c>
      <c r="CL1002">
        <f>IF(ISNUMBER(CI1002),IFERROR(MAX(0,CI1002-AV338),0),0)</f>
        <v>0</v>
      </c>
      <c r="CM1002">
        <f>IF(ISNUMBER(CJ1002),IFERROR(MAX(0,AW338-CJ1002),0),0)</f>
        <v>0</v>
      </c>
      <c r="CN1002">
        <f>IF(ISNUMBER(CJ1002),IFERROR(MAX(0,CJ1002-AW338),0),0)</f>
        <v>0</v>
      </c>
      <c r="CP1002" t="e">
        <f>CB338</f>
        <v>#N/A</v>
      </c>
      <c r="CQ1002" t="e">
        <f>CC338</f>
        <v>#N/A</v>
      </c>
      <c r="CR1002">
        <f>IF(ISNUMBER(CP1002),IFERROR(MAX(0,CD338-CP1002),0),0)</f>
        <v>0</v>
      </c>
      <c r="CS1002">
        <f>IF(ISNUMBER(CP1002),IFERROR(MAX(0,CP1002-CD338),0),0)</f>
        <v>0</v>
      </c>
      <c r="CT1002">
        <f>IF(ISNUMBER(CQ1002),IFERROR(MAX(0,CE338-CQ1002),0),0)</f>
        <v>0</v>
      </c>
      <c r="CU1002">
        <f>IF(ISNUMBER(CQ1002),IFERROR(MAX(0,CQ1002-CE338),0),0)</f>
        <v>0</v>
      </c>
    </row>
    <row r="1003" spans="87:99" x14ac:dyDescent="0.3">
      <c r="CI1003" t="e">
        <f>AL339</f>
        <v>#N/A</v>
      </c>
      <c r="CJ1003" t="e">
        <f>AM339</f>
        <v>#N/A</v>
      </c>
      <c r="CK1003">
        <f>IF(ISNUMBER(CI1003),IFERROR(MAX(0,AN339-CI1003),0),0)</f>
        <v>0</v>
      </c>
      <c r="CL1003">
        <f>IF(ISNUMBER(CI1003),IFERROR(MAX(0,CI1003-AN339),0),0)</f>
        <v>0</v>
      </c>
      <c r="CM1003">
        <f>IF(ISNUMBER(CJ1003),IFERROR(MAX(0,AO339-CJ1003),0),0)</f>
        <v>0</v>
      </c>
      <c r="CN1003">
        <f>IF(ISNUMBER(CJ1003),IFERROR(MAX(0,CJ1003-AO339),0),0)</f>
        <v>0</v>
      </c>
      <c r="CP1003" t="e">
        <f>BT339</f>
        <v>#N/A</v>
      </c>
      <c r="CQ1003" t="e">
        <f>BU339</f>
        <v>#N/A</v>
      </c>
      <c r="CR1003">
        <f>IF(ISNUMBER(CP1003),IFERROR(MAX(0,BV339-CP1003),0),0)</f>
        <v>0</v>
      </c>
      <c r="CS1003">
        <f>IF(ISNUMBER(CP1003),IFERROR(MAX(0,CP1003-BV339),0),0)</f>
        <v>0</v>
      </c>
      <c r="CT1003">
        <f>IF(ISNUMBER(CQ1003),IFERROR(MAX(0,BW339-CQ1003),0),0)</f>
        <v>0</v>
      </c>
      <c r="CU1003">
        <f>IF(ISNUMBER(CQ1003),IFERROR(MAX(0,CQ1003-BW339),0),0)</f>
        <v>0</v>
      </c>
    </row>
    <row r="1004" spans="87:99" x14ac:dyDescent="0.3">
      <c r="CI1004" t="e">
        <f>AP339</f>
        <v>#N/A</v>
      </c>
      <c r="CJ1004" t="e">
        <f>AQ339</f>
        <v>#N/A</v>
      </c>
      <c r="CK1004">
        <f>IF(ISNUMBER(CI1004),IFERROR(MAX(0,AR339-CI1004),0),0)</f>
        <v>0</v>
      </c>
      <c r="CL1004">
        <f>IF(ISNUMBER(CI1004),IFERROR(MAX(0,CI1004-AR339),0),0)</f>
        <v>0</v>
      </c>
      <c r="CM1004">
        <f>IF(ISNUMBER(CJ1004),IFERROR(MAX(0,AS339-CJ1004),0),0)</f>
        <v>0</v>
      </c>
      <c r="CN1004">
        <f>IF(ISNUMBER(CJ1004),IFERROR(MAX(0,CJ1004-AS339),0),0)</f>
        <v>0</v>
      </c>
      <c r="CP1004" t="e">
        <f>BX339</f>
        <v>#N/A</v>
      </c>
      <c r="CQ1004" t="e">
        <f>BY339</f>
        <v>#N/A</v>
      </c>
      <c r="CR1004">
        <f>IF(ISNUMBER(CP1004),IFERROR(MAX(0,BZ339-CP1004),0),0)</f>
        <v>0</v>
      </c>
      <c r="CS1004">
        <f>IF(ISNUMBER(CP1004),IFERROR(MAX(0,CP1004-BZ339),0),0)</f>
        <v>0</v>
      </c>
      <c r="CT1004">
        <f>IF(ISNUMBER(CQ1004),IFERROR(MAX(0,CA339-CQ1004),0),0)</f>
        <v>0</v>
      </c>
      <c r="CU1004">
        <f>IF(ISNUMBER(CQ1004),IFERROR(MAX(0,CQ1004-CA339),0),0)</f>
        <v>0</v>
      </c>
    </row>
    <row r="1005" spans="87:99" x14ac:dyDescent="0.3">
      <c r="CI1005" t="e">
        <f>AT339</f>
        <v>#N/A</v>
      </c>
      <c r="CJ1005" t="e">
        <f>AU339</f>
        <v>#N/A</v>
      </c>
      <c r="CK1005">
        <f>IF(ISNUMBER(CI1005),IFERROR(MAX(0,AV339-CI1005),0),0)</f>
        <v>0</v>
      </c>
      <c r="CL1005">
        <f>IF(ISNUMBER(CI1005),IFERROR(MAX(0,CI1005-AV339),0),0)</f>
        <v>0</v>
      </c>
      <c r="CM1005">
        <f>IF(ISNUMBER(CJ1005),IFERROR(MAX(0,AW339-CJ1005),0),0)</f>
        <v>0</v>
      </c>
      <c r="CN1005">
        <f>IF(ISNUMBER(CJ1005),IFERROR(MAX(0,CJ1005-AW339),0),0)</f>
        <v>0</v>
      </c>
      <c r="CP1005" t="e">
        <f>CB339</f>
        <v>#N/A</v>
      </c>
      <c r="CQ1005" t="e">
        <f>CC339</f>
        <v>#N/A</v>
      </c>
      <c r="CR1005">
        <f>IF(ISNUMBER(CP1005),IFERROR(MAX(0,CD339-CP1005),0),0)</f>
        <v>0</v>
      </c>
      <c r="CS1005">
        <f>IF(ISNUMBER(CP1005),IFERROR(MAX(0,CP1005-CD339),0),0)</f>
        <v>0</v>
      </c>
      <c r="CT1005">
        <f>IF(ISNUMBER(CQ1005),IFERROR(MAX(0,CE339-CQ1005),0),0)</f>
        <v>0</v>
      </c>
      <c r="CU1005">
        <f>IF(ISNUMBER(CQ1005),IFERROR(MAX(0,CQ1005-CE339),0),0)</f>
        <v>0</v>
      </c>
    </row>
    <row r="1006" spans="87:99" x14ac:dyDescent="0.3">
      <c r="CI1006" t="e">
        <f>AL340</f>
        <v>#N/A</v>
      </c>
      <c r="CJ1006" t="e">
        <f>AM340</f>
        <v>#N/A</v>
      </c>
      <c r="CK1006">
        <f>IF(ISNUMBER(CI1006),IFERROR(MAX(0,AN340-CI1006),0),0)</f>
        <v>0</v>
      </c>
      <c r="CL1006">
        <f>IF(ISNUMBER(CI1006),IFERROR(MAX(0,CI1006-AN340),0),0)</f>
        <v>0</v>
      </c>
      <c r="CM1006">
        <f>IF(ISNUMBER(CJ1006),IFERROR(MAX(0,AO340-CJ1006),0),0)</f>
        <v>0</v>
      </c>
      <c r="CN1006">
        <f>IF(ISNUMBER(CJ1006),IFERROR(MAX(0,CJ1006-AO340),0),0)</f>
        <v>0</v>
      </c>
      <c r="CP1006" t="e">
        <f>BT340</f>
        <v>#N/A</v>
      </c>
      <c r="CQ1006" t="e">
        <f>BU340</f>
        <v>#N/A</v>
      </c>
      <c r="CR1006">
        <f>IF(ISNUMBER(CP1006),IFERROR(MAX(0,BV340-CP1006),0),0)</f>
        <v>0</v>
      </c>
      <c r="CS1006">
        <f>IF(ISNUMBER(CP1006),IFERROR(MAX(0,CP1006-BV340),0),0)</f>
        <v>0</v>
      </c>
      <c r="CT1006">
        <f>IF(ISNUMBER(CQ1006),IFERROR(MAX(0,BW340-CQ1006),0),0)</f>
        <v>0</v>
      </c>
      <c r="CU1006">
        <f>IF(ISNUMBER(CQ1006),IFERROR(MAX(0,CQ1006-BW340),0),0)</f>
        <v>0</v>
      </c>
    </row>
    <row r="1007" spans="87:99" x14ac:dyDescent="0.3">
      <c r="CI1007" t="e">
        <f>AP340</f>
        <v>#N/A</v>
      </c>
      <c r="CJ1007" t="e">
        <f>AQ340</f>
        <v>#N/A</v>
      </c>
      <c r="CK1007">
        <f>IF(ISNUMBER(CI1007),IFERROR(MAX(0,AR340-CI1007),0),0)</f>
        <v>0</v>
      </c>
      <c r="CL1007">
        <f>IF(ISNUMBER(CI1007),IFERROR(MAX(0,CI1007-AR340),0),0)</f>
        <v>0</v>
      </c>
      <c r="CM1007">
        <f>IF(ISNUMBER(CJ1007),IFERROR(MAX(0,AS340-CJ1007),0),0)</f>
        <v>0</v>
      </c>
      <c r="CN1007">
        <f>IF(ISNUMBER(CJ1007),IFERROR(MAX(0,CJ1007-AS340),0),0)</f>
        <v>0</v>
      </c>
      <c r="CP1007" t="e">
        <f>BX340</f>
        <v>#N/A</v>
      </c>
      <c r="CQ1007" t="e">
        <f>BY340</f>
        <v>#N/A</v>
      </c>
      <c r="CR1007">
        <f>IF(ISNUMBER(CP1007),IFERROR(MAX(0,BZ340-CP1007),0),0)</f>
        <v>0</v>
      </c>
      <c r="CS1007">
        <f>IF(ISNUMBER(CP1007),IFERROR(MAX(0,CP1007-BZ340),0),0)</f>
        <v>0</v>
      </c>
      <c r="CT1007">
        <f>IF(ISNUMBER(CQ1007),IFERROR(MAX(0,CA340-CQ1007),0),0)</f>
        <v>0</v>
      </c>
      <c r="CU1007">
        <f>IF(ISNUMBER(CQ1007),IFERROR(MAX(0,CQ1007-CA340),0),0)</f>
        <v>0</v>
      </c>
    </row>
    <row r="1008" spans="87:99" x14ac:dyDescent="0.3">
      <c r="CI1008" t="e">
        <f>AT340</f>
        <v>#N/A</v>
      </c>
      <c r="CJ1008" t="e">
        <f>AU340</f>
        <v>#N/A</v>
      </c>
      <c r="CK1008">
        <f>IF(ISNUMBER(CI1008),IFERROR(MAX(0,AV340-CI1008),0),0)</f>
        <v>0</v>
      </c>
      <c r="CL1008">
        <f>IF(ISNUMBER(CI1008),IFERROR(MAX(0,CI1008-AV340),0),0)</f>
        <v>0</v>
      </c>
      <c r="CM1008">
        <f>IF(ISNUMBER(CJ1008),IFERROR(MAX(0,AW340-CJ1008),0),0)</f>
        <v>0</v>
      </c>
      <c r="CN1008">
        <f>IF(ISNUMBER(CJ1008),IFERROR(MAX(0,CJ1008-AW340),0),0)</f>
        <v>0</v>
      </c>
      <c r="CP1008" t="e">
        <f>CB340</f>
        <v>#N/A</v>
      </c>
      <c r="CQ1008" t="e">
        <f>CC340</f>
        <v>#N/A</v>
      </c>
      <c r="CR1008">
        <f>IF(ISNUMBER(CP1008),IFERROR(MAX(0,CD340-CP1008),0),0)</f>
        <v>0</v>
      </c>
      <c r="CS1008">
        <f>IF(ISNUMBER(CP1008),IFERROR(MAX(0,CP1008-CD340),0),0)</f>
        <v>0</v>
      </c>
      <c r="CT1008">
        <f>IF(ISNUMBER(CQ1008),IFERROR(MAX(0,CE340-CQ1008),0),0)</f>
        <v>0</v>
      </c>
      <c r="CU1008">
        <f>IF(ISNUMBER(CQ1008),IFERROR(MAX(0,CQ1008-CE340),0),0)</f>
        <v>0</v>
      </c>
    </row>
    <row r="1009" spans="87:99" x14ac:dyDescent="0.3">
      <c r="CI1009" t="e">
        <f>AL341</f>
        <v>#N/A</v>
      </c>
      <c r="CJ1009" t="e">
        <f>AM341</f>
        <v>#N/A</v>
      </c>
      <c r="CK1009">
        <f>IF(ISNUMBER(CI1009),IFERROR(MAX(0,AN341-CI1009),0),0)</f>
        <v>0</v>
      </c>
      <c r="CL1009">
        <f>IF(ISNUMBER(CI1009),IFERROR(MAX(0,CI1009-AN341),0),0)</f>
        <v>0</v>
      </c>
      <c r="CM1009">
        <f>IF(ISNUMBER(CJ1009),IFERROR(MAX(0,AO341-CJ1009),0),0)</f>
        <v>0</v>
      </c>
      <c r="CN1009">
        <f>IF(ISNUMBER(CJ1009),IFERROR(MAX(0,CJ1009-AO341),0),0)</f>
        <v>0</v>
      </c>
      <c r="CP1009" t="e">
        <f>BT341</f>
        <v>#N/A</v>
      </c>
      <c r="CQ1009" t="e">
        <f>BU341</f>
        <v>#N/A</v>
      </c>
      <c r="CR1009">
        <f>IF(ISNUMBER(CP1009),IFERROR(MAX(0,BV341-CP1009),0),0)</f>
        <v>0</v>
      </c>
      <c r="CS1009">
        <f>IF(ISNUMBER(CP1009),IFERROR(MAX(0,CP1009-BV341),0),0)</f>
        <v>0</v>
      </c>
      <c r="CT1009">
        <f>IF(ISNUMBER(CQ1009),IFERROR(MAX(0,BW341-CQ1009),0),0)</f>
        <v>0</v>
      </c>
      <c r="CU1009">
        <f>IF(ISNUMBER(CQ1009),IFERROR(MAX(0,CQ1009-BW341),0),0)</f>
        <v>0</v>
      </c>
    </row>
    <row r="1010" spans="87:99" x14ac:dyDescent="0.3">
      <c r="CI1010" t="e">
        <f>AP341</f>
        <v>#N/A</v>
      </c>
      <c r="CJ1010" t="e">
        <f>AQ341</f>
        <v>#N/A</v>
      </c>
      <c r="CK1010">
        <f>IF(ISNUMBER(CI1010),IFERROR(MAX(0,AR341-CI1010),0),0)</f>
        <v>0</v>
      </c>
      <c r="CL1010">
        <f>IF(ISNUMBER(CI1010),IFERROR(MAX(0,CI1010-AR341),0),0)</f>
        <v>0</v>
      </c>
      <c r="CM1010">
        <f>IF(ISNUMBER(CJ1010),IFERROR(MAX(0,AS341-CJ1010),0),0)</f>
        <v>0</v>
      </c>
      <c r="CN1010">
        <f>IF(ISNUMBER(CJ1010),IFERROR(MAX(0,CJ1010-AS341),0),0)</f>
        <v>0</v>
      </c>
      <c r="CP1010" t="e">
        <f>BX341</f>
        <v>#N/A</v>
      </c>
      <c r="CQ1010" t="e">
        <f>BY341</f>
        <v>#N/A</v>
      </c>
      <c r="CR1010">
        <f>IF(ISNUMBER(CP1010),IFERROR(MAX(0,BZ341-CP1010),0),0)</f>
        <v>0</v>
      </c>
      <c r="CS1010">
        <f>IF(ISNUMBER(CP1010),IFERROR(MAX(0,CP1010-BZ341),0),0)</f>
        <v>0</v>
      </c>
      <c r="CT1010">
        <f>IF(ISNUMBER(CQ1010),IFERROR(MAX(0,CA341-CQ1010),0),0)</f>
        <v>0</v>
      </c>
      <c r="CU1010">
        <f>IF(ISNUMBER(CQ1010),IFERROR(MAX(0,CQ1010-CA341),0),0)</f>
        <v>0</v>
      </c>
    </row>
    <row r="1011" spans="87:99" x14ac:dyDescent="0.3">
      <c r="CI1011" t="e">
        <f>AT341</f>
        <v>#N/A</v>
      </c>
      <c r="CJ1011" t="e">
        <f>AU341</f>
        <v>#N/A</v>
      </c>
      <c r="CK1011">
        <f>IF(ISNUMBER(CI1011),IFERROR(MAX(0,AV341-CI1011),0),0)</f>
        <v>0</v>
      </c>
      <c r="CL1011">
        <f>IF(ISNUMBER(CI1011),IFERROR(MAX(0,CI1011-AV341),0),0)</f>
        <v>0</v>
      </c>
      <c r="CM1011">
        <f>IF(ISNUMBER(CJ1011),IFERROR(MAX(0,AW341-CJ1011),0),0)</f>
        <v>0</v>
      </c>
      <c r="CN1011">
        <f>IF(ISNUMBER(CJ1011),IFERROR(MAX(0,CJ1011-AW341),0),0)</f>
        <v>0</v>
      </c>
      <c r="CP1011" t="e">
        <f>CB341</f>
        <v>#N/A</v>
      </c>
      <c r="CQ1011" t="e">
        <f>CC341</f>
        <v>#N/A</v>
      </c>
      <c r="CR1011">
        <f>IF(ISNUMBER(CP1011),IFERROR(MAX(0,CD341-CP1011),0),0)</f>
        <v>0</v>
      </c>
      <c r="CS1011">
        <f>IF(ISNUMBER(CP1011),IFERROR(MAX(0,CP1011-CD341),0),0)</f>
        <v>0</v>
      </c>
      <c r="CT1011">
        <f>IF(ISNUMBER(CQ1011),IFERROR(MAX(0,CE341-CQ1011),0),0)</f>
        <v>0</v>
      </c>
      <c r="CU1011">
        <f>IF(ISNUMBER(CQ1011),IFERROR(MAX(0,CQ1011-CE341),0),0)</f>
        <v>0</v>
      </c>
    </row>
    <row r="1012" spans="87:99" x14ac:dyDescent="0.3">
      <c r="CI1012" t="e">
        <f>AL342</f>
        <v>#N/A</v>
      </c>
      <c r="CJ1012" t="e">
        <f>AM342</f>
        <v>#N/A</v>
      </c>
      <c r="CK1012">
        <f>IF(ISNUMBER(CI1012),IFERROR(MAX(0,AN342-CI1012),0),0)</f>
        <v>0</v>
      </c>
      <c r="CL1012">
        <f>IF(ISNUMBER(CI1012),IFERROR(MAX(0,CI1012-AN342),0),0)</f>
        <v>0</v>
      </c>
      <c r="CM1012">
        <f>IF(ISNUMBER(CJ1012),IFERROR(MAX(0,AO342-CJ1012),0),0)</f>
        <v>0</v>
      </c>
      <c r="CN1012">
        <f>IF(ISNUMBER(CJ1012),IFERROR(MAX(0,CJ1012-AO342),0),0)</f>
        <v>0</v>
      </c>
      <c r="CP1012" t="e">
        <f>BT342</f>
        <v>#N/A</v>
      </c>
      <c r="CQ1012" t="e">
        <f>BU342</f>
        <v>#N/A</v>
      </c>
      <c r="CR1012">
        <f>IF(ISNUMBER(CP1012),IFERROR(MAX(0,BV342-CP1012),0),0)</f>
        <v>0</v>
      </c>
      <c r="CS1012">
        <f>IF(ISNUMBER(CP1012),IFERROR(MAX(0,CP1012-BV342),0),0)</f>
        <v>0</v>
      </c>
      <c r="CT1012">
        <f>IF(ISNUMBER(CQ1012),IFERROR(MAX(0,BW342-CQ1012),0),0)</f>
        <v>0</v>
      </c>
      <c r="CU1012">
        <f>IF(ISNUMBER(CQ1012),IFERROR(MAX(0,CQ1012-BW342),0),0)</f>
        <v>0</v>
      </c>
    </row>
    <row r="1013" spans="87:99" x14ac:dyDescent="0.3">
      <c r="CI1013" t="e">
        <f>AP342</f>
        <v>#N/A</v>
      </c>
      <c r="CJ1013" t="e">
        <f>AQ342</f>
        <v>#N/A</v>
      </c>
      <c r="CK1013">
        <f>IF(ISNUMBER(CI1013),IFERROR(MAX(0,AR342-CI1013),0),0)</f>
        <v>0</v>
      </c>
      <c r="CL1013">
        <f>IF(ISNUMBER(CI1013),IFERROR(MAX(0,CI1013-AR342),0),0)</f>
        <v>0</v>
      </c>
      <c r="CM1013">
        <f>IF(ISNUMBER(CJ1013),IFERROR(MAX(0,AS342-CJ1013),0),0)</f>
        <v>0</v>
      </c>
      <c r="CN1013">
        <f>IF(ISNUMBER(CJ1013),IFERROR(MAX(0,CJ1013-AS342),0),0)</f>
        <v>0</v>
      </c>
      <c r="CP1013" t="e">
        <f>BX342</f>
        <v>#N/A</v>
      </c>
      <c r="CQ1013" t="e">
        <f>BY342</f>
        <v>#N/A</v>
      </c>
      <c r="CR1013">
        <f>IF(ISNUMBER(CP1013),IFERROR(MAX(0,BZ342-CP1013),0),0)</f>
        <v>0</v>
      </c>
      <c r="CS1013">
        <f>IF(ISNUMBER(CP1013),IFERROR(MAX(0,CP1013-BZ342),0),0)</f>
        <v>0</v>
      </c>
      <c r="CT1013">
        <f>IF(ISNUMBER(CQ1013),IFERROR(MAX(0,CA342-CQ1013),0),0)</f>
        <v>0</v>
      </c>
      <c r="CU1013">
        <f>IF(ISNUMBER(CQ1013),IFERROR(MAX(0,CQ1013-CA342),0),0)</f>
        <v>0</v>
      </c>
    </row>
    <row r="1014" spans="87:99" x14ac:dyDescent="0.3">
      <c r="CI1014" t="e">
        <f>AT342</f>
        <v>#N/A</v>
      </c>
      <c r="CJ1014" t="e">
        <f>AU342</f>
        <v>#N/A</v>
      </c>
      <c r="CK1014">
        <f>IF(ISNUMBER(CI1014),IFERROR(MAX(0,AV342-CI1014),0),0)</f>
        <v>0</v>
      </c>
      <c r="CL1014">
        <f>IF(ISNUMBER(CI1014),IFERROR(MAX(0,CI1014-AV342),0),0)</f>
        <v>0</v>
      </c>
      <c r="CM1014">
        <f>IF(ISNUMBER(CJ1014),IFERROR(MAX(0,AW342-CJ1014),0),0)</f>
        <v>0</v>
      </c>
      <c r="CN1014">
        <f>IF(ISNUMBER(CJ1014),IFERROR(MAX(0,CJ1014-AW342),0),0)</f>
        <v>0</v>
      </c>
      <c r="CP1014" t="e">
        <f>CB342</f>
        <v>#N/A</v>
      </c>
      <c r="CQ1014" t="e">
        <f>CC342</f>
        <v>#N/A</v>
      </c>
      <c r="CR1014">
        <f>IF(ISNUMBER(CP1014),IFERROR(MAX(0,CD342-CP1014),0),0)</f>
        <v>0</v>
      </c>
      <c r="CS1014">
        <f>IF(ISNUMBER(CP1014),IFERROR(MAX(0,CP1014-CD342),0),0)</f>
        <v>0</v>
      </c>
      <c r="CT1014">
        <f>IF(ISNUMBER(CQ1014),IFERROR(MAX(0,CE342-CQ1014),0),0)</f>
        <v>0</v>
      </c>
      <c r="CU1014">
        <f>IF(ISNUMBER(CQ1014),IFERROR(MAX(0,CQ1014-CE342),0),0)</f>
        <v>0</v>
      </c>
    </row>
    <row r="1015" spans="87:99" x14ac:dyDescent="0.3">
      <c r="CI1015" t="e">
        <f>AL343</f>
        <v>#N/A</v>
      </c>
      <c r="CJ1015" t="e">
        <f>AM343</f>
        <v>#N/A</v>
      </c>
      <c r="CK1015">
        <f>IF(ISNUMBER(CI1015),IFERROR(MAX(0,AN343-CI1015),0),0)</f>
        <v>0</v>
      </c>
      <c r="CL1015">
        <f>IF(ISNUMBER(CI1015),IFERROR(MAX(0,CI1015-AN343),0),0)</f>
        <v>0</v>
      </c>
      <c r="CM1015">
        <f>IF(ISNUMBER(CJ1015),IFERROR(MAX(0,AO343-CJ1015),0),0)</f>
        <v>0</v>
      </c>
      <c r="CN1015">
        <f>IF(ISNUMBER(CJ1015),IFERROR(MAX(0,CJ1015-AO343),0),0)</f>
        <v>0</v>
      </c>
      <c r="CP1015" t="e">
        <f>BT343</f>
        <v>#N/A</v>
      </c>
      <c r="CQ1015" t="e">
        <f>BU343</f>
        <v>#N/A</v>
      </c>
      <c r="CR1015">
        <f>IF(ISNUMBER(CP1015),IFERROR(MAX(0,BV343-CP1015),0),0)</f>
        <v>0</v>
      </c>
      <c r="CS1015">
        <f>IF(ISNUMBER(CP1015),IFERROR(MAX(0,CP1015-BV343),0),0)</f>
        <v>0</v>
      </c>
      <c r="CT1015">
        <f>IF(ISNUMBER(CQ1015),IFERROR(MAX(0,BW343-CQ1015),0),0)</f>
        <v>0</v>
      </c>
      <c r="CU1015">
        <f>IF(ISNUMBER(CQ1015),IFERROR(MAX(0,CQ1015-BW343),0),0)</f>
        <v>0</v>
      </c>
    </row>
    <row r="1016" spans="87:99" x14ac:dyDescent="0.3">
      <c r="CI1016" t="e">
        <f>AP343</f>
        <v>#N/A</v>
      </c>
      <c r="CJ1016" t="e">
        <f>AQ343</f>
        <v>#N/A</v>
      </c>
      <c r="CK1016">
        <f>IF(ISNUMBER(CI1016),IFERROR(MAX(0,AR343-CI1016),0),0)</f>
        <v>0</v>
      </c>
      <c r="CL1016">
        <f>IF(ISNUMBER(CI1016),IFERROR(MAX(0,CI1016-AR343),0),0)</f>
        <v>0</v>
      </c>
      <c r="CM1016">
        <f>IF(ISNUMBER(CJ1016),IFERROR(MAX(0,AS343-CJ1016),0),0)</f>
        <v>0</v>
      </c>
      <c r="CN1016">
        <f>IF(ISNUMBER(CJ1016),IFERROR(MAX(0,CJ1016-AS343),0),0)</f>
        <v>0</v>
      </c>
      <c r="CP1016" t="e">
        <f>BX343</f>
        <v>#N/A</v>
      </c>
      <c r="CQ1016" t="e">
        <f>BY343</f>
        <v>#N/A</v>
      </c>
      <c r="CR1016">
        <f>IF(ISNUMBER(CP1016),IFERROR(MAX(0,BZ343-CP1016),0),0)</f>
        <v>0</v>
      </c>
      <c r="CS1016">
        <f>IF(ISNUMBER(CP1016),IFERROR(MAX(0,CP1016-BZ343),0),0)</f>
        <v>0</v>
      </c>
      <c r="CT1016">
        <f>IF(ISNUMBER(CQ1016),IFERROR(MAX(0,CA343-CQ1016),0),0)</f>
        <v>0</v>
      </c>
      <c r="CU1016">
        <f>IF(ISNUMBER(CQ1016),IFERROR(MAX(0,CQ1016-CA343),0),0)</f>
        <v>0</v>
      </c>
    </row>
    <row r="1017" spans="87:99" x14ac:dyDescent="0.3">
      <c r="CI1017" t="e">
        <f>AT343</f>
        <v>#N/A</v>
      </c>
      <c r="CJ1017" t="e">
        <f>AU343</f>
        <v>#N/A</v>
      </c>
      <c r="CK1017">
        <f>IF(ISNUMBER(CI1017),IFERROR(MAX(0,AV343-CI1017),0),0)</f>
        <v>0</v>
      </c>
      <c r="CL1017">
        <f>IF(ISNUMBER(CI1017),IFERROR(MAX(0,CI1017-AV343),0),0)</f>
        <v>0</v>
      </c>
      <c r="CM1017">
        <f>IF(ISNUMBER(CJ1017),IFERROR(MAX(0,AW343-CJ1017),0),0)</f>
        <v>0</v>
      </c>
      <c r="CN1017">
        <f>IF(ISNUMBER(CJ1017),IFERROR(MAX(0,CJ1017-AW343),0),0)</f>
        <v>0</v>
      </c>
      <c r="CP1017" t="e">
        <f>CB343</f>
        <v>#N/A</v>
      </c>
      <c r="CQ1017" t="e">
        <f>CC343</f>
        <v>#N/A</v>
      </c>
      <c r="CR1017">
        <f>IF(ISNUMBER(CP1017),IFERROR(MAX(0,CD343-CP1017),0),0)</f>
        <v>0</v>
      </c>
      <c r="CS1017">
        <f>IF(ISNUMBER(CP1017),IFERROR(MAX(0,CP1017-CD343),0),0)</f>
        <v>0</v>
      </c>
      <c r="CT1017">
        <f>IF(ISNUMBER(CQ1017),IFERROR(MAX(0,CE343-CQ1017),0),0)</f>
        <v>0</v>
      </c>
      <c r="CU1017">
        <f>IF(ISNUMBER(CQ1017),IFERROR(MAX(0,CQ1017-CE343),0),0)</f>
        <v>0</v>
      </c>
    </row>
    <row r="1018" spans="87:99" x14ac:dyDescent="0.3">
      <c r="CI1018" t="e">
        <f>AL344</f>
        <v>#N/A</v>
      </c>
      <c r="CJ1018" t="e">
        <f>AM344</f>
        <v>#N/A</v>
      </c>
      <c r="CK1018">
        <f>IF(ISNUMBER(CI1018),IFERROR(MAX(0,AN344-CI1018),0),0)</f>
        <v>0</v>
      </c>
      <c r="CL1018">
        <f>IF(ISNUMBER(CI1018),IFERROR(MAX(0,CI1018-AN344),0),0)</f>
        <v>0</v>
      </c>
      <c r="CM1018">
        <f>IF(ISNUMBER(CJ1018),IFERROR(MAX(0,AO344-CJ1018),0),0)</f>
        <v>0</v>
      </c>
      <c r="CN1018">
        <f>IF(ISNUMBER(CJ1018),IFERROR(MAX(0,CJ1018-AO344),0),0)</f>
        <v>0</v>
      </c>
      <c r="CP1018" t="e">
        <f>BT344</f>
        <v>#N/A</v>
      </c>
      <c r="CQ1018" t="e">
        <f>BU344</f>
        <v>#N/A</v>
      </c>
      <c r="CR1018">
        <f>IF(ISNUMBER(CP1018),IFERROR(MAX(0,BV344-CP1018),0),0)</f>
        <v>0</v>
      </c>
      <c r="CS1018">
        <f>IF(ISNUMBER(CP1018),IFERROR(MAX(0,CP1018-BV344),0),0)</f>
        <v>0</v>
      </c>
      <c r="CT1018">
        <f>IF(ISNUMBER(CQ1018),IFERROR(MAX(0,BW344-CQ1018),0),0)</f>
        <v>0</v>
      </c>
      <c r="CU1018">
        <f>IF(ISNUMBER(CQ1018),IFERROR(MAX(0,CQ1018-BW344),0),0)</f>
        <v>0</v>
      </c>
    </row>
    <row r="1019" spans="87:99" x14ac:dyDescent="0.3">
      <c r="CI1019" t="e">
        <f>AP344</f>
        <v>#N/A</v>
      </c>
      <c r="CJ1019" t="e">
        <f>AQ344</f>
        <v>#N/A</v>
      </c>
      <c r="CK1019">
        <f>IF(ISNUMBER(CI1019),IFERROR(MAX(0,AR344-CI1019),0),0)</f>
        <v>0</v>
      </c>
      <c r="CL1019">
        <f>IF(ISNUMBER(CI1019),IFERROR(MAX(0,CI1019-AR344),0),0)</f>
        <v>0</v>
      </c>
      <c r="CM1019">
        <f>IF(ISNUMBER(CJ1019),IFERROR(MAX(0,AS344-CJ1019),0),0)</f>
        <v>0</v>
      </c>
      <c r="CN1019">
        <f>IF(ISNUMBER(CJ1019),IFERROR(MAX(0,CJ1019-AS344),0),0)</f>
        <v>0</v>
      </c>
      <c r="CP1019" t="e">
        <f>BX344</f>
        <v>#N/A</v>
      </c>
      <c r="CQ1019" t="e">
        <f>BY344</f>
        <v>#N/A</v>
      </c>
      <c r="CR1019">
        <f>IF(ISNUMBER(CP1019),IFERROR(MAX(0,BZ344-CP1019),0),0)</f>
        <v>0</v>
      </c>
      <c r="CS1019">
        <f>IF(ISNUMBER(CP1019),IFERROR(MAX(0,CP1019-BZ344),0),0)</f>
        <v>0</v>
      </c>
      <c r="CT1019">
        <f>IF(ISNUMBER(CQ1019),IFERROR(MAX(0,CA344-CQ1019),0),0)</f>
        <v>0</v>
      </c>
      <c r="CU1019">
        <f>IF(ISNUMBER(CQ1019),IFERROR(MAX(0,CQ1019-CA344),0),0)</f>
        <v>0</v>
      </c>
    </row>
    <row r="1020" spans="87:99" x14ac:dyDescent="0.3">
      <c r="CI1020" t="e">
        <f>AT344</f>
        <v>#N/A</v>
      </c>
      <c r="CJ1020" t="e">
        <f>AU344</f>
        <v>#N/A</v>
      </c>
      <c r="CK1020">
        <f>IF(ISNUMBER(CI1020),IFERROR(MAX(0,AV344-CI1020),0),0)</f>
        <v>0</v>
      </c>
      <c r="CL1020">
        <f>IF(ISNUMBER(CI1020),IFERROR(MAX(0,CI1020-AV344),0),0)</f>
        <v>0</v>
      </c>
      <c r="CM1020">
        <f>IF(ISNUMBER(CJ1020),IFERROR(MAX(0,AW344-CJ1020),0),0)</f>
        <v>0</v>
      </c>
      <c r="CN1020">
        <f>IF(ISNUMBER(CJ1020),IFERROR(MAX(0,CJ1020-AW344),0),0)</f>
        <v>0</v>
      </c>
      <c r="CP1020" t="e">
        <f>CB344</f>
        <v>#N/A</v>
      </c>
      <c r="CQ1020" t="e">
        <f>CC344</f>
        <v>#N/A</v>
      </c>
      <c r="CR1020">
        <f>IF(ISNUMBER(CP1020),IFERROR(MAX(0,CD344-CP1020),0),0)</f>
        <v>0</v>
      </c>
      <c r="CS1020">
        <f>IF(ISNUMBER(CP1020),IFERROR(MAX(0,CP1020-CD344),0),0)</f>
        <v>0</v>
      </c>
      <c r="CT1020">
        <f>IF(ISNUMBER(CQ1020),IFERROR(MAX(0,CE344-CQ1020),0),0)</f>
        <v>0</v>
      </c>
      <c r="CU1020">
        <f>IF(ISNUMBER(CQ1020),IFERROR(MAX(0,CQ1020-CE344),0),0)</f>
        <v>0</v>
      </c>
    </row>
    <row r="1021" spans="87:99" x14ac:dyDescent="0.3">
      <c r="CI1021" t="e">
        <f>AL345</f>
        <v>#N/A</v>
      </c>
      <c r="CJ1021" t="e">
        <f>AM345</f>
        <v>#N/A</v>
      </c>
      <c r="CK1021">
        <f>IF(ISNUMBER(CI1021),IFERROR(MAX(0,AN345-CI1021),0),0)</f>
        <v>0</v>
      </c>
      <c r="CL1021">
        <f>IF(ISNUMBER(CI1021),IFERROR(MAX(0,CI1021-AN345),0),0)</f>
        <v>0</v>
      </c>
      <c r="CM1021">
        <f>IF(ISNUMBER(CJ1021),IFERROR(MAX(0,AO345-CJ1021),0),0)</f>
        <v>0</v>
      </c>
      <c r="CN1021">
        <f>IF(ISNUMBER(CJ1021),IFERROR(MAX(0,CJ1021-AO345),0),0)</f>
        <v>0</v>
      </c>
      <c r="CP1021" t="e">
        <f>BT345</f>
        <v>#N/A</v>
      </c>
      <c r="CQ1021" t="e">
        <f>BU345</f>
        <v>#N/A</v>
      </c>
      <c r="CR1021">
        <f>IF(ISNUMBER(CP1021),IFERROR(MAX(0,BV345-CP1021),0),0)</f>
        <v>0</v>
      </c>
      <c r="CS1021">
        <f>IF(ISNUMBER(CP1021),IFERROR(MAX(0,CP1021-BV345),0),0)</f>
        <v>0</v>
      </c>
      <c r="CT1021">
        <f>IF(ISNUMBER(CQ1021),IFERROR(MAX(0,BW345-CQ1021),0),0)</f>
        <v>0</v>
      </c>
      <c r="CU1021">
        <f>IF(ISNUMBER(CQ1021),IFERROR(MAX(0,CQ1021-BW345),0),0)</f>
        <v>0</v>
      </c>
    </row>
    <row r="1022" spans="87:99" x14ac:dyDescent="0.3">
      <c r="CI1022" t="e">
        <f>AP345</f>
        <v>#N/A</v>
      </c>
      <c r="CJ1022" t="e">
        <f>AQ345</f>
        <v>#N/A</v>
      </c>
      <c r="CK1022">
        <f>IF(ISNUMBER(CI1022),IFERROR(MAX(0,AR345-CI1022),0),0)</f>
        <v>0</v>
      </c>
      <c r="CL1022">
        <f>IF(ISNUMBER(CI1022),IFERROR(MAX(0,CI1022-AR345),0),0)</f>
        <v>0</v>
      </c>
      <c r="CM1022">
        <f>IF(ISNUMBER(CJ1022),IFERROR(MAX(0,AS345-CJ1022),0),0)</f>
        <v>0</v>
      </c>
      <c r="CN1022">
        <f>IF(ISNUMBER(CJ1022),IFERROR(MAX(0,CJ1022-AS345),0),0)</f>
        <v>0</v>
      </c>
      <c r="CP1022" t="e">
        <f>BX345</f>
        <v>#N/A</v>
      </c>
      <c r="CQ1022" t="e">
        <f>BY345</f>
        <v>#N/A</v>
      </c>
      <c r="CR1022">
        <f>IF(ISNUMBER(CP1022),IFERROR(MAX(0,BZ345-CP1022),0),0)</f>
        <v>0</v>
      </c>
      <c r="CS1022">
        <f>IF(ISNUMBER(CP1022),IFERROR(MAX(0,CP1022-BZ345),0),0)</f>
        <v>0</v>
      </c>
      <c r="CT1022">
        <f>IF(ISNUMBER(CQ1022),IFERROR(MAX(0,CA345-CQ1022),0),0)</f>
        <v>0</v>
      </c>
      <c r="CU1022">
        <f>IF(ISNUMBER(CQ1022),IFERROR(MAX(0,CQ1022-CA345),0),0)</f>
        <v>0</v>
      </c>
    </row>
    <row r="1023" spans="87:99" x14ac:dyDescent="0.3">
      <c r="CI1023" t="e">
        <f>AT345</f>
        <v>#N/A</v>
      </c>
      <c r="CJ1023" t="e">
        <f>AU345</f>
        <v>#N/A</v>
      </c>
      <c r="CK1023">
        <f>IF(ISNUMBER(CI1023),IFERROR(MAX(0,AV345-CI1023),0),0)</f>
        <v>0</v>
      </c>
      <c r="CL1023">
        <f>IF(ISNUMBER(CI1023),IFERROR(MAX(0,CI1023-AV345),0),0)</f>
        <v>0</v>
      </c>
      <c r="CM1023">
        <f>IF(ISNUMBER(CJ1023),IFERROR(MAX(0,AW345-CJ1023),0),0)</f>
        <v>0</v>
      </c>
      <c r="CN1023">
        <f>IF(ISNUMBER(CJ1023),IFERROR(MAX(0,CJ1023-AW345),0),0)</f>
        <v>0</v>
      </c>
      <c r="CP1023" t="e">
        <f>CB345</f>
        <v>#N/A</v>
      </c>
      <c r="CQ1023" t="e">
        <f>CC345</f>
        <v>#N/A</v>
      </c>
      <c r="CR1023">
        <f>IF(ISNUMBER(CP1023),IFERROR(MAX(0,CD345-CP1023),0),0)</f>
        <v>0</v>
      </c>
      <c r="CS1023">
        <f>IF(ISNUMBER(CP1023),IFERROR(MAX(0,CP1023-CD345),0),0)</f>
        <v>0</v>
      </c>
      <c r="CT1023">
        <f>IF(ISNUMBER(CQ1023),IFERROR(MAX(0,CE345-CQ1023),0),0)</f>
        <v>0</v>
      </c>
      <c r="CU1023">
        <f>IF(ISNUMBER(CQ1023),IFERROR(MAX(0,CQ1023-CE345),0),0)</f>
        <v>0</v>
      </c>
    </row>
    <row r="1024" spans="87:99" x14ac:dyDescent="0.3">
      <c r="CI1024" t="e">
        <f>AL346</f>
        <v>#N/A</v>
      </c>
      <c r="CJ1024" t="e">
        <f>AM346</f>
        <v>#N/A</v>
      </c>
      <c r="CK1024">
        <f>IF(ISNUMBER(CI1024),IFERROR(MAX(0,AN346-CI1024),0),0)</f>
        <v>0</v>
      </c>
      <c r="CL1024">
        <f>IF(ISNUMBER(CI1024),IFERROR(MAX(0,CI1024-AN346),0),0)</f>
        <v>0</v>
      </c>
      <c r="CM1024">
        <f>IF(ISNUMBER(CJ1024),IFERROR(MAX(0,AO346-CJ1024),0),0)</f>
        <v>0</v>
      </c>
      <c r="CN1024">
        <f>IF(ISNUMBER(CJ1024),IFERROR(MAX(0,CJ1024-AO346),0),0)</f>
        <v>0</v>
      </c>
      <c r="CP1024" t="e">
        <f>BT346</f>
        <v>#N/A</v>
      </c>
      <c r="CQ1024" t="e">
        <f>BU346</f>
        <v>#N/A</v>
      </c>
      <c r="CR1024">
        <f>IF(ISNUMBER(CP1024),IFERROR(MAX(0,BV346-CP1024),0),0)</f>
        <v>0</v>
      </c>
      <c r="CS1024">
        <f>IF(ISNUMBER(CP1024),IFERROR(MAX(0,CP1024-BV346),0),0)</f>
        <v>0</v>
      </c>
      <c r="CT1024">
        <f>IF(ISNUMBER(CQ1024),IFERROR(MAX(0,BW346-CQ1024),0),0)</f>
        <v>0</v>
      </c>
      <c r="CU1024">
        <f>IF(ISNUMBER(CQ1024),IFERROR(MAX(0,CQ1024-BW346),0),0)</f>
        <v>0</v>
      </c>
    </row>
    <row r="1025" spans="87:99" x14ac:dyDescent="0.3">
      <c r="CI1025" t="e">
        <f>AP346</f>
        <v>#N/A</v>
      </c>
      <c r="CJ1025" t="e">
        <f>AQ346</f>
        <v>#N/A</v>
      </c>
      <c r="CK1025">
        <f>IF(ISNUMBER(CI1025),IFERROR(MAX(0,AR346-CI1025),0),0)</f>
        <v>0</v>
      </c>
      <c r="CL1025">
        <f>IF(ISNUMBER(CI1025),IFERROR(MAX(0,CI1025-AR346),0),0)</f>
        <v>0</v>
      </c>
      <c r="CM1025">
        <f>IF(ISNUMBER(CJ1025),IFERROR(MAX(0,AS346-CJ1025),0),0)</f>
        <v>0</v>
      </c>
      <c r="CN1025">
        <f>IF(ISNUMBER(CJ1025),IFERROR(MAX(0,CJ1025-AS346),0),0)</f>
        <v>0</v>
      </c>
      <c r="CP1025" t="e">
        <f>BX346</f>
        <v>#N/A</v>
      </c>
      <c r="CQ1025" t="e">
        <f>BY346</f>
        <v>#N/A</v>
      </c>
      <c r="CR1025">
        <f>IF(ISNUMBER(CP1025),IFERROR(MAX(0,BZ346-CP1025),0),0)</f>
        <v>0</v>
      </c>
      <c r="CS1025">
        <f>IF(ISNUMBER(CP1025),IFERROR(MAX(0,CP1025-BZ346),0),0)</f>
        <v>0</v>
      </c>
      <c r="CT1025">
        <f>IF(ISNUMBER(CQ1025),IFERROR(MAX(0,CA346-CQ1025),0),0)</f>
        <v>0</v>
      </c>
      <c r="CU1025">
        <f>IF(ISNUMBER(CQ1025),IFERROR(MAX(0,CQ1025-CA346),0),0)</f>
        <v>0</v>
      </c>
    </row>
    <row r="1026" spans="87:99" x14ac:dyDescent="0.3">
      <c r="CI1026" t="e">
        <f>AT346</f>
        <v>#N/A</v>
      </c>
      <c r="CJ1026" t="e">
        <f>AU346</f>
        <v>#N/A</v>
      </c>
      <c r="CK1026">
        <f>IF(ISNUMBER(CI1026),IFERROR(MAX(0,AV346-CI1026),0),0)</f>
        <v>0</v>
      </c>
      <c r="CL1026">
        <f>IF(ISNUMBER(CI1026),IFERROR(MAX(0,CI1026-AV346),0),0)</f>
        <v>0</v>
      </c>
      <c r="CM1026">
        <f>IF(ISNUMBER(CJ1026),IFERROR(MAX(0,AW346-CJ1026),0),0)</f>
        <v>0</v>
      </c>
      <c r="CN1026">
        <f>IF(ISNUMBER(CJ1026),IFERROR(MAX(0,CJ1026-AW346),0),0)</f>
        <v>0</v>
      </c>
      <c r="CP1026" t="e">
        <f>CB346</f>
        <v>#N/A</v>
      </c>
      <c r="CQ1026" t="e">
        <f>CC346</f>
        <v>#N/A</v>
      </c>
      <c r="CR1026">
        <f>IF(ISNUMBER(CP1026),IFERROR(MAX(0,CD346-CP1026),0),0)</f>
        <v>0</v>
      </c>
      <c r="CS1026">
        <f>IF(ISNUMBER(CP1026),IFERROR(MAX(0,CP1026-CD346),0),0)</f>
        <v>0</v>
      </c>
      <c r="CT1026">
        <f>IF(ISNUMBER(CQ1026),IFERROR(MAX(0,CE346-CQ1026),0),0)</f>
        <v>0</v>
      </c>
      <c r="CU1026">
        <f>IF(ISNUMBER(CQ1026),IFERROR(MAX(0,CQ1026-CE346),0),0)</f>
        <v>0</v>
      </c>
    </row>
    <row r="1027" spans="87:99" x14ac:dyDescent="0.3">
      <c r="CI1027" t="e">
        <f>AL347</f>
        <v>#N/A</v>
      </c>
      <c r="CJ1027" t="e">
        <f>AM347</f>
        <v>#N/A</v>
      </c>
      <c r="CK1027">
        <f>IF(ISNUMBER(CI1027),IFERROR(MAX(0,AN347-CI1027),0),0)</f>
        <v>0</v>
      </c>
      <c r="CL1027">
        <f>IF(ISNUMBER(CI1027),IFERROR(MAX(0,CI1027-AN347),0),0)</f>
        <v>0</v>
      </c>
      <c r="CM1027">
        <f>IF(ISNUMBER(CJ1027),IFERROR(MAX(0,AO347-CJ1027),0),0)</f>
        <v>0</v>
      </c>
      <c r="CN1027">
        <f>IF(ISNUMBER(CJ1027),IFERROR(MAX(0,CJ1027-AO347),0),0)</f>
        <v>0</v>
      </c>
      <c r="CP1027" t="e">
        <f>BT347</f>
        <v>#N/A</v>
      </c>
      <c r="CQ1027" t="e">
        <f>BU347</f>
        <v>#N/A</v>
      </c>
      <c r="CR1027">
        <f>IF(ISNUMBER(CP1027),IFERROR(MAX(0,BV347-CP1027),0),0)</f>
        <v>0</v>
      </c>
      <c r="CS1027">
        <f>IF(ISNUMBER(CP1027),IFERROR(MAX(0,CP1027-BV347),0),0)</f>
        <v>0</v>
      </c>
      <c r="CT1027">
        <f>IF(ISNUMBER(CQ1027),IFERROR(MAX(0,BW347-CQ1027),0),0)</f>
        <v>0</v>
      </c>
      <c r="CU1027">
        <f>IF(ISNUMBER(CQ1027),IFERROR(MAX(0,CQ1027-BW347),0),0)</f>
        <v>0</v>
      </c>
    </row>
    <row r="1028" spans="87:99" x14ac:dyDescent="0.3">
      <c r="CI1028" t="e">
        <f>AP347</f>
        <v>#N/A</v>
      </c>
      <c r="CJ1028" t="e">
        <f>AQ347</f>
        <v>#N/A</v>
      </c>
      <c r="CK1028">
        <f>IF(ISNUMBER(CI1028),IFERROR(MAX(0,AR347-CI1028),0),0)</f>
        <v>0</v>
      </c>
      <c r="CL1028">
        <f>IF(ISNUMBER(CI1028),IFERROR(MAX(0,CI1028-AR347),0),0)</f>
        <v>0</v>
      </c>
      <c r="CM1028">
        <f>IF(ISNUMBER(CJ1028),IFERROR(MAX(0,AS347-CJ1028),0),0)</f>
        <v>0</v>
      </c>
      <c r="CN1028">
        <f>IF(ISNUMBER(CJ1028),IFERROR(MAX(0,CJ1028-AS347),0),0)</f>
        <v>0</v>
      </c>
      <c r="CP1028" t="e">
        <f>BX347</f>
        <v>#N/A</v>
      </c>
      <c r="CQ1028" t="e">
        <f>BY347</f>
        <v>#N/A</v>
      </c>
      <c r="CR1028">
        <f>IF(ISNUMBER(CP1028),IFERROR(MAX(0,BZ347-CP1028),0),0)</f>
        <v>0</v>
      </c>
      <c r="CS1028">
        <f>IF(ISNUMBER(CP1028),IFERROR(MAX(0,CP1028-BZ347),0),0)</f>
        <v>0</v>
      </c>
      <c r="CT1028">
        <f>IF(ISNUMBER(CQ1028),IFERROR(MAX(0,CA347-CQ1028),0),0)</f>
        <v>0</v>
      </c>
      <c r="CU1028">
        <f>IF(ISNUMBER(CQ1028),IFERROR(MAX(0,CQ1028-CA347),0),0)</f>
        <v>0</v>
      </c>
    </row>
    <row r="1029" spans="87:99" x14ac:dyDescent="0.3">
      <c r="CI1029" t="e">
        <f>AT347</f>
        <v>#N/A</v>
      </c>
      <c r="CJ1029" t="e">
        <f>AU347</f>
        <v>#N/A</v>
      </c>
      <c r="CK1029">
        <f>IF(ISNUMBER(CI1029),IFERROR(MAX(0,AV347-CI1029),0),0)</f>
        <v>0</v>
      </c>
      <c r="CL1029">
        <f>IF(ISNUMBER(CI1029),IFERROR(MAX(0,CI1029-AV347),0),0)</f>
        <v>0</v>
      </c>
      <c r="CM1029">
        <f>IF(ISNUMBER(CJ1029),IFERROR(MAX(0,AW347-CJ1029),0),0)</f>
        <v>0</v>
      </c>
      <c r="CN1029">
        <f>IF(ISNUMBER(CJ1029),IFERROR(MAX(0,CJ1029-AW347),0),0)</f>
        <v>0</v>
      </c>
      <c r="CP1029" t="e">
        <f>CB347</f>
        <v>#N/A</v>
      </c>
      <c r="CQ1029" t="e">
        <f>CC347</f>
        <v>#N/A</v>
      </c>
      <c r="CR1029">
        <f>IF(ISNUMBER(CP1029),IFERROR(MAX(0,CD347-CP1029),0),0)</f>
        <v>0</v>
      </c>
      <c r="CS1029">
        <f>IF(ISNUMBER(CP1029),IFERROR(MAX(0,CP1029-CD347),0),0)</f>
        <v>0</v>
      </c>
      <c r="CT1029">
        <f>IF(ISNUMBER(CQ1029),IFERROR(MAX(0,CE347-CQ1029),0),0)</f>
        <v>0</v>
      </c>
      <c r="CU1029">
        <f>IF(ISNUMBER(CQ1029),IFERROR(MAX(0,CQ1029-CE347),0),0)</f>
        <v>0</v>
      </c>
    </row>
    <row r="1030" spans="87:99" x14ac:dyDescent="0.3">
      <c r="CI1030" t="e">
        <f>AL348</f>
        <v>#N/A</v>
      </c>
      <c r="CJ1030" t="e">
        <f>AM348</f>
        <v>#N/A</v>
      </c>
      <c r="CK1030">
        <f>IF(ISNUMBER(CI1030),IFERROR(MAX(0,AN348-CI1030),0),0)</f>
        <v>0</v>
      </c>
      <c r="CL1030">
        <f>IF(ISNUMBER(CI1030),IFERROR(MAX(0,CI1030-AN348),0),0)</f>
        <v>0</v>
      </c>
      <c r="CM1030">
        <f>IF(ISNUMBER(CJ1030),IFERROR(MAX(0,AO348-CJ1030),0),0)</f>
        <v>0</v>
      </c>
      <c r="CN1030">
        <f>IF(ISNUMBER(CJ1030),IFERROR(MAX(0,CJ1030-AO348),0),0)</f>
        <v>0</v>
      </c>
      <c r="CP1030" t="e">
        <f>BT348</f>
        <v>#N/A</v>
      </c>
      <c r="CQ1030" t="e">
        <f>BU348</f>
        <v>#N/A</v>
      </c>
      <c r="CR1030">
        <f>IF(ISNUMBER(CP1030),IFERROR(MAX(0,BV348-CP1030),0),0)</f>
        <v>0</v>
      </c>
      <c r="CS1030">
        <f>IF(ISNUMBER(CP1030),IFERROR(MAX(0,CP1030-BV348),0),0)</f>
        <v>0</v>
      </c>
      <c r="CT1030">
        <f>IF(ISNUMBER(CQ1030),IFERROR(MAX(0,BW348-CQ1030),0),0)</f>
        <v>0</v>
      </c>
      <c r="CU1030">
        <f>IF(ISNUMBER(CQ1030),IFERROR(MAX(0,CQ1030-BW348),0),0)</f>
        <v>0</v>
      </c>
    </row>
    <row r="1031" spans="87:99" x14ac:dyDescent="0.3">
      <c r="CI1031" t="e">
        <f>AP348</f>
        <v>#N/A</v>
      </c>
      <c r="CJ1031" t="e">
        <f>AQ348</f>
        <v>#N/A</v>
      </c>
      <c r="CK1031">
        <f>IF(ISNUMBER(CI1031),IFERROR(MAX(0,AR348-CI1031),0),0)</f>
        <v>0</v>
      </c>
      <c r="CL1031">
        <f>IF(ISNUMBER(CI1031),IFERROR(MAX(0,CI1031-AR348),0),0)</f>
        <v>0</v>
      </c>
      <c r="CM1031">
        <f>IF(ISNUMBER(CJ1031),IFERROR(MAX(0,AS348-CJ1031),0),0)</f>
        <v>0</v>
      </c>
      <c r="CN1031">
        <f>IF(ISNUMBER(CJ1031),IFERROR(MAX(0,CJ1031-AS348),0),0)</f>
        <v>0</v>
      </c>
      <c r="CP1031" t="e">
        <f>BX348</f>
        <v>#N/A</v>
      </c>
      <c r="CQ1031" t="e">
        <f>BY348</f>
        <v>#N/A</v>
      </c>
      <c r="CR1031">
        <f>IF(ISNUMBER(CP1031),IFERROR(MAX(0,BZ348-CP1031),0),0)</f>
        <v>0</v>
      </c>
      <c r="CS1031">
        <f>IF(ISNUMBER(CP1031),IFERROR(MAX(0,CP1031-BZ348),0),0)</f>
        <v>0</v>
      </c>
      <c r="CT1031">
        <f>IF(ISNUMBER(CQ1031),IFERROR(MAX(0,CA348-CQ1031),0),0)</f>
        <v>0</v>
      </c>
      <c r="CU1031">
        <f>IF(ISNUMBER(CQ1031),IFERROR(MAX(0,CQ1031-CA348),0),0)</f>
        <v>0</v>
      </c>
    </row>
    <row r="1032" spans="87:99" x14ac:dyDescent="0.3">
      <c r="CI1032" t="e">
        <f>AT348</f>
        <v>#N/A</v>
      </c>
      <c r="CJ1032" t="e">
        <f>AU348</f>
        <v>#N/A</v>
      </c>
      <c r="CK1032">
        <f>IF(ISNUMBER(CI1032),IFERROR(MAX(0,AV348-CI1032),0),0)</f>
        <v>0</v>
      </c>
      <c r="CL1032">
        <f>IF(ISNUMBER(CI1032),IFERROR(MAX(0,CI1032-AV348),0),0)</f>
        <v>0</v>
      </c>
      <c r="CM1032">
        <f>IF(ISNUMBER(CJ1032),IFERROR(MAX(0,AW348-CJ1032),0),0)</f>
        <v>0</v>
      </c>
      <c r="CN1032">
        <f>IF(ISNUMBER(CJ1032),IFERROR(MAX(0,CJ1032-AW348),0),0)</f>
        <v>0</v>
      </c>
      <c r="CP1032" t="e">
        <f>CB348</f>
        <v>#N/A</v>
      </c>
      <c r="CQ1032" t="e">
        <f>CC348</f>
        <v>#N/A</v>
      </c>
      <c r="CR1032">
        <f>IF(ISNUMBER(CP1032),IFERROR(MAX(0,CD348-CP1032),0),0)</f>
        <v>0</v>
      </c>
      <c r="CS1032">
        <f>IF(ISNUMBER(CP1032),IFERROR(MAX(0,CP1032-CD348),0),0)</f>
        <v>0</v>
      </c>
      <c r="CT1032">
        <f>IF(ISNUMBER(CQ1032),IFERROR(MAX(0,CE348-CQ1032),0),0)</f>
        <v>0</v>
      </c>
      <c r="CU1032">
        <f>IF(ISNUMBER(CQ1032),IFERROR(MAX(0,CQ1032-CE348),0),0)</f>
        <v>0</v>
      </c>
    </row>
    <row r="1033" spans="87:99" x14ac:dyDescent="0.3">
      <c r="CI1033" t="e">
        <f>AL349</f>
        <v>#N/A</v>
      </c>
      <c r="CJ1033" t="e">
        <f>AM349</f>
        <v>#N/A</v>
      </c>
      <c r="CK1033">
        <f>IF(ISNUMBER(CI1033),IFERROR(MAX(0,AN349-CI1033),0),0)</f>
        <v>0</v>
      </c>
      <c r="CL1033">
        <f>IF(ISNUMBER(CI1033),IFERROR(MAX(0,CI1033-AN349),0),0)</f>
        <v>0</v>
      </c>
      <c r="CM1033">
        <f>IF(ISNUMBER(CJ1033),IFERROR(MAX(0,AO349-CJ1033),0),0)</f>
        <v>0</v>
      </c>
      <c r="CN1033">
        <f>IF(ISNUMBER(CJ1033),IFERROR(MAX(0,CJ1033-AO349),0),0)</f>
        <v>0</v>
      </c>
      <c r="CP1033" t="e">
        <f>BT349</f>
        <v>#N/A</v>
      </c>
      <c r="CQ1033" t="e">
        <f>BU349</f>
        <v>#N/A</v>
      </c>
      <c r="CR1033">
        <f>IF(ISNUMBER(CP1033),IFERROR(MAX(0,BV349-CP1033),0),0)</f>
        <v>0</v>
      </c>
      <c r="CS1033">
        <f>IF(ISNUMBER(CP1033),IFERROR(MAX(0,CP1033-BV349),0),0)</f>
        <v>0</v>
      </c>
      <c r="CT1033">
        <f>IF(ISNUMBER(CQ1033),IFERROR(MAX(0,BW349-CQ1033),0),0)</f>
        <v>0</v>
      </c>
      <c r="CU1033">
        <f>IF(ISNUMBER(CQ1033),IFERROR(MAX(0,CQ1033-BW349),0),0)</f>
        <v>0</v>
      </c>
    </row>
    <row r="1034" spans="87:99" x14ac:dyDescent="0.3">
      <c r="CI1034" t="e">
        <f>AP349</f>
        <v>#N/A</v>
      </c>
      <c r="CJ1034" t="e">
        <f>AQ349</f>
        <v>#N/A</v>
      </c>
      <c r="CK1034">
        <f>IF(ISNUMBER(CI1034),IFERROR(MAX(0,AR349-CI1034),0),0)</f>
        <v>0</v>
      </c>
      <c r="CL1034">
        <f>IF(ISNUMBER(CI1034),IFERROR(MAX(0,CI1034-AR349),0),0)</f>
        <v>0</v>
      </c>
      <c r="CM1034">
        <f>IF(ISNUMBER(CJ1034),IFERROR(MAX(0,AS349-CJ1034),0),0)</f>
        <v>0</v>
      </c>
      <c r="CN1034">
        <f>IF(ISNUMBER(CJ1034),IFERROR(MAX(0,CJ1034-AS349),0),0)</f>
        <v>0</v>
      </c>
      <c r="CP1034" t="e">
        <f>BX349</f>
        <v>#N/A</v>
      </c>
      <c r="CQ1034" t="e">
        <f>BY349</f>
        <v>#N/A</v>
      </c>
      <c r="CR1034">
        <f>IF(ISNUMBER(CP1034),IFERROR(MAX(0,BZ349-CP1034),0),0)</f>
        <v>0</v>
      </c>
      <c r="CS1034">
        <f>IF(ISNUMBER(CP1034),IFERROR(MAX(0,CP1034-BZ349),0),0)</f>
        <v>0</v>
      </c>
      <c r="CT1034">
        <f>IF(ISNUMBER(CQ1034),IFERROR(MAX(0,CA349-CQ1034),0),0)</f>
        <v>0</v>
      </c>
      <c r="CU1034">
        <f>IF(ISNUMBER(CQ1034),IFERROR(MAX(0,CQ1034-CA349),0),0)</f>
        <v>0</v>
      </c>
    </row>
    <row r="1035" spans="87:99" x14ac:dyDescent="0.3">
      <c r="CI1035" t="e">
        <f>AT349</f>
        <v>#N/A</v>
      </c>
      <c r="CJ1035" t="e">
        <f>AU349</f>
        <v>#N/A</v>
      </c>
      <c r="CK1035">
        <f>IF(ISNUMBER(CI1035),IFERROR(MAX(0,AV349-CI1035),0),0)</f>
        <v>0</v>
      </c>
      <c r="CL1035">
        <f>IF(ISNUMBER(CI1035),IFERROR(MAX(0,CI1035-AV349),0),0)</f>
        <v>0</v>
      </c>
      <c r="CM1035">
        <f>IF(ISNUMBER(CJ1035),IFERROR(MAX(0,AW349-CJ1035),0),0)</f>
        <v>0</v>
      </c>
      <c r="CN1035">
        <f>IF(ISNUMBER(CJ1035),IFERROR(MAX(0,CJ1035-AW349),0),0)</f>
        <v>0</v>
      </c>
      <c r="CP1035" t="e">
        <f>CB349</f>
        <v>#N/A</v>
      </c>
      <c r="CQ1035" t="e">
        <f>CC349</f>
        <v>#N/A</v>
      </c>
      <c r="CR1035">
        <f>IF(ISNUMBER(CP1035),IFERROR(MAX(0,CD349-CP1035),0),0)</f>
        <v>0</v>
      </c>
      <c r="CS1035">
        <f>IF(ISNUMBER(CP1035),IFERROR(MAX(0,CP1035-CD349),0),0)</f>
        <v>0</v>
      </c>
      <c r="CT1035">
        <f>IF(ISNUMBER(CQ1035),IFERROR(MAX(0,CE349-CQ1035),0),0)</f>
        <v>0</v>
      </c>
      <c r="CU1035">
        <f>IF(ISNUMBER(CQ1035),IFERROR(MAX(0,CQ1035-CE349),0),0)</f>
        <v>0</v>
      </c>
    </row>
    <row r="1036" spans="87:99" x14ac:dyDescent="0.3">
      <c r="CI1036" t="e">
        <f>AL350</f>
        <v>#N/A</v>
      </c>
      <c r="CJ1036" t="e">
        <f>AM350</f>
        <v>#N/A</v>
      </c>
      <c r="CK1036">
        <f>IF(ISNUMBER(CI1036),IFERROR(MAX(0,AN350-CI1036),0),0)</f>
        <v>0</v>
      </c>
      <c r="CL1036">
        <f>IF(ISNUMBER(CI1036),IFERROR(MAX(0,CI1036-AN350),0),0)</f>
        <v>0</v>
      </c>
      <c r="CM1036">
        <f>IF(ISNUMBER(CJ1036),IFERROR(MAX(0,AO350-CJ1036),0),0)</f>
        <v>0</v>
      </c>
      <c r="CN1036">
        <f>IF(ISNUMBER(CJ1036),IFERROR(MAX(0,CJ1036-AO350),0),0)</f>
        <v>0</v>
      </c>
      <c r="CP1036" t="e">
        <f>BT350</f>
        <v>#N/A</v>
      </c>
      <c r="CQ1036" t="e">
        <f>BU350</f>
        <v>#N/A</v>
      </c>
      <c r="CR1036">
        <f>IF(ISNUMBER(CP1036),IFERROR(MAX(0,BV350-CP1036),0),0)</f>
        <v>0</v>
      </c>
      <c r="CS1036">
        <f>IF(ISNUMBER(CP1036),IFERROR(MAX(0,CP1036-BV350),0),0)</f>
        <v>0</v>
      </c>
      <c r="CT1036">
        <f>IF(ISNUMBER(CQ1036),IFERROR(MAX(0,BW350-CQ1036),0),0)</f>
        <v>0</v>
      </c>
      <c r="CU1036">
        <f>IF(ISNUMBER(CQ1036),IFERROR(MAX(0,CQ1036-BW350),0),0)</f>
        <v>0</v>
      </c>
    </row>
    <row r="1037" spans="87:99" x14ac:dyDescent="0.3">
      <c r="CI1037" t="e">
        <f>AP350</f>
        <v>#N/A</v>
      </c>
      <c r="CJ1037" t="e">
        <f>AQ350</f>
        <v>#N/A</v>
      </c>
      <c r="CK1037">
        <f>IF(ISNUMBER(CI1037),IFERROR(MAX(0,AR350-CI1037),0),0)</f>
        <v>0</v>
      </c>
      <c r="CL1037">
        <f>IF(ISNUMBER(CI1037),IFERROR(MAX(0,CI1037-AR350),0),0)</f>
        <v>0</v>
      </c>
      <c r="CM1037">
        <f>IF(ISNUMBER(CJ1037),IFERROR(MAX(0,AS350-CJ1037),0),0)</f>
        <v>0</v>
      </c>
      <c r="CN1037">
        <f>IF(ISNUMBER(CJ1037),IFERROR(MAX(0,CJ1037-AS350),0),0)</f>
        <v>0</v>
      </c>
      <c r="CP1037" t="e">
        <f>BX350</f>
        <v>#N/A</v>
      </c>
      <c r="CQ1037" t="e">
        <f>BY350</f>
        <v>#N/A</v>
      </c>
      <c r="CR1037">
        <f>IF(ISNUMBER(CP1037),IFERROR(MAX(0,BZ350-CP1037),0),0)</f>
        <v>0</v>
      </c>
      <c r="CS1037">
        <f>IF(ISNUMBER(CP1037),IFERROR(MAX(0,CP1037-BZ350),0),0)</f>
        <v>0</v>
      </c>
      <c r="CT1037">
        <f>IF(ISNUMBER(CQ1037),IFERROR(MAX(0,CA350-CQ1037),0),0)</f>
        <v>0</v>
      </c>
      <c r="CU1037">
        <f>IF(ISNUMBER(CQ1037),IFERROR(MAX(0,CQ1037-CA350),0),0)</f>
        <v>0</v>
      </c>
    </row>
    <row r="1038" spans="87:99" x14ac:dyDescent="0.3">
      <c r="CI1038" t="e">
        <f>AT350</f>
        <v>#N/A</v>
      </c>
      <c r="CJ1038" t="e">
        <f>AU350</f>
        <v>#N/A</v>
      </c>
      <c r="CK1038">
        <f>IF(ISNUMBER(CI1038),IFERROR(MAX(0,AV350-CI1038),0),0)</f>
        <v>0</v>
      </c>
      <c r="CL1038">
        <f>IF(ISNUMBER(CI1038),IFERROR(MAX(0,CI1038-AV350),0),0)</f>
        <v>0</v>
      </c>
      <c r="CM1038">
        <f>IF(ISNUMBER(CJ1038),IFERROR(MAX(0,AW350-CJ1038),0),0)</f>
        <v>0</v>
      </c>
      <c r="CN1038">
        <f>IF(ISNUMBER(CJ1038),IFERROR(MAX(0,CJ1038-AW350),0),0)</f>
        <v>0</v>
      </c>
      <c r="CP1038" t="e">
        <f>CB350</f>
        <v>#N/A</v>
      </c>
      <c r="CQ1038" t="e">
        <f>CC350</f>
        <v>#N/A</v>
      </c>
      <c r="CR1038">
        <f>IF(ISNUMBER(CP1038),IFERROR(MAX(0,CD350-CP1038),0),0)</f>
        <v>0</v>
      </c>
      <c r="CS1038">
        <f>IF(ISNUMBER(CP1038),IFERROR(MAX(0,CP1038-CD350),0),0)</f>
        <v>0</v>
      </c>
      <c r="CT1038">
        <f>IF(ISNUMBER(CQ1038),IFERROR(MAX(0,CE350-CQ1038),0),0)</f>
        <v>0</v>
      </c>
      <c r="CU1038">
        <f>IF(ISNUMBER(CQ1038),IFERROR(MAX(0,CQ1038-CE350),0),0)</f>
        <v>0</v>
      </c>
    </row>
    <row r="1039" spans="87:99" x14ac:dyDescent="0.3">
      <c r="CI1039" t="e">
        <f>AL351</f>
        <v>#N/A</v>
      </c>
      <c r="CJ1039" t="e">
        <f>AM351</f>
        <v>#N/A</v>
      </c>
      <c r="CK1039">
        <f>IF(ISNUMBER(CI1039),IFERROR(MAX(0,AN351-CI1039),0),0)</f>
        <v>0</v>
      </c>
      <c r="CL1039">
        <f>IF(ISNUMBER(CI1039),IFERROR(MAX(0,CI1039-AN351),0),0)</f>
        <v>0</v>
      </c>
      <c r="CM1039">
        <f>IF(ISNUMBER(CJ1039),IFERROR(MAX(0,AO351-CJ1039),0),0)</f>
        <v>0</v>
      </c>
      <c r="CN1039">
        <f>IF(ISNUMBER(CJ1039),IFERROR(MAX(0,CJ1039-AO351),0),0)</f>
        <v>0</v>
      </c>
      <c r="CP1039" t="e">
        <f>BT351</f>
        <v>#N/A</v>
      </c>
      <c r="CQ1039" t="e">
        <f>BU351</f>
        <v>#N/A</v>
      </c>
      <c r="CR1039">
        <f>IF(ISNUMBER(CP1039),IFERROR(MAX(0,BV351-CP1039),0),0)</f>
        <v>0</v>
      </c>
      <c r="CS1039">
        <f>IF(ISNUMBER(CP1039),IFERROR(MAX(0,CP1039-BV351),0),0)</f>
        <v>0</v>
      </c>
      <c r="CT1039">
        <f>IF(ISNUMBER(CQ1039),IFERROR(MAX(0,BW351-CQ1039),0),0)</f>
        <v>0</v>
      </c>
      <c r="CU1039">
        <f>IF(ISNUMBER(CQ1039),IFERROR(MAX(0,CQ1039-BW351),0),0)</f>
        <v>0</v>
      </c>
    </row>
    <row r="1040" spans="87:99" x14ac:dyDescent="0.3">
      <c r="CI1040" t="e">
        <f>AP351</f>
        <v>#N/A</v>
      </c>
      <c r="CJ1040" t="e">
        <f>AQ351</f>
        <v>#N/A</v>
      </c>
      <c r="CK1040">
        <f>IF(ISNUMBER(CI1040),IFERROR(MAX(0,AR351-CI1040),0),0)</f>
        <v>0</v>
      </c>
      <c r="CL1040">
        <f>IF(ISNUMBER(CI1040),IFERROR(MAX(0,CI1040-AR351),0),0)</f>
        <v>0</v>
      </c>
      <c r="CM1040">
        <f>IF(ISNUMBER(CJ1040),IFERROR(MAX(0,AS351-CJ1040),0),0)</f>
        <v>0</v>
      </c>
      <c r="CN1040">
        <f>IF(ISNUMBER(CJ1040),IFERROR(MAX(0,CJ1040-AS351),0),0)</f>
        <v>0</v>
      </c>
      <c r="CP1040" t="e">
        <f>BX351</f>
        <v>#N/A</v>
      </c>
      <c r="CQ1040" t="e">
        <f>BY351</f>
        <v>#N/A</v>
      </c>
      <c r="CR1040">
        <f>IF(ISNUMBER(CP1040),IFERROR(MAX(0,BZ351-CP1040),0),0)</f>
        <v>0</v>
      </c>
      <c r="CS1040">
        <f>IF(ISNUMBER(CP1040),IFERROR(MAX(0,CP1040-BZ351),0),0)</f>
        <v>0</v>
      </c>
      <c r="CT1040">
        <f>IF(ISNUMBER(CQ1040),IFERROR(MAX(0,CA351-CQ1040),0),0)</f>
        <v>0</v>
      </c>
      <c r="CU1040">
        <f>IF(ISNUMBER(CQ1040),IFERROR(MAX(0,CQ1040-CA351),0),0)</f>
        <v>0</v>
      </c>
    </row>
    <row r="1041" spans="87:99" x14ac:dyDescent="0.3">
      <c r="CI1041" t="e">
        <f>AT351</f>
        <v>#N/A</v>
      </c>
      <c r="CJ1041" t="e">
        <f>AU351</f>
        <v>#N/A</v>
      </c>
      <c r="CK1041">
        <f>IF(ISNUMBER(CI1041),IFERROR(MAX(0,AV351-CI1041),0),0)</f>
        <v>0</v>
      </c>
      <c r="CL1041">
        <f>IF(ISNUMBER(CI1041),IFERROR(MAX(0,CI1041-AV351),0),0)</f>
        <v>0</v>
      </c>
      <c r="CM1041">
        <f>IF(ISNUMBER(CJ1041),IFERROR(MAX(0,AW351-CJ1041),0),0)</f>
        <v>0</v>
      </c>
      <c r="CN1041">
        <f>IF(ISNUMBER(CJ1041),IFERROR(MAX(0,CJ1041-AW351),0),0)</f>
        <v>0</v>
      </c>
      <c r="CP1041" t="e">
        <f>CB351</f>
        <v>#N/A</v>
      </c>
      <c r="CQ1041" t="e">
        <f>CC351</f>
        <v>#N/A</v>
      </c>
      <c r="CR1041">
        <f>IF(ISNUMBER(CP1041),IFERROR(MAX(0,CD351-CP1041),0),0)</f>
        <v>0</v>
      </c>
      <c r="CS1041">
        <f>IF(ISNUMBER(CP1041),IFERROR(MAX(0,CP1041-CD351),0),0)</f>
        <v>0</v>
      </c>
      <c r="CT1041">
        <f>IF(ISNUMBER(CQ1041),IFERROR(MAX(0,CE351-CQ1041),0),0)</f>
        <v>0</v>
      </c>
      <c r="CU1041">
        <f>IF(ISNUMBER(CQ1041),IFERROR(MAX(0,CQ1041-CE351),0),0)</f>
        <v>0</v>
      </c>
    </row>
    <row r="1042" spans="87:99" x14ac:dyDescent="0.3">
      <c r="CI1042" t="e">
        <f>AL352</f>
        <v>#N/A</v>
      </c>
      <c r="CJ1042" t="e">
        <f>AM352</f>
        <v>#N/A</v>
      </c>
      <c r="CK1042">
        <f>IF(ISNUMBER(CI1042),IFERROR(MAX(0,AN352-CI1042),0),0)</f>
        <v>0</v>
      </c>
      <c r="CL1042">
        <f>IF(ISNUMBER(CI1042),IFERROR(MAX(0,CI1042-AN352),0),0)</f>
        <v>0</v>
      </c>
      <c r="CM1042">
        <f>IF(ISNUMBER(CJ1042),IFERROR(MAX(0,AO352-CJ1042),0),0)</f>
        <v>0</v>
      </c>
      <c r="CN1042">
        <f>IF(ISNUMBER(CJ1042),IFERROR(MAX(0,CJ1042-AO352),0),0)</f>
        <v>0</v>
      </c>
      <c r="CP1042" t="e">
        <f>BT352</f>
        <v>#N/A</v>
      </c>
      <c r="CQ1042" t="e">
        <f>BU352</f>
        <v>#N/A</v>
      </c>
      <c r="CR1042">
        <f>IF(ISNUMBER(CP1042),IFERROR(MAX(0,BV352-CP1042),0),0)</f>
        <v>0</v>
      </c>
      <c r="CS1042">
        <f>IF(ISNUMBER(CP1042),IFERROR(MAX(0,CP1042-BV352),0),0)</f>
        <v>0</v>
      </c>
      <c r="CT1042">
        <f>IF(ISNUMBER(CQ1042),IFERROR(MAX(0,BW352-CQ1042),0),0)</f>
        <v>0</v>
      </c>
      <c r="CU1042">
        <f>IF(ISNUMBER(CQ1042),IFERROR(MAX(0,CQ1042-BW352),0),0)</f>
        <v>0</v>
      </c>
    </row>
    <row r="1043" spans="87:99" x14ac:dyDescent="0.3">
      <c r="CI1043" t="e">
        <f>AP352</f>
        <v>#N/A</v>
      </c>
      <c r="CJ1043" t="e">
        <f>AQ352</f>
        <v>#N/A</v>
      </c>
      <c r="CK1043">
        <f>IF(ISNUMBER(CI1043),IFERROR(MAX(0,AR352-CI1043),0),0)</f>
        <v>0</v>
      </c>
      <c r="CL1043">
        <f>IF(ISNUMBER(CI1043),IFERROR(MAX(0,CI1043-AR352),0),0)</f>
        <v>0</v>
      </c>
      <c r="CM1043">
        <f>IF(ISNUMBER(CJ1043),IFERROR(MAX(0,AS352-CJ1043),0),0)</f>
        <v>0</v>
      </c>
      <c r="CN1043">
        <f>IF(ISNUMBER(CJ1043),IFERROR(MAX(0,CJ1043-AS352),0),0)</f>
        <v>0</v>
      </c>
      <c r="CP1043" t="e">
        <f>BX352</f>
        <v>#N/A</v>
      </c>
      <c r="CQ1043" t="e">
        <f>BY352</f>
        <v>#N/A</v>
      </c>
      <c r="CR1043">
        <f>IF(ISNUMBER(CP1043),IFERROR(MAX(0,BZ352-CP1043),0),0)</f>
        <v>0</v>
      </c>
      <c r="CS1043">
        <f>IF(ISNUMBER(CP1043),IFERROR(MAX(0,CP1043-BZ352),0),0)</f>
        <v>0</v>
      </c>
      <c r="CT1043">
        <f>IF(ISNUMBER(CQ1043),IFERROR(MAX(0,CA352-CQ1043),0),0)</f>
        <v>0</v>
      </c>
      <c r="CU1043">
        <f>IF(ISNUMBER(CQ1043),IFERROR(MAX(0,CQ1043-CA352),0),0)</f>
        <v>0</v>
      </c>
    </row>
    <row r="1044" spans="87:99" x14ac:dyDescent="0.3">
      <c r="CI1044" t="e">
        <f>AT352</f>
        <v>#N/A</v>
      </c>
      <c r="CJ1044" t="e">
        <f>AU352</f>
        <v>#N/A</v>
      </c>
      <c r="CK1044">
        <f>IF(ISNUMBER(CI1044),IFERROR(MAX(0,AV352-CI1044),0),0)</f>
        <v>0</v>
      </c>
      <c r="CL1044">
        <f>IF(ISNUMBER(CI1044),IFERROR(MAX(0,CI1044-AV352),0),0)</f>
        <v>0</v>
      </c>
      <c r="CM1044">
        <f>IF(ISNUMBER(CJ1044),IFERROR(MAX(0,AW352-CJ1044),0),0)</f>
        <v>0</v>
      </c>
      <c r="CN1044">
        <f>IF(ISNUMBER(CJ1044),IFERROR(MAX(0,CJ1044-AW352),0),0)</f>
        <v>0</v>
      </c>
      <c r="CP1044" t="e">
        <f>CB352</f>
        <v>#N/A</v>
      </c>
      <c r="CQ1044" t="e">
        <f>CC352</f>
        <v>#N/A</v>
      </c>
      <c r="CR1044">
        <f>IF(ISNUMBER(CP1044),IFERROR(MAX(0,CD352-CP1044),0),0)</f>
        <v>0</v>
      </c>
      <c r="CS1044">
        <f>IF(ISNUMBER(CP1044),IFERROR(MAX(0,CP1044-CD352),0),0)</f>
        <v>0</v>
      </c>
      <c r="CT1044">
        <f>IF(ISNUMBER(CQ1044),IFERROR(MAX(0,CE352-CQ1044),0),0)</f>
        <v>0</v>
      </c>
      <c r="CU1044">
        <f>IF(ISNUMBER(CQ1044),IFERROR(MAX(0,CQ1044-CE352),0),0)</f>
        <v>0</v>
      </c>
    </row>
    <row r="1045" spans="87:99" x14ac:dyDescent="0.3">
      <c r="CI1045" t="e">
        <f>AL353</f>
        <v>#N/A</v>
      </c>
      <c r="CJ1045" t="e">
        <f>AM353</f>
        <v>#N/A</v>
      </c>
      <c r="CK1045">
        <f>IF(ISNUMBER(CI1045),IFERROR(MAX(0,AN353-CI1045),0),0)</f>
        <v>0</v>
      </c>
      <c r="CL1045">
        <f>IF(ISNUMBER(CI1045),IFERROR(MAX(0,CI1045-AN353),0),0)</f>
        <v>0</v>
      </c>
      <c r="CM1045">
        <f>IF(ISNUMBER(CJ1045),IFERROR(MAX(0,AO353-CJ1045),0),0)</f>
        <v>0</v>
      </c>
      <c r="CN1045">
        <f>IF(ISNUMBER(CJ1045),IFERROR(MAX(0,CJ1045-AO353),0),0)</f>
        <v>0</v>
      </c>
      <c r="CP1045" t="e">
        <f>BT353</f>
        <v>#N/A</v>
      </c>
      <c r="CQ1045" t="e">
        <f>BU353</f>
        <v>#N/A</v>
      </c>
      <c r="CR1045">
        <f>IF(ISNUMBER(CP1045),IFERROR(MAX(0,BV353-CP1045),0),0)</f>
        <v>0</v>
      </c>
      <c r="CS1045">
        <f>IF(ISNUMBER(CP1045),IFERROR(MAX(0,CP1045-BV353),0),0)</f>
        <v>0</v>
      </c>
      <c r="CT1045">
        <f>IF(ISNUMBER(CQ1045),IFERROR(MAX(0,BW353-CQ1045),0),0)</f>
        <v>0</v>
      </c>
      <c r="CU1045">
        <f>IF(ISNUMBER(CQ1045),IFERROR(MAX(0,CQ1045-BW353),0),0)</f>
        <v>0</v>
      </c>
    </row>
    <row r="1046" spans="87:99" x14ac:dyDescent="0.3">
      <c r="CI1046" t="e">
        <f>AP353</f>
        <v>#N/A</v>
      </c>
      <c r="CJ1046" t="e">
        <f>AQ353</f>
        <v>#N/A</v>
      </c>
      <c r="CK1046">
        <f>IF(ISNUMBER(CI1046),IFERROR(MAX(0,AR353-CI1046),0),0)</f>
        <v>0</v>
      </c>
      <c r="CL1046">
        <f>IF(ISNUMBER(CI1046),IFERROR(MAX(0,CI1046-AR353),0),0)</f>
        <v>0</v>
      </c>
      <c r="CM1046">
        <f>IF(ISNUMBER(CJ1046),IFERROR(MAX(0,AS353-CJ1046),0),0)</f>
        <v>0</v>
      </c>
      <c r="CN1046">
        <f>IF(ISNUMBER(CJ1046),IFERROR(MAX(0,CJ1046-AS353),0),0)</f>
        <v>0</v>
      </c>
      <c r="CP1046" t="e">
        <f>BX353</f>
        <v>#N/A</v>
      </c>
      <c r="CQ1046" t="e">
        <f>BY353</f>
        <v>#N/A</v>
      </c>
      <c r="CR1046">
        <f>IF(ISNUMBER(CP1046),IFERROR(MAX(0,BZ353-CP1046),0),0)</f>
        <v>0</v>
      </c>
      <c r="CS1046">
        <f>IF(ISNUMBER(CP1046),IFERROR(MAX(0,CP1046-BZ353),0),0)</f>
        <v>0</v>
      </c>
      <c r="CT1046">
        <f>IF(ISNUMBER(CQ1046),IFERROR(MAX(0,CA353-CQ1046),0),0)</f>
        <v>0</v>
      </c>
      <c r="CU1046">
        <f>IF(ISNUMBER(CQ1046),IFERROR(MAX(0,CQ1046-CA353),0),0)</f>
        <v>0</v>
      </c>
    </row>
    <row r="1047" spans="87:99" x14ac:dyDescent="0.3">
      <c r="CI1047" t="e">
        <f>AT353</f>
        <v>#N/A</v>
      </c>
      <c r="CJ1047" t="e">
        <f>AU353</f>
        <v>#N/A</v>
      </c>
      <c r="CK1047">
        <f>IF(ISNUMBER(CI1047),IFERROR(MAX(0,AV353-CI1047),0),0)</f>
        <v>0</v>
      </c>
      <c r="CL1047">
        <f>IF(ISNUMBER(CI1047),IFERROR(MAX(0,CI1047-AV353),0),0)</f>
        <v>0</v>
      </c>
      <c r="CM1047">
        <f>IF(ISNUMBER(CJ1047),IFERROR(MAX(0,AW353-CJ1047),0),0)</f>
        <v>0</v>
      </c>
      <c r="CN1047">
        <f>IF(ISNUMBER(CJ1047),IFERROR(MAX(0,CJ1047-AW353),0),0)</f>
        <v>0</v>
      </c>
      <c r="CP1047" t="e">
        <f>CB353</f>
        <v>#N/A</v>
      </c>
      <c r="CQ1047" t="e">
        <f>CC353</f>
        <v>#N/A</v>
      </c>
      <c r="CR1047">
        <f>IF(ISNUMBER(CP1047),IFERROR(MAX(0,CD353-CP1047),0),0)</f>
        <v>0</v>
      </c>
      <c r="CS1047">
        <f>IF(ISNUMBER(CP1047),IFERROR(MAX(0,CP1047-CD353),0),0)</f>
        <v>0</v>
      </c>
      <c r="CT1047">
        <f>IF(ISNUMBER(CQ1047),IFERROR(MAX(0,CE353-CQ1047),0),0)</f>
        <v>0</v>
      </c>
      <c r="CU1047">
        <f>IF(ISNUMBER(CQ1047),IFERROR(MAX(0,CQ1047-CE353),0),0)</f>
        <v>0</v>
      </c>
    </row>
    <row r="1048" spans="87:99" x14ac:dyDescent="0.3">
      <c r="CI1048" t="e">
        <f>AL354</f>
        <v>#N/A</v>
      </c>
      <c r="CJ1048" t="e">
        <f>AM354</f>
        <v>#N/A</v>
      </c>
      <c r="CK1048">
        <f>IF(ISNUMBER(CI1048),IFERROR(MAX(0,AN354-CI1048),0),0)</f>
        <v>0</v>
      </c>
      <c r="CL1048">
        <f>IF(ISNUMBER(CI1048),IFERROR(MAX(0,CI1048-AN354),0),0)</f>
        <v>0</v>
      </c>
      <c r="CM1048">
        <f>IF(ISNUMBER(CJ1048),IFERROR(MAX(0,AO354-CJ1048),0),0)</f>
        <v>0</v>
      </c>
      <c r="CN1048">
        <f>IF(ISNUMBER(CJ1048),IFERROR(MAX(0,CJ1048-AO354),0),0)</f>
        <v>0</v>
      </c>
      <c r="CP1048" t="e">
        <f>BT354</f>
        <v>#N/A</v>
      </c>
      <c r="CQ1048" t="e">
        <f>BU354</f>
        <v>#N/A</v>
      </c>
      <c r="CR1048">
        <f>IF(ISNUMBER(CP1048),IFERROR(MAX(0,BV354-CP1048),0),0)</f>
        <v>0</v>
      </c>
      <c r="CS1048">
        <f>IF(ISNUMBER(CP1048),IFERROR(MAX(0,CP1048-BV354),0),0)</f>
        <v>0</v>
      </c>
      <c r="CT1048">
        <f>IF(ISNUMBER(CQ1048),IFERROR(MAX(0,BW354-CQ1048),0),0)</f>
        <v>0</v>
      </c>
      <c r="CU1048">
        <f>IF(ISNUMBER(CQ1048),IFERROR(MAX(0,CQ1048-BW354),0),0)</f>
        <v>0</v>
      </c>
    </row>
    <row r="1049" spans="87:99" x14ac:dyDescent="0.3">
      <c r="CI1049" t="e">
        <f>AP354</f>
        <v>#N/A</v>
      </c>
      <c r="CJ1049" t="e">
        <f>AQ354</f>
        <v>#N/A</v>
      </c>
      <c r="CK1049">
        <f>IF(ISNUMBER(CI1049),IFERROR(MAX(0,AR354-CI1049),0),0)</f>
        <v>0</v>
      </c>
      <c r="CL1049">
        <f>IF(ISNUMBER(CI1049),IFERROR(MAX(0,CI1049-AR354),0),0)</f>
        <v>0</v>
      </c>
      <c r="CM1049">
        <f>IF(ISNUMBER(CJ1049),IFERROR(MAX(0,AS354-CJ1049),0),0)</f>
        <v>0</v>
      </c>
      <c r="CN1049">
        <f>IF(ISNUMBER(CJ1049),IFERROR(MAX(0,CJ1049-AS354),0),0)</f>
        <v>0</v>
      </c>
      <c r="CP1049" t="e">
        <f>BX354</f>
        <v>#N/A</v>
      </c>
      <c r="CQ1049" t="e">
        <f>BY354</f>
        <v>#N/A</v>
      </c>
      <c r="CR1049">
        <f>IF(ISNUMBER(CP1049),IFERROR(MAX(0,BZ354-CP1049),0),0)</f>
        <v>0</v>
      </c>
      <c r="CS1049">
        <f>IF(ISNUMBER(CP1049),IFERROR(MAX(0,CP1049-BZ354),0),0)</f>
        <v>0</v>
      </c>
      <c r="CT1049">
        <f>IF(ISNUMBER(CQ1049),IFERROR(MAX(0,CA354-CQ1049),0),0)</f>
        <v>0</v>
      </c>
      <c r="CU1049">
        <f>IF(ISNUMBER(CQ1049),IFERROR(MAX(0,CQ1049-CA354),0),0)</f>
        <v>0</v>
      </c>
    </row>
    <row r="1050" spans="87:99" x14ac:dyDescent="0.3">
      <c r="CI1050" t="e">
        <f>AT354</f>
        <v>#N/A</v>
      </c>
      <c r="CJ1050" t="e">
        <f>AU354</f>
        <v>#N/A</v>
      </c>
      <c r="CK1050">
        <f>IF(ISNUMBER(CI1050),IFERROR(MAX(0,AV354-CI1050),0),0)</f>
        <v>0</v>
      </c>
      <c r="CL1050">
        <f>IF(ISNUMBER(CI1050),IFERROR(MAX(0,CI1050-AV354),0),0)</f>
        <v>0</v>
      </c>
      <c r="CM1050">
        <f>IF(ISNUMBER(CJ1050),IFERROR(MAX(0,AW354-CJ1050),0),0)</f>
        <v>0</v>
      </c>
      <c r="CN1050">
        <f>IF(ISNUMBER(CJ1050),IFERROR(MAX(0,CJ1050-AW354),0),0)</f>
        <v>0</v>
      </c>
      <c r="CP1050" t="e">
        <f>CB354</f>
        <v>#N/A</v>
      </c>
      <c r="CQ1050" t="e">
        <f>CC354</f>
        <v>#N/A</v>
      </c>
      <c r="CR1050">
        <f>IF(ISNUMBER(CP1050),IFERROR(MAX(0,CD354-CP1050),0),0)</f>
        <v>0</v>
      </c>
      <c r="CS1050">
        <f>IF(ISNUMBER(CP1050),IFERROR(MAX(0,CP1050-CD354),0),0)</f>
        <v>0</v>
      </c>
      <c r="CT1050">
        <f>IF(ISNUMBER(CQ1050),IFERROR(MAX(0,CE354-CQ1050),0),0)</f>
        <v>0</v>
      </c>
      <c r="CU1050">
        <f>IF(ISNUMBER(CQ1050),IFERROR(MAX(0,CQ1050-CE354),0),0)</f>
        <v>0</v>
      </c>
    </row>
    <row r="1051" spans="87:99" x14ac:dyDescent="0.3">
      <c r="CI1051" t="e">
        <f>AL355</f>
        <v>#N/A</v>
      </c>
      <c r="CJ1051" t="e">
        <f>AM355</f>
        <v>#N/A</v>
      </c>
      <c r="CK1051">
        <f>IF(ISNUMBER(CI1051),IFERROR(MAX(0,AN355-CI1051),0),0)</f>
        <v>0</v>
      </c>
      <c r="CL1051">
        <f>IF(ISNUMBER(CI1051),IFERROR(MAX(0,CI1051-AN355),0),0)</f>
        <v>0</v>
      </c>
      <c r="CM1051">
        <f>IF(ISNUMBER(CJ1051),IFERROR(MAX(0,AO355-CJ1051),0),0)</f>
        <v>0</v>
      </c>
      <c r="CN1051">
        <f>IF(ISNUMBER(CJ1051),IFERROR(MAX(0,CJ1051-AO355),0),0)</f>
        <v>0</v>
      </c>
      <c r="CP1051" t="e">
        <f>BT355</f>
        <v>#N/A</v>
      </c>
      <c r="CQ1051" t="e">
        <f>BU355</f>
        <v>#N/A</v>
      </c>
      <c r="CR1051">
        <f>IF(ISNUMBER(CP1051),IFERROR(MAX(0,BV355-CP1051),0),0)</f>
        <v>0</v>
      </c>
      <c r="CS1051">
        <f>IF(ISNUMBER(CP1051),IFERROR(MAX(0,CP1051-BV355),0),0)</f>
        <v>0</v>
      </c>
      <c r="CT1051">
        <f>IF(ISNUMBER(CQ1051),IFERROR(MAX(0,BW355-CQ1051),0),0)</f>
        <v>0</v>
      </c>
      <c r="CU1051">
        <f>IF(ISNUMBER(CQ1051),IFERROR(MAX(0,CQ1051-BW355),0),0)</f>
        <v>0</v>
      </c>
    </row>
    <row r="1052" spans="87:99" x14ac:dyDescent="0.3">
      <c r="CI1052" t="e">
        <f>AP355</f>
        <v>#N/A</v>
      </c>
      <c r="CJ1052" t="e">
        <f>AQ355</f>
        <v>#N/A</v>
      </c>
      <c r="CK1052">
        <f>IF(ISNUMBER(CI1052),IFERROR(MAX(0,AR355-CI1052),0),0)</f>
        <v>0</v>
      </c>
      <c r="CL1052">
        <f>IF(ISNUMBER(CI1052),IFERROR(MAX(0,CI1052-AR355),0),0)</f>
        <v>0</v>
      </c>
      <c r="CM1052">
        <f>IF(ISNUMBER(CJ1052),IFERROR(MAX(0,AS355-CJ1052),0),0)</f>
        <v>0</v>
      </c>
      <c r="CN1052">
        <f>IF(ISNUMBER(CJ1052),IFERROR(MAX(0,CJ1052-AS355),0),0)</f>
        <v>0</v>
      </c>
      <c r="CP1052" t="e">
        <f>BX355</f>
        <v>#N/A</v>
      </c>
      <c r="CQ1052" t="e">
        <f>BY355</f>
        <v>#N/A</v>
      </c>
      <c r="CR1052">
        <f>IF(ISNUMBER(CP1052),IFERROR(MAX(0,BZ355-CP1052),0),0)</f>
        <v>0</v>
      </c>
      <c r="CS1052">
        <f>IF(ISNUMBER(CP1052),IFERROR(MAX(0,CP1052-BZ355),0),0)</f>
        <v>0</v>
      </c>
      <c r="CT1052">
        <f>IF(ISNUMBER(CQ1052),IFERROR(MAX(0,CA355-CQ1052),0),0)</f>
        <v>0</v>
      </c>
      <c r="CU1052">
        <f>IF(ISNUMBER(CQ1052),IFERROR(MAX(0,CQ1052-CA355),0),0)</f>
        <v>0</v>
      </c>
    </row>
    <row r="1053" spans="87:99" x14ac:dyDescent="0.3">
      <c r="CI1053" t="e">
        <f>AT355</f>
        <v>#N/A</v>
      </c>
      <c r="CJ1053" t="e">
        <f>AU355</f>
        <v>#N/A</v>
      </c>
      <c r="CK1053">
        <f>IF(ISNUMBER(CI1053),IFERROR(MAX(0,AV355-CI1053),0),0)</f>
        <v>0</v>
      </c>
      <c r="CL1053">
        <f>IF(ISNUMBER(CI1053),IFERROR(MAX(0,CI1053-AV355),0),0)</f>
        <v>0</v>
      </c>
      <c r="CM1053">
        <f>IF(ISNUMBER(CJ1053),IFERROR(MAX(0,AW355-CJ1053),0),0)</f>
        <v>0</v>
      </c>
      <c r="CN1053">
        <f>IF(ISNUMBER(CJ1053),IFERROR(MAX(0,CJ1053-AW355),0),0)</f>
        <v>0</v>
      </c>
      <c r="CP1053" t="e">
        <f>CB355</f>
        <v>#N/A</v>
      </c>
      <c r="CQ1053" t="e">
        <f>CC355</f>
        <v>#N/A</v>
      </c>
      <c r="CR1053">
        <f>IF(ISNUMBER(CP1053),IFERROR(MAX(0,CD355-CP1053),0),0)</f>
        <v>0</v>
      </c>
      <c r="CS1053">
        <f>IF(ISNUMBER(CP1053),IFERROR(MAX(0,CP1053-CD355),0),0)</f>
        <v>0</v>
      </c>
      <c r="CT1053">
        <f>IF(ISNUMBER(CQ1053),IFERROR(MAX(0,CE355-CQ1053),0),0)</f>
        <v>0</v>
      </c>
      <c r="CU1053">
        <f>IF(ISNUMBER(CQ1053),IFERROR(MAX(0,CQ1053-CE355),0),0)</f>
        <v>0</v>
      </c>
    </row>
    <row r="1054" spans="87:99" x14ac:dyDescent="0.3">
      <c r="CI1054" t="e">
        <f>AL356</f>
        <v>#N/A</v>
      </c>
      <c r="CJ1054" t="e">
        <f>AM356</f>
        <v>#N/A</v>
      </c>
      <c r="CK1054">
        <f>IF(ISNUMBER(CI1054),IFERROR(MAX(0,AN356-CI1054),0),0)</f>
        <v>0</v>
      </c>
      <c r="CL1054">
        <f>IF(ISNUMBER(CI1054),IFERROR(MAX(0,CI1054-AN356),0),0)</f>
        <v>0</v>
      </c>
      <c r="CM1054">
        <f>IF(ISNUMBER(CJ1054),IFERROR(MAX(0,AO356-CJ1054),0),0)</f>
        <v>0</v>
      </c>
      <c r="CN1054">
        <f>IF(ISNUMBER(CJ1054),IFERROR(MAX(0,CJ1054-AO356),0),0)</f>
        <v>0</v>
      </c>
      <c r="CP1054" t="e">
        <f>BT356</f>
        <v>#N/A</v>
      </c>
      <c r="CQ1054" t="e">
        <f>BU356</f>
        <v>#N/A</v>
      </c>
      <c r="CR1054">
        <f>IF(ISNUMBER(CP1054),IFERROR(MAX(0,BV356-CP1054),0),0)</f>
        <v>0</v>
      </c>
      <c r="CS1054">
        <f>IF(ISNUMBER(CP1054),IFERROR(MAX(0,CP1054-BV356),0),0)</f>
        <v>0</v>
      </c>
      <c r="CT1054">
        <f>IF(ISNUMBER(CQ1054),IFERROR(MAX(0,BW356-CQ1054),0),0)</f>
        <v>0</v>
      </c>
      <c r="CU1054">
        <f>IF(ISNUMBER(CQ1054),IFERROR(MAX(0,CQ1054-BW356),0),0)</f>
        <v>0</v>
      </c>
    </row>
    <row r="1055" spans="87:99" x14ac:dyDescent="0.3">
      <c r="CI1055" t="e">
        <f>AP356</f>
        <v>#N/A</v>
      </c>
      <c r="CJ1055" t="e">
        <f>AQ356</f>
        <v>#N/A</v>
      </c>
      <c r="CK1055">
        <f>IF(ISNUMBER(CI1055),IFERROR(MAX(0,AR356-CI1055),0),0)</f>
        <v>0</v>
      </c>
      <c r="CL1055">
        <f>IF(ISNUMBER(CI1055),IFERROR(MAX(0,CI1055-AR356),0),0)</f>
        <v>0</v>
      </c>
      <c r="CM1055">
        <f>IF(ISNUMBER(CJ1055),IFERROR(MAX(0,AS356-CJ1055),0),0)</f>
        <v>0</v>
      </c>
      <c r="CN1055">
        <f>IF(ISNUMBER(CJ1055),IFERROR(MAX(0,CJ1055-AS356),0),0)</f>
        <v>0</v>
      </c>
      <c r="CP1055" t="e">
        <f>BX356</f>
        <v>#N/A</v>
      </c>
      <c r="CQ1055" t="e">
        <f>BY356</f>
        <v>#N/A</v>
      </c>
      <c r="CR1055">
        <f>IF(ISNUMBER(CP1055),IFERROR(MAX(0,BZ356-CP1055),0),0)</f>
        <v>0</v>
      </c>
      <c r="CS1055">
        <f>IF(ISNUMBER(CP1055),IFERROR(MAX(0,CP1055-BZ356),0),0)</f>
        <v>0</v>
      </c>
      <c r="CT1055">
        <f>IF(ISNUMBER(CQ1055),IFERROR(MAX(0,CA356-CQ1055),0),0)</f>
        <v>0</v>
      </c>
      <c r="CU1055">
        <f>IF(ISNUMBER(CQ1055),IFERROR(MAX(0,CQ1055-CA356),0),0)</f>
        <v>0</v>
      </c>
    </row>
    <row r="1056" spans="87:99" x14ac:dyDescent="0.3">
      <c r="CI1056" t="e">
        <f>AT356</f>
        <v>#N/A</v>
      </c>
      <c r="CJ1056" t="e">
        <f>AU356</f>
        <v>#N/A</v>
      </c>
      <c r="CK1056">
        <f>IF(ISNUMBER(CI1056),IFERROR(MAX(0,AV356-CI1056),0),0)</f>
        <v>0</v>
      </c>
      <c r="CL1056">
        <f>IF(ISNUMBER(CI1056),IFERROR(MAX(0,CI1056-AV356),0),0)</f>
        <v>0</v>
      </c>
      <c r="CM1056">
        <f>IF(ISNUMBER(CJ1056),IFERROR(MAX(0,AW356-CJ1056),0),0)</f>
        <v>0</v>
      </c>
      <c r="CN1056">
        <f>IF(ISNUMBER(CJ1056),IFERROR(MAX(0,CJ1056-AW356),0),0)</f>
        <v>0</v>
      </c>
      <c r="CP1056" t="e">
        <f>CB356</f>
        <v>#N/A</v>
      </c>
      <c r="CQ1056" t="e">
        <f>CC356</f>
        <v>#N/A</v>
      </c>
      <c r="CR1056">
        <f>IF(ISNUMBER(CP1056),IFERROR(MAX(0,CD356-CP1056),0),0)</f>
        <v>0</v>
      </c>
      <c r="CS1056">
        <f>IF(ISNUMBER(CP1056),IFERROR(MAX(0,CP1056-CD356),0),0)</f>
        <v>0</v>
      </c>
      <c r="CT1056">
        <f>IF(ISNUMBER(CQ1056),IFERROR(MAX(0,CE356-CQ1056),0),0)</f>
        <v>0</v>
      </c>
      <c r="CU1056">
        <f>IF(ISNUMBER(CQ1056),IFERROR(MAX(0,CQ1056-CE356),0),0)</f>
        <v>0</v>
      </c>
    </row>
    <row r="1057" spans="87:99" x14ac:dyDescent="0.3">
      <c r="CI1057" t="e">
        <f>AL357</f>
        <v>#N/A</v>
      </c>
      <c r="CJ1057" t="e">
        <f>AM357</f>
        <v>#N/A</v>
      </c>
      <c r="CK1057">
        <f>IF(ISNUMBER(CI1057),IFERROR(MAX(0,AN357-CI1057),0),0)</f>
        <v>0</v>
      </c>
      <c r="CL1057">
        <f>IF(ISNUMBER(CI1057),IFERROR(MAX(0,CI1057-AN357),0),0)</f>
        <v>0</v>
      </c>
      <c r="CM1057">
        <f>IF(ISNUMBER(CJ1057),IFERROR(MAX(0,AO357-CJ1057),0),0)</f>
        <v>0</v>
      </c>
      <c r="CN1057">
        <f>IF(ISNUMBER(CJ1057),IFERROR(MAX(0,CJ1057-AO357),0),0)</f>
        <v>0</v>
      </c>
      <c r="CP1057" t="e">
        <f>BT357</f>
        <v>#N/A</v>
      </c>
      <c r="CQ1057" t="e">
        <f>BU357</f>
        <v>#N/A</v>
      </c>
      <c r="CR1057">
        <f>IF(ISNUMBER(CP1057),IFERROR(MAX(0,BV357-CP1057),0),0)</f>
        <v>0</v>
      </c>
      <c r="CS1057">
        <f>IF(ISNUMBER(CP1057),IFERROR(MAX(0,CP1057-BV357),0),0)</f>
        <v>0</v>
      </c>
      <c r="CT1057">
        <f>IF(ISNUMBER(CQ1057),IFERROR(MAX(0,BW357-CQ1057),0),0)</f>
        <v>0</v>
      </c>
      <c r="CU1057">
        <f>IF(ISNUMBER(CQ1057),IFERROR(MAX(0,CQ1057-BW357),0),0)</f>
        <v>0</v>
      </c>
    </row>
    <row r="1058" spans="87:99" x14ac:dyDescent="0.3">
      <c r="CI1058" t="e">
        <f>AP357</f>
        <v>#N/A</v>
      </c>
      <c r="CJ1058" t="e">
        <f>AQ357</f>
        <v>#N/A</v>
      </c>
      <c r="CK1058">
        <f>IF(ISNUMBER(CI1058),IFERROR(MAX(0,AR357-CI1058),0),0)</f>
        <v>0</v>
      </c>
      <c r="CL1058">
        <f>IF(ISNUMBER(CI1058),IFERROR(MAX(0,CI1058-AR357),0),0)</f>
        <v>0</v>
      </c>
      <c r="CM1058">
        <f>IF(ISNUMBER(CJ1058),IFERROR(MAX(0,AS357-CJ1058),0),0)</f>
        <v>0</v>
      </c>
      <c r="CN1058">
        <f>IF(ISNUMBER(CJ1058),IFERROR(MAX(0,CJ1058-AS357),0),0)</f>
        <v>0</v>
      </c>
      <c r="CP1058" t="e">
        <f>BX357</f>
        <v>#N/A</v>
      </c>
      <c r="CQ1058" t="e">
        <f>BY357</f>
        <v>#N/A</v>
      </c>
      <c r="CR1058">
        <f>IF(ISNUMBER(CP1058),IFERROR(MAX(0,BZ357-CP1058),0),0)</f>
        <v>0</v>
      </c>
      <c r="CS1058">
        <f>IF(ISNUMBER(CP1058),IFERROR(MAX(0,CP1058-BZ357),0),0)</f>
        <v>0</v>
      </c>
      <c r="CT1058">
        <f>IF(ISNUMBER(CQ1058),IFERROR(MAX(0,CA357-CQ1058),0),0)</f>
        <v>0</v>
      </c>
      <c r="CU1058">
        <f>IF(ISNUMBER(CQ1058),IFERROR(MAX(0,CQ1058-CA357),0),0)</f>
        <v>0</v>
      </c>
    </row>
    <row r="1059" spans="87:99" x14ac:dyDescent="0.3">
      <c r="CI1059" t="e">
        <f>AT357</f>
        <v>#N/A</v>
      </c>
      <c r="CJ1059" t="e">
        <f>AU357</f>
        <v>#N/A</v>
      </c>
      <c r="CK1059">
        <f>IF(ISNUMBER(CI1059),IFERROR(MAX(0,AV357-CI1059),0),0)</f>
        <v>0</v>
      </c>
      <c r="CL1059">
        <f>IF(ISNUMBER(CI1059),IFERROR(MAX(0,CI1059-AV357),0),0)</f>
        <v>0</v>
      </c>
      <c r="CM1059">
        <f>IF(ISNUMBER(CJ1059),IFERROR(MAX(0,AW357-CJ1059),0),0)</f>
        <v>0</v>
      </c>
      <c r="CN1059">
        <f>IF(ISNUMBER(CJ1059),IFERROR(MAX(0,CJ1059-AW357),0),0)</f>
        <v>0</v>
      </c>
      <c r="CP1059" t="e">
        <f>CB357</f>
        <v>#N/A</v>
      </c>
      <c r="CQ1059" t="e">
        <f>CC357</f>
        <v>#N/A</v>
      </c>
      <c r="CR1059">
        <f>IF(ISNUMBER(CP1059),IFERROR(MAX(0,CD357-CP1059),0),0)</f>
        <v>0</v>
      </c>
      <c r="CS1059">
        <f>IF(ISNUMBER(CP1059),IFERROR(MAX(0,CP1059-CD357),0),0)</f>
        <v>0</v>
      </c>
      <c r="CT1059">
        <f>IF(ISNUMBER(CQ1059),IFERROR(MAX(0,CE357-CQ1059),0),0)</f>
        <v>0</v>
      </c>
      <c r="CU1059">
        <f>IF(ISNUMBER(CQ1059),IFERROR(MAX(0,CQ1059-CE357),0),0)</f>
        <v>0</v>
      </c>
    </row>
    <row r="1060" spans="87:99" x14ac:dyDescent="0.3">
      <c r="CI1060" t="e">
        <f>AL358</f>
        <v>#N/A</v>
      </c>
      <c r="CJ1060" t="e">
        <f>AM358</f>
        <v>#N/A</v>
      </c>
      <c r="CK1060">
        <f>IF(ISNUMBER(CI1060),IFERROR(MAX(0,AN358-CI1060),0),0)</f>
        <v>0</v>
      </c>
      <c r="CL1060">
        <f>IF(ISNUMBER(CI1060),IFERROR(MAX(0,CI1060-AN358),0),0)</f>
        <v>0</v>
      </c>
      <c r="CM1060">
        <f>IF(ISNUMBER(CJ1060),IFERROR(MAX(0,AO358-CJ1060),0),0)</f>
        <v>0</v>
      </c>
      <c r="CN1060">
        <f>IF(ISNUMBER(CJ1060),IFERROR(MAX(0,CJ1060-AO358),0),0)</f>
        <v>0</v>
      </c>
      <c r="CP1060" t="e">
        <f>BT358</f>
        <v>#N/A</v>
      </c>
      <c r="CQ1060" t="e">
        <f>BU358</f>
        <v>#N/A</v>
      </c>
      <c r="CR1060">
        <f>IF(ISNUMBER(CP1060),IFERROR(MAX(0,BV358-CP1060),0),0)</f>
        <v>0</v>
      </c>
      <c r="CS1060">
        <f>IF(ISNUMBER(CP1060),IFERROR(MAX(0,CP1060-BV358),0),0)</f>
        <v>0</v>
      </c>
      <c r="CT1060">
        <f>IF(ISNUMBER(CQ1060),IFERROR(MAX(0,BW358-CQ1060),0),0)</f>
        <v>0</v>
      </c>
      <c r="CU1060">
        <f>IF(ISNUMBER(CQ1060),IFERROR(MAX(0,CQ1060-BW358),0),0)</f>
        <v>0</v>
      </c>
    </row>
    <row r="1061" spans="87:99" x14ac:dyDescent="0.3">
      <c r="CI1061" t="e">
        <f>AP358</f>
        <v>#N/A</v>
      </c>
      <c r="CJ1061" t="e">
        <f>AQ358</f>
        <v>#N/A</v>
      </c>
      <c r="CK1061">
        <f>IF(ISNUMBER(CI1061),IFERROR(MAX(0,AR358-CI1061),0),0)</f>
        <v>0</v>
      </c>
      <c r="CL1061">
        <f>IF(ISNUMBER(CI1061),IFERROR(MAX(0,CI1061-AR358),0),0)</f>
        <v>0</v>
      </c>
      <c r="CM1061">
        <f>IF(ISNUMBER(CJ1061),IFERROR(MAX(0,AS358-CJ1061),0),0)</f>
        <v>0</v>
      </c>
      <c r="CN1061">
        <f>IF(ISNUMBER(CJ1061),IFERROR(MAX(0,CJ1061-AS358),0),0)</f>
        <v>0</v>
      </c>
      <c r="CP1061" t="e">
        <f>BX358</f>
        <v>#N/A</v>
      </c>
      <c r="CQ1061" t="e">
        <f>BY358</f>
        <v>#N/A</v>
      </c>
      <c r="CR1061">
        <f>IF(ISNUMBER(CP1061),IFERROR(MAX(0,BZ358-CP1061),0),0)</f>
        <v>0</v>
      </c>
      <c r="CS1061">
        <f>IF(ISNUMBER(CP1061),IFERROR(MAX(0,CP1061-BZ358),0),0)</f>
        <v>0</v>
      </c>
      <c r="CT1061">
        <f>IF(ISNUMBER(CQ1061),IFERROR(MAX(0,CA358-CQ1061),0),0)</f>
        <v>0</v>
      </c>
      <c r="CU1061">
        <f>IF(ISNUMBER(CQ1061),IFERROR(MAX(0,CQ1061-CA358),0),0)</f>
        <v>0</v>
      </c>
    </row>
    <row r="1062" spans="87:99" x14ac:dyDescent="0.3">
      <c r="CI1062" t="e">
        <f>AT358</f>
        <v>#N/A</v>
      </c>
      <c r="CJ1062" t="e">
        <f>AU358</f>
        <v>#N/A</v>
      </c>
      <c r="CK1062">
        <f>IF(ISNUMBER(CI1062),IFERROR(MAX(0,AV358-CI1062),0),0)</f>
        <v>0</v>
      </c>
      <c r="CL1062">
        <f>IF(ISNUMBER(CI1062),IFERROR(MAX(0,CI1062-AV358),0),0)</f>
        <v>0</v>
      </c>
      <c r="CM1062">
        <f>IF(ISNUMBER(CJ1062),IFERROR(MAX(0,AW358-CJ1062),0),0)</f>
        <v>0</v>
      </c>
      <c r="CN1062">
        <f>IF(ISNUMBER(CJ1062),IFERROR(MAX(0,CJ1062-AW358),0),0)</f>
        <v>0</v>
      </c>
      <c r="CP1062" t="e">
        <f>CB358</f>
        <v>#N/A</v>
      </c>
      <c r="CQ1062" t="e">
        <f>CC358</f>
        <v>#N/A</v>
      </c>
      <c r="CR1062">
        <f>IF(ISNUMBER(CP1062),IFERROR(MAX(0,CD358-CP1062),0),0)</f>
        <v>0</v>
      </c>
      <c r="CS1062">
        <f>IF(ISNUMBER(CP1062),IFERROR(MAX(0,CP1062-CD358),0),0)</f>
        <v>0</v>
      </c>
      <c r="CT1062">
        <f>IF(ISNUMBER(CQ1062),IFERROR(MAX(0,CE358-CQ1062),0),0)</f>
        <v>0</v>
      </c>
      <c r="CU1062">
        <f>IF(ISNUMBER(CQ1062),IFERROR(MAX(0,CQ1062-CE358),0),0)</f>
        <v>0</v>
      </c>
    </row>
    <row r="1063" spans="87:99" x14ac:dyDescent="0.3">
      <c r="CI1063" t="e">
        <f>AL359</f>
        <v>#N/A</v>
      </c>
      <c r="CJ1063" t="e">
        <f>AM359</f>
        <v>#N/A</v>
      </c>
      <c r="CK1063">
        <f>IF(ISNUMBER(CI1063),IFERROR(MAX(0,AN359-CI1063),0),0)</f>
        <v>0</v>
      </c>
      <c r="CL1063">
        <f>IF(ISNUMBER(CI1063),IFERROR(MAX(0,CI1063-AN359),0),0)</f>
        <v>0</v>
      </c>
      <c r="CM1063">
        <f>IF(ISNUMBER(CJ1063),IFERROR(MAX(0,AO359-CJ1063),0),0)</f>
        <v>0</v>
      </c>
      <c r="CN1063">
        <f>IF(ISNUMBER(CJ1063),IFERROR(MAX(0,CJ1063-AO359),0),0)</f>
        <v>0</v>
      </c>
      <c r="CP1063" t="e">
        <f>BT359</f>
        <v>#N/A</v>
      </c>
      <c r="CQ1063" t="e">
        <f>BU359</f>
        <v>#N/A</v>
      </c>
      <c r="CR1063">
        <f>IF(ISNUMBER(CP1063),IFERROR(MAX(0,BV359-CP1063),0),0)</f>
        <v>0</v>
      </c>
      <c r="CS1063">
        <f>IF(ISNUMBER(CP1063),IFERROR(MAX(0,CP1063-BV359),0),0)</f>
        <v>0</v>
      </c>
      <c r="CT1063">
        <f>IF(ISNUMBER(CQ1063),IFERROR(MAX(0,BW359-CQ1063),0),0)</f>
        <v>0</v>
      </c>
      <c r="CU1063">
        <f>IF(ISNUMBER(CQ1063),IFERROR(MAX(0,CQ1063-BW359),0),0)</f>
        <v>0</v>
      </c>
    </row>
    <row r="1064" spans="87:99" x14ac:dyDescent="0.3">
      <c r="CI1064" t="e">
        <f>AP359</f>
        <v>#N/A</v>
      </c>
      <c r="CJ1064" t="e">
        <f>AQ359</f>
        <v>#N/A</v>
      </c>
      <c r="CK1064">
        <f>IF(ISNUMBER(CI1064),IFERROR(MAX(0,AR359-CI1064),0),0)</f>
        <v>0</v>
      </c>
      <c r="CL1064">
        <f>IF(ISNUMBER(CI1064),IFERROR(MAX(0,CI1064-AR359),0),0)</f>
        <v>0</v>
      </c>
      <c r="CM1064">
        <f>IF(ISNUMBER(CJ1064),IFERROR(MAX(0,AS359-CJ1064),0),0)</f>
        <v>0</v>
      </c>
      <c r="CN1064">
        <f>IF(ISNUMBER(CJ1064),IFERROR(MAX(0,CJ1064-AS359),0),0)</f>
        <v>0</v>
      </c>
      <c r="CP1064" t="e">
        <f>BX359</f>
        <v>#N/A</v>
      </c>
      <c r="CQ1064" t="e">
        <f>BY359</f>
        <v>#N/A</v>
      </c>
      <c r="CR1064">
        <f>IF(ISNUMBER(CP1064),IFERROR(MAX(0,BZ359-CP1064),0),0)</f>
        <v>0</v>
      </c>
      <c r="CS1064">
        <f>IF(ISNUMBER(CP1064),IFERROR(MAX(0,CP1064-BZ359),0),0)</f>
        <v>0</v>
      </c>
      <c r="CT1064">
        <f>IF(ISNUMBER(CQ1064),IFERROR(MAX(0,CA359-CQ1064),0),0)</f>
        <v>0</v>
      </c>
      <c r="CU1064">
        <f>IF(ISNUMBER(CQ1064),IFERROR(MAX(0,CQ1064-CA359),0),0)</f>
        <v>0</v>
      </c>
    </row>
    <row r="1065" spans="87:99" x14ac:dyDescent="0.3">
      <c r="CI1065" t="e">
        <f>AT359</f>
        <v>#N/A</v>
      </c>
      <c r="CJ1065" t="e">
        <f>AU359</f>
        <v>#N/A</v>
      </c>
      <c r="CK1065">
        <f>IF(ISNUMBER(CI1065),IFERROR(MAX(0,AV359-CI1065),0),0)</f>
        <v>0</v>
      </c>
      <c r="CL1065">
        <f>IF(ISNUMBER(CI1065),IFERROR(MAX(0,CI1065-AV359),0),0)</f>
        <v>0</v>
      </c>
      <c r="CM1065">
        <f>IF(ISNUMBER(CJ1065),IFERROR(MAX(0,AW359-CJ1065),0),0)</f>
        <v>0</v>
      </c>
      <c r="CN1065">
        <f>IF(ISNUMBER(CJ1065),IFERROR(MAX(0,CJ1065-AW359),0),0)</f>
        <v>0</v>
      </c>
      <c r="CP1065" t="e">
        <f>CB359</f>
        <v>#N/A</v>
      </c>
      <c r="CQ1065" t="e">
        <f>CC359</f>
        <v>#N/A</v>
      </c>
      <c r="CR1065">
        <f>IF(ISNUMBER(CP1065),IFERROR(MAX(0,CD359-CP1065),0),0)</f>
        <v>0</v>
      </c>
      <c r="CS1065">
        <f>IF(ISNUMBER(CP1065),IFERROR(MAX(0,CP1065-CD359),0),0)</f>
        <v>0</v>
      </c>
      <c r="CT1065">
        <f>IF(ISNUMBER(CQ1065),IFERROR(MAX(0,CE359-CQ1065),0),0)</f>
        <v>0</v>
      </c>
      <c r="CU1065">
        <f>IF(ISNUMBER(CQ1065),IFERROR(MAX(0,CQ1065-CE359),0),0)</f>
        <v>0</v>
      </c>
    </row>
    <row r="1066" spans="87:99" x14ac:dyDescent="0.3">
      <c r="CI1066" t="e">
        <f>AL360</f>
        <v>#N/A</v>
      </c>
      <c r="CJ1066" t="e">
        <f>AM360</f>
        <v>#N/A</v>
      </c>
      <c r="CK1066">
        <f>IF(ISNUMBER(CI1066),IFERROR(MAX(0,AN360-CI1066),0),0)</f>
        <v>0</v>
      </c>
      <c r="CL1066">
        <f>IF(ISNUMBER(CI1066),IFERROR(MAX(0,CI1066-AN360),0),0)</f>
        <v>0</v>
      </c>
      <c r="CM1066">
        <f>IF(ISNUMBER(CJ1066),IFERROR(MAX(0,AO360-CJ1066),0),0)</f>
        <v>0</v>
      </c>
      <c r="CN1066">
        <f>IF(ISNUMBER(CJ1066),IFERROR(MAX(0,CJ1066-AO360),0),0)</f>
        <v>0</v>
      </c>
      <c r="CP1066" t="e">
        <f>BT360</f>
        <v>#N/A</v>
      </c>
      <c r="CQ1066" t="e">
        <f>BU360</f>
        <v>#N/A</v>
      </c>
      <c r="CR1066">
        <f>IF(ISNUMBER(CP1066),IFERROR(MAX(0,BV360-CP1066),0),0)</f>
        <v>0</v>
      </c>
      <c r="CS1066">
        <f>IF(ISNUMBER(CP1066),IFERROR(MAX(0,CP1066-BV360),0),0)</f>
        <v>0</v>
      </c>
      <c r="CT1066">
        <f>IF(ISNUMBER(CQ1066),IFERROR(MAX(0,BW360-CQ1066),0),0)</f>
        <v>0</v>
      </c>
      <c r="CU1066">
        <f>IF(ISNUMBER(CQ1066),IFERROR(MAX(0,CQ1066-BW360),0),0)</f>
        <v>0</v>
      </c>
    </row>
    <row r="1067" spans="87:99" x14ac:dyDescent="0.3">
      <c r="CI1067" t="e">
        <f>AP360</f>
        <v>#N/A</v>
      </c>
      <c r="CJ1067" t="e">
        <f>AQ360</f>
        <v>#N/A</v>
      </c>
      <c r="CK1067">
        <f>IF(ISNUMBER(CI1067),IFERROR(MAX(0,AR360-CI1067),0),0)</f>
        <v>0</v>
      </c>
      <c r="CL1067">
        <f>IF(ISNUMBER(CI1067),IFERROR(MAX(0,CI1067-AR360),0),0)</f>
        <v>0</v>
      </c>
      <c r="CM1067">
        <f>IF(ISNUMBER(CJ1067),IFERROR(MAX(0,AS360-CJ1067),0),0)</f>
        <v>0</v>
      </c>
      <c r="CN1067">
        <f>IF(ISNUMBER(CJ1067),IFERROR(MAX(0,CJ1067-AS360),0),0)</f>
        <v>0</v>
      </c>
      <c r="CP1067" t="e">
        <f>BX360</f>
        <v>#N/A</v>
      </c>
      <c r="CQ1067" t="e">
        <f>BY360</f>
        <v>#N/A</v>
      </c>
      <c r="CR1067">
        <f>IF(ISNUMBER(CP1067),IFERROR(MAX(0,BZ360-CP1067),0),0)</f>
        <v>0</v>
      </c>
      <c r="CS1067">
        <f>IF(ISNUMBER(CP1067),IFERROR(MAX(0,CP1067-BZ360),0),0)</f>
        <v>0</v>
      </c>
      <c r="CT1067">
        <f>IF(ISNUMBER(CQ1067),IFERROR(MAX(0,CA360-CQ1067),0),0)</f>
        <v>0</v>
      </c>
      <c r="CU1067">
        <f>IF(ISNUMBER(CQ1067),IFERROR(MAX(0,CQ1067-CA360),0),0)</f>
        <v>0</v>
      </c>
    </row>
    <row r="1068" spans="87:99" x14ac:dyDescent="0.3">
      <c r="CI1068" t="e">
        <f>AT360</f>
        <v>#N/A</v>
      </c>
      <c r="CJ1068" t="e">
        <f>AU360</f>
        <v>#N/A</v>
      </c>
      <c r="CK1068">
        <f>IF(ISNUMBER(CI1068),IFERROR(MAX(0,AV360-CI1068),0),0)</f>
        <v>0</v>
      </c>
      <c r="CL1068">
        <f>IF(ISNUMBER(CI1068),IFERROR(MAX(0,CI1068-AV360),0),0)</f>
        <v>0</v>
      </c>
      <c r="CM1068">
        <f>IF(ISNUMBER(CJ1068),IFERROR(MAX(0,AW360-CJ1068),0),0)</f>
        <v>0</v>
      </c>
      <c r="CN1068">
        <f>IF(ISNUMBER(CJ1068),IFERROR(MAX(0,CJ1068-AW360),0),0)</f>
        <v>0</v>
      </c>
      <c r="CP1068" t="e">
        <f>CB360</f>
        <v>#N/A</v>
      </c>
      <c r="CQ1068" t="e">
        <f>CC360</f>
        <v>#N/A</v>
      </c>
      <c r="CR1068">
        <f>IF(ISNUMBER(CP1068),IFERROR(MAX(0,CD360-CP1068),0),0)</f>
        <v>0</v>
      </c>
      <c r="CS1068">
        <f>IF(ISNUMBER(CP1068),IFERROR(MAX(0,CP1068-CD360),0),0)</f>
        <v>0</v>
      </c>
      <c r="CT1068">
        <f>IF(ISNUMBER(CQ1068),IFERROR(MAX(0,CE360-CQ1068),0),0)</f>
        <v>0</v>
      </c>
      <c r="CU1068">
        <f>IF(ISNUMBER(CQ1068),IFERROR(MAX(0,CQ1068-CE360),0),0)</f>
        <v>0</v>
      </c>
    </row>
    <row r="1069" spans="87:99" x14ac:dyDescent="0.3">
      <c r="CI1069" t="e">
        <f>AL361</f>
        <v>#N/A</v>
      </c>
      <c r="CJ1069" t="e">
        <f>AM361</f>
        <v>#N/A</v>
      </c>
      <c r="CK1069">
        <f>IF(ISNUMBER(CI1069),IFERROR(MAX(0,AN361-CI1069),0),0)</f>
        <v>0</v>
      </c>
      <c r="CL1069">
        <f>IF(ISNUMBER(CI1069),IFERROR(MAX(0,CI1069-AN361),0),0)</f>
        <v>0</v>
      </c>
      <c r="CM1069">
        <f>IF(ISNUMBER(CJ1069),IFERROR(MAX(0,AO361-CJ1069),0),0)</f>
        <v>0</v>
      </c>
      <c r="CN1069">
        <f>IF(ISNUMBER(CJ1069),IFERROR(MAX(0,CJ1069-AO361),0),0)</f>
        <v>0</v>
      </c>
      <c r="CP1069" t="e">
        <f>BT361</f>
        <v>#N/A</v>
      </c>
      <c r="CQ1069" t="e">
        <f>BU361</f>
        <v>#N/A</v>
      </c>
      <c r="CR1069">
        <f>IF(ISNUMBER(CP1069),IFERROR(MAX(0,BV361-CP1069),0),0)</f>
        <v>0</v>
      </c>
      <c r="CS1069">
        <f>IF(ISNUMBER(CP1069),IFERROR(MAX(0,CP1069-BV361),0),0)</f>
        <v>0</v>
      </c>
      <c r="CT1069">
        <f>IF(ISNUMBER(CQ1069),IFERROR(MAX(0,BW361-CQ1069),0),0)</f>
        <v>0</v>
      </c>
      <c r="CU1069">
        <f>IF(ISNUMBER(CQ1069),IFERROR(MAX(0,CQ1069-BW361),0),0)</f>
        <v>0</v>
      </c>
    </row>
    <row r="1070" spans="87:99" x14ac:dyDescent="0.3">
      <c r="CI1070" t="e">
        <f>AP361</f>
        <v>#N/A</v>
      </c>
      <c r="CJ1070" t="e">
        <f>AQ361</f>
        <v>#N/A</v>
      </c>
      <c r="CK1070">
        <f>IF(ISNUMBER(CI1070),IFERROR(MAX(0,AR361-CI1070),0),0)</f>
        <v>0</v>
      </c>
      <c r="CL1070">
        <f>IF(ISNUMBER(CI1070),IFERROR(MAX(0,CI1070-AR361),0),0)</f>
        <v>0</v>
      </c>
      <c r="CM1070">
        <f>IF(ISNUMBER(CJ1070),IFERROR(MAX(0,AS361-CJ1070),0),0)</f>
        <v>0</v>
      </c>
      <c r="CN1070">
        <f>IF(ISNUMBER(CJ1070),IFERROR(MAX(0,CJ1070-AS361),0),0)</f>
        <v>0</v>
      </c>
      <c r="CP1070" t="e">
        <f>BX361</f>
        <v>#N/A</v>
      </c>
      <c r="CQ1070" t="e">
        <f>BY361</f>
        <v>#N/A</v>
      </c>
      <c r="CR1070">
        <f>IF(ISNUMBER(CP1070),IFERROR(MAX(0,BZ361-CP1070),0),0)</f>
        <v>0</v>
      </c>
      <c r="CS1070">
        <f>IF(ISNUMBER(CP1070),IFERROR(MAX(0,CP1070-BZ361),0),0)</f>
        <v>0</v>
      </c>
      <c r="CT1070">
        <f>IF(ISNUMBER(CQ1070),IFERROR(MAX(0,CA361-CQ1070),0),0)</f>
        <v>0</v>
      </c>
      <c r="CU1070">
        <f>IF(ISNUMBER(CQ1070),IFERROR(MAX(0,CQ1070-CA361),0),0)</f>
        <v>0</v>
      </c>
    </row>
    <row r="1071" spans="87:99" x14ac:dyDescent="0.3">
      <c r="CI1071" t="e">
        <f>AT361</f>
        <v>#N/A</v>
      </c>
      <c r="CJ1071" t="e">
        <f>AU361</f>
        <v>#N/A</v>
      </c>
      <c r="CK1071">
        <f>IF(ISNUMBER(CI1071),IFERROR(MAX(0,AV361-CI1071),0),0)</f>
        <v>0</v>
      </c>
      <c r="CL1071">
        <f>IF(ISNUMBER(CI1071),IFERROR(MAX(0,CI1071-AV361),0),0)</f>
        <v>0</v>
      </c>
      <c r="CM1071">
        <f>IF(ISNUMBER(CJ1071),IFERROR(MAX(0,AW361-CJ1071),0),0)</f>
        <v>0</v>
      </c>
      <c r="CN1071">
        <f>IF(ISNUMBER(CJ1071),IFERROR(MAX(0,CJ1071-AW361),0),0)</f>
        <v>0</v>
      </c>
      <c r="CP1071" t="e">
        <f>CB361</f>
        <v>#N/A</v>
      </c>
      <c r="CQ1071" t="e">
        <f>CC361</f>
        <v>#N/A</v>
      </c>
      <c r="CR1071">
        <f>IF(ISNUMBER(CP1071),IFERROR(MAX(0,CD361-CP1071),0),0)</f>
        <v>0</v>
      </c>
      <c r="CS1071">
        <f>IF(ISNUMBER(CP1071),IFERROR(MAX(0,CP1071-CD361),0),0)</f>
        <v>0</v>
      </c>
      <c r="CT1071">
        <f>IF(ISNUMBER(CQ1071),IFERROR(MAX(0,CE361-CQ1071),0),0)</f>
        <v>0</v>
      </c>
      <c r="CU1071">
        <f>IF(ISNUMBER(CQ1071),IFERROR(MAX(0,CQ1071-CE361),0),0)</f>
        <v>0</v>
      </c>
    </row>
    <row r="1072" spans="87:99" x14ac:dyDescent="0.3">
      <c r="CI1072" t="e">
        <f>AL362</f>
        <v>#N/A</v>
      </c>
      <c r="CJ1072" t="e">
        <f>AM362</f>
        <v>#N/A</v>
      </c>
      <c r="CK1072">
        <f>IF(ISNUMBER(CI1072),IFERROR(MAX(0,AN362-CI1072),0),0)</f>
        <v>0</v>
      </c>
      <c r="CL1072">
        <f>IF(ISNUMBER(CI1072),IFERROR(MAX(0,CI1072-AN362),0),0)</f>
        <v>0</v>
      </c>
      <c r="CM1072">
        <f>IF(ISNUMBER(CJ1072),IFERROR(MAX(0,AO362-CJ1072),0),0)</f>
        <v>0</v>
      </c>
      <c r="CN1072">
        <f>IF(ISNUMBER(CJ1072),IFERROR(MAX(0,CJ1072-AO362),0),0)</f>
        <v>0</v>
      </c>
      <c r="CP1072" t="e">
        <f>BT362</f>
        <v>#N/A</v>
      </c>
      <c r="CQ1072" t="e">
        <f>BU362</f>
        <v>#N/A</v>
      </c>
      <c r="CR1072">
        <f>IF(ISNUMBER(CP1072),IFERROR(MAX(0,BV362-CP1072),0),0)</f>
        <v>0</v>
      </c>
      <c r="CS1072">
        <f>IF(ISNUMBER(CP1072),IFERROR(MAX(0,CP1072-BV362),0),0)</f>
        <v>0</v>
      </c>
      <c r="CT1072">
        <f>IF(ISNUMBER(CQ1072),IFERROR(MAX(0,BW362-CQ1072),0),0)</f>
        <v>0</v>
      </c>
      <c r="CU1072">
        <f>IF(ISNUMBER(CQ1072),IFERROR(MAX(0,CQ1072-BW362),0),0)</f>
        <v>0</v>
      </c>
    </row>
    <row r="1073" spans="87:99" x14ac:dyDescent="0.3">
      <c r="CI1073" t="e">
        <f>AP362</f>
        <v>#N/A</v>
      </c>
      <c r="CJ1073" t="e">
        <f>AQ362</f>
        <v>#N/A</v>
      </c>
      <c r="CK1073">
        <f>IF(ISNUMBER(CI1073),IFERROR(MAX(0,AR362-CI1073),0),0)</f>
        <v>0</v>
      </c>
      <c r="CL1073">
        <f>IF(ISNUMBER(CI1073),IFERROR(MAX(0,CI1073-AR362),0),0)</f>
        <v>0</v>
      </c>
      <c r="CM1073">
        <f>IF(ISNUMBER(CJ1073),IFERROR(MAX(0,AS362-CJ1073),0),0)</f>
        <v>0</v>
      </c>
      <c r="CN1073">
        <f>IF(ISNUMBER(CJ1073),IFERROR(MAX(0,CJ1073-AS362),0),0)</f>
        <v>0</v>
      </c>
      <c r="CP1073" t="e">
        <f>BX362</f>
        <v>#N/A</v>
      </c>
      <c r="CQ1073" t="e">
        <f>BY362</f>
        <v>#N/A</v>
      </c>
      <c r="CR1073">
        <f>IF(ISNUMBER(CP1073),IFERROR(MAX(0,BZ362-CP1073),0),0)</f>
        <v>0</v>
      </c>
      <c r="CS1073">
        <f>IF(ISNUMBER(CP1073),IFERROR(MAX(0,CP1073-BZ362),0),0)</f>
        <v>0</v>
      </c>
      <c r="CT1073">
        <f>IF(ISNUMBER(CQ1073),IFERROR(MAX(0,CA362-CQ1073),0),0)</f>
        <v>0</v>
      </c>
      <c r="CU1073">
        <f>IF(ISNUMBER(CQ1073),IFERROR(MAX(0,CQ1073-CA362),0),0)</f>
        <v>0</v>
      </c>
    </row>
    <row r="1074" spans="87:99" x14ac:dyDescent="0.3">
      <c r="CI1074" t="e">
        <f>AT362</f>
        <v>#N/A</v>
      </c>
      <c r="CJ1074" t="e">
        <f>AU362</f>
        <v>#N/A</v>
      </c>
      <c r="CK1074">
        <f>IF(ISNUMBER(CI1074),IFERROR(MAX(0,AV362-CI1074),0),0)</f>
        <v>0</v>
      </c>
      <c r="CL1074">
        <f>IF(ISNUMBER(CI1074),IFERROR(MAX(0,CI1074-AV362),0),0)</f>
        <v>0</v>
      </c>
      <c r="CM1074">
        <f>IF(ISNUMBER(CJ1074),IFERROR(MAX(0,AW362-CJ1074),0),0)</f>
        <v>0</v>
      </c>
      <c r="CN1074">
        <f>IF(ISNUMBER(CJ1074),IFERROR(MAX(0,CJ1074-AW362),0),0)</f>
        <v>0</v>
      </c>
      <c r="CP1074" t="e">
        <f>CB362</f>
        <v>#N/A</v>
      </c>
      <c r="CQ1074" t="e">
        <f>CC362</f>
        <v>#N/A</v>
      </c>
      <c r="CR1074">
        <f>IF(ISNUMBER(CP1074),IFERROR(MAX(0,CD362-CP1074),0),0)</f>
        <v>0</v>
      </c>
      <c r="CS1074">
        <f>IF(ISNUMBER(CP1074),IFERROR(MAX(0,CP1074-CD362),0),0)</f>
        <v>0</v>
      </c>
      <c r="CT1074">
        <f>IF(ISNUMBER(CQ1074),IFERROR(MAX(0,CE362-CQ1074),0),0)</f>
        <v>0</v>
      </c>
      <c r="CU1074">
        <f>IF(ISNUMBER(CQ1074),IFERROR(MAX(0,CQ1074-CE362),0),0)</f>
        <v>0</v>
      </c>
    </row>
    <row r="1075" spans="87:99" x14ac:dyDescent="0.3">
      <c r="CI1075" t="e">
        <f>AL363</f>
        <v>#N/A</v>
      </c>
      <c r="CJ1075" t="e">
        <f>AM363</f>
        <v>#N/A</v>
      </c>
      <c r="CK1075">
        <f>IF(ISNUMBER(CI1075),IFERROR(MAX(0,AN363-CI1075),0),0)</f>
        <v>0</v>
      </c>
      <c r="CL1075">
        <f>IF(ISNUMBER(CI1075),IFERROR(MAX(0,CI1075-AN363),0),0)</f>
        <v>0</v>
      </c>
      <c r="CM1075">
        <f>IF(ISNUMBER(CJ1075),IFERROR(MAX(0,AO363-CJ1075),0),0)</f>
        <v>0</v>
      </c>
      <c r="CN1075">
        <f>IF(ISNUMBER(CJ1075),IFERROR(MAX(0,CJ1075-AO363),0),0)</f>
        <v>0</v>
      </c>
      <c r="CP1075" t="e">
        <f>BT363</f>
        <v>#N/A</v>
      </c>
      <c r="CQ1075" t="e">
        <f>BU363</f>
        <v>#N/A</v>
      </c>
      <c r="CR1075">
        <f>IF(ISNUMBER(CP1075),IFERROR(MAX(0,BV363-CP1075),0),0)</f>
        <v>0</v>
      </c>
      <c r="CS1075">
        <f>IF(ISNUMBER(CP1075),IFERROR(MAX(0,CP1075-BV363),0),0)</f>
        <v>0</v>
      </c>
      <c r="CT1075">
        <f>IF(ISNUMBER(CQ1075),IFERROR(MAX(0,BW363-CQ1075),0),0)</f>
        <v>0</v>
      </c>
      <c r="CU1075">
        <f>IF(ISNUMBER(CQ1075),IFERROR(MAX(0,CQ1075-BW363),0),0)</f>
        <v>0</v>
      </c>
    </row>
    <row r="1076" spans="87:99" x14ac:dyDescent="0.3">
      <c r="CI1076" t="e">
        <f>AP363</f>
        <v>#N/A</v>
      </c>
      <c r="CJ1076" t="e">
        <f>AQ363</f>
        <v>#N/A</v>
      </c>
      <c r="CK1076">
        <f>IF(ISNUMBER(CI1076),IFERROR(MAX(0,AR363-CI1076),0),0)</f>
        <v>0</v>
      </c>
      <c r="CL1076">
        <f>IF(ISNUMBER(CI1076),IFERROR(MAX(0,CI1076-AR363),0),0)</f>
        <v>0</v>
      </c>
      <c r="CM1076">
        <f>IF(ISNUMBER(CJ1076),IFERROR(MAX(0,AS363-CJ1076),0),0)</f>
        <v>0</v>
      </c>
      <c r="CN1076">
        <f>IF(ISNUMBER(CJ1076),IFERROR(MAX(0,CJ1076-AS363),0),0)</f>
        <v>0</v>
      </c>
      <c r="CP1076" t="e">
        <f>BX363</f>
        <v>#N/A</v>
      </c>
      <c r="CQ1076" t="e">
        <f>BY363</f>
        <v>#N/A</v>
      </c>
      <c r="CR1076">
        <f>IF(ISNUMBER(CP1076),IFERROR(MAX(0,BZ363-CP1076),0),0)</f>
        <v>0</v>
      </c>
      <c r="CS1076">
        <f>IF(ISNUMBER(CP1076),IFERROR(MAX(0,CP1076-BZ363),0),0)</f>
        <v>0</v>
      </c>
      <c r="CT1076">
        <f>IF(ISNUMBER(CQ1076),IFERROR(MAX(0,CA363-CQ1076),0),0)</f>
        <v>0</v>
      </c>
      <c r="CU1076">
        <f>IF(ISNUMBER(CQ1076),IFERROR(MAX(0,CQ1076-CA363),0),0)</f>
        <v>0</v>
      </c>
    </row>
    <row r="1077" spans="87:99" x14ac:dyDescent="0.3">
      <c r="CI1077" t="e">
        <f>AT363</f>
        <v>#N/A</v>
      </c>
      <c r="CJ1077" t="e">
        <f>AU363</f>
        <v>#N/A</v>
      </c>
      <c r="CK1077">
        <f>IF(ISNUMBER(CI1077),IFERROR(MAX(0,AV363-CI1077),0),0)</f>
        <v>0</v>
      </c>
      <c r="CL1077">
        <f>IF(ISNUMBER(CI1077),IFERROR(MAX(0,CI1077-AV363),0),0)</f>
        <v>0</v>
      </c>
      <c r="CM1077">
        <f>IF(ISNUMBER(CJ1077),IFERROR(MAX(0,AW363-CJ1077),0),0)</f>
        <v>0</v>
      </c>
      <c r="CN1077">
        <f>IF(ISNUMBER(CJ1077),IFERROR(MAX(0,CJ1077-AW363),0),0)</f>
        <v>0</v>
      </c>
      <c r="CP1077" t="e">
        <f>CB363</f>
        <v>#N/A</v>
      </c>
      <c r="CQ1077" t="e">
        <f>CC363</f>
        <v>#N/A</v>
      </c>
      <c r="CR1077">
        <f>IF(ISNUMBER(CP1077),IFERROR(MAX(0,CD363-CP1077),0),0)</f>
        <v>0</v>
      </c>
      <c r="CS1077">
        <f>IF(ISNUMBER(CP1077),IFERROR(MAX(0,CP1077-CD363),0),0)</f>
        <v>0</v>
      </c>
      <c r="CT1077">
        <f>IF(ISNUMBER(CQ1077),IFERROR(MAX(0,CE363-CQ1077),0),0)</f>
        <v>0</v>
      </c>
      <c r="CU1077">
        <f>IF(ISNUMBER(CQ1077),IFERROR(MAX(0,CQ1077-CE363),0),0)</f>
        <v>0</v>
      </c>
    </row>
    <row r="1078" spans="87:99" x14ac:dyDescent="0.3">
      <c r="CI1078" t="e">
        <f>AL364</f>
        <v>#N/A</v>
      </c>
      <c r="CJ1078" t="e">
        <f>AM364</f>
        <v>#N/A</v>
      </c>
      <c r="CK1078">
        <f>IF(ISNUMBER(CI1078),IFERROR(MAX(0,AN364-CI1078),0),0)</f>
        <v>0</v>
      </c>
      <c r="CL1078">
        <f>IF(ISNUMBER(CI1078),IFERROR(MAX(0,CI1078-AN364),0),0)</f>
        <v>0</v>
      </c>
      <c r="CM1078">
        <f>IF(ISNUMBER(CJ1078),IFERROR(MAX(0,AO364-CJ1078),0),0)</f>
        <v>0</v>
      </c>
      <c r="CN1078">
        <f>IF(ISNUMBER(CJ1078),IFERROR(MAX(0,CJ1078-AO364),0),0)</f>
        <v>0</v>
      </c>
      <c r="CP1078" t="e">
        <f>BT364</f>
        <v>#N/A</v>
      </c>
      <c r="CQ1078" t="e">
        <f>BU364</f>
        <v>#N/A</v>
      </c>
      <c r="CR1078">
        <f>IF(ISNUMBER(CP1078),IFERROR(MAX(0,BV364-CP1078),0),0)</f>
        <v>0</v>
      </c>
      <c r="CS1078">
        <f>IF(ISNUMBER(CP1078),IFERROR(MAX(0,CP1078-BV364),0),0)</f>
        <v>0</v>
      </c>
      <c r="CT1078">
        <f>IF(ISNUMBER(CQ1078),IFERROR(MAX(0,BW364-CQ1078),0),0)</f>
        <v>0</v>
      </c>
      <c r="CU1078">
        <f>IF(ISNUMBER(CQ1078),IFERROR(MAX(0,CQ1078-BW364),0),0)</f>
        <v>0</v>
      </c>
    </row>
    <row r="1079" spans="87:99" x14ac:dyDescent="0.3">
      <c r="CI1079" t="e">
        <f>AP364</f>
        <v>#N/A</v>
      </c>
      <c r="CJ1079" t="e">
        <f>AQ364</f>
        <v>#N/A</v>
      </c>
      <c r="CK1079">
        <f>IF(ISNUMBER(CI1079),IFERROR(MAX(0,AR364-CI1079),0),0)</f>
        <v>0</v>
      </c>
      <c r="CL1079">
        <f>IF(ISNUMBER(CI1079),IFERROR(MAX(0,CI1079-AR364),0),0)</f>
        <v>0</v>
      </c>
      <c r="CM1079">
        <f>IF(ISNUMBER(CJ1079),IFERROR(MAX(0,AS364-CJ1079),0),0)</f>
        <v>0</v>
      </c>
      <c r="CN1079">
        <f>IF(ISNUMBER(CJ1079),IFERROR(MAX(0,CJ1079-AS364),0),0)</f>
        <v>0</v>
      </c>
      <c r="CP1079" t="e">
        <f>BX364</f>
        <v>#N/A</v>
      </c>
      <c r="CQ1079" t="e">
        <f>BY364</f>
        <v>#N/A</v>
      </c>
      <c r="CR1079">
        <f>IF(ISNUMBER(CP1079),IFERROR(MAX(0,BZ364-CP1079),0),0)</f>
        <v>0</v>
      </c>
      <c r="CS1079">
        <f>IF(ISNUMBER(CP1079),IFERROR(MAX(0,CP1079-BZ364),0),0)</f>
        <v>0</v>
      </c>
      <c r="CT1079">
        <f>IF(ISNUMBER(CQ1079),IFERROR(MAX(0,CA364-CQ1079),0),0)</f>
        <v>0</v>
      </c>
      <c r="CU1079">
        <f>IF(ISNUMBER(CQ1079),IFERROR(MAX(0,CQ1079-CA364),0),0)</f>
        <v>0</v>
      </c>
    </row>
    <row r="1080" spans="87:99" x14ac:dyDescent="0.3">
      <c r="CI1080" t="e">
        <f>AT364</f>
        <v>#N/A</v>
      </c>
      <c r="CJ1080" t="e">
        <f>AU364</f>
        <v>#N/A</v>
      </c>
      <c r="CK1080">
        <f>IF(ISNUMBER(CI1080),IFERROR(MAX(0,AV364-CI1080),0),0)</f>
        <v>0</v>
      </c>
      <c r="CL1080">
        <f>IF(ISNUMBER(CI1080),IFERROR(MAX(0,CI1080-AV364),0),0)</f>
        <v>0</v>
      </c>
      <c r="CM1080">
        <f>IF(ISNUMBER(CJ1080),IFERROR(MAX(0,AW364-CJ1080),0),0)</f>
        <v>0</v>
      </c>
      <c r="CN1080">
        <f>IF(ISNUMBER(CJ1080),IFERROR(MAX(0,CJ1080-AW364),0),0)</f>
        <v>0</v>
      </c>
      <c r="CP1080" t="e">
        <f>CB364</f>
        <v>#N/A</v>
      </c>
      <c r="CQ1080" t="e">
        <f>CC364</f>
        <v>#N/A</v>
      </c>
      <c r="CR1080">
        <f>IF(ISNUMBER(CP1080),IFERROR(MAX(0,CD364-CP1080),0),0)</f>
        <v>0</v>
      </c>
      <c r="CS1080">
        <f>IF(ISNUMBER(CP1080),IFERROR(MAX(0,CP1080-CD364),0),0)</f>
        <v>0</v>
      </c>
      <c r="CT1080">
        <f>IF(ISNUMBER(CQ1080),IFERROR(MAX(0,CE364-CQ1080),0),0)</f>
        <v>0</v>
      </c>
      <c r="CU1080">
        <f>IF(ISNUMBER(CQ1080),IFERROR(MAX(0,CQ1080-CE364),0),0)</f>
        <v>0</v>
      </c>
    </row>
    <row r="1081" spans="87:99" x14ac:dyDescent="0.3">
      <c r="CI1081" t="e">
        <f>AL365</f>
        <v>#N/A</v>
      </c>
      <c r="CJ1081" t="e">
        <f>AM365</f>
        <v>#N/A</v>
      </c>
      <c r="CK1081">
        <f>IF(ISNUMBER(CI1081),IFERROR(MAX(0,AN365-CI1081),0),0)</f>
        <v>0</v>
      </c>
      <c r="CL1081">
        <f>IF(ISNUMBER(CI1081),IFERROR(MAX(0,CI1081-AN365),0),0)</f>
        <v>0</v>
      </c>
      <c r="CM1081">
        <f>IF(ISNUMBER(CJ1081),IFERROR(MAX(0,AO365-CJ1081),0),0)</f>
        <v>0</v>
      </c>
      <c r="CN1081">
        <f>IF(ISNUMBER(CJ1081),IFERROR(MAX(0,CJ1081-AO365),0),0)</f>
        <v>0</v>
      </c>
      <c r="CP1081" t="e">
        <f>BT365</f>
        <v>#N/A</v>
      </c>
      <c r="CQ1081" t="e">
        <f>BU365</f>
        <v>#N/A</v>
      </c>
      <c r="CR1081">
        <f>IF(ISNUMBER(CP1081),IFERROR(MAX(0,BV365-CP1081),0),0)</f>
        <v>0</v>
      </c>
      <c r="CS1081">
        <f>IF(ISNUMBER(CP1081),IFERROR(MAX(0,CP1081-BV365),0),0)</f>
        <v>0</v>
      </c>
      <c r="CT1081">
        <f>IF(ISNUMBER(CQ1081),IFERROR(MAX(0,BW365-CQ1081),0),0)</f>
        <v>0</v>
      </c>
      <c r="CU1081">
        <f>IF(ISNUMBER(CQ1081),IFERROR(MAX(0,CQ1081-BW365),0),0)</f>
        <v>0</v>
      </c>
    </row>
    <row r="1082" spans="87:99" x14ac:dyDescent="0.3">
      <c r="CI1082" t="e">
        <f>AP365</f>
        <v>#N/A</v>
      </c>
      <c r="CJ1082" t="e">
        <f>AQ365</f>
        <v>#N/A</v>
      </c>
      <c r="CK1082">
        <f>IF(ISNUMBER(CI1082),IFERROR(MAX(0,AR365-CI1082),0),0)</f>
        <v>0</v>
      </c>
      <c r="CL1082">
        <f>IF(ISNUMBER(CI1082),IFERROR(MAX(0,CI1082-AR365),0),0)</f>
        <v>0</v>
      </c>
      <c r="CM1082">
        <f>IF(ISNUMBER(CJ1082),IFERROR(MAX(0,AS365-CJ1082),0),0)</f>
        <v>0</v>
      </c>
      <c r="CN1082">
        <f>IF(ISNUMBER(CJ1082),IFERROR(MAX(0,CJ1082-AS365),0),0)</f>
        <v>0</v>
      </c>
      <c r="CP1082" t="e">
        <f>BX365</f>
        <v>#N/A</v>
      </c>
      <c r="CQ1082" t="e">
        <f>BY365</f>
        <v>#N/A</v>
      </c>
      <c r="CR1082">
        <f>IF(ISNUMBER(CP1082),IFERROR(MAX(0,BZ365-CP1082),0),0)</f>
        <v>0</v>
      </c>
      <c r="CS1082">
        <f>IF(ISNUMBER(CP1082),IFERROR(MAX(0,CP1082-BZ365),0),0)</f>
        <v>0</v>
      </c>
      <c r="CT1082">
        <f>IF(ISNUMBER(CQ1082),IFERROR(MAX(0,CA365-CQ1082),0),0)</f>
        <v>0</v>
      </c>
      <c r="CU1082">
        <f>IF(ISNUMBER(CQ1082),IFERROR(MAX(0,CQ1082-CA365),0),0)</f>
        <v>0</v>
      </c>
    </row>
    <row r="1083" spans="87:99" x14ac:dyDescent="0.3">
      <c r="CI1083" t="e">
        <f>AT365</f>
        <v>#N/A</v>
      </c>
      <c r="CJ1083" t="e">
        <f>AU365</f>
        <v>#N/A</v>
      </c>
      <c r="CK1083">
        <f>IF(ISNUMBER(CI1083),IFERROR(MAX(0,AV365-CI1083),0),0)</f>
        <v>0</v>
      </c>
      <c r="CL1083">
        <f>IF(ISNUMBER(CI1083),IFERROR(MAX(0,CI1083-AV365),0),0)</f>
        <v>0</v>
      </c>
      <c r="CM1083">
        <f>IF(ISNUMBER(CJ1083),IFERROR(MAX(0,AW365-CJ1083),0),0)</f>
        <v>0</v>
      </c>
      <c r="CN1083">
        <f>IF(ISNUMBER(CJ1083),IFERROR(MAX(0,CJ1083-AW365),0),0)</f>
        <v>0</v>
      </c>
      <c r="CP1083" t="e">
        <f>CB365</f>
        <v>#N/A</v>
      </c>
      <c r="CQ1083" t="e">
        <f>CC365</f>
        <v>#N/A</v>
      </c>
      <c r="CR1083">
        <f>IF(ISNUMBER(CP1083),IFERROR(MAX(0,CD365-CP1083),0),0)</f>
        <v>0</v>
      </c>
      <c r="CS1083">
        <f>IF(ISNUMBER(CP1083),IFERROR(MAX(0,CP1083-CD365),0),0)</f>
        <v>0</v>
      </c>
      <c r="CT1083">
        <f>IF(ISNUMBER(CQ1083),IFERROR(MAX(0,CE365-CQ1083),0),0)</f>
        <v>0</v>
      </c>
      <c r="CU1083">
        <f>IF(ISNUMBER(CQ1083),IFERROR(MAX(0,CQ1083-CE365),0),0)</f>
        <v>0</v>
      </c>
    </row>
    <row r="1084" spans="87:99" x14ac:dyDescent="0.3">
      <c r="CI1084" t="e">
        <f>AL366</f>
        <v>#N/A</v>
      </c>
      <c r="CJ1084" t="e">
        <f>AM366</f>
        <v>#N/A</v>
      </c>
      <c r="CK1084">
        <f>IF(ISNUMBER(CI1084),IFERROR(MAX(0,AN366-CI1084),0),0)</f>
        <v>0</v>
      </c>
      <c r="CL1084">
        <f>IF(ISNUMBER(CI1084),IFERROR(MAX(0,CI1084-AN366),0),0)</f>
        <v>0</v>
      </c>
      <c r="CM1084">
        <f>IF(ISNUMBER(CJ1084),IFERROR(MAX(0,AO366-CJ1084),0),0)</f>
        <v>0</v>
      </c>
      <c r="CN1084">
        <f>IF(ISNUMBER(CJ1084),IFERROR(MAX(0,CJ1084-AO366),0),0)</f>
        <v>0</v>
      </c>
      <c r="CP1084" t="e">
        <f>BT366</f>
        <v>#N/A</v>
      </c>
      <c r="CQ1084" t="e">
        <f>BU366</f>
        <v>#N/A</v>
      </c>
      <c r="CR1084">
        <f>IF(ISNUMBER(CP1084),IFERROR(MAX(0,BV366-CP1084),0),0)</f>
        <v>0</v>
      </c>
      <c r="CS1084">
        <f>IF(ISNUMBER(CP1084),IFERROR(MAX(0,CP1084-BV366),0),0)</f>
        <v>0</v>
      </c>
      <c r="CT1084">
        <f>IF(ISNUMBER(CQ1084),IFERROR(MAX(0,BW366-CQ1084),0),0)</f>
        <v>0</v>
      </c>
      <c r="CU1084">
        <f>IF(ISNUMBER(CQ1084),IFERROR(MAX(0,CQ1084-BW366),0),0)</f>
        <v>0</v>
      </c>
    </row>
    <row r="1085" spans="87:99" x14ac:dyDescent="0.3">
      <c r="CI1085" t="e">
        <f>AP366</f>
        <v>#N/A</v>
      </c>
      <c r="CJ1085" t="e">
        <f>AQ366</f>
        <v>#N/A</v>
      </c>
      <c r="CK1085">
        <f>IF(ISNUMBER(CI1085),IFERROR(MAX(0,AR366-CI1085),0),0)</f>
        <v>0</v>
      </c>
      <c r="CL1085">
        <f>IF(ISNUMBER(CI1085),IFERROR(MAX(0,CI1085-AR366),0),0)</f>
        <v>0</v>
      </c>
      <c r="CM1085">
        <f>IF(ISNUMBER(CJ1085),IFERROR(MAX(0,AS366-CJ1085),0),0)</f>
        <v>0</v>
      </c>
      <c r="CN1085">
        <f>IF(ISNUMBER(CJ1085),IFERROR(MAX(0,CJ1085-AS366),0),0)</f>
        <v>0</v>
      </c>
      <c r="CP1085" t="e">
        <f>BX366</f>
        <v>#N/A</v>
      </c>
      <c r="CQ1085" t="e">
        <f>BY366</f>
        <v>#N/A</v>
      </c>
      <c r="CR1085">
        <f>IF(ISNUMBER(CP1085),IFERROR(MAX(0,BZ366-CP1085),0),0)</f>
        <v>0</v>
      </c>
      <c r="CS1085">
        <f>IF(ISNUMBER(CP1085),IFERROR(MAX(0,CP1085-BZ366),0),0)</f>
        <v>0</v>
      </c>
      <c r="CT1085">
        <f>IF(ISNUMBER(CQ1085),IFERROR(MAX(0,CA366-CQ1085),0),0)</f>
        <v>0</v>
      </c>
      <c r="CU1085">
        <f>IF(ISNUMBER(CQ1085),IFERROR(MAX(0,CQ1085-CA366),0),0)</f>
        <v>0</v>
      </c>
    </row>
    <row r="1086" spans="87:99" x14ac:dyDescent="0.3">
      <c r="CI1086" t="e">
        <f>AT366</f>
        <v>#N/A</v>
      </c>
      <c r="CJ1086" t="e">
        <f>AU366</f>
        <v>#N/A</v>
      </c>
      <c r="CK1086">
        <f>IF(ISNUMBER(CI1086),IFERROR(MAX(0,AV366-CI1086),0),0)</f>
        <v>0</v>
      </c>
      <c r="CL1086">
        <f>IF(ISNUMBER(CI1086),IFERROR(MAX(0,CI1086-AV366),0),0)</f>
        <v>0</v>
      </c>
      <c r="CM1086">
        <f>IF(ISNUMBER(CJ1086),IFERROR(MAX(0,AW366-CJ1086),0),0)</f>
        <v>0</v>
      </c>
      <c r="CN1086">
        <f>IF(ISNUMBER(CJ1086),IFERROR(MAX(0,CJ1086-AW366),0),0)</f>
        <v>0</v>
      </c>
      <c r="CP1086" t="e">
        <f>CB366</f>
        <v>#N/A</v>
      </c>
      <c r="CQ1086" t="e">
        <f>CC366</f>
        <v>#N/A</v>
      </c>
      <c r="CR1086">
        <f>IF(ISNUMBER(CP1086),IFERROR(MAX(0,CD366-CP1086),0),0)</f>
        <v>0</v>
      </c>
      <c r="CS1086">
        <f>IF(ISNUMBER(CP1086),IFERROR(MAX(0,CP1086-CD366),0),0)</f>
        <v>0</v>
      </c>
      <c r="CT1086">
        <f>IF(ISNUMBER(CQ1086),IFERROR(MAX(0,CE366-CQ1086),0),0)</f>
        <v>0</v>
      </c>
      <c r="CU1086">
        <f>IF(ISNUMBER(CQ1086),IFERROR(MAX(0,CQ1086-CE366),0),0)</f>
        <v>0</v>
      </c>
    </row>
    <row r="1087" spans="87:99" x14ac:dyDescent="0.3">
      <c r="CI1087" t="e">
        <f>AL367</f>
        <v>#N/A</v>
      </c>
      <c r="CJ1087" t="e">
        <f>AM367</f>
        <v>#N/A</v>
      </c>
      <c r="CK1087">
        <f>IF(ISNUMBER(CI1087),IFERROR(MAX(0,AN367-CI1087),0),0)</f>
        <v>0</v>
      </c>
      <c r="CL1087">
        <f>IF(ISNUMBER(CI1087),IFERROR(MAX(0,CI1087-AN367),0),0)</f>
        <v>0</v>
      </c>
      <c r="CM1087">
        <f>IF(ISNUMBER(CJ1087),IFERROR(MAX(0,AO367-CJ1087),0),0)</f>
        <v>0</v>
      </c>
      <c r="CN1087">
        <f>IF(ISNUMBER(CJ1087),IFERROR(MAX(0,CJ1087-AO367),0),0)</f>
        <v>0</v>
      </c>
      <c r="CP1087" t="e">
        <f>BT367</f>
        <v>#N/A</v>
      </c>
      <c r="CQ1087" t="e">
        <f>BU367</f>
        <v>#N/A</v>
      </c>
      <c r="CR1087">
        <f>IF(ISNUMBER(CP1087),IFERROR(MAX(0,BV367-CP1087),0),0)</f>
        <v>0</v>
      </c>
      <c r="CS1087">
        <f>IF(ISNUMBER(CP1087),IFERROR(MAX(0,CP1087-BV367),0),0)</f>
        <v>0</v>
      </c>
      <c r="CT1087">
        <f>IF(ISNUMBER(CQ1087),IFERROR(MAX(0,BW367-CQ1087),0),0)</f>
        <v>0</v>
      </c>
      <c r="CU1087">
        <f>IF(ISNUMBER(CQ1087),IFERROR(MAX(0,CQ1087-BW367),0),0)</f>
        <v>0</v>
      </c>
    </row>
    <row r="1088" spans="87:99" x14ac:dyDescent="0.3">
      <c r="CI1088" t="e">
        <f>AP367</f>
        <v>#N/A</v>
      </c>
      <c r="CJ1088" t="e">
        <f>AQ367</f>
        <v>#N/A</v>
      </c>
      <c r="CK1088">
        <f>IF(ISNUMBER(CI1088),IFERROR(MAX(0,AR367-CI1088),0),0)</f>
        <v>0</v>
      </c>
      <c r="CL1088">
        <f>IF(ISNUMBER(CI1088),IFERROR(MAX(0,CI1088-AR367),0),0)</f>
        <v>0</v>
      </c>
      <c r="CM1088">
        <f>IF(ISNUMBER(CJ1088),IFERROR(MAX(0,AS367-CJ1088),0),0)</f>
        <v>0</v>
      </c>
      <c r="CN1088">
        <f>IF(ISNUMBER(CJ1088),IFERROR(MAX(0,CJ1088-AS367),0),0)</f>
        <v>0</v>
      </c>
      <c r="CP1088" t="e">
        <f>BX367</f>
        <v>#N/A</v>
      </c>
      <c r="CQ1088" t="e">
        <f>BY367</f>
        <v>#N/A</v>
      </c>
      <c r="CR1088">
        <f>IF(ISNUMBER(CP1088),IFERROR(MAX(0,BZ367-CP1088),0),0)</f>
        <v>0</v>
      </c>
      <c r="CS1088">
        <f>IF(ISNUMBER(CP1088),IFERROR(MAX(0,CP1088-BZ367),0),0)</f>
        <v>0</v>
      </c>
      <c r="CT1088">
        <f>IF(ISNUMBER(CQ1088),IFERROR(MAX(0,CA367-CQ1088),0),0)</f>
        <v>0</v>
      </c>
      <c r="CU1088">
        <f>IF(ISNUMBER(CQ1088),IFERROR(MAX(0,CQ1088-CA367),0),0)</f>
        <v>0</v>
      </c>
    </row>
    <row r="1089" spans="87:99" x14ac:dyDescent="0.3">
      <c r="CI1089" t="e">
        <f>AT367</f>
        <v>#N/A</v>
      </c>
      <c r="CJ1089" t="e">
        <f>AU367</f>
        <v>#N/A</v>
      </c>
      <c r="CK1089">
        <f>IF(ISNUMBER(CI1089),IFERROR(MAX(0,AV367-CI1089),0),0)</f>
        <v>0</v>
      </c>
      <c r="CL1089">
        <f>IF(ISNUMBER(CI1089),IFERROR(MAX(0,CI1089-AV367),0),0)</f>
        <v>0</v>
      </c>
      <c r="CM1089">
        <f>IF(ISNUMBER(CJ1089),IFERROR(MAX(0,AW367-CJ1089),0),0)</f>
        <v>0</v>
      </c>
      <c r="CN1089">
        <f>IF(ISNUMBER(CJ1089),IFERROR(MAX(0,CJ1089-AW367),0),0)</f>
        <v>0</v>
      </c>
      <c r="CP1089" t="e">
        <f>CB367</f>
        <v>#N/A</v>
      </c>
      <c r="CQ1089" t="e">
        <f>CC367</f>
        <v>#N/A</v>
      </c>
      <c r="CR1089">
        <f>IF(ISNUMBER(CP1089),IFERROR(MAX(0,CD367-CP1089),0),0)</f>
        <v>0</v>
      </c>
      <c r="CS1089">
        <f>IF(ISNUMBER(CP1089),IFERROR(MAX(0,CP1089-CD367),0),0)</f>
        <v>0</v>
      </c>
      <c r="CT1089">
        <f>IF(ISNUMBER(CQ1089),IFERROR(MAX(0,CE367-CQ1089),0),0)</f>
        <v>0</v>
      </c>
      <c r="CU1089">
        <f>IF(ISNUMBER(CQ1089),IFERROR(MAX(0,CQ1089-CE367),0),0)</f>
        <v>0</v>
      </c>
    </row>
    <row r="1090" spans="87:99" x14ac:dyDescent="0.3">
      <c r="CI1090" t="e">
        <f>AL368</f>
        <v>#N/A</v>
      </c>
      <c r="CJ1090" t="e">
        <f>AM368</f>
        <v>#N/A</v>
      </c>
      <c r="CK1090">
        <f>IF(ISNUMBER(CI1090),IFERROR(MAX(0,AN368-CI1090),0),0)</f>
        <v>0</v>
      </c>
      <c r="CL1090">
        <f>IF(ISNUMBER(CI1090),IFERROR(MAX(0,CI1090-AN368),0),0)</f>
        <v>0</v>
      </c>
      <c r="CM1090">
        <f>IF(ISNUMBER(CJ1090),IFERROR(MAX(0,AO368-CJ1090),0),0)</f>
        <v>0</v>
      </c>
      <c r="CN1090">
        <f>IF(ISNUMBER(CJ1090),IFERROR(MAX(0,CJ1090-AO368),0),0)</f>
        <v>0</v>
      </c>
      <c r="CP1090" t="e">
        <f>BT368</f>
        <v>#N/A</v>
      </c>
      <c r="CQ1090" t="e">
        <f>BU368</f>
        <v>#N/A</v>
      </c>
      <c r="CR1090">
        <f>IF(ISNUMBER(CP1090),IFERROR(MAX(0,BV368-CP1090),0),0)</f>
        <v>0</v>
      </c>
      <c r="CS1090">
        <f>IF(ISNUMBER(CP1090),IFERROR(MAX(0,CP1090-BV368),0),0)</f>
        <v>0</v>
      </c>
      <c r="CT1090">
        <f>IF(ISNUMBER(CQ1090),IFERROR(MAX(0,BW368-CQ1090),0),0)</f>
        <v>0</v>
      </c>
      <c r="CU1090">
        <f>IF(ISNUMBER(CQ1090),IFERROR(MAX(0,CQ1090-BW368),0),0)</f>
        <v>0</v>
      </c>
    </row>
    <row r="1091" spans="87:99" x14ac:dyDescent="0.3">
      <c r="CI1091" t="e">
        <f>AP368</f>
        <v>#N/A</v>
      </c>
      <c r="CJ1091" t="e">
        <f>AQ368</f>
        <v>#N/A</v>
      </c>
      <c r="CK1091">
        <f>IF(ISNUMBER(CI1091),IFERROR(MAX(0,AR368-CI1091),0),0)</f>
        <v>0</v>
      </c>
      <c r="CL1091">
        <f>IF(ISNUMBER(CI1091),IFERROR(MAX(0,CI1091-AR368),0),0)</f>
        <v>0</v>
      </c>
      <c r="CM1091">
        <f>IF(ISNUMBER(CJ1091),IFERROR(MAX(0,AS368-CJ1091),0),0)</f>
        <v>0</v>
      </c>
      <c r="CN1091">
        <f>IF(ISNUMBER(CJ1091),IFERROR(MAX(0,CJ1091-AS368),0),0)</f>
        <v>0</v>
      </c>
      <c r="CP1091" t="e">
        <f>BX368</f>
        <v>#N/A</v>
      </c>
      <c r="CQ1091" t="e">
        <f>BY368</f>
        <v>#N/A</v>
      </c>
      <c r="CR1091">
        <f>IF(ISNUMBER(CP1091),IFERROR(MAX(0,BZ368-CP1091),0),0)</f>
        <v>0</v>
      </c>
      <c r="CS1091">
        <f>IF(ISNUMBER(CP1091),IFERROR(MAX(0,CP1091-BZ368),0),0)</f>
        <v>0</v>
      </c>
      <c r="CT1091">
        <f>IF(ISNUMBER(CQ1091),IFERROR(MAX(0,CA368-CQ1091),0),0)</f>
        <v>0</v>
      </c>
      <c r="CU1091">
        <f>IF(ISNUMBER(CQ1091),IFERROR(MAX(0,CQ1091-CA368),0),0)</f>
        <v>0</v>
      </c>
    </row>
    <row r="1092" spans="87:99" x14ac:dyDescent="0.3">
      <c r="CI1092" t="e">
        <f>AT368</f>
        <v>#N/A</v>
      </c>
      <c r="CJ1092" t="e">
        <f>AU368</f>
        <v>#N/A</v>
      </c>
      <c r="CK1092">
        <f>IF(ISNUMBER(CI1092),IFERROR(MAX(0,AV368-CI1092),0),0)</f>
        <v>0</v>
      </c>
      <c r="CL1092">
        <f>IF(ISNUMBER(CI1092),IFERROR(MAX(0,CI1092-AV368),0),0)</f>
        <v>0</v>
      </c>
      <c r="CM1092">
        <f>IF(ISNUMBER(CJ1092),IFERROR(MAX(0,AW368-CJ1092),0),0)</f>
        <v>0</v>
      </c>
      <c r="CN1092">
        <f>IF(ISNUMBER(CJ1092),IFERROR(MAX(0,CJ1092-AW368),0),0)</f>
        <v>0</v>
      </c>
      <c r="CP1092" t="e">
        <f>CB368</f>
        <v>#N/A</v>
      </c>
      <c r="CQ1092" t="e">
        <f>CC368</f>
        <v>#N/A</v>
      </c>
      <c r="CR1092">
        <f>IF(ISNUMBER(CP1092),IFERROR(MAX(0,CD368-CP1092),0),0)</f>
        <v>0</v>
      </c>
      <c r="CS1092">
        <f>IF(ISNUMBER(CP1092),IFERROR(MAX(0,CP1092-CD368),0),0)</f>
        <v>0</v>
      </c>
      <c r="CT1092">
        <f>IF(ISNUMBER(CQ1092),IFERROR(MAX(0,CE368-CQ1092),0),0)</f>
        <v>0</v>
      </c>
      <c r="CU1092">
        <f>IF(ISNUMBER(CQ1092),IFERROR(MAX(0,CQ1092-CE368),0),0)</f>
        <v>0</v>
      </c>
    </row>
    <row r="1093" spans="87:99" x14ac:dyDescent="0.3">
      <c r="CI1093" t="e">
        <f>AL369</f>
        <v>#N/A</v>
      </c>
      <c r="CJ1093" t="e">
        <f>AM369</f>
        <v>#N/A</v>
      </c>
      <c r="CK1093">
        <f>IF(ISNUMBER(CI1093),IFERROR(MAX(0,AN369-CI1093),0),0)</f>
        <v>0</v>
      </c>
      <c r="CL1093">
        <f>IF(ISNUMBER(CI1093),IFERROR(MAX(0,CI1093-AN369),0),0)</f>
        <v>0</v>
      </c>
      <c r="CM1093">
        <f>IF(ISNUMBER(CJ1093),IFERROR(MAX(0,AO369-CJ1093),0),0)</f>
        <v>0</v>
      </c>
      <c r="CN1093">
        <f>IF(ISNUMBER(CJ1093),IFERROR(MAX(0,CJ1093-AO369),0),0)</f>
        <v>0</v>
      </c>
      <c r="CP1093" t="e">
        <f>BT369</f>
        <v>#N/A</v>
      </c>
      <c r="CQ1093" t="e">
        <f>BU369</f>
        <v>#N/A</v>
      </c>
      <c r="CR1093">
        <f>IF(ISNUMBER(CP1093),IFERROR(MAX(0,BV369-CP1093),0),0)</f>
        <v>0</v>
      </c>
      <c r="CS1093">
        <f>IF(ISNUMBER(CP1093),IFERROR(MAX(0,CP1093-BV369),0),0)</f>
        <v>0</v>
      </c>
      <c r="CT1093">
        <f>IF(ISNUMBER(CQ1093),IFERROR(MAX(0,BW369-CQ1093),0),0)</f>
        <v>0</v>
      </c>
      <c r="CU1093">
        <f>IF(ISNUMBER(CQ1093),IFERROR(MAX(0,CQ1093-BW369),0),0)</f>
        <v>0</v>
      </c>
    </row>
    <row r="1094" spans="87:99" x14ac:dyDescent="0.3">
      <c r="CI1094" t="e">
        <f>AP369</f>
        <v>#N/A</v>
      </c>
      <c r="CJ1094" t="e">
        <f>AQ369</f>
        <v>#N/A</v>
      </c>
      <c r="CK1094">
        <f>IF(ISNUMBER(CI1094),IFERROR(MAX(0,AR369-CI1094),0),0)</f>
        <v>0</v>
      </c>
      <c r="CL1094">
        <f>IF(ISNUMBER(CI1094),IFERROR(MAX(0,CI1094-AR369),0),0)</f>
        <v>0</v>
      </c>
      <c r="CM1094">
        <f>IF(ISNUMBER(CJ1094),IFERROR(MAX(0,AS369-CJ1094),0),0)</f>
        <v>0</v>
      </c>
      <c r="CN1094">
        <f>IF(ISNUMBER(CJ1094),IFERROR(MAX(0,CJ1094-AS369),0),0)</f>
        <v>0</v>
      </c>
      <c r="CP1094" t="e">
        <f>BX369</f>
        <v>#N/A</v>
      </c>
      <c r="CQ1094" t="e">
        <f>BY369</f>
        <v>#N/A</v>
      </c>
      <c r="CR1094">
        <f>IF(ISNUMBER(CP1094),IFERROR(MAX(0,BZ369-CP1094),0),0)</f>
        <v>0</v>
      </c>
      <c r="CS1094">
        <f>IF(ISNUMBER(CP1094),IFERROR(MAX(0,CP1094-BZ369),0),0)</f>
        <v>0</v>
      </c>
      <c r="CT1094">
        <f>IF(ISNUMBER(CQ1094),IFERROR(MAX(0,CA369-CQ1094),0),0)</f>
        <v>0</v>
      </c>
      <c r="CU1094">
        <f>IF(ISNUMBER(CQ1094),IFERROR(MAX(0,CQ1094-CA369),0),0)</f>
        <v>0</v>
      </c>
    </row>
    <row r="1095" spans="87:99" x14ac:dyDescent="0.3">
      <c r="CI1095" t="e">
        <f>AT369</f>
        <v>#N/A</v>
      </c>
      <c r="CJ1095" t="e">
        <f>AU369</f>
        <v>#N/A</v>
      </c>
      <c r="CK1095">
        <f>IF(ISNUMBER(CI1095),IFERROR(MAX(0,AV369-CI1095),0),0)</f>
        <v>0</v>
      </c>
      <c r="CL1095">
        <f>IF(ISNUMBER(CI1095),IFERROR(MAX(0,CI1095-AV369),0),0)</f>
        <v>0</v>
      </c>
      <c r="CM1095">
        <f>IF(ISNUMBER(CJ1095),IFERROR(MAX(0,AW369-CJ1095),0),0)</f>
        <v>0</v>
      </c>
      <c r="CN1095">
        <f>IF(ISNUMBER(CJ1095),IFERROR(MAX(0,CJ1095-AW369),0),0)</f>
        <v>0</v>
      </c>
      <c r="CP1095" t="e">
        <f>CB369</f>
        <v>#N/A</v>
      </c>
      <c r="CQ1095" t="e">
        <f>CC369</f>
        <v>#N/A</v>
      </c>
      <c r="CR1095">
        <f>IF(ISNUMBER(CP1095),IFERROR(MAX(0,CD369-CP1095),0),0)</f>
        <v>0</v>
      </c>
      <c r="CS1095">
        <f>IF(ISNUMBER(CP1095),IFERROR(MAX(0,CP1095-CD369),0),0)</f>
        <v>0</v>
      </c>
      <c r="CT1095">
        <f>IF(ISNUMBER(CQ1095),IFERROR(MAX(0,CE369-CQ1095),0),0)</f>
        <v>0</v>
      </c>
      <c r="CU1095">
        <f>IF(ISNUMBER(CQ1095),IFERROR(MAX(0,CQ1095-CE369),0),0)</f>
        <v>0</v>
      </c>
    </row>
    <row r="1096" spans="87:99" x14ac:dyDescent="0.3">
      <c r="CI1096" t="e">
        <f>AL370</f>
        <v>#N/A</v>
      </c>
      <c r="CJ1096" t="e">
        <f>AM370</f>
        <v>#N/A</v>
      </c>
      <c r="CK1096">
        <f>IF(ISNUMBER(CI1096),IFERROR(MAX(0,AN370-CI1096),0),0)</f>
        <v>0</v>
      </c>
      <c r="CL1096">
        <f>IF(ISNUMBER(CI1096),IFERROR(MAX(0,CI1096-AN370),0),0)</f>
        <v>0</v>
      </c>
      <c r="CM1096">
        <f>IF(ISNUMBER(CJ1096),IFERROR(MAX(0,AO370-CJ1096),0),0)</f>
        <v>0</v>
      </c>
      <c r="CN1096">
        <f>IF(ISNUMBER(CJ1096),IFERROR(MAX(0,CJ1096-AO370),0),0)</f>
        <v>0</v>
      </c>
      <c r="CP1096" t="e">
        <f>BT370</f>
        <v>#N/A</v>
      </c>
      <c r="CQ1096" t="e">
        <f>BU370</f>
        <v>#N/A</v>
      </c>
      <c r="CR1096">
        <f>IF(ISNUMBER(CP1096),IFERROR(MAX(0,BV370-CP1096),0),0)</f>
        <v>0</v>
      </c>
      <c r="CS1096">
        <f>IF(ISNUMBER(CP1096),IFERROR(MAX(0,CP1096-BV370),0),0)</f>
        <v>0</v>
      </c>
      <c r="CT1096">
        <f>IF(ISNUMBER(CQ1096),IFERROR(MAX(0,BW370-CQ1096),0),0)</f>
        <v>0</v>
      </c>
      <c r="CU1096">
        <f>IF(ISNUMBER(CQ1096),IFERROR(MAX(0,CQ1096-BW370),0),0)</f>
        <v>0</v>
      </c>
    </row>
    <row r="1097" spans="87:99" x14ac:dyDescent="0.3">
      <c r="CI1097" t="e">
        <f>AP370</f>
        <v>#N/A</v>
      </c>
      <c r="CJ1097" t="e">
        <f>AQ370</f>
        <v>#N/A</v>
      </c>
      <c r="CK1097">
        <f>IF(ISNUMBER(CI1097),IFERROR(MAX(0,AR370-CI1097),0),0)</f>
        <v>0</v>
      </c>
      <c r="CL1097">
        <f>IF(ISNUMBER(CI1097),IFERROR(MAX(0,CI1097-AR370),0),0)</f>
        <v>0</v>
      </c>
      <c r="CM1097">
        <f>IF(ISNUMBER(CJ1097),IFERROR(MAX(0,AS370-CJ1097),0),0)</f>
        <v>0</v>
      </c>
      <c r="CN1097">
        <f>IF(ISNUMBER(CJ1097),IFERROR(MAX(0,CJ1097-AS370),0),0)</f>
        <v>0</v>
      </c>
      <c r="CP1097" t="e">
        <f>BX370</f>
        <v>#N/A</v>
      </c>
      <c r="CQ1097" t="e">
        <f>BY370</f>
        <v>#N/A</v>
      </c>
      <c r="CR1097">
        <f>IF(ISNUMBER(CP1097),IFERROR(MAX(0,BZ370-CP1097),0),0)</f>
        <v>0</v>
      </c>
      <c r="CS1097">
        <f>IF(ISNUMBER(CP1097),IFERROR(MAX(0,CP1097-BZ370),0),0)</f>
        <v>0</v>
      </c>
      <c r="CT1097">
        <f>IF(ISNUMBER(CQ1097),IFERROR(MAX(0,CA370-CQ1097),0),0)</f>
        <v>0</v>
      </c>
      <c r="CU1097">
        <f>IF(ISNUMBER(CQ1097),IFERROR(MAX(0,CQ1097-CA370),0),0)</f>
        <v>0</v>
      </c>
    </row>
    <row r="1098" spans="87:99" x14ac:dyDescent="0.3">
      <c r="CI1098" t="e">
        <f>AT370</f>
        <v>#N/A</v>
      </c>
      <c r="CJ1098" t="e">
        <f>AU370</f>
        <v>#N/A</v>
      </c>
      <c r="CK1098">
        <f>IF(ISNUMBER(CI1098),IFERROR(MAX(0,AV370-CI1098),0),0)</f>
        <v>0</v>
      </c>
      <c r="CL1098">
        <f>IF(ISNUMBER(CI1098),IFERROR(MAX(0,CI1098-AV370),0),0)</f>
        <v>0</v>
      </c>
      <c r="CM1098">
        <f>IF(ISNUMBER(CJ1098),IFERROR(MAX(0,AW370-CJ1098),0),0)</f>
        <v>0</v>
      </c>
      <c r="CN1098">
        <f>IF(ISNUMBER(CJ1098),IFERROR(MAX(0,CJ1098-AW370),0),0)</f>
        <v>0</v>
      </c>
      <c r="CP1098" t="e">
        <f>CB370</f>
        <v>#N/A</v>
      </c>
      <c r="CQ1098" t="e">
        <f>CC370</f>
        <v>#N/A</v>
      </c>
      <c r="CR1098">
        <f>IF(ISNUMBER(CP1098),IFERROR(MAX(0,CD370-CP1098),0),0)</f>
        <v>0</v>
      </c>
      <c r="CS1098">
        <f>IF(ISNUMBER(CP1098),IFERROR(MAX(0,CP1098-CD370),0),0)</f>
        <v>0</v>
      </c>
      <c r="CT1098">
        <f>IF(ISNUMBER(CQ1098),IFERROR(MAX(0,CE370-CQ1098),0),0)</f>
        <v>0</v>
      </c>
      <c r="CU1098">
        <f>IF(ISNUMBER(CQ1098),IFERROR(MAX(0,CQ1098-CE370),0),0)</f>
        <v>0</v>
      </c>
    </row>
    <row r="1099" spans="87:99" x14ac:dyDescent="0.3">
      <c r="CI1099" t="e">
        <f>AL371</f>
        <v>#N/A</v>
      </c>
      <c r="CJ1099" t="e">
        <f>AM371</f>
        <v>#N/A</v>
      </c>
      <c r="CK1099">
        <f>IF(ISNUMBER(CI1099),IFERROR(MAX(0,AN371-CI1099),0),0)</f>
        <v>0</v>
      </c>
      <c r="CL1099">
        <f>IF(ISNUMBER(CI1099),IFERROR(MAX(0,CI1099-AN371),0),0)</f>
        <v>0</v>
      </c>
      <c r="CM1099">
        <f>IF(ISNUMBER(CJ1099),IFERROR(MAX(0,AO371-CJ1099),0),0)</f>
        <v>0</v>
      </c>
      <c r="CN1099">
        <f>IF(ISNUMBER(CJ1099),IFERROR(MAX(0,CJ1099-AO371),0),0)</f>
        <v>0</v>
      </c>
      <c r="CP1099" t="e">
        <f>BT371</f>
        <v>#N/A</v>
      </c>
      <c r="CQ1099" t="e">
        <f>BU371</f>
        <v>#N/A</v>
      </c>
      <c r="CR1099">
        <f>IF(ISNUMBER(CP1099),IFERROR(MAX(0,BV371-CP1099),0),0)</f>
        <v>0</v>
      </c>
      <c r="CS1099">
        <f>IF(ISNUMBER(CP1099),IFERROR(MAX(0,CP1099-BV371),0),0)</f>
        <v>0</v>
      </c>
      <c r="CT1099">
        <f>IF(ISNUMBER(CQ1099),IFERROR(MAX(0,BW371-CQ1099),0),0)</f>
        <v>0</v>
      </c>
      <c r="CU1099">
        <f>IF(ISNUMBER(CQ1099),IFERROR(MAX(0,CQ1099-BW371),0),0)</f>
        <v>0</v>
      </c>
    </row>
    <row r="1100" spans="87:99" x14ac:dyDescent="0.3">
      <c r="CI1100" t="e">
        <f>AP371</f>
        <v>#N/A</v>
      </c>
      <c r="CJ1100" t="e">
        <f>AQ371</f>
        <v>#N/A</v>
      </c>
      <c r="CK1100">
        <f>IF(ISNUMBER(CI1100),IFERROR(MAX(0,AR371-CI1100),0),0)</f>
        <v>0</v>
      </c>
      <c r="CL1100">
        <f>IF(ISNUMBER(CI1100),IFERROR(MAX(0,CI1100-AR371),0),0)</f>
        <v>0</v>
      </c>
      <c r="CM1100">
        <f>IF(ISNUMBER(CJ1100),IFERROR(MAX(0,AS371-CJ1100),0),0)</f>
        <v>0</v>
      </c>
      <c r="CN1100">
        <f>IF(ISNUMBER(CJ1100),IFERROR(MAX(0,CJ1100-AS371),0),0)</f>
        <v>0</v>
      </c>
      <c r="CP1100" t="e">
        <f>BX371</f>
        <v>#N/A</v>
      </c>
      <c r="CQ1100" t="e">
        <f>BY371</f>
        <v>#N/A</v>
      </c>
      <c r="CR1100">
        <f>IF(ISNUMBER(CP1100),IFERROR(MAX(0,BZ371-CP1100),0),0)</f>
        <v>0</v>
      </c>
      <c r="CS1100">
        <f>IF(ISNUMBER(CP1100),IFERROR(MAX(0,CP1100-BZ371),0),0)</f>
        <v>0</v>
      </c>
      <c r="CT1100">
        <f>IF(ISNUMBER(CQ1100),IFERROR(MAX(0,CA371-CQ1100),0),0)</f>
        <v>0</v>
      </c>
      <c r="CU1100">
        <f>IF(ISNUMBER(CQ1100),IFERROR(MAX(0,CQ1100-CA371),0),0)</f>
        <v>0</v>
      </c>
    </row>
    <row r="1101" spans="87:99" x14ac:dyDescent="0.3">
      <c r="CI1101" t="e">
        <f>AT371</f>
        <v>#N/A</v>
      </c>
      <c r="CJ1101" t="e">
        <f>AU371</f>
        <v>#N/A</v>
      </c>
      <c r="CK1101">
        <f>IF(ISNUMBER(CI1101),IFERROR(MAX(0,AV371-CI1101),0),0)</f>
        <v>0</v>
      </c>
      <c r="CL1101">
        <f>IF(ISNUMBER(CI1101),IFERROR(MAX(0,CI1101-AV371),0),0)</f>
        <v>0</v>
      </c>
      <c r="CM1101">
        <f>IF(ISNUMBER(CJ1101),IFERROR(MAX(0,AW371-CJ1101),0),0)</f>
        <v>0</v>
      </c>
      <c r="CN1101">
        <f>IF(ISNUMBER(CJ1101),IFERROR(MAX(0,CJ1101-AW371),0),0)</f>
        <v>0</v>
      </c>
      <c r="CP1101" t="e">
        <f>CB371</f>
        <v>#N/A</v>
      </c>
      <c r="CQ1101" t="e">
        <f>CC371</f>
        <v>#N/A</v>
      </c>
      <c r="CR1101">
        <f>IF(ISNUMBER(CP1101),IFERROR(MAX(0,CD371-CP1101),0),0)</f>
        <v>0</v>
      </c>
      <c r="CS1101">
        <f>IF(ISNUMBER(CP1101),IFERROR(MAX(0,CP1101-CD371),0),0)</f>
        <v>0</v>
      </c>
      <c r="CT1101">
        <f>IF(ISNUMBER(CQ1101),IFERROR(MAX(0,CE371-CQ1101),0),0)</f>
        <v>0</v>
      </c>
      <c r="CU1101">
        <f>IF(ISNUMBER(CQ1101),IFERROR(MAX(0,CQ1101-CE371),0),0)</f>
        <v>0</v>
      </c>
    </row>
    <row r="1102" spans="87:99" x14ac:dyDescent="0.3">
      <c r="CI1102" t="e">
        <f>AL372</f>
        <v>#N/A</v>
      </c>
      <c r="CJ1102" t="e">
        <f>AM372</f>
        <v>#N/A</v>
      </c>
      <c r="CK1102">
        <f>IF(ISNUMBER(CI1102),IFERROR(MAX(0,AN372-CI1102),0),0)</f>
        <v>0</v>
      </c>
      <c r="CL1102">
        <f>IF(ISNUMBER(CI1102),IFERROR(MAX(0,CI1102-AN372),0),0)</f>
        <v>0</v>
      </c>
      <c r="CM1102">
        <f>IF(ISNUMBER(CJ1102),IFERROR(MAX(0,AO372-CJ1102),0),0)</f>
        <v>0</v>
      </c>
      <c r="CN1102">
        <f>IF(ISNUMBER(CJ1102),IFERROR(MAX(0,CJ1102-AO372),0),0)</f>
        <v>0</v>
      </c>
      <c r="CP1102" t="e">
        <f>BT372</f>
        <v>#N/A</v>
      </c>
      <c r="CQ1102" t="e">
        <f>BU372</f>
        <v>#N/A</v>
      </c>
      <c r="CR1102">
        <f>IF(ISNUMBER(CP1102),IFERROR(MAX(0,BV372-CP1102),0),0)</f>
        <v>0</v>
      </c>
      <c r="CS1102">
        <f>IF(ISNUMBER(CP1102),IFERROR(MAX(0,CP1102-BV372),0),0)</f>
        <v>0</v>
      </c>
      <c r="CT1102">
        <f>IF(ISNUMBER(CQ1102),IFERROR(MAX(0,BW372-CQ1102),0),0)</f>
        <v>0</v>
      </c>
      <c r="CU1102">
        <f>IF(ISNUMBER(CQ1102),IFERROR(MAX(0,CQ1102-BW372),0),0)</f>
        <v>0</v>
      </c>
    </row>
    <row r="1103" spans="87:99" x14ac:dyDescent="0.3">
      <c r="CI1103" t="e">
        <f>AP372</f>
        <v>#N/A</v>
      </c>
      <c r="CJ1103" t="e">
        <f>AQ372</f>
        <v>#N/A</v>
      </c>
      <c r="CK1103">
        <f>IF(ISNUMBER(CI1103),IFERROR(MAX(0,AR372-CI1103),0),0)</f>
        <v>0</v>
      </c>
      <c r="CL1103">
        <f>IF(ISNUMBER(CI1103),IFERROR(MAX(0,CI1103-AR372),0),0)</f>
        <v>0</v>
      </c>
      <c r="CM1103">
        <f>IF(ISNUMBER(CJ1103),IFERROR(MAX(0,AS372-CJ1103),0),0)</f>
        <v>0</v>
      </c>
      <c r="CN1103">
        <f>IF(ISNUMBER(CJ1103),IFERROR(MAX(0,CJ1103-AS372),0),0)</f>
        <v>0</v>
      </c>
      <c r="CP1103" t="e">
        <f>BX372</f>
        <v>#N/A</v>
      </c>
      <c r="CQ1103" t="e">
        <f>BY372</f>
        <v>#N/A</v>
      </c>
      <c r="CR1103">
        <f>IF(ISNUMBER(CP1103),IFERROR(MAX(0,BZ372-CP1103),0),0)</f>
        <v>0</v>
      </c>
      <c r="CS1103">
        <f>IF(ISNUMBER(CP1103),IFERROR(MAX(0,CP1103-BZ372),0),0)</f>
        <v>0</v>
      </c>
      <c r="CT1103">
        <f>IF(ISNUMBER(CQ1103),IFERROR(MAX(0,CA372-CQ1103),0),0)</f>
        <v>0</v>
      </c>
      <c r="CU1103">
        <f>IF(ISNUMBER(CQ1103),IFERROR(MAX(0,CQ1103-CA372),0),0)</f>
        <v>0</v>
      </c>
    </row>
    <row r="1104" spans="87:99" x14ac:dyDescent="0.3">
      <c r="CI1104" t="e">
        <f>AT372</f>
        <v>#N/A</v>
      </c>
      <c r="CJ1104" t="e">
        <f>AU372</f>
        <v>#N/A</v>
      </c>
      <c r="CK1104">
        <f>IF(ISNUMBER(CI1104),IFERROR(MAX(0,AV372-CI1104),0),0)</f>
        <v>0</v>
      </c>
      <c r="CL1104">
        <f>IF(ISNUMBER(CI1104),IFERROR(MAX(0,CI1104-AV372),0),0)</f>
        <v>0</v>
      </c>
      <c r="CM1104">
        <f>IF(ISNUMBER(CJ1104),IFERROR(MAX(0,AW372-CJ1104),0),0)</f>
        <v>0</v>
      </c>
      <c r="CN1104">
        <f>IF(ISNUMBER(CJ1104),IFERROR(MAX(0,CJ1104-AW372),0),0)</f>
        <v>0</v>
      </c>
      <c r="CP1104" t="e">
        <f>CB372</f>
        <v>#N/A</v>
      </c>
      <c r="CQ1104" t="e">
        <f>CC372</f>
        <v>#N/A</v>
      </c>
      <c r="CR1104">
        <f>IF(ISNUMBER(CP1104),IFERROR(MAX(0,CD372-CP1104),0),0)</f>
        <v>0</v>
      </c>
      <c r="CS1104">
        <f>IF(ISNUMBER(CP1104),IFERROR(MAX(0,CP1104-CD372),0),0)</f>
        <v>0</v>
      </c>
      <c r="CT1104">
        <f>IF(ISNUMBER(CQ1104),IFERROR(MAX(0,CE372-CQ1104),0),0)</f>
        <v>0</v>
      </c>
      <c r="CU1104">
        <f>IF(ISNUMBER(CQ1104),IFERROR(MAX(0,CQ1104-CE372),0),0)</f>
        <v>0</v>
      </c>
    </row>
    <row r="1105" spans="87:99" x14ac:dyDescent="0.3">
      <c r="CI1105" t="e">
        <f>AL373</f>
        <v>#N/A</v>
      </c>
      <c r="CJ1105" t="e">
        <f>AM373</f>
        <v>#N/A</v>
      </c>
      <c r="CK1105">
        <f>IF(ISNUMBER(CI1105),IFERROR(MAX(0,AN373-CI1105),0),0)</f>
        <v>0</v>
      </c>
      <c r="CL1105">
        <f>IF(ISNUMBER(CI1105),IFERROR(MAX(0,CI1105-AN373),0),0)</f>
        <v>0</v>
      </c>
      <c r="CM1105">
        <f>IF(ISNUMBER(CJ1105),IFERROR(MAX(0,AO373-CJ1105),0),0)</f>
        <v>0</v>
      </c>
      <c r="CN1105">
        <f>IF(ISNUMBER(CJ1105),IFERROR(MAX(0,CJ1105-AO373),0),0)</f>
        <v>0</v>
      </c>
      <c r="CP1105" t="e">
        <f>BT373</f>
        <v>#N/A</v>
      </c>
      <c r="CQ1105" t="e">
        <f>BU373</f>
        <v>#N/A</v>
      </c>
      <c r="CR1105">
        <f>IF(ISNUMBER(CP1105),IFERROR(MAX(0,BV373-CP1105),0),0)</f>
        <v>0</v>
      </c>
      <c r="CS1105">
        <f>IF(ISNUMBER(CP1105),IFERROR(MAX(0,CP1105-BV373),0),0)</f>
        <v>0</v>
      </c>
      <c r="CT1105">
        <f>IF(ISNUMBER(CQ1105),IFERROR(MAX(0,BW373-CQ1105),0),0)</f>
        <v>0</v>
      </c>
      <c r="CU1105">
        <f>IF(ISNUMBER(CQ1105),IFERROR(MAX(0,CQ1105-BW373),0),0)</f>
        <v>0</v>
      </c>
    </row>
    <row r="1106" spans="87:99" x14ac:dyDescent="0.3">
      <c r="CI1106" t="e">
        <f>AP373</f>
        <v>#N/A</v>
      </c>
      <c r="CJ1106" t="e">
        <f>AQ373</f>
        <v>#N/A</v>
      </c>
      <c r="CK1106">
        <f>IF(ISNUMBER(CI1106),IFERROR(MAX(0,AR373-CI1106),0),0)</f>
        <v>0</v>
      </c>
      <c r="CL1106">
        <f>IF(ISNUMBER(CI1106),IFERROR(MAX(0,CI1106-AR373),0),0)</f>
        <v>0</v>
      </c>
      <c r="CM1106">
        <f>IF(ISNUMBER(CJ1106),IFERROR(MAX(0,AS373-CJ1106),0),0)</f>
        <v>0</v>
      </c>
      <c r="CN1106">
        <f>IF(ISNUMBER(CJ1106),IFERROR(MAX(0,CJ1106-AS373),0),0)</f>
        <v>0</v>
      </c>
      <c r="CP1106" t="e">
        <f>BX373</f>
        <v>#N/A</v>
      </c>
      <c r="CQ1106" t="e">
        <f>BY373</f>
        <v>#N/A</v>
      </c>
      <c r="CR1106">
        <f>IF(ISNUMBER(CP1106),IFERROR(MAX(0,BZ373-CP1106),0),0)</f>
        <v>0</v>
      </c>
      <c r="CS1106">
        <f>IF(ISNUMBER(CP1106),IFERROR(MAX(0,CP1106-BZ373),0),0)</f>
        <v>0</v>
      </c>
      <c r="CT1106">
        <f>IF(ISNUMBER(CQ1106),IFERROR(MAX(0,CA373-CQ1106),0),0)</f>
        <v>0</v>
      </c>
      <c r="CU1106">
        <f>IF(ISNUMBER(CQ1106),IFERROR(MAX(0,CQ1106-CA373),0),0)</f>
        <v>0</v>
      </c>
    </row>
    <row r="1107" spans="87:99" x14ac:dyDescent="0.3">
      <c r="CI1107" t="e">
        <f>AT373</f>
        <v>#N/A</v>
      </c>
      <c r="CJ1107" t="e">
        <f>AU373</f>
        <v>#N/A</v>
      </c>
      <c r="CK1107">
        <f>IF(ISNUMBER(CI1107),IFERROR(MAX(0,AV373-CI1107),0),0)</f>
        <v>0</v>
      </c>
      <c r="CL1107">
        <f>IF(ISNUMBER(CI1107),IFERROR(MAX(0,CI1107-AV373),0),0)</f>
        <v>0</v>
      </c>
      <c r="CM1107">
        <f>IF(ISNUMBER(CJ1107),IFERROR(MAX(0,AW373-CJ1107),0),0)</f>
        <v>0</v>
      </c>
      <c r="CN1107">
        <f>IF(ISNUMBER(CJ1107),IFERROR(MAX(0,CJ1107-AW373),0),0)</f>
        <v>0</v>
      </c>
      <c r="CP1107" t="e">
        <f>CB373</f>
        <v>#N/A</v>
      </c>
      <c r="CQ1107" t="e">
        <f>CC373</f>
        <v>#N/A</v>
      </c>
      <c r="CR1107">
        <f>IF(ISNUMBER(CP1107),IFERROR(MAX(0,CD373-CP1107),0),0)</f>
        <v>0</v>
      </c>
      <c r="CS1107">
        <f>IF(ISNUMBER(CP1107),IFERROR(MAX(0,CP1107-CD373),0),0)</f>
        <v>0</v>
      </c>
      <c r="CT1107">
        <f>IF(ISNUMBER(CQ1107),IFERROR(MAX(0,CE373-CQ1107),0),0)</f>
        <v>0</v>
      </c>
      <c r="CU1107">
        <f>IF(ISNUMBER(CQ1107),IFERROR(MAX(0,CQ1107-CE373),0),0)</f>
        <v>0</v>
      </c>
    </row>
    <row r="1108" spans="87:99" x14ac:dyDescent="0.3">
      <c r="CI1108" t="e">
        <f>AL374</f>
        <v>#N/A</v>
      </c>
      <c r="CJ1108" t="e">
        <f>AM374</f>
        <v>#N/A</v>
      </c>
      <c r="CK1108">
        <f>IF(ISNUMBER(CI1108),IFERROR(MAX(0,AN374-CI1108),0),0)</f>
        <v>0</v>
      </c>
      <c r="CL1108">
        <f>IF(ISNUMBER(CI1108),IFERROR(MAX(0,CI1108-AN374),0),0)</f>
        <v>0</v>
      </c>
      <c r="CM1108">
        <f>IF(ISNUMBER(CJ1108),IFERROR(MAX(0,AO374-CJ1108),0),0)</f>
        <v>0</v>
      </c>
      <c r="CN1108">
        <f>IF(ISNUMBER(CJ1108),IFERROR(MAX(0,CJ1108-AO374),0),0)</f>
        <v>0</v>
      </c>
      <c r="CP1108" t="e">
        <f>BT374</f>
        <v>#N/A</v>
      </c>
      <c r="CQ1108" t="e">
        <f>BU374</f>
        <v>#N/A</v>
      </c>
      <c r="CR1108">
        <f>IF(ISNUMBER(CP1108),IFERROR(MAX(0,BV374-CP1108),0),0)</f>
        <v>0</v>
      </c>
      <c r="CS1108">
        <f>IF(ISNUMBER(CP1108),IFERROR(MAX(0,CP1108-BV374),0),0)</f>
        <v>0</v>
      </c>
      <c r="CT1108">
        <f>IF(ISNUMBER(CQ1108),IFERROR(MAX(0,BW374-CQ1108),0),0)</f>
        <v>0</v>
      </c>
      <c r="CU1108">
        <f>IF(ISNUMBER(CQ1108),IFERROR(MAX(0,CQ1108-BW374),0),0)</f>
        <v>0</v>
      </c>
    </row>
    <row r="1109" spans="87:99" x14ac:dyDescent="0.3">
      <c r="CI1109" t="e">
        <f>AP374</f>
        <v>#N/A</v>
      </c>
      <c r="CJ1109" t="e">
        <f>AQ374</f>
        <v>#N/A</v>
      </c>
      <c r="CK1109">
        <f>IF(ISNUMBER(CI1109),IFERROR(MAX(0,AR374-CI1109),0),0)</f>
        <v>0</v>
      </c>
      <c r="CL1109">
        <f>IF(ISNUMBER(CI1109),IFERROR(MAX(0,CI1109-AR374),0),0)</f>
        <v>0</v>
      </c>
      <c r="CM1109">
        <f>IF(ISNUMBER(CJ1109),IFERROR(MAX(0,AS374-CJ1109),0),0)</f>
        <v>0</v>
      </c>
      <c r="CN1109">
        <f>IF(ISNUMBER(CJ1109),IFERROR(MAX(0,CJ1109-AS374),0),0)</f>
        <v>0</v>
      </c>
      <c r="CP1109" t="e">
        <f>BX374</f>
        <v>#N/A</v>
      </c>
      <c r="CQ1109" t="e">
        <f>BY374</f>
        <v>#N/A</v>
      </c>
      <c r="CR1109">
        <f>IF(ISNUMBER(CP1109),IFERROR(MAX(0,BZ374-CP1109),0),0)</f>
        <v>0</v>
      </c>
      <c r="CS1109">
        <f>IF(ISNUMBER(CP1109),IFERROR(MAX(0,CP1109-BZ374),0),0)</f>
        <v>0</v>
      </c>
      <c r="CT1109">
        <f>IF(ISNUMBER(CQ1109),IFERROR(MAX(0,CA374-CQ1109),0),0)</f>
        <v>0</v>
      </c>
      <c r="CU1109">
        <f>IF(ISNUMBER(CQ1109),IFERROR(MAX(0,CQ1109-CA374),0),0)</f>
        <v>0</v>
      </c>
    </row>
    <row r="1110" spans="87:99" x14ac:dyDescent="0.3">
      <c r="CI1110" t="e">
        <f>AT374</f>
        <v>#N/A</v>
      </c>
      <c r="CJ1110" t="e">
        <f>AU374</f>
        <v>#N/A</v>
      </c>
      <c r="CK1110">
        <f>IF(ISNUMBER(CI1110),IFERROR(MAX(0,AV374-CI1110),0),0)</f>
        <v>0</v>
      </c>
      <c r="CL1110">
        <f>IF(ISNUMBER(CI1110),IFERROR(MAX(0,CI1110-AV374),0),0)</f>
        <v>0</v>
      </c>
      <c r="CM1110">
        <f>IF(ISNUMBER(CJ1110),IFERROR(MAX(0,AW374-CJ1110),0),0)</f>
        <v>0</v>
      </c>
      <c r="CN1110">
        <f>IF(ISNUMBER(CJ1110),IFERROR(MAX(0,CJ1110-AW374),0),0)</f>
        <v>0</v>
      </c>
      <c r="CP1110" t="e">
        <f>CB374</f>
        <v>#N/A</v>
      </c>
      <c r="CQ1110" t="e">
        <f>CC374</f>
        <v>#N/A</v>
      </c>
      <c r="CR1110">
        <f>IF(ISNUMBER(CP1110),IFERROR(MAX(0,CD374-CP1110),0),0)</f>
        <v>0</v>
      </c>
      <c r="CS1110">
        <f>IF(ISNUMBER(CP1110),IFERROR(MAX(0,CP1110-CD374),0),0)</f>
        <v>0</v>
      </c>
      <c r="CT1110">
        <f>IF(ISNUMBER(CQ1110),IFERROR(MAX(0,CE374-CQ1110),0),0)</f>
        <v>0</v>
      </c>
      <c r="CU1110">
        <f>IF(ISNUMBER(CQ1110),IFERROR(MAX(0,CQ1110-CE374),0),0)</f>
        <v>0</v>
      </c>
    </row>
    <row r="1111" spans="87:99" x14ac:dyDescent="0.3">
      <c r="CI1111" t="e">
        <f>AL375</f>
        <v>#N/A</v>
      </c>
      <c r="CJ1111" t="e">
        <f>AM375</f>
        <v>#N/A</v>
      </c>
      <c r="CK1111">
        <f>IF(ISNUMBER(CI1111),IFERROR(MAX(0,AN375-CI1111),0),0)</f>
        <v>0</v>
      </c>
      <c r="CL1111">
        <f>IF(ISNUMBER(CI1111),IFERROR(MAX(0,CI1111-AN375),0),0)</f>
        <v>0</v>
      </c>
      <c r="CM1111">
        <f>IF(ISNUMBER(CJ1111),IFERROR(MAX(0,AO375-CJ1111),0),0)</f>
        <v>0</v>
      </c>
      <c r="CN1111">
        <f>IF(ISNUMBER(CJ1111),IFERROR(MAX(0,CJ1111-AO375),0),0)</f>
        <v>0</v>
      </c>
      <c r="CP1111" t="e">
        <f>BT375</f>
        <v>#N/A</v>
      </c>
      <c r="CQ1111" t="e">
        <f>BU375</f>
        <v>#N/A</v>
      </c>
      <c r="CR1111">
        <f>IF(ISNUMBER(CP1111),IFERROR(MAX(0,BV375-CP1111),0),0)</f>
        <v>0</v>
      </c>
      <c r="CS1111">
        <f>IF(ISNUMBER(CP1111),IFERROR(MAX(0,CP1111-BV375),0),0)</f>
        <v>0</v>
      </c>
      <c r="CT1111">
        <f>IF(ISNUMBER(CQ1111),IFERROR(MAX(0,BW375-CQ1111),0),0)</f>
        <v>0</v>
      </c>
      <c r="CU1111">
        <f>IF(ISNUMBER(CQ1111),IFERROR(MAX(0,CQ1111-BW375),0),0)</f>
        <v>0</v>
      </c>
    </row>
    <row r="1112" spans="87:99" x14ac:dyDescent="0.3">
      <c r="CI1112" t="e">
        <f>AP375</f>
        <v>#N/A</v>
      </c>
      <c r="CJ1112" t="e">
        <f>AQ375</f>
        <v>#N/A</v>
      </c>
      <c r="CK1112">
        <f>IF(ISNUMBER(CI1112),IFERROR(MAX(0,AR375-CI1112),0),0)</f>
        <v>0</v>
      </c>
      <c r="CL1112">
        <f>IF(ISNUMBER(CI1112),IFERROR(MAX(0,CI1112-AR375),0),0)</f>
        <v>0</v>
      </c>
      <c r="CM1112">
        <f>IF(ISNUMBER(CJ1112),IFERROR(MAX(0,AS375-CJ1112),0),0)</f>
        <v>0</v>
      </c>
      <c r="CN1112">
        <f>IF(ISNUMBER(CJ1112),IFERROR(MAX(0,CJ1112-AS375),0),0)</f>
        <v>0</v>
      </c>
      <c r="CP1112" t="e">
        <f>BX375</f>
        <v>#N/A</v>
      </c>
      <c r="CQ1112" t="e">
        <f>BY375</f>
        <v>#N/A</v>
      </c>
      <c r="CR1112">
        <f>IF(ISNUMBER(CP1112),IFERROR(MAX(0,BZ375-CP1112),0),0)</f>
        <v>0</v>
      </c>
      <c r="CS1112">
        <f>IF(ISNUMBER(CP1112),IFERROR(MAX(0,CP1112-BZ375),0),0)</f>
        <v>0</v>
      </c>
      <c r="CT1112">
        <f>IF(ISNUMBER(CQ1112),IFERROR(MAX(0,CA375-CQ1112),0),0)</f>
        <v>0</v>
      </c>
      <c r="CU1112">
        <f>IF(ISNUMBER(CQ1112),IFERROR(MAX(0,CQ1112-CA375),0),0)</f>
        <v>0</v>
      </c>
    </row>
    <row r="1113" spans="87:99" x14ac:dyDescent="0.3">
      <c r="CI1113" t="e">
        <f>AT375</f>
        <v>#N/A</v>
      </c>
      <c r="CJ1113" t="e">
        <f>AU375</f>
        <v>#N/A</v>
      </c>
      <c r="CK1113">
        <f>IF(ISNUMBER(CI1113),IFERROR(MAX(0,AV375-CI1113),0),0)</f>
        <v>0</v>
      </c>
      <c r="CL1113">
        <f>IF(ISNUMBER(CI1113),IFERROR(MAX(0,CI1113-AV375),0),0)</f>
        <v>0</v>
      </c>
      <c r="CM1113">
        <f>IF(ISNUMBER(CJ1113),IFERROR(MAX(0,AW375-CJ1113),0),0)</f>
        <v>0</v>
      </c>
      <c r="CN1113">
        <f>IF(ISNUMBER(CJ1113),IFERROR(MAX(0,CJ1113-AW375),0),0)</f>
        <v>0</v>
      </c>
      <c r="CP1113" t="e">
        <f>CB375</f>
        <v>#N/A</v>
      </c>
      <c r="CQ1113" t="e">
        <f>CC375</f>
        <v>#N/A</v>
      </c>
      <c r="CR1113">
        <f>IF(ISNUMBER(CP1113),IFERROR(MAX(0,CD375-CP1113),0),0)</f>
        <v>0</v>
      </c>
      <c r="CS1113">
        <f>IF(ISNUMBER(CP1113),IFERROR(MAX(0,CP1113-CD375),0),0)</f>
        <v>0</v>
      </c>
      <c r="CT1113">
        <f>IF(ISNUMBER(CQ1113),IFERROR(MAX(0,CE375-CQ1113),0),0)</f>
        <v>0</v>
      </c>
      <c r="CU1113">
        <f>IF(ISNUMBER(CQ1113),IFERROR(MAX(0,CQ1113-CE375),0),0)</f>
        <v>0</v>
      </c>
    </row>
    <row r="1114" spans="87:99" x14ac:dyDescent="0.3">
      <c r="CI1114" t="e">
        <f>AL376</f>
        <v>#N/A</v>
      </c>
      <c r="CJ1114" t="e">
        <f>AM376</f>
        <v>#N/A</v>
      </c>
      <c r="CK1114">
        <f>IF(ISNUMBER(CI1114),IFERROR(MAX(0,AN376-CI1114),0),0)</f>
        <v>0</v>
      </c>
      <c r="CL1114">
        <f>IF(ISNUMBER(CI1114),IFERROR(MAX(0,CI1114-AN376),0),0)</f>
        <v>0</v>
      </c>
      <c r="CM1114">
        <f>IF(ISNUMBER(CJ1114),IFERROR(MAX(0,AO376-CJ1114),0),0)</f>
        <v>0</v>
      </c>
      <c r="CN1114">
        <f>IF(ISNUMBER(CJ1114),IFERROR(MAX(0,CJ1114-AO376),0),0)</f>
        <v>0</v>
      </c>
      <c r="CP1114" t="e">
        <f>BT376</f>
        <v>#N/A</v>
      </c>
      <c r="CQ1114" t="e">
        <f>BU376</f>
        <v>#N/A</v>
      </c>
      <c r="CR1114">
        <f>IF(ISNUMBER(CP1114),IFERROR(MAX(0,BV376-CP1114),0),0)</f>
        <v>0</v>
      </c>
      <c r="CS1114">
        <f>IF(ISNUMBER(CP1114),IFERROR(MAX(0,CP1114-BV376),0),0)</f>
        <v>0</v>
      </c>
      <c r="CT1114">
        <f>IF(ISNUMBER(CQ1114),IFERROR(MAX(0,BW376-CQ1114),0),0)</f>
        <v>0</v>
      </c>
      <c r="CU1114">
        <f>IF(ISNUMBER(CQ1114),IFERROR(MAX(0,CQ1114-BW376),0),0)</f>
        <v>0</v>
      </c>
    </row>
    <row r="1115" spans="87:99" x14ac:dyDescent="0.3">
      <c r="CI1115" t="e">
        <f>AP376</f>
        <v>#N/A</v>
      </c>
      <c r="CJ1115" t="e">
        <f>AQ376</f>
        <v>#N/A</v>
      </c>
      <c r="CK1115">
        <f>IF(ISNUMBER(CI1115),IFERROR(MAX(0,AR376-CI1115),0),0)</f>
        <v>0</v>
      </c>
      <c r="CL1115">
        <f>IF(ISNUMBER(CI1115),IFERROR(MAX(0,CI1115-AR376),0),0)</f>
        <v>0</v>
      </c>
      <c r="CM1115">
        <f>IF(ISNUMBER(CJ1115),IFERROR(MAX(0,AS376-CJ1115),0),0)</f>
        <v>0</v>
      </c>
      <c r="CN1115">
        <f>IF(ISNUMBER(CJ1115),IFERROR(MAX(0,CJ1115-AS376),0),0)</f>
        <v>0</v>
      </c>
      <c r="CP1115" t="e">
        <f>BX376</f>
        <v>#N/A</v>
      </c>
      <c r="CQ1115" t="e">
        <f>BY376</f>
        <v>#N/A</v>
      </c>
      <c r="CR1115">
        <f>IF(ISNUMBER(CP1115),IFERROR(MAX(0,BZ376-CP1115),0),0)</f>
        <v>0</v>
      </c>
      <c r="CS1115">
        <f>IF(ISNUMBER(CP1115),IFERROR(MAX(0,CP1115-BZ376),0),0)</f>
        <v>0</v>
      </c>
      <c r="CT1115">
        <f>IF(ISNUMBER(CQ1115),IFERROR(MAX(0,CA376-CQ1115),0),0)</f>
        <v>0</v>
      </c>
      <c r="CU1115">
        <f>IF(ISNUMBER(CQ1115),IFERROR(MAX(0,CQ1115-CA376),0),0)</f>
        <v>0</v>
      </c>
    </row>
    <row r="1116" spans="87:99" x14ac:dyDescent="0.3">
      <c r="CI1116" t="e">
        <f>AT376</f>
        <v>#N/A</v>
      </c>
      <c r="CJ1116" t="e">
        <f>AU376</f>
        <v>#N/A</v>
      </c>
      <c r="CK1116">
        <f>IF(ISNUMBER(CI1116),IFERROR(MAX(0,AV376-CI1116),0),0)</f>
        <v>0</v>
      </c>
      <c r="CL1116">
        <f>IF(ISNUMBER(CI1116),IFERROR(MAX(0,CI1116-AV376),0),0)</f>
        <v>0</v>
      </c>
      <c r="CM1116">
        <f>IF(ISNUMBER(CJ1116),IFERROR(MAX(0,AW376-CJ1116),0),0)</f>
        <v>0</v>
      </c>
      <c r="CN1116">
        <f>IF(ISNUMBER(CJ1116),IFERROR(MAX(0,CJ1116-AW376),0),0)</f>
        <v>0</v>
      </c>
      <c r="CP1116" t="e">
        <f>CB376</f>
        <v>#N/A</v>
      </c>
      <c r="CQ1116" t="e">
        <f>CC376</f>
        <v>#N/A</v>
      </c>
      <c r="CR1116">
        <f>IF(ISNUMBER(CP1116),IFERROR(MAX(0,CD376-CP1116),0),0)</f>
        <v>0</v>
      </c>
      <c r="CS1116">
        <f>IF(ISNUMBER(CP1116),IFERROR(MAX(0,CP1116-CD376),0),0)</f>
        <v>0</v>
      </c>
      <c r="CT1116">
        <f>IF(ISNUMBER(CQ1116),IFERROR(MAX(0,CE376-CQ1116),0),0)</f>
        <v>0</v>
      </c>
      <c r="CU1116">
        <f>IF(ISNUMBER(CQ1116),IFERROR(MAX(0,CQ1116-CE376),0),0)</f>
        <v>0</v>
      </c>
    </row>
    <row r="1117" spans="87:99" x14ac:dyDescent="0.3">
      <c r="CI1117" t="e">
        <f>AL377</f>
        <v>#N/A</v>
      </c>
      <c r="CJ1117" t="e">
        <f>AM377</f>
        <v>#N/A</v>
      </c>
      <c r="CK1117">
        <f>IF(ISNUMBER(CI1117),IFERROR(MAX(0,AN377-CI1117),0),0)</f>
        <v>0</v>
      </c>
      <c r="CL1117">
        <f>IF(ISNUMBER(CI1117),IFERROR(MAX(0,CI1117-AN377),0),0)</f>
        <v>0</v>
      </c>
      <c r="CM1117">
        <f>IF(ISNUMBER(CJ1117),IFERROR(MAX(0,AO377-CJ1117),0),0)</f>
        <v>0</v>
      </c>
      <c r="CN1117">
        <f>IF(ISNUMBER(CJ1117),IFERROR(MAX(0,CJ1117-AO377),0),0)</f>
        <v>0</v>
      </c>
      <c r="CP1117" t="e">
        <f>BT377</f>
        <v>#N/A</v>
      </c>
      <c r="CQ1117" t="e">
        <f>BU377</f>
        <v>#N/A</v>
      </c>
      <c r="CR1117">
        <f>IF(ISNUMBER(CP1117),IFERROR(MAX(0,BV377-CP1117),0),0)</f>
        <v>0</v>
      </c>
      <c r="CS1117">
        <f>IF(ISNUMBER(CP1117),IFERROR(MAX(0,CP1117-BV377),0),0)</f>
        <v>0</v>
      </c>
      <c r="CT1117">
        <f>IF(ISNUMBER(CQ1117),IFERROR(MAX(0,BW377-CQ1117),0),0)</f>
        <v>0</v>
      </c>
      <c r="CU1117">
        <f>IF(ISNUMBER(CQ1117),IFERROR(MAX(0,CQ1117-BW377),0),0)</f>
        <v>0</v>
      </c>
    </row>
    <row r="1118" spans="87:99" x14ac:dyDescent="0.3">
      <c r="CI1118" t="e">
        <f>AP377</f>
        <v>#N/A</v>
      </c>
      <c r="CJ1118" t="e">
        <f>AQ377</f>
        <v>#N/A</v>
      </c>
      <c r="CK1118">
        <f>IF(ISNUMBER(CI1118),IFERROR(MAX(0,AR377-CI1118),0),0)</f>
        <v>0</v>
      </c>
      <c r="CL1118">
        <f>IF(ISNUMBER(CI1118),IFERROR(MAX(0,CI1118-AR377),0),0)</f>
        <v>0</v>
      </c>
      <c r="CM1118">
        <f>IF(ISNUMBER(CJ1118),IFERROR(MAX(0,AS377-CJ1118),0),0)</f>
        <v>0</v>
      </c>
      <c r="CN1118">
        <f>IF(ISNUMBER(CJ1118),IFERROR(MAX(0,CJ1118-AS377),0),0)</f>
        <v>0</v>
      </c>
      <c r="CP1118" t="e">
        <f>BX377</f>
        <v>#N/A</v>
      </c>
      <c r="CQ1118" t="e">
        <f>BY377</f>
        <v>#N/A</v>
      </c>
      <c r="CR1118">
        <f>IF(ISNUMBER(CP1118),IFERROR(MAX(0,BZ377-CP1118),0),0)</f>
        <v>0</v>
      </c>
      <c r="CS1118">
        <f>IF(ISNUMBER(CP1118),IFERROR(MAX(0,CP1118-BZ377),0),0)</f>
        <v>0</v>
      </c>
      <c r="CT1118">
        <f>IF(ISNUMBER(CQ1118),IFERROR(MAX(0,CA377-CQ1118),0),0)</f>
        <v>0</v>
      </c>
      <c r="CU1118">
        <f>IF(ISNUMBER(CQ1118),IFERROR(MAX(0,CQ1118-CA377),0),0)</f>
        <v>0</v>
      </c>
    </row>
    <row r="1119" spans="87:99" x14ac:dyDescent="0.3">
      <c r="CI1119" t="e">
        <f>AT377</f>
        <v>#N/A</v>
      </c>
      <c r="CJ1119" t="e">
        <f>AU377</f>
        <v>#N/A</v>
      </c>
      <c r="CK1119">
        <f>IF(ISNUMBER(CI1119),IFERROR(MAX(0,AV377-CI1119),0),0)</f>
        <v>0</v>
      </c>
      <c r="CL1119">
        <f>IF(ISNUMBER(CI1119),IFERROR(MAX(0,CI1119-AV377),0),0)</f>
        <v>0</v>
      </c>
      <c r="CM1119">
        <f>IF(ISNUMBER(CJ1119),IFERROR(MAX(0,AW377-CJ1119),0),0)</f>
        <v>0</v>
      </c>
      <c r="CN1119">
        <f>IF(ISNUMBER(CJ1119),IFERROR(MAX(0,CJ1119-AW377),0),0)</f>
        <v>0</v>
      </c>
      <c r="CP1119" t="e">
        <f>CB377</f>
        <v>#N/A</v>
      </c>
      <c r="CQ1119" t="e">
        <f>CC377</f>
        <v>#N/A</v>
      </c>
      <c r="CR1119">
        <f>IF(ISNUMBER(CP1119),IFERROR(MAX(0,CD377-CP1119),0),0)</f>
        <v>0</v>
      </c>
      <c r="CS1119">
        <f>IF(ISNUMBER(CP1119),IFERROR(MAX(0,CP1119-CD377),0),0)</f>
        <v>0</v>
      </c>
      <c r="CT1119">
        <f>IF(ISNUMBER(CQ1119),IFERROR(MAX(0,CE377-CQ1119),0),0)</f>
        <v>0</v>
      </c>
      <c r="CU1119">
        <f>IF(ISNUMBER(CQ1119),IFERROR(MAX(0,CQ1119-CE377),0),0)</f>
        <v>0</v>
      </c>
    </row>
    <row r="1120" spans="87:99" x14ac:dyDescent="0.3">
      <c r="CI1120" t="e">
        <f>AL378</f>
        <v>#N/A</v>
      </c>
      <c r="CJ1120" t="e">
        <f>AM378</f>
        <v>#N/A</v>
      </c>
      <c r="CK1120">
        <f>IF(ISNUMBER(CI1120),IFERROR(MAX(0,AN378-CI1120),0),0)</f>
        <v>0</v>
      </c>
      <c r="CL1120">
        <f>IF(ISNUMBER(CI1120),IFERROR(MAX(0,CI1120-AN378),0),0)</f>
        <v>0</v>
      </c>
      <c r="CM1120">
        <f>IF(ISNUMBER(CJ1120),IFERROR(MAX(0,AO378-CJ1120),0),0)</f>
        <v>0</v>
      </c>
      <c r="CN1120">
        <f>IF(ISNUMBER(CJ1120),IFERROR(MAX(0,CJ1120-AO378),0),0)</f>
        <v>0</v>
      </c>
      <c r="CP1120" t="e">
        <f>BT378</f>
        <v>#N/A</v>
      </c>
      <c r="CQ1120" t="e">
        <f>BU378</f>
        <v>#N/A</v>
      </c>
      <c r="CR1120">
        <f>IF(ISNUMBER(CP1120),IFERROR(MAX(0,BV378-CP1120),0),0)</f>
        <v>0</v>
      </c>
      <c r="CS1120">
        <f>IF(ISNUMBER(CP1120),IFERROR(MAX(0,CP1120-BV378),0),0)</f>
        <v>0</v>
      </c>
      <c r="CT1120">
        <f>IF(ISNUMBER(CQ1120),IFERROR(MAX(0,BW378-CQ1120),0),0)</f>
        <v>0</v>
      </c>
      <c r="CU1120">
        <f>IF(ISNUMBER(CQ1120),IFERROR(MAX(0,CQ1120-BW378),0),0)</f>
        <v>0</v>
      </c>
    </row>
    <row r="1121" spans="87:99" x14ac:dyDescent="0.3">
      <c r="CI1121" t="e">
        <f>AP378</f>
        <v>#N/A</v>
      </c>
      <c r="CJ1121" t="e">
        <f>AQ378</f>
        <v>#N/A</v>
      </c>
      <c r="CK1121">
        <f>IF(ISNUMBER(CI1121),IFERROR(MAX(0,AR378-CI1121),0),0)</f>
        <v>0</v>
      </c>
      <c r="CL1121">
        <f>IF(ISNUMBER(CI1121),IFERROR(MAX(0,CI1121-AR378),0),0)</f>
        <v>0</v>
      </c>
      <c r="CM1121">
        <f>IF(ISNUMBER(CJ1121),IFERROR(MAX(0,AS378-CJ1121),0),0)</f>
        <v>0</v>
      </c>
      <c r="CN1121">
        <f>IF(ISNUMBER(CJ1121),IFERROR(MAX(0,CJ1121-AS378),0),0)</f>
        <v>0</v>
      </c>
      <c r="CP1121" t="e">
        <f>BX378</f>
        <v>#N/A</v>
      </c>
      <c r="CQ1121" t="e">
        <f>BY378</f>
        <v>#N/A</v>
      </c>
      <c r="CR1121">
        <f>IF(ISNUMBER(CP1121),IFERROR(MAX(0,BZ378-CP1121),0),0)</f>
        <v>0</v>
      </c>
      <c r="CS1121">
        <f>IF(ISNUMBER(CP1121),IFERROR(MAX(0,CP1121-BZ378),0),0)</f>
        <v>0</v>
      </c>
      <c r="CT1121">
        <f>IF(ISNUMBER(CQ1121),IFERROR(MAX(0,CA378-CQ1121),0),0)</f>
        <v>0</v>
      </c>
      <c r="CU1121">
        <f>IF(ISNUMBER(CQ1121),IFERROR(MAX(0,CQ1121-CA378),0),0)</f>
        <v>0</v>
      </c>
    </row>
    <row r="1122" spans="87:99" x14ac:dyDescent="0.3">
      <c r="CI1122" t="e">
        <f>AT378</f>
        <v>#N/A</v>
      </c>
      <c r="CJ1122" t="e">
        <f>AU378</f>
        <v>#N/A</v>
      </c>
      <c r="CK1122">
        <f>IF(ISNUMBER(CI1122),IFERROR(MAX(0,AV378-CI1122),0),0)</f>
        <v>0</v>
      </c>
      <c r="CL1122">
        <f>IF(ISNUMBER(CI1122),IFERROR(MAX(0,CI1122-AV378),0),0)</f>
        <v>0</v>
      </c>
      <c r="CM1122">
        <f>IF(ISNUMBER(CJ1122),IFERROR(MAX(0,AW378-CJ1122),0),0)</f>
        <v>0</v>
      </c>
      <c r="CN1122">
        <f>IF(ISNUMBER(CJ1122),IFERROR(MAX(0,CJ1122-AW378),0),0)</f>
        <v>0</v>
      </c>
      <c r="CP1122" t="e">
        <f>CB378</f>
        <v>#N/A</v>
      </c>
      <c r="CQ1122" t="e">
        <f>CC378</f>
        <v>#N/A</v>
      </c>
      <c r="CR1122">
        <f>IF(ISNUMBER(CP1122),IFERROR(MAX(0,CD378-CP1122),0),0)</f>
        <v>0</v>
      </c>
      <c r="CS1122">
        <f>IF(ISNUMBER(CP1122),IFERROR(MAX(0,CP1122-CD378),0),0)</f>
        <v>0</v>
      </c>
      <c r="CT1122">
        <f>IF(ISNUMBER(CQ1122),IFERROR(MAX(0,CE378-CQ1122),0),0)</f>
        <v>0</v>
      </c>
      <c r="CU1122">
        <f>IF(ISNUMBER(CQ1122),IFERROR(MAX(0,CQ1122-CE378),0),0)</f>
        <v>0</v>
      </c>
    </row>
    <row r="1123" spans="87:99" x14ac:dyDescent="0.3">
      <c r="CI1123" t="e">
        <f>AL379</f>
        <v>#N/A</v>
      </c>
      <c r="CJ1123" t="e">
        <f>AM379</f>
        <v>#N/A</v>
      </c>
      <c r="CK1123">
        <f>IF(ISNUMBER(CI1123),IFERROR(MAX(0,AN379-CI1123),0),0)</f>
        <v>0</v>
      </c>
      <c r="CL1123">
        <f>IF(ISNUMBER(CI1123),IFERROR(MAX(0,CI1123-AN379),0),0)</f>
        <v>0</v>
      </c>
      <c r="CM1123">
        <f>IF(ISNUMBER(CJ1123),IFERROR(MAX(0,AO379-CJ1123),0),0)</f>
        <v>0</v>
      </c>
      <c r="CN1123">
        <f>IF(ISNUMBER(CJ1123),IFERROR(MAX(0,CJ1123-AO379),0),0)</f>
        <v>0</v>
      </c>
      <c r="CP1123" t="e">
        <f>BT379</f>
        <v>#N/A</v>
      </c>
      <c r="CQ1123" t="e">
        <f>BU379</f>
        <v>#N/A</v>
      </c>
      <c r="CR1123">
        <f>IF(ISNUMBER(CP1123),IFERROR(MAX(0,BV379-CP1123),0),0)</f>
        <v>0</v>
      </c>
      <c r="CS1123">
        <f>IF(ISNUMBER(CP1123),IFERROR(MAX(0,CP1123-BV379),0),0)</f>
        <v>0</v>
      </c>
      <c r="CT1123">
        <f>IF(ISNUMBER(CQ1123),IFERROR(MAX(0,BW379-CQ1123),0),0)</f>
        <v>0</v>
      </c>
      <c r="CU1123">
        <f>IF(ISNUMBER(CQ1123),IFERROR(MAX(0,CQ1123-BW379),0),0)</f>
        <v>0</v>
      </c>
    </row>
    <row r="1124" spans="87:99" x14ac:dyDescent="0.3">
      <c r="CI1124" t="e">
        <f>AP379</f>
        <v>#N/A</v>
      </c>
      <c r="CJ1124" t="e">
        <f>AQ379</f>
        <v>#N/A</v>
      </c>
      <c r="CK1124">
        <f>IF(ISNUMBER(CI1124),IFERROR(MAX(0,AR379-CI1124),0),0)</f>
        <v>0</v>
      </c>
      <c r="CL1124">
        <f>IF(ISNUMBER(CI1124),IFERROR(MAX(0,CI1124-AR379),0),0)</f>
        <v>0</v>
      </c>
      <c r="CM1124">
        <f>IF(ISNUMBER(CJ1124),IFERROR(MAX(0,AS379-CJ1124),0),0)</f>
        <v>0</v>
      </c>
      <c r="CN1124">
        <f>IF(ISNUMBER(CJ1124),IFERROR(MAX(0,CJ1124-AS379),0),0)</f>
        <v>0</v>
      </c>
      <c r="CP1124" t="e">
        <f>BX379</f>
        <v>#N/A</v>
      </c>
      <c r="CQ1124" t="e">
        <f>BY379</f>
        <v>#N/A</v>
      </c>
      <c r="CR1124">
        <f>IF(ISNUMBER(CP1124),IFERROR(MAX(0,BZ379-CP1124),0),0)</f>
        <v>0</v>
      </c>
      <c r="CS1124">
        <f>IF(ISNUMBER(CP1124),IFERROR(MAX(0,CP1124-BZ379),0),0)</f>
        <v>0</v>
      </c>
      <c r="CT1124">
        <f>IF(ISNUMBER(CQ1124),IFERROR(MAX(0,CA379-CQ1124),0),0)</f>
        <v>0</v>
      </c>
      <c r="CU1124">
        <f>IF(ISNUMBER(CQ1124),IFERROR(MAX(0,CQ1124-CA379),0),0)</f>
        <v>0</v>
      </c>
    </row>
    <row r="1125" spans="87:99" x14ac:dyDescent="0.3">
      <c r="CI1125" t="e">
        <f>AT379</f>
        <v>#N/A</v>
      </c>
      <c r="CJ1125" t="e">
        <f>AU379</f>
        <v>#N/A</v>
      </c>
      <c r="CK1125">
        <f>IF(ISNUMBER(CI1125),IFERROR(MAX(0,AV379-CI1125),0),0)</f>
        <v>0</v>
      </c>
      <c r="CL1125">
        <f>IF(ISNUMBER(CI1125),IFERROR(MAX(0,CI1125-AV379),0),0)</f>
        <v>0</v>
      </c>
      <c r="CM1125">
        <f>IF(ISNUMBER(CJ1125),IFERROR(MAX(0,AW379-CJ1125),0),0)</f>
        <v>0</v>
      </c>
      <c r="CN1125">
        <f>IF(ISNUMBER(CJ1125),IFERROR(MAX(0,CJ1125-AW379),0),0)</f>
        <v>0</v>
      </c>
      <c r="CP1125" t="e">
        <f>CB379</f>
        <v>#N/A</v>
      </c>
      <c r="CQ1125" t="e">
        <f>CC379</f>
        <v>#N/A</v>
      </c>
      <c r="CR1125">
        <f>IF(ISNUMBER(CP1125),IFERROR(MAX(0,CD379-CP1125),0),0)</f>
        <v>0</v>
      </c>
      <c r="CS1125">
        <f>IF(ISNUMBER(CP1125),IFERROR(MAX(0,CP1125-CD379),0),0)</f>
        <v>0</v>
      </c>
      <c r="CT1125">
        <f>IF(ISNUMBER(CQ1125),IFERROR(MAX(0,CE379-CQ1125),0),0)</f>
        <v>0</v>
      </c>
      <c r="CU1125">
        <f>IF(ISNUMBER(CQ1125),IFERROR(MAX(0,CQ1125-CE379),0),0)</f>
        <v>0</v>
      </c>
    </row>
    <row r="1126" spans="87:99" x14ac:dyDescent="0.3">
      <c r="CI1126" t="e">
        <f>AL380</f>
        <v>#N/A</v>
      </c>
      <c r="CJ1126" t="e">
        <f>AM380</f>
        <v>#N/A</v>
      </c>
      <c r="CK1126">
        <f>IF(ISNUMBER(CI1126),IFERROR(MAX(0,AN380-CI1126),0),0)</f>
        <v>0</v>
      </c>
      <c r="CL1126">
        <f>IF(ISNUMBER(CI1126),IFERROR(MAX(0,CI1126-AN380),0),0)</f>
        <v>0</v>
      </c>
      <c r="CM1126">
        <f>IF(ISNUMBER(CJ1126),IFERROR(MAX(0,AO380-CJ1126),0),0)</f>
        <v>0</v>
      </c>
      <c r="CN1126">
        <f>IF(ISNUMBER(CJ1126),IFERROR(MAX(0,CJ1126-AO380),0),0)</f>
        <v>0</v>
      </c>
      <c r="CP1126" t="e">
        <f>BT380</f>
        <v>#N/A</v>
      </c>
      <c r="CQ1126" t="e">
        <f>BU380</f>
        <v>#N/A</v>
      </c>
      <c r="CR1126">
        <f>IF(ISNUMBER(CP1126),IFERROR(MAX(0,BV380-CP1126),0),0)</f>
        <v>0</v>
      </c>
      <c r="CS1126">
        <f>IF(ISNUMBER(CP1126),IFERROR(MAX(0,CP1126-BV380),0),0)</f>
        <v>0</v>
      </c>
      <c r="CT1126">
        <f>IF(ISNUMBER(CQ1126),IFERROR(MAX(0,BW380-CQ1126),0),0)</f>
        <v>0</v>
      </c>
      <c r="CU1126">
        <f>IF(ISNUMBER(CQ1126),IFERROR(MAX(0,CQ1126-BW380),0),0)</f>
        <v>0</v>
      </c>
    </row>
    <row r="1127" spans="87:99" x14ac:dyDescent="0.3">
      <c r="CI1127" t="e">
        <f>AP380</f>
        <v>#N/A</v>
      </c>
      <c r="CJ1127" t="e">
        <f>AQ380</f>
        <v>#N/A</v>
      </c>
      <c r="CK1127">
        <f>IF(ISNUMBER(CI1127),IFERROR(MAX(0,AR380-CI1127),0),0)</f>
        <v>0</v>
      </c>
      <c r="CL1127">
        <f>IF(ISNUMBER(CI1127),IFERROR(MAX(0,CI1127-AR380),0),0)</f>
        <v>0</v>
      </c>
      <c r="CM1127">
        <f>IF(ISNUMBER(CJ1127),IFERROR(MAX(0,AS380-CJ1127),0),0)</f>
        <v>0</v>
      </c>
      <c r="CN1127">
        <f>IF(ISNUMBER(CJ1127),IFERROR(MAX(0,CJ1127-AS380),0),0)</f>
        <v>0</v>
      </c>
      <c r="CP1127" t="e">
        <f>BX380</f>
        <v>#N/A</v>
      </c>
      <c r="CQ1127" t="e">
        <f>BY380</f>
        <v>#N/A</v>
      </c>
      <c r="CR1127">
        <f>IF(ISNUMBER(CP1127),IFERROR(MAX(0,BZ380-CP1127),0),0)</f>
        <v>0</v>
      </c>
      <c r="CS1127">
        <f>IF(ISNUMBER(CP1127),IFERROR(MAX(0,CP1127-BZ380),0),0)</f>
        <v>0</v>
      </c>
      <c r="CT1127">
        <f>IF(ISNUMBER(CQ1127),IFERROR(MAX(0,CA380-CQ1127),0),0)</f>
        <v>0</v>
      </c>
      <c r="CU1127">
        <f>IF(ISNUMBER(CQ1127),IFERROR(MAX(0,CQ1127-CA380),0),0)</f>
        <v>0</v>
      </c>
    </row>
    <row r="1128" spans="87:99" x14ac:dyDescent="0.3">
      <c r="CI1128" t="e">
        <f>AT380</f>
        <v>#N/A</v>
      </c>
      <c r="CJ1128" t="e">
        <f>AU380</f>
        <v>#N/A</v>
      </c>
      <c r="CK1128">
        <f>IF(ISNUMBER(CI1128),IFERROR(MAX(0,AV380-CI1128),0),0)</f>
        <v>0</v>
      </c>
      <c r="CL1128">
        <f>IF(ISNUMBER(CI1128),IFERROR(MAX(0,CI1128-AV380),0),0)</f>
        <v>0</v>
      </c>
      <c r="CM1128">
        <f>IF(ISNUMBER(CJ1128),IFERROR(MAX(0,AW380-CJ1128),0),0)</f>
        <v>0</v>
      </c>
      <c r="CN1128">
        <f>IF(ISNUMBER(CJ1128),IFERROR(MAX(0,CJ1128-AW380),0),0)</f>
        <v>0</v>
      </c>
      <c r="CP1128" t="e">
        <f>CB380</f>
        <v>#N/A</v>
      </c>
      <c r="CQ1128" t="e">
        <f>CC380</f>
        <v>#N/A</v>
      </c>
      <c r="CR1128">
        <f>IF(ISNUMBER(CP1128),IFERROR(MAX(0,CD380-CP1128),0),0)</f>
        <v>0</v>
      </c>
      <c r="CS1128">
        <f>IF(ISNUMBER(CP1128),IFERROR(MAX(0,CP1128-CD380),0),0)</f>
        <v>0</v>
      </c>
      <c r="CT1128">
        <f>IF(ISNUMBER(CQ1128),IFERROR(MAX(0,CE380-CQ1128),0),0)</f>
        <v>0</v>
      </c>
      <c r="CU1128">
        <f>IF(ISNUMBER(CQ1128),IFERROR(MAX(0,CQ1128-CE380),0),0)</f>
        <v>0</v>
      </c>
    </row>
    <row r="1129" spans="87:99" x14ac:dyDescent="0.3">
      <c r="CI1129" t="e">
        <f>AL381</f>
        <v>#N/A</v>
      </c>
      <c r="CJ1129" t="e">
        <f>AM381</f>
        <v>#N/A</v>
      </c>
      <c r="CK1129">
        <f>IF(ISNUMBER(CI1129),IFERROR(MAX(0,AN381-CI1129),0),0)</f>
        <v>0</v>
      </c>
      <c r="CL1129">
        <f>IF(ISNUMBER(CI1129),IFERROR(MAX(0,CI1129-AN381),0),0)</f>
        <v>0</v>
      </c>
      <c r="CM1129">
        <f>IF(ISNUMBER(CJ1129),IFERROR(MAX(0,AO381-CJ1129),0),0)</f>
        <v>0</v>
      </c>
      <c r="CN1129">
        <f>IF(ISNUMBER(CJ1129),IFERROR(MAX(0,CJ1129-AO381),0),0)</f>
        <v>0</v>
      </c>
      <c r="CP1129" t="e">
        <f>BT381</f>
        <v>#N/A</v>
      </c>
      <c r="CQ1129" t="e">
        <f>BU381</f>
        <v>#N/A</v>
      </c>
      <c r="CR1129">
        <f>IF(ISNUMBER(CP1129),IFERROR(MAX(0,BV381-CP1129),0),0)</f>
        <v>0</v>
      </c>
      <c r="CS1129">
        <f>IF(ISNUMBER(CP1129),IFERROR(MAX(0,CP1129-BV381),0),0)</f>
        <v>0</v>
      </c>
      <c r="CT1129">
        <f>IF(ISNUMBER(CQ1129),IFERROR(MAX(0,BW381-CQ1129),0),0)</f>
        <v>0</v>
      </c>
      <c r="CU1129">
        <f>IF(ISNUMBER(CQ1129),IFERROR(MAX(0,CQ1129-BW381),0),0)</f>
        <v>0</v>
      </c>
    </row>
    <row r="1130" spans="87:99" x14ac:dyDescent="0.3">
      <c r="CI1130" t="e">
        <f>AP381</f>
        <v>#N/A</v>
      </c>
      <c r="CJ1130" t="e">
        <f>AQ381</f>
        <v>#N/A</v>
      </c>
      <c r="CK1130">
        <f>IF(ISNUMBER(CI1130),IFERROR(MAX(0,AR381-CI1130),0),0)</f>
        <v>0</v>
      </c>
      <c r="CL1130">
        <f>IF(ISNUMBER(CI1130),IFERROR(MAX(0,CI1130-AR381),0),0)</f>
        <v>0</v>
      </c>
      <c r="CM1130">
        <f>IF(ISNUMBER(CJ1130),IFERROR(MAX(0,AS381-CJ1130),0),0)</f>
        <v>0</v>
      </c>
      <c r="CN1130">
        <f>IF(ISNUMBER(CJ1130),IFERROR(MAX(0,CJ1130-AS381),0),0)</f>
        <v>0</v>
      </c>
      <c r="CP1130" t="e">
        <f>BX381</f>
        <v>#N/A</v>
      </c>
      <c r="CQ1130" t="e">
        <f>BY381</f>
        <v>#N/A</v>
      </c>
      <c r="CR1130">
        <f>IF(ISNUMBER(CP1130),IFERROR(MAX(0,BZ381-CP1130),0),0)</f>
        <v>0</v>
      </c>
      <c r="CS1130">
        <f>IF(ISNUMBER(CP1130),IFERROR(MAX(0,CP1130-BZ381),0),0)</f>
        <v>0</v>
      </c>
      <c r="CT1130">
        <f>IF(ISNUMBER(CQ1130),IFERROR(MAX(0,CA381-CQ1130),0),0)</f>
        <v>0</v>
      </c>
      <c r="CU1130">
        <f>IF(ISNUMBER(CQ1130),IFERROR(MAX(0,CQ1130-CA381),0),0)</f>
        <v>0</v>
      </c>
    </row>
    <row r="1131" spans="87:99" x14ac:dyDescent="0.3">
      <c r="CI1131" t="e">
        <f>AT381</f>
        <v>#N/A</v>
      </c>
      <c r="CJ1131" t="e">
        <f>AU381</f>
        <v>#N/A</v>
      </c>
      <c r="CK1131">
        <f>IF(ISNUMBER(CI1131),IFERROR(MAX(0,AV381-CI1131),0),0)</f>
        <v>0</v>
      </c>
      <c r="CL1131">
        <f>IF(ISNUMBER(CI1131),IFERROR(MAX(0,CI1131-AV381),0),0)</f>
        <v>0</v>
      </c>
      <c r="CM1131">
        <f>IF(ISNUMBER(CJ1131),IFERROR(MAX(0,AW381-CJ1131),0),0)</f>
        <v>0</v>
      </c>
      <c r="CN1131">
        <f>IF(ISNUMBER(CJ1131),IFERROR(MAX(0,CJ1131-AW381),0),0)</f>
        <v>0</v>
      </c>
      <c r="CP1131" t="e">
        <f>CB381</f>
        <v>#N/A</v>
      </c>
      <c r="CQ1131" t="e">
        <f>CC381</f>
        <v>#N/A</v>
      </c>
      <c r="CR1131">
        <f>IF(ISNUMBER(CP1131),IFERROR(MAX(0,CD381-CP1131),0),0)</f>
        <v>0</v>
      </c>
      <c r="CS1131">
        <f>IF(ISNUMBER(CP1131),IFERROR(MAX(0,CP1131-CD381),0),0)</f>
        <v>0</v>
      </c>
      <c r="CT1131">
        <f>IF(ISNUMBER(CQ1131),IFERROR(MAX(0,CE381-CQ1131),0),0)</f>
        <v>0</v>
      </c>
      <c r="CU1131">
        <f>IF(ISNUMBER(CQ1131),IFERROR(MAX(0,CQ1131-CE381),0),0)</f>
        <v>0</v>
      </c>
    </row>
    <row r="1132" spans="87:99" x14ac:dyDescent="0.3">
      <c r="CI1132" t="e">
        <f>AL382</f>
        <v>#N/A</v>
      </c>
      <c r="CJ1132" t="e">
        <f>AM382</f>
        <v>#N/A</v>
      </c>
      <c r="CK1132">
        <f>IF(ISNUMBER(CI1132),IFERROR(MAX(0,AN382-CI1132),0),0)</f>
        <v>0</v>
      </c>
      <c r="CL1132">
        <f>IF(ISNUMBER(CI1132),IFERROR(MAX(0,CI1132-AN382),0),0)</f>
        <v>0</v>
      </c>
      <c r="CM1132">
        <f>IF(ISNUMBER(CJ1132),IFERROR(MAX(0,AO382-CJ1132),0),0)</f>
        <v>0</v>
      </c>
      <c r="CN1132">
        <f>IF(ISNUMBER(CJ1132),IFERROR(MAX(0,CJ1132-AO382),0),0)</f>
        <v>0</v>
      </c>
      <c r="CP1132" t="e">
        <f>BT382</f>
        <v>#N/A</v>
      </c>
      <c r="CQ1132" t="e">
        <f>BU382</f>
        <v>#N/A</v>
      </c>
      <c r="CR1132">
        <f>IF(ISNUMBER(CP1132),IFERROR(MAX(0,BV382-CP1132),0),0)</f>
        <v>0</v>
      </c>
      <c r="CS1132">
        <f>IF(ISNUMBER(CP1132),IFERROR(MAX(0,CP1132-BV382),0),0)</f>
        <v>0</v>
      </c>
      <c r="CT1132">
        <f>IF(ISNUMBER(CQ1132),IFERROR(MAX(0,BW382-CQ1132),0),0)</f>
        <v>0</v>
      </c>
      <c r="CU1132">
        <f>IF(ISNUMBER(CQ1132),IFERROR(MAX(0,CQ1132-BW382),0),0)</f>
        <v>0</v>
      </c>
    </row>
    <row r="1133" spans="87:99" x14ac:dyDescent="0.3">
      <c r="CI1133" t="e">
        <f>AP382</f>
        <v>#N/A</v>
      </c>
      <c r="CJ1133" t="e">
        <f>AQ382</f>
        <v>#N/A</v>
      </c>
      <c r="CK1133">
        <f>IF(ISNUMBER(CI1133),IFERROR(MAX(0,AR382-CI1133),0),0)</f>
        <v>0</v>
      </c>
      <c r="CL1133">
        <f>IF(ISNUMBER(CI1133),IFERROR(MAX(0,CI1133-AR382),0),0)</f>
        <v>0</v>
      </c>
      <c r="CM1133">
        <f>IF(ISNUMBER(CJ1133),IFERROR(MAX(0,AS382-CJ1133),0),0)</f>
        <v>0</v>
      </c>
      <c r="CN1133">
        <f>IF(ISNUMBER(CJ1133),IFERROR(MAX(0,CJ1133-AS382),0),0)</f>
        <v>0</v>
      </c>
      <c r="CP1133" t="e">
        <f>BX382</f>
        <v>#N/A</v>
      </c>
      <c r="CQ1133" t="e">
        <f>BY382</f>
        <v>#N/A</v>
      </c>
      <c r="CR1133">
        <f>IF(ISNUMBER(CP1133),IFERROR(MAX(0,BZ382-CP1133),0),0)</f>
        <v>0</v>
      </c>
      <c r="CS1133">
        <f>IF(ISNUMBER(CP1133),IFERROR(MAX(0,CP1133-BZ382),0),0)</f>
        <v>0</v>
      </c>
      <c r="CT1133">
        <f>IF(ISNUMBER(CQ1133),IFERROR(MAX(0,CA382-CQ1133),0),0)</f>
        <v>0</v>
      </c>
      <c r="CU1133">
        <f>IF(ISNUMBER(CQ1133),IFERROR(MAX(0,CQ1133-CA382),0),0)</f>
        <v>0</v>
      </c>
    </row>
    <row r="1134" spans="87:99" x14ac:dyDescent="0.3">
      <c r="CI1134" t="e">
        <f>AT382</f>
        <v>#N/A</v>
      </c>
      <c r="CJ1134" t="e">
        <f>AU382</f>
        <v>#N/A</v>
      </c>
      <c r="CK1134">
        <f>IF(ISNUMBER(CI1134),IFERROR(MAX(0,AV382-CI1134),0),0)</f>
        <v>0</v>
      </c>
      <c r="CL1134">
        <f>IF(ISNUMBER(CI1134),IFERROR(MAX(0,CI1134-AV382),0),0)</f>
        <v>0</v>
      </c>
      <c r="CM1134">
        <f>IF(ISNUMBER(CJ1134),IFERROR(MAX(0,AW382-CJ1134),0),0)</f>
        <v>0</v>
      </c>
      <c r="CN1134">
        <f>IF(ISNUMBER(CJ1134),IFERROR(MAX(0,CJ1134-AW382),0),0)</f>
        <v>0</v>
      </c>
      <c r="CP1134" t="e">
        <f>CB382</f>
        <v>#N/A</v>
      </c>
      <c r="CQ1134" t="e">
        <f>CC382</f>
        <v>#N/A</v>
      </c>
      <c r="CR1134">
        <f>IF(ISNUMBER(CP1134),IFERROR(MAX(0,CD382-CP1134),0),0)</f>
        <v>0</v>
      </c>
      <c r="CS1134">
        <f>IF(ISNUMBER(CP1134),IFERROR(MAX(0,CP1134-CD382),0),0)</f>
        <v>0</v>
      </c>
      <c r="CT1134">
        <f>IF(ISNUMBER(CQ1134),IFERROR(MAX(0,CE382-CQ1134),0),0)</f>
        <v>0</v>
      </c>
      <c r="CU1134">
        <f>IF(ISNUMBER(CQ1134),IFERROR(MAX(0,CQ1134-CE382),0),0)</f>
        <v>0</v>
      </c>
    </row>
    <row r="1135" spans="87:99" x14ac:dyDescent="0.3">
      <c r="CI1135" t="e">
        <f>AL383</f>
        <v>#N/A</v>
      </c>
      <c r="CJ1135" t="e">
        <f>AM383</f>
        <v>#N/A</v>
      </c>
      <c r="CK1135">
        <f>IF(ISNUMBER(CI1135),IFERROR(MAX(0,AN383-CI1135),0),0)</f>
        <v>0</v>
      </c>
      <c r="CL1135">
        <f>IF(ISNUMBER(CI1135),IFERROR(MAX(0,CI1135-AN383),0),0)</f>
        <v>0</v>
      </c>
      <c r="CM1135">
        <f>IF(ISNUMBER(CJ1135),IFERROR(MAX(0,AO383-CJ1135),0),0)</f>
        <v>0</v>
      </c>
      <c r="CN1135">
        <f>IF(ISNUMBER(CJ1135),IFERROR(MAX(0,CJ1135-AO383),0),0)</f>
        <v>0</v>
      </c>
      <c r="CP1135" t="e">
        <f>BT383</f>
        <v>#N/A</v>
      </c>
      <c r="CQ1135" t="e">
        <f>BU383</f>
        <v>#N/A</v>
      </c>
      <c r="CR1135">
        <f>IF(ISNUMBER(CP1135),IFERROR(MAX(0,BV383-CP1135),0),0)</f>
        <v>0</v>
      </c>
      <c r="CS1135">
        <f>IF(ISNUMBER(CP1135),IFERROR(MAX(0,CP1135-BV383),0),0)</f>
        <v>0</v>
      </c>
      <c r="CT1135">
        <f>IF(ISNUMBER(CQ1135),IFERROR(MAX(0,BW383-CQ1135),0),0)</f>
        <v>0</v>
      </c>
      <c r="CU1135">
        <f>IF(ISNUMBER(CQ1135),IFERROR(MAX(0,CQ1135-BW383),0),0)</f>
        <v>0</v>
      </c>
    </row>
    <row r="1136" spans="87:99" x14ac:dyDescent="0.3">
      <c r="CI1136" t="e">
        <f>AP383</f>
        <v>#N/A</v>
      </c>
      <c r="CJ1136" t="e">
        <f>AQ383</f>
        <v>#N/A</v>
      </c>
      <c r="CK1136">
        <f>IF(ISNUMBER(CI1136),IFERROR(MAX(0,AR383-CI1136),0),0)</f>
        <v>0</v>
      </c>
      <c r="CL1136">
        <f>IF(ISNUMBER(CI1136),IFERROR(MAX(0,CI1136-AR383),0),0)</f>
        <v>0</v>
      </c>
      <c r="CM1136">
        <f>IF(ISNUMBER(CJ1136),IFERROR(MAX(0,AS383-CJ1136),0),0)</f>
        <v>0</v>
      </c>
      <c r="CN1136">
        <f>IF(ISNUMBER(CJ1136),IFERROR(MAX(0,CJ1136-AS383),0),0)</f>
        <v>0</v>
      </c>
      <c r="CP1136" t="e">
        <f>BX383</f>
        <v>#N/A</v>
      </c>
      <c r="CQ1136" t="e">
        <f>BY383</f>
        <v>#N/A</v>
      </c>
      <c r="CR1136">
        <f>IF(ISNUMBER(CP1136),IFERROR(MAX(0,BZ383-CP1136),0),0)</f>
        <v>0</v>
      </c>
      <c r="CS1136">
        <f>IF(ISNUMBER(CP1136),IFERROR(MAX(0,CP1136-BZ383),0),0)</f>
        <v>0</v>
      </c>
      <c r="CT1136">
        <f>IF(ISNUMBER(CQ1136),IFERROR(MAX(0,CA383-CQ1136),0),0)</f>
        <v>0</v>
      </c>
      <c r="CU1136">
        <f>IF(ISNUMBER(CQ1136),IFERROR(MAX(0,CQ1136-CA383),0),0)</f>
        <v>0</v>
      </c>
    </row>
    <row r="1137" spans="87:99" x14ac:dyDescent="0.3">
      <c r="CI1137" t="e">
        <f>AT383</f>
        <v>#N/A</v>
      </c>
      <c r="CJ1137" t="e">
        <f>AU383</f>
        <v>#N/A</v>
      </c>
      <c r="CK1137">
        <f>IF(ISNUMBER(CI1137),IFERROR(MAX(0,AV383-CI1137),0),0)</f>
        <v>0</v>
      </c>
      <c r="CL1137">
        <f>IF(ISNUMBER(CI1137),IFERROR(MAX(0,CI1137-AV383),0),0)</f>
        <v>0</v>
      </c>
      <c r="CM1137">
        <f>IF(ISNUMBER(CJ1137),IFERROR(MAX(0,AW383-CJ1137),0),0)</f>
        <v>0</v>
      </c>
      <c r="CN1137">
        <f>IF(ISNUMBER(CJ1137),IFERROR(MAX(0,CJ1137-AW383),0),0)</f>
        <v>0</v>
      </c>
      <c r="CP1137" t="e">
        <f>CB383</f>
        <v>#N/A</v>
      </c>
      <c r="CQ1137" t="e">
        <f>CC383</f>
        <v>#N/A</v>
      </c>
      <c r="CR1137">
        <f>IF(ISNUMBER(CP1137),IFERROR(MAX(0,CD383-CP1137),0),0)</f>
        <v>0</v>
      </c>
      <c r="CS1137">
        <f>IF(ISNUMBER(CP1137),IFERROR(MAX(0,CP1137-CD383),0),0)</f>
        <v>0</v>
      </c>
      <c r="CT1137">
        <f>IF(ISNUMBER(CQ1137),IFERROR(MAX(0,CE383-CQ1137),0),0)</f>
        <v>0</v>
      </c>
      <c r="CU1137">
        <f>IF(ISNUMBER(CQ1137),IFERROR(MAX(0,CQ1137-CE383),0),0)</f>
        <v>0</v>
      </c>
    </row>
    <row r="1138" spans="87:99" x14ac:dyDescent="0.3">
      <c r="CI1138" t="e">
        <f>AL384</f>
        <v>#N/A</v>
      </c>
      <c r="CJ1138" t="e">
        <f>AM384</f>
        <v>#N/A</v>
      </c>
      <c r="CK1138">
        <f>IF(ISNUMBER(CI1138),IFERROR(MAX(0,AN384-CI1138),0),0)</f>
        <v>0</v>
      </c>
      <c r="CL1138">
        <f>IF(ISNUMBER(CI1138),IFERROR(MAX(0,CI1138-AN384),0),0)</f>
        <v>0</v>
      </c>
      <c r="CM1138">
        <f>IF(ISNUMBER(CJ1138),IFERROR(MAX(0,AO384-CJ1138),0),0)</f>
        <v>0</v>
      </c>
      <c r="CN1138">
        <f>IF(ISNUMBER(CJ1138),IFERROR(MAX(0,CJ1138-AO384),0),0)</f>
        <v>0</v>
      </c>
      <c r="CP1138" t="e">
        <f>BT384</f>
        <v>#N/A</v>
      </c>
      <c r="CQ1138" t="e">
        <f>BU384</f>
        <v>#N/A</v>
      </c>
      <c r="CR1138">
        <f>IF(ISNUMBER(CP1138),IFERROR(MAX(0,BV384-CP1138),0),0)</f>
        <v>0</v>
      </c>
      <c r="CS1138">
        <f>IF(ISNUMBER(CP1138),IFERROR(MAX(0,CP1138-BV384),0),0)</f>
        <v>0</v>
      </c>
      <c r="CT1138">
        <f>IF(ISNUMBER(CQ1138),IFERROR(MAX(0,BW384-CQ1138),0),0)</f>
        <v>0</v>
      </c>
      <c r="CU1138">
        <f>IF(ISNUMBER(CQ1138),IFERROR(MAX(0,CQ1138-BW384),0),0)</f>
        <v>0</v>
      </c>
    </row>
    <row r="1139" spans="87:99" x14ac:dyDescent="0.3">
      <c r="CI1139" t="e">
        <f>AP384</f>
        <v>#N/A</v>
      </c>
      <c r="CJ1139" t="e">
        <f>AQ384</f>
        <v>#N/A</v>
      </c>
      <c r="CK1139">
        <f>IF(ISNUMBER(CI1139),IFERROR(MAX(0,AR384-CI1139),0),0)</f>
        <v>0</v>
      </c>
      <c r="CL1139">
        <f>IF(ISNUMBER(CI1139),IFERROR(MAX(0,CI1139-AR384),0),0)</f>
        <v>0</v>
      </c>
      <c r="CM1139">
        <f>IF(ISNUMBER(CJ1139),IFERROR(MAX(0,AS384-CJ1139),0),0)</f>
        <v>0</v>
      </c>
      <c r="CN1139">
        <f>IF(ISNUMBER(CJ1139),IFERROR(MAX(0,CJ1139-AS384),0),0)</f>
        <v>0</v>
      </c>
      <c r="CP1139" t="e">
        <f>BX384</f>
        <v>#N/A</v>
      </c>
      <c r="CQ1139" t="e">
        <f>BY384</f>
        <v>#N/A</v>
      </c>
      <c r="CR1139">
        <f>IF(ISNUMBER(CP1139),IFERROR(MAX(0,BZ384-CP1139),0),0)</f>
        <v>0</v>
      </c>
      <c r="CS1139">
        <f>IF(ISNUMBER(CP1139),IFERROR(MAX(0,CP1139-BZ384),0),0)</f>
        <v>0</v>
      </c>
      <c r="CT1139">
        <f>IF(ISNUMBER(CQ1139),IFERROR(MAX(0,CA384-CQ1139),0),0)</f>
        <v>0</v>
      </c>
      <c r="CU1139">
        <f>IF(ISNUMBER(CQ1139),IFERROR(MAX(0,CQ1139-CA384),0),0)</f>
        <v>0</v>
      </c>
    </row>
    <row r="1140" spans="87:99" x14ac:dyDescent="0.3">
      <c r="CI1140" t="e">
        <f>AT384</f>
        <v>#N/A</v>
      </c>
      <c r="CJ1140" t="e">
        <f>AU384</f>
        <v>#N/A</v>
      </c>
      <c r="CK1140">
        <f>IF(ISNUMBER(CI1140),IFERROR(MAX(0,AV384-CI1140),0),0)</f>
        <v>0</v>
      </c>
      <c r="CL1140">
        <f>IF(ISNUMBER(CI1140),IFERROR(MAX(0,CI1140-AV384),0),0)</f>
        <v>0</v>
      </c>
      <c r="CM1140">
        <f>IF(ISNUMBER(CJ1140),IFERROR(MAX(0,AW384-CJ1140),0),0)</f>
        <v>0</v>
      </c>
      <c r="CN1140">
        <f>IF(ISNUMBER(CJ1140),IFERROR(MAX(0,CJ1140-AW384),0),0)</f>
        <v>0</v>
      </c>
      <c r="CP1140" t="e">
        <f>CB384</f>
        <v>#N/A</v>
      </c>
      <c r="CQ1140" t="e">
        <f>CC384</f>
        <v>#N/A</v>
      </c>
      <c r="CR1140">
        <f>IF(ISNUMBER(CP1140),IFERROR(MAX(0,CD384-CP1140),0),0)</f>
        <v>0</v>
      </c>
      <c r="CS1140">
        <f>IF(ISNUMBER(CP1140),IFERROR(MAX(0,CP1140-CD384),0),0)</f>
        <v>0</v>
      </c>
      <c r="CT1140">
        <f>IF(ISNUMBER(CQ1140),IFERROR(MAX(0,CE384-CQ1140),0),0)</f>
        <v>0</v>
      </c>
      <c r="CU1140">
        <f>IF(ISNUMBER(CQ1140),IFERROR(MAX(0,CQ1140-CE384),0),0)</f>
        <v>0</v>
      </c>
    </row>
    <row r="1141" spans="87:99" x14ac:dyDescent="0.3">
      <c r="CI1141" t="e">
        <f>AL385</f>
        <v>#N/A</v>
      </c>
      <c r="CJ1141" t="e">
        <f>AM385</f>
        <v>#N/A</v>
      </c>
      <c r="CK1141">
        <f>IF(ISNUMBER(CI1141),IFERROR(MAX(0,AN385-CI1141),0),0)</f>
        <v>0</v>
      </c>
      <c r="CL1141">
        <f>IF(ISNUMBER(CI1141),IFERROR(MAX(0,CI1141-AN385),0),0)</f>
        <v>0</v>
      </c>
      <c r="CM1141">
        <f>IF(ISNUMBER(CJ1141),IFERROR(MAX(0,AO385-CJ1141),0),0)</f>
        <v>0</v>
      </c>
      <c r="CN1141">
        <f>IF(ISNUMBER(CJ1141),IFERROR(MAX(0,CJ1141-AO385),0),0)</f>
        <v>0</v>
      </c>
      <c r="CP1141" t="e">
        <f>BT385</f>
        <v>#N/A</v>
      </c>
      <c r="CQ1141" t="e">
        <f>BU385</f>
        <v>#N/A</v>
      </c>
      <c r="CR1141">
        <f>IF(ISNUMBER(CP1141),IFERROR(MAX(0,BV385-CP1141),0),0)</f>
        <v>0</v>
      </c>
      <c r="CS1141">
        <f>IF(ISNUMBER(CP1141),IFERROR(MAX(0,CP1141-BV385),0),0)</f>
        <v>0</v>
      </c>
      <c r="CT1141">
        <f>IF(ISNUMBER(CQ1141),IFERROR(MAX(0,BW385-CQ1141),0),0)</f>
        <v>0</v>
      </c>
      <c r="CU1141">
        <f>IF(ISNUMBER(CQ1141),IFERROR(MAX(0,CQ1141-BW385),0),0)</f>
        <v>0</v>
      </c>
    </row>
    <row r="1142" spans="87:99" x14ac:dyDescent="0.3">
      <c r="CI1142" t="e">
        <f>AP385</f>
        <v>#N/A</v>
      </c>
      <c r="CJ1142" t="e">
        <f>AQ385</f>
        <v>#N/A</v>
      </c>
      <c r="CK1142">
        <f>IF(ISNUMBER(CI1142),IFERROR(MAX(0,AR385-CI1142),0),0)</f>
        <v>0</v>
      </c>
      <c r="CL1142">
        <f>IF(ISNUMBER(CI1142),IFERROR(MAX(0,CI1142-AR385),0),0)</f>
        <v>0</v>
      </c>
      <c r="CM1142">
        <f>IF(ISNUMBER(CJ1142),IFERROR(MAX(0,AS385-CJ1142),0),0)</f>
        <v>0</v>
      </c>
      <c r="CN1142">
        <f>IF(ISNUMBER(CJ1142),IFERROR(MAX(0,CJ1142-AS385),0),0)</f>
        <v>0</v>
      </c>
      <c r="CP1142" t="e">
        <f>BX385</f>
        <v>#N/A</v>
      </c>
      <c r="CQ1142" t="e">
        <f>BY385</f>
        <v>#N/A</v>
      </c>
      <c r="CR1142">
        <f>IF(ISNUMBER(CP1142),IFERROR(MAX(0,BZ385-CP1142),0),0)</f>
        <v>0</v>
      </c>
      <c r="CS1142">
        <f>IF(ISNUMBER(CP1142),IFERROR(MAX(0,CP1142-BZ385),0),0)</f>
        <v>0</v>
      </c>
      <c r="CT1142">
        <f>IF(ISNUMBER(CQ1142),IFERROR(MAX(0,CA385-CQ1142),0),0)</f>
        <v>0</v>
      </c>
      <c r="CU1142">
        <f>IF(ISNUMBER(CQ1142),IFERROR(MAX(0,CQ1142-CA385),0),0)</f>
        <v>0</v>
      </c>
    </row>
    <row r="1143" spans="87:99" x14ac:dyDescent="0.3">
      <c r="CI1143" t="e">
        <f>AT385</f>
        <v>#N/A</v>
      </c>
      <c r="CJ1143" t="e">
        <f>AU385</f>
        <v>#N/A</v>
      </c>
      <c r="CK1143">
        <f>IF(ISNUMBER(CI1143),IFERROR(MAX(0,AV385-CI1143),0),0)</f>
        <v>0</v>
      </c>
      <c r="CL1143">
        <f>IF(ISNUMBER(CI1143),IFERROR(MAX(0,CI1143-AV385),0),0)</f>
        <v>0</v>
      </c>
      <c r="CM1143">
        <f>IF(ISNUMBER(CJ1143),IFERROR(MAX(0,AW385-CJ1143),0),0)</f>
        <v>0</v>
      </c>
      <c r="CN1143">
        <f>IF(ISNUMBER(CJ1143),IFERROR(MAX(0,CJ1143-AW385),0),0)</f>
        <v>0</v>
      </c>
      <c r="CP1143" t="e">
        <f>CB385</f>
        <v>#N/A</v>
      </c>
      <c r="CQ1143" t="e">
        <f>CC385</f>
        <v>#N/A</v>
      </c>
      <c r="CR1143">
        <f>IF(ISNUMBER(CP1143),IFERROR(MAX(0,CD385-CP1143),0),0)</f>
        <v>0</v>
      </c>
      <c r="CS1143">
        <f>IF(ISNUMBER(CP1143),IFERROR(MAX(0,CP1143-CD385),0),0)</f>
        <v>0</v>
      </c>
      <c r="CT1143">
        <f>IF(ISNUMBER(CQ1143),IFERROR(MAX(0,CE385-CQ1143),0),0)</f>
        <v>0</v>
      </c>
      <c r="CU1143">
        <f>IF(ISNUMBER(CQ1143),IFERROR(MAX(0,CQ1143-CE385),0),0)</f>
        <v>0</v>
      </c>
    </row>
    <row r="1144" spans="87:99" x14ac:dyDescent="0.3">
      <c r="CI1144" t="e">
        <f>AL386</f>
        <v>#N/A</v>
      </c>
      <c r="CJ1144" t="e">
        <f>AM386</f>
        <v>#N/A</v>
      </c>
      <c r="CK1144">
        <f>IF(ISNUMBER(CI1144),IFERROR(MAX(0,AN386-CI1144),0),0)</f>
        <v>0</v>
      </c>
      <c r="CL1144">
        <f>IF(ISNUMBER(CI1144),IFERROR(MAX(0,CI1144-AN386),0),0)</f>
        <v>0</v>
      </c>
      <c r="CM1144">
        <f>IF(ISNUMBER(CJ1144),IFERROR(MAX(0,AO386-CJ1144),0),0)</f>
        <v>0</v>
      </c>
      <c r="CN1144">
        <f>IF(ISNUMBER(CJ1144),IFERROR(MAX(0,CJ1144-AO386),0),0)</f>
        <v>0</v>
      </c>
      <c r="CP1144" t="e">
        <f>BT386</f>
        <v>#N/A</v>
      </c>
      <c r="CQ1144" t="e">
        <f>BU386</f>
        <v>#N/A</v>
      </c>
      <c r="CR1144">
        <f>IF(ISNUMBER(CP1144),IFERROR(MAX(0,BV386-CP1144),0),0)</f>
        <v>0</v>
      </c>
      <c r="CS1144">
        <f>IF(ISNUMBER(CP1144),IFERROR(MAX(0,CP1144-BV386),0),0)</f>
        <v>0</v>
      </c>
      <c r="CT1144">
        <f>IF(ISNUMBER(CQ1144),IFERROR(MAX(0,BW386-CQ1144),0),0)</f>
        <v>0</v>
      </c>
      <c r="CU1144">
        <f>IF(ISNUMBER(CQ1144),IFERROR(MAX(0,CQ1144-BW386),0),0)</f>
        <v>0</v>
      </c>
    </row>
    <row r="1145" spans="87:99" x14ac:dyDescent="0.3">
      <c r="CI1145" t="e">
        <f>AP386</f>
        <v>#N/A</v>
      </c>
      <c r="CJ1145" t="e">
        <f>AQ386</f>
        <v>#N/A</v>
      </c>
      <c r="CK1145">
        <f>IF(ISNUMBER(CI1145),IFERROR(MAX(0,AR386-CI1145),0),0)</f>
        <v>0</v>
      </c>
      <c r="CL1145">
        <f>IF(ISNUMBER(CI1145),IFERROR(MAX(0,CI1145-AR386),0),0)</f>
        <v>0</v>
      </c>
      <c r="CM1145">
        <f>IF(ISNUMBER(CJ1145),IFERROR(MAX(0,AS386-CJ1145),0),0)</f>
        <v>0</v>
      </c>
      <c r="CN1145">
        <f>IF(ISNUMBER(CJ1145),IFERROR(MAX(0,CJ1145-AS386),0),0)</f>
        <v>0</v>
      </c>
      <c r="CP1145" t="e">
        <f>BX386</f>
        <v>#N/A</v>
      </c>
      <c r="CQ1145" t="e">
        <f>BY386</f>
        <v>#N/A</v>
      </c>
      <c r="CR1145">
        <f>IF(ISNUMBER(CP1145),IFERROR(MAX(0,BZ386-CP1145),0),0)</f>
        <v>0</v>
      </c>
      <c r="CS1145">
        <f>IF(ISNUMBER(CP1145),IFERROR(MAX(0,CP1145-BZ386),0),0)</f>
        <v>0</v>
      </c>
      <c r="CT1145">
        <f>IF(ISNUMBER(CQ1145),IFERROR(MAX(0,CA386-CQ1145),0),0)</f>
        <v>0</v>
      </c>
      <c r="CU1145">
        <f>IF(ISNUMBER(CQ1145),IFERROR(MAX(0,CQ1145-CA386),0),0)</f>
        <v>0</v>
      </c>
    </row>
    <row r="1146" spans="87:99" x14ac:dyDescent="0.3">
      <c r="CI1146" t="e">
        <f>AT386</f>
        <v>#N/A</v>
      </c>
      <c r="CJ1146" t="e">
        <f>AU386</f>
        <v>#N/A</v>
      </c>
      <c r="CK1146">
        <f>IF(ISNUMBER(CI1146),IFERROR(MAX(0,AV386-CI1146),0),0)</f>
        <v>0</v>
      </c>
      <c r="CL1146">
        <f>IF(ISNUMBER(CI1146),IFERROR(MAX(0,CI1146-AV386),0),0)</f>
        <v>0</v>
      </c>
      <c r="CM1146">
        <f>IF(ISNUMBER(CJ1146),IFERROR(MAX(0,AW386-CJ1146),0),0)</f>
        <v>0</v>
      </c>
      <c r="CN1146">
        <f>IF(ISNUMBER(CJ1146),IFERROR(MAX(0,CJ1146-AW386),0),0)</f>
        <v>0</v>
      </c>
      <c r="CP1146" t="e">
        <f>CB386</f>
        <v>#N/A</v>
      </c>
      <c r="CQ1146" t="e">
        <f>CC386</f>
        <v>#N/A</v>
      </c>
      <c r="CR1146">
        <f>IF(ISNUMBER(CP1146),IFERROR(MAX(0,CD386-CP1146),0),0)</f>
        <v>0</v>
      </c>
      <c r="CS1146">
        <f>IF(ISNUMBER(CP1146),IFERROR(MAX(0,CP1146-CD386),0),0)</f>
        <v>0</v>
      </c>
      <c r="CT1146">
        <f>IF(ISNUMBER(CQ1146),IFERROR(MAX(0,CE386-CQ1146),0),0)</f>
        <v>0</v>
      </c>
      <c r="CU1146">
        <f>IF(ISNUMBER(CQ1146),IFERROR(MAX(0,CQ1146-CE386),0),0)</f>
        <v>0</v>
      </c>
    </row>
    <row r="1147" spans="87:99" x14ac:dyDescent="0.3">
      <c r="CI1147" t="e">
        <f>AL387</f>
        <v>#N/A</v>
      </c>
      <c r="CJ1147" t="e">
        <f>AM387</f>
        <v>#N/A</v>
      </c>
      <c r="CK1147">
        <f>IF(ISNUMBER(CI1147),IFERROR(MAX(0,AN387-CI1147),0),0)</f>
        <v>0</v>
      </c>
      <c r="CL1147">
        <f>IF(ISNUMBER(CI1147),IFERROR(MAX(0,CI1147-AN387),0),0)</f>
        <v>0</v>
      </c>
      <c r="CM1147">
        <f>IF(ISNUMBER(CJ1147),IFERROR(MAX(0,AO387-CJ1147),0),0)</f>
        <v>0</v>
      </c>
      <c r="CN1147">
        <f>IF(ISNUMBER(CJ1147),IFERROR(MAX(0,CJ1147-AO387),0),0)</f>
        <v>0</v>
      </c>
      <c r="CP1147" t="e">
        <f>BT387</f>
        <v>#N/A</v>
      </c>
      <c r="CQ1147" t="e">
        <f>BU387</f>
        <v>#N/A</v>
      </c>
      <c r="CR1147">
        <f>IF(ISNUMBER(CP1147),IFERROR(MAX(0,BV387-CP1147),0),0)</f>
        <v>0</v>
      </c>
      <c r="CS1147">
        <f>IF(ISNUMBER(CP1147),IFERROR(MAX(0,CP1147-BV387),0),0)</f>
        <v>0</v>
      </c>
      <c r="CT1147">
        <f>IF(ISNUMBER(CQ1147),IFERROR(MAX(0,BW387-CQ1147),0),0)</f>
        <v>0</v>
      </c>
      <c r="CU1147">
        <f>IF(ISNUMBER(CQ1147),IFERROR(MAX(0,CQ1147-BW387),0),0)</f>
        <v>0</v>
      </c>
    </row>
    <row r="1148" spans="87:99" x14ac:dyDescent="0.3">
      <c r="CI1148" t="e">
        <f>AP387</f>
        <v>#N/A</v>
      </c>
      <c r="CJ1148" t="e">
        <f>AQ387</f>
        <v>#N/A</v>
      </c>
      <c r="CK1148">
        <f>IF(ISNUMBER(CI1148),IFERROR(MAX(0,AR387-CI1148),0),0)</f>
        <v>0</v>
      </c>
      <c r="CL1148">
        <f>IF(ISNUMBER(CI1148),IFERROR(MAX(0,CI1148-AR387),0),0)</f>
        <v>0</v>
      </c>
      <c r="CM1148">
        <f>IF(ISNUMBER(CJ1148),IFERROR(MAX(0,AS387-CJ1148),0),0)</f>
        <v>0</v>
      </c>
      <c r="CN1148">
        <f>IF(ISNUMBER(CJ1148),IFERROR(MAX(0,CJ1148-AS387),0),0)</f>
        <v>0</v>
      </c>
      <c r="CP1148" t="e">
        <f>BX387</f>
        <v>#N/A</v>
      </c>
      <c r="CQ1148" t="e">
        <f>BY387</f>
        <v>#N/A</v>
      </c>
      <c r="CR1148">
        <f>IF(ISNUMBER(CP1148),IFERROR(MAX(0,BZ387-CP1148),0),0)</f>
        <v>0</v>
      </c>
      <c r="CS1148">
        <f>IF(ISNUMBER(CP1148),IFERROR(MAX(0,CP1148-BZ387),0),0)</f>
        <v>0</v>
      </c>
      <c r="CT1148">
        <f>IF(ISNUMBER(CQ1148),IFERROR(MAX(0,CA387-CQ1148),0),0)</f>
        <v>0</v>
      </c>
      <c r="CU1148">
        <f>IF(ISNUMBER(CQ1148),IFERROR(MAX(0,CQ1148-CA387),0),0)</f>
        <v>0</v>
      </c>
    </row>
    <row r="1149" spans="87:99" x14ac:dyDescent="0.3">
      <c r="CI1149" t="e">
        <f>AT387</f>
        <v>#N/A</v>
      </c>
      <c r="CJ1149" t="e">
        <f>AU387</f>
        <v>#N/A</v>
      </c>
      <c r="CK1149">
        <f>IF(ISNUMBER(CI1149),IFERROR(MAX(0,AV387-CI1149),0),0)</f>
        <v>0</v>
      </c>
      <c r="CL1149">
        <f>IF(ISNUMBER(CI1149),IFERROR(MAX(0,CI1149-AV387),0),0)</f>
        <v>0</v>
      </c>
      <c r="CM1149">
        <f>IF(ISNUMBER(CJ1149),IFERROR(MAX(0,AW387-CJ1149),0),0)</f>
        <v>0</v>
      </c>
      <c r="CN1149">
        <f>IF(ISNUMBER(CJ1149),IFERROR(MAX(0,CJ1149-AW387),0),0)</f>
        <v>0</v>
      </c>
      <c r="CP1149" t="e">
        <f>CB387</f>
        <v>#N/A</v>
      </c>
      <c r="CQ1149" t="e">
        <f>CC387</f>
        <v>#N/A</v>
      </c>
      <c r="CR1149">
        <f>IF(ISNUMBER(CP1149),IFERROR(MAX(0,CD387-CP1149),0),0)</f>
        <v>0</v>
      </c>
      <c r="CS1149">
        <f>IF(ISNUMBER(CP1149),IFERROR(MAX(0,CP1149-CD387),0),0)</f>
        <v>0</v>
      </c>
      <c r="CT1149">
        <f>IF(ISNUMBER(CQ1149),IFERROR(MAX(0,CE387-CQ1149),0),0)</f>
        <v>0</v>
      </c>
      <c r="CU1149">
        <f>IF(ISNUMBER(CQ1149),IFERROR(MAX(0,CQ1149-CE387),0),0)</f>
        <v>0</v>
      </c>
    </row>
    <row r="1150" spans="87:99" x14ac:dyDescent="0.3">
      <c r="CI1150" t="e">
        <f>AL388</f>
        <v>#N/A</v>
      </c>
      <c r="CJ1150" t="e">
        <f>AM388</f>
        <v>#N/A</v>
      </c>
      <c r="CK1150">
        <f>IF(ISNUMBER(CI1150),IFERROR(MAX(0,AN388-CI1150),0),0)</f>
        <v>0</v>
      </c>
      <c r="CL1150">
        <f>IF(ISNUMBER(CI1150),IFERROR(MAX(0,CI1150-AN388),0),0)</f>
        <v>0</v>
      </c>
      <c r="CM1150">
        <f>IF(ISNUMBER(CJ1150),IFERROR(MAX(0,AO388-CJ1150),0),0)</f>
        <v>0</v>
      </c>
      <c r="CN1150">
        <f>IF(ISNUMBER(CJ1150),IFERROR(MAX(0,CJ1150-AO388),0),0)</f>
        <v>0</v>
      </c>
      <c r="CP1150" t="e">
        <f>BT388</f>
        <v>#N/A</v>
      </c>
      <c r="CQ1150" t="e">
        <f>BU388</f>
        <v>#N/A</v>
      </c>
      <c r="CR1150">
        <f>IF(ISNUMBER(CP1150),IFERROR(MAX(0,BV388-CP1150),0),0)</f>
        <v>0</v>
      </c>
      <c r="CS1150">
        <f>IF(ISNUMBER(CP1150),IFERROR(MAX(0,CP1150-BV388),0),0)</f>
        <v>0</v>
      </c>
      <c r="CT1150">
        <f>IF(ISNUMBER(CQ1150),IFERROR(MAX(0,BW388-CQ1150),0),0)</f>
        <v>0</v>
      </c>
      <c r="CU1150">
        <f>IF(ISNUMBER(CQ1150),IFERROR(MAX(0,CQ1150-BW388),0),0)</f>
        <v>0</v>
      </c>
    </row>
    <row r="1151" spans="87:99" x14ac:dyDescent="0.3">
      <c r="CI1151" t="e">
        <f>AP388</f>
        <v>#N/A</v>
      </c>
      <c r="CJ1151" t="e">
        <f>AQ388</f>
        <v>#N/A</v>
      </c>
      <c r="CK1151">
        <f>IF(ISNUMBER(CI1151),IFERROR(MAX(0,AR388-CI1151),0),0)</f>
        <v>0</v>
      </c>
      <c r="CL1151">
        <f>IF(ISNUMBER(CI1151),IFERROR(MAX(0,CI1151-AR388),0),0)</f>
        <v>0</v>
      </c>
      <c r="CM1151">
        <f>IF(ISNUMBER(CJ1151),IFERROR(MAX(0,AS388-CJ1151),0),0)</f>
        <v>0</v>
      </c>
      <c r="CN1151">
        <f>IF(ISNUMBER(CJ1151),IFERROR(MAX(0,CJ1151-AS388),0),0)</f>
        <v>0</v>
      </c>
      <c r="CP1151" t="e">
        <f>BX388</f>
        <v>#N/A</v>
      </c>
      <c r="CQ1151" t="e">
        <f>BY388</f>
        <v>#N/A</v>
      </c>
      <c r="CR1151">
        <f>IF(ISNUMBER(CP1151),IFERROR(MAX(0,BZ388-CP1151),0),0)</f>
        <v>0</v>
      </c>
      <c r="CS1151">
        <f>IF(ISNUMBER(CP1151),IFERROR(MAX(0,CP1151-BZ388),0),0)</f>
        <v>0</v>
      </c>
      <c r="CT1151">
        <f>IF(ISNUMBER(CQ1151),IFERROR(MAX(0,CA388-CQ1151),0),0)</f>
        <v>0</v>
      </c>
      <c r="CU1151">
        <f>IF(ISNUMBER(CQ1151),IFERROR(MAX(0,CQ1151-CA388),0),0)</f>
        <v>0</v>
      </c>
    </row>
    <row r="1152" spans="87:99" x14ac:dyDescent="0.3">
      <c r="CI1152" t="e">
        <f>AT388</f>
        <v>#N/A</v>
      </c>
      <c r="CJ1152" t="e">
        <f>AU388</f>
        <v>#N/A</v>
      </c>
      <c r="CK1152">
        <f>IF(ISNUMBER(CI1152),IFERROR(MAX(0,AV388-CI1152),0),0)</f>
        <v>0</v>
      </c>
      <c r="CL1152">
        <f>IF(ISNUMBER(CI1152),IFERROR(MAX(0,CI1152-AV388),0),0)</f>
        <v>0</v>
      </c>
      <c r="CM1152">
        <f>IF(ISNUMBER(CJ1152),IFERROR(MAX(0,AW388-CJ1152),0),0)</f>
        <v>0</v>
      </c>
      <c r="CN1152">
        <f>IF(ISNUMBER(CJ1152),IFERROR(MAX(0,CJ1152-AW388),0),0)</f>
        <v>0</v>
      </c>
      <c r="CP1152" t="e">
        <f>CB388</f>
        <v>#N/A</v>
      </c>
      <c r="CQ1152" t="e">
        <f>CC388</f>
        <v>#N/A</v>
      </c>
      <c r="CR1152">
        <f>IF(ISNUMBER(CP1152),IFERROR(MAX(0,CD388-CP1152),0),0)</f>
        <v>0</v>
      </c>
      <c r="CS1152">
        <f>IF(ISNUMBER(CP1152),IFERROR(MAX(0,CP1152-CD388),0),0)</f>
        <v>0</v>
      </c>
      <c r="CT1152">
        <f>IF(ISNUMBER(CQ1152),IFERROR(MAX(0,CE388-CQ1152),0),0)</f>
        <v>0</v>
      </c>
      <c r="CU1152">
        <f>IF(ISNUMBER(CQ1152),IFERROR(MAX(0,CQ1152-CE388),0),0)</f>
        <v>0</v>
      </c>
    </row>
    <row r="1153" spans="87:99" x14ac:dyDescent="0.3">
      <c r="CI1153" t="e">
        <f>AL389</f>
        <v>#N/A</v>
      </c>
      <c r="CJ1153" t="e">
        <f>AM389</f>
        <v>#N/A</v>
      </c>
      <c r="CK1153">
        <f>IF(ISNUMBER(CI1153),IFERROR(MAX(0,AN389-CI1153),0),0)</f>
        <v>0</v>
      </c>
      <c r="CL1153">
        <f>IF(ISNUMBER(CI1153),IFERROR(MAX(0,CI1153-AN389),0),0)</f>
        <v>0</v>
      </c>
      <c r="CM1153">
        <f>IF(ISNUMBER(CJ1153),IFERROR(MAX(0,AO389-CJ1153),0),0)</f>
        <v>0</v>
      </c>
      <c r="CN1153">
        <f>IF(ISNUMBER(CJ1153),IFERROR(MAX(0,CJ1153-AO389),0),0)</f>
        <v>0</v>
      </c>
      <c r="CP1153" t="e">
        <f>BT389</f>
        <v>#N/A</v>
      </c>
      <c r="CQ1153" t="e">
        <f>BU389</f>
        <v>#N/A</v>
      </c>
      <c r="CR1153">
        <f>IF(ISNUMBER(CP1153),IFERROR(MAX(0,BV389-CP1153),0),0)</f>
        <v>0</v>
      </c>
      <c r="CS1153">
        <f>IF(ISNUMBER(CP1153),IFERROR(MAX(0,CP1153-BV389),0),0)</f>
        <v>0</v>
      </c>
      <c r="CT1153">
        <f>IF(ISNUMBER(CQ1153),IFERROR(MAX(0,BW389-CQ1153),0),0)</f>
        <v>0</v>
      </c>
      <c r="CU1153">
        <f>IF(ISNUMBER(CQ1153),IFERROR(MAX(0,CQ1153-BW389),0),0)</f>
        <v>0</v>
      </c>
    </row>
    <row r="1154" spans="87:99" x14ac:dyDescent="0.3">
      <c r="CI1154" t="e">
        <f>AP389</f>
        <v>#N/A</v>
      </c>
      <c r="CJ1154" t="e">
        <f>AQ389</f>
        <v>#N/A</v>
      </c>
      <c r="CK1154">
        <f>IF(ISNUMBER(CI1154),IFERROR(MAX(0,AR389-CI1154),0),0)</f>
        <v>0</v>
      </c>
      <c r="CL1154">
        <f>IF(ISNUMBER(CI1154),IFERROR(MAX(0,CI1154-AR389),0),0)</f>
        <v>0</v>
      </c>
      <c r="CM1154">
        <f>IF(ISNUMBER(CJ1154),IFERROR(MAX(0,AS389-CJ1154),0),0)</f>
        <v>0</v>
      </c>
      <c r="CN1154">
        <f>IF(ISNUMBER(CJ1154),IFERROR(MAX(0,CJ1154-AS389),0),0)</f>
        <v>0</v>
      </c>
      <c r="CP1154" t="e">
        <f>BX389</f>
        <v>#N/A</v>
      </c>
      <c r="CQ1154" t="e">
        <f>BY389</f>
        <v>#N/A</v>
      </c>
      <c r="CR1154">
        <f>IF(ISNUMBER(CP1154),IFERROR(MAX(0,BZ389-CP1154),0),0)</f>
        <v>0</v>
      </c>
      <c r="CS1154">
        <f>IF(ISNUMBER(CP1154),IFERROR(MAX(0,CP1154-BZ389),0),0)</f>
        <v>0</v>
      </c>
      <c r="CT1154">
        <f>IF(ISNUMBER(CQ1154),IFERROR(MAX(0,CA389-CQ1154),0),0)</f>
        <v>0</v>
      </c>
      <c r="CU1154">
        <f>IF(ISNUMBER(CQ1154),IFERROR(MAX(0,CQ1154-CA389),0),0)</f>
        <v>0</v>
      </c>
    </row>
    <row r="1155" spans="87:99" x14ac:dyDescent="0.3">
      <c r="CI1155" t="e">
        <f>AT389</f>
        <v>#N/A</v>
      </c>
      <c r="CJ1155" t="e">
        <f>AU389</f>
        <v>#N/A</v>
      </c>
      <c r="CK1155">
        <f>IF(ISNUMBER(CI1155),IFERROR(MAX(0,AV389-CI1155),0),0)</f>
        <v>0</v>
      </c>
      <c r="CL1155">
        <f>IF(ISNUMBER(CI1155),IFERROR(MAX(0,CI1155-AV389),0),0)</f>
        <v>0</v>
      </c>
      <c r="CM1155">
        <f>IF(ISNUMBER(CJ1155),IFERROR(MAX(0,AW389-CJ1155),0),0)</f>
        <v>0</v>
      </c>
      <c r="CN1155">
        <f>IF(ISNUMBER(CJ1155),IFERROR(MAX(0,CJ1155-AW389),0),0)</f>
        <v>0</v>
      </c>
      <c r="CP1155" t="e">
        <f>CB389</f>
        <v>#N/A</v>
      </c>
      <c r="CQ1155" t="e">
        <f>CC389</f>
        <v>#N/A</v>
      </c>
      <c r="CR1155">
        <f>IF(ISNUMBER(CP1155),IFERROR(MAX(0,CD389-CP1155),0),0)</f>
        <v>0</v>
      </c>
      <c r="CS1155">
        <f>IF(ISNUMBER(CP1155),IFERROR(MAX(0,CP1155-CD389),0),0)</f>
        <v>0</v>
      </c>
      <c r="CT1155">
        <f>IF(ISNUMBER(CQ1155),IFERROR(MAX(0,CE389-CQ1155),0),0)</f>
        <v>0</v>
      </c>
      <c r="CU1155">
        <f>IF(ISNUMBER(CQ1155),IFERROR(MAX(0,CQ1155-CE389),0),0)</f>
        <v>0</v>
      </c>
    </row>
    <row r="1156" spans="87:99" x14ac:dyDescent="0.3">
      <c r="CI1156" t="e">
        <f>AL390</f>
        <v>#N/A</v>
      </c>
      <c r="CJ1156" t="e">
        <f>AM390</f>
        <v>#N/A</v>
      </c>
      <c r="CK1156">
        <f>IF(ISNUMBER(CI1156),IFERROR(MAX(0,AN390-CI1156),0),0)</f>
        <v>0</v>
      </c>
      <c r="CL1156">
        <f>IF(ISNUMBER(CI1156),IFERROR(MAX(0,CI1156-AN390),0),0)</f>
        <v>0</v>
      </c>
      <c r="CM1156">
        <f>IF(ISNUMBER(CJ1156),IFERROR(MAX(0,AO390-CJ1156),0),0)</f>
        <v>0</v>
      </c>
      <c r="CN1156">
        <f>IF(ISNUMBER(CJ1156),IFERROR(MAX(0,CJ1156-AO390),0),0)</f>
        <v>0</v>
      </c>
      <c r="CP1156" t="e">
        <f>BT390</f>
        <v>#N/A</v>
      </c>
      <c r="CQ1156" t="e">
        <f>BU390</f>
        <v>#N/A</v>
      </c>
      <c r="CR1156">
        <f>IF(ISNUMBER(CP1156),IFERROR(MAX(0,BV390-CP1156),0),0)</f>
        <v>0</v>
      </c>
      <c r="CS1156">
        <f>IF(ISNUMBER(CP1156),IFERROR(MAX(0,CP1156-BV390),0),0)</f>
        <v>0</v>
      </c>
      <c r="CT1156">
        <f>IF(ISNUMBER(CQ1156),IFERROR(MAX(0,BW390-CQ1156),0),0)</f>
        <v>0</v>
      </c>
      <c r="CU1156">
        <f>IF(ISNUMBER(CQ1156),IFERROR(MAX(0,CQ1156-BW390),0),0)</f>
        <v>0</v>
      </c>
    </row>
    <row r="1157" spans="87:99" x14ac:dyDescent="0.3">
      <c r="CI1157" t="e">
        <f>AP390</f>
        <v>#N/A</v>
      </c>
      <c r="CJ1157" t="e">
        <f>AQ390</f>
        <v>#N/A</v>
      </c>
      <c r="CK1157">
        <f>IF(ISNUMBER(CI1157),IFERROR(MAX(0,AR390-CI1157),0),0)</f>
        <v>0</v>
      </c>
      <c r="CL1157">
        <f>IF(ISNUMBER(CI1157),IFERROR(MAX(0,CI1157-AR390),0),0)</f>
        <v>0</v>
      </c>
      <c r="CM1157">
        <f>IF(ISNUMBER(CJ1157),IFERROR(MAX(0,AS390-CJ1157),0),0)</f>
        <v>0</v>
      </c>
      <c r="CN1157">
        <f>IF(ISNUMBER(CJ1157),IFERROR(MAX(0,CJ1157-AS390),0),0)</f>
        <v>0</v>
      </c>
      <c r="CP1157" t="e">
        <f>BX390</f>
        <v>#N/A</v>
      </c>
      <c r="CQ1157" t="e">
        <f>BY390</f>
        <v>#N/A</v>
      </c>
      <c r="CR1157">
        <f>IF(ISNUMBER(CP1157),IFERROR(MAX(0,BZ390-CP1157),0),0)</f>
        <v>0</v>
      </c>
      <c r="CS1157">
        <f>IF(ISNUMBER(CP1157),IFERROR(MAX(0,CP1157-BZ390),0),0)</f>
        <v>0</v>
      </c>
      <c r="CT1157">
        <f>IF(ISNUMBER(CQ1157),IFERROR(MAX(0,CA390-CQ1157),0),0)</f>
        <v>0</v>
      </c>
      <c r="CU1157">
        <f>IF(ISNUMBER(CQ1157),IFERROR(MAX(0,CQ1157-CA390),0),0)</f>
        <v>0</v>
      </c>
    </row>
    <row r="1158" spans="87:99" x14ac:dyDescent="0.3">
      <c r="CI1158" t="e">
        <f>AT390</f>
        <v>#N/A</v>
      </c>
      <c r="CJ1158" t="e">
        <f>AU390</f>
        <v>#N/A</v>
      </c>
      <c r="CK1158">
        <f>IF(ISNUMBER(CI1158),IFERROR(MAX(0,AV390-CI1158),0),0)</f>
        <v>0</v>
      </c>
      <c r="CL1158">
        <f>IF(ISNUMBER(CI1158),IFERROR(MAX(0,CI1158-AV390),0),0)</f>
        <v>0</v>
      </c>
      <c r="CM1158">
        <f>IF(ISNUMBER(CJ1158),IFERROR(MAX(0,AW390-CJ1158),0),0)</f>
        <v>0</v>
      </c>
      <c r="CN1158">
        <f>IF(ISNUMBER(CJ1158),IFERROR(MAX(0,CJ1158-AW390),0),0)</f>
        <v>0</v>
      </c>
      <c r="CP1158" t="e">
        <f>CB390</f>
        <v>#N/A</v>
      </c>
      <c r="CQ1158" t="e">
        <f>CC390</f>
        <v>#N/A</v>
      </c>
      <c r="CR1158">
        <f>IF(ISNUMBER(CP1158),IFERROR(MAX(0,CD390-CP1158),0),0)</f>
        <v>0</v>
      </c>
      <c r="CS1158">
        <f>IF(ISNUMBER(CP1158),IFERROR(MAX(0,CP1158-CD390),0),0)</f>
        <v>0</v>
      </c>
      <c r="CT1158">
        <f>IF(ISNUMBER(CQ1158),IFERROR(MAX(0,CE390-CQ1158),0),0)</f>
        <v>0</v>
      </c>
      <c r="CU1158">
        <f>IF(ISNUMBER(CQ1158),IFERROR(MAX(0,CQ1158-CE390),0),0)</f>
        <v>0</v>
      </c>
    </row>
    <row r="1159" spans="87:99" x14ac:dyDescent="0.3">
      <c r="CI1159" t="e">
        <f>AL391</f>
        <v>#N/A</v>
      </c>
      <c r="CJ1159" t="e">
        <f>AM391</f>
        <v>#N/A</v>
      </c>
      <c r="CK1159">
        <f>IF(ISNUMBER(CI1159),IFERROR(MAX(0,AN391-CI1159),0),0)</f>
        <v>0</v>
      </c>
      <c r="CL1159">
        <f>IF(ISNUMBER(CI1159),IFERROR(MAX(0,CI1159-AN391),0),0)</f>
        <v>0</v>
      </c>
      <c r="CM1159">
        <f>IF(ISNUMBER(CJ1159),IFERROR(MAX(0,AO391-CJ1159),0),0)</f>
        <v>0</v>
      </c>
      <c r="CN1159">
        <f>IF(ISNUMBER(CJ1159),IFERROR(MAX(0,CJ1159-AO391),0),0)</f>
        <v>0</v>
      </c>
      <c r="CP1159" t="e">
        <f>BT391</f>
        <v>#N/A</v>
      </c>
      <c r="CQ1159" t="e">
        <f>BU391</f>
        <v>#N/A</v>
      </c>
      <c r="CR1159">
        <f>IF(ISNUMBER(CP1159),IFERROR(MAX(0,BV391-CP1159),0),0)</f>
        <v>0</v>
      </c>
      <c r="CS1159">
        <f>IF(ISNUMBER(CP1159),IFERROR(MAX(0,CP1159-BV391),0),0)</f>
        <v>0</v>
      </c>
      <c r="CT1159">
        <f>IF(ISNUMBER(CQ1159),IFERROR(MAX(0,BW391-CQ1159),0),0)</f>
        <v>0</v>
      </c>
      <c r="CU1159">
        <f>IF(ISNUMBER(CQ1159),IFERROR(MAX(0,CQ1159-BW391),0),0)</f>
        <v>0</v>
      </c>
    </row>
    <row r="1160" spans="87:99" x14ac:dyDescent="0.3">
      <c r="CI1160" t="e">
        <f>AP391</f>
        <v>#N/A</v>
      </c>
      <c r="CJ1160" t="e">
        <f>AQ391</f>
        <v>#N/A</v>
      </c>
      <c r="CK1160">
        <f>IF(ISNUMBER(CI1160),IFERROR(MAX(0,AR391-CI1160),0),0)</f>
        <v>0</v>
      </c>
      <c r="CL1160">
        <f>IF(ISNUMBER(CI1160),IFERROR(MAX(0,CI1160-AR391),0),0)</f>
        <v>0</v>
      </c>
      <c r="CM1160">
        <f>IF(ISNUMBER(CJ1160),IFERROR(MAX(0,AS391-CJ1160),0),0)</f>
        <v>0</v>
      </c>
      <c r="CN1160">
        <f>IF(ISNUMBER(CJ1160),IFERROR(MAX(0,CJ1160-AS391),0),0)</f>
        <v>0</v>
      </c>
      <c r="CP1160" t="e">
        <f>BX391</f>
        <v>#N/A</v>
      </c>
      <c r="CQ1160" t="e">
        <f>BY391</f>
        <v>#N/A</v>
      </c>
      <c r="CR1160">
        <f>IF(ISNUMBER(CP1160),IFERROR(MAX(0,BZ391-CP1160),0),0)</f>
        <v>0</v>
      </c>
      <c r="CS1160">
        <f>IF(ISNUMBER(CP1160),IFERROR(MAX(0,CP1160-BZ391),0),0)</f>
        <v>0</v>
      </c>
      <c r="CT1160">
        <f>IF(ISNUMBER(CQ1160),IFERROR(MAX(0,CA391-CQ1160),0),0)</f>
        <v>0</v>
      </c>
      <c r="CU1160">
        <f>IF(ISNUMBER(CQ1160),IFERROR(MAX(0,CQ1160-CA391),0),0)</f>
        <v>0</v>
      </c>
    </row>
    <row r="1161" spans="87:99" x14ac:dyDescent="0.3">
      <c r="CI1161" t="e">
        <f>AT391</f>
        <v>#N/A</v>
      </c>
      <c r="CJ1161" t="e">
        <f>AU391</f>
        <v>#N/A</v>
      </c>
      <c r="CK1161">
        <f>IF(ISNUMBER(CI1161),IFERROR(MAX(0,AV391-CI1161),0),0)</f>
        <v>0</v>
      </c>
      <c r="CL1161">
        <f>IF(ISNUMBER(CI1161),IFERROR(MAX(0,CI1161-AV391),0),0)</f>
        <v>0</v>
      </c>
      <c r="CM1161">
        <f>IF(ISNUMBER(CJ1161),IFERROR(MAX(0,AW391-CJ1161),0),0)</f>
        <v>0</v>
      </c>
      <c r="CN1161">
        <f>IF(ISNUMBER(CJ1161),IFERROR(MAX(0,CJ1161-AW391),0),0)</f>
        <v>0</v>
      </c>
      <c r="CP1161" t="e">
        <f>CB391</f>
        <v>#N/A</v>
      </c>
      <c r="CQ1161" t="e">
        <f>CC391</f>
        <v>#N/A</v>
      </c>
      <c r="CR1161">
        <f>IF(ISNUMBER(CP1161),IFERROR(MAX(0,CD391-CP1161),0),0)</f>
        <v>0</v>
      </c>
      <c r="CS1161">
        <f>IF(ISNUMBER(CP1161),IFERROR(MAX(0,CP1161-CD391),0),0)</f>
        <v>0</v>
      </c>
      <c r="CT1161">
        <f>IF(ISNUMBER(CQ1161),IFERROR(MAX(0,CE391-CQ1161),0),0)</f>
        <v>0</v>
      </c>
      <c r="CU1161">
        <f>IF(ISNUMBER(CQ1161),IFERROR(MAX(0,CQ1161-CE391),0),0)</f>
        <v>0</v>
      </c>
    </row>
    <row r="1162" spans="87:99" x14ac:dyDescent="0.3">
      <c r="CI1162" t="e">
        <f>AL392</f>
        <v>#N/A</v>
      </c>
      <c r="CJ1162" t="e">
        <f>AM392</f>
        <v>#N/A</v>
      </c>
      <c r="CK1162">
        <f>IF(ISNUMBER(CI1162),IFERROR(MAX(0,AN392-CI1162),0),0)</f>
        <v>0</v>
      </c>
      <c r="CL1162">
        <f>IF(ISNUMBER(CI1162),IFERROR(MAX(0,CI1162-AN392),0),0)</f>
        <v>0</v>
      </c>
      <c r="CM1162">
        <f>IF(ISNUMBER(CJ1162),IFERROR(MAX(0,AO392-CJ1162),0),0)</f>
        <v>0</v>
      </c>
      <c r="CN1162">
        <f>IF(ISNUMBER(CJ1162),IFERROR(MAX(0,CJ1162-AO392),0),0)</f>
        <v>0</v>
      </c>
      <c r="CP1162" t="e">
        <f>BT392</f>
        <v>#N/A</v>
      </c>
      <c r="CQ1162" t="e">
        <f>BU392</f>
        <v>#N/A</v>
      </c>
      <c r="CR1162">
        <f>IF(ISNUMBER(CP1162),IFERROR(MAX(0,BV392-CP1162),0),0)</f>
        <v>0</v>
      </c>
      <c r="CS1162">
        <f>IF(ISNUMBER(CP1162),IFERROR(MAX(0,CP1162-BV392),0),0)</f>
        <v>0</v>
      </c>
      <c r="CT1162">
        <f>IF(ISNUMBER(CQ1162),IFERROR(MAX(0,BW392-CQ1162),0),0)</f>
        <v>0</v>
      </c>
      <c r="CU1162">
        <f>IF(ISNUMBER(CQ1162),IFERROR(MAX(0,CQ1162-BW392),0),0)</f>
        <v>0</v>
      </c>
    </row>
    <row r="1163" spans="87:99" x14ac:dyDescent="0.3">
      <c r="CI1163" t="e">
        <f>AP392</f>
        <v>#N/A</v>
      </c>
      <c r="CJ1163" t="e">
        <f>AQ392</f>
        <v>#N/A</v>
      </c>
      <c r="CK1163">
        <f>IF(ISNUMBER(CI1163),IFERROR(MAX(0,AR392-CI1163),0),0)</f>
        <v>0</v>
      </c>
      <c r="CL1163">
        <f>IF(ISNUMBER(CI1163),IFERROR(MAX(0,CI1163-AR392),0),0)</f>
        <v>0</v>
      </c>
      <c r="CM1163">
        <f>IF(ISNUMBER(CJ1163),IFERROR(MAX(0,AS392-CJ1163),0),0)</f>
        <v>0</v>
      </c>
      <c r="CN1163">
        <f>IF(ISNUMBER(CJ1163),IFERROR(MAX(0,CJ1163-AS392),0),0)</f>
        <v>0</v>
      </c>
      <c r="CP1163" t="e">
        <f>BX392</f>
        <v>#N/A</v>
      </c>
      <c r="CQ1163" t="e">
        <f>BY392</f>
        <v>#N/A</v>
      </c>
      <c r="CR1163">
        <f>IF(ISNUMBER(CP1163),IFERROR(MAX(0,BZ392-CP1163),0),0)</f>
        <v>0</v>
      </c>
      <c r="CS1163">
        <f>IF(ISNUMBER(CP1163),IFERROR(MAX(0,CP1163-BZ392),0),0)</f>
        <v>0</v>
      </c>
      <c r="CT1163">
        <f>IF(ISNUMBER(CQ1163),IFERROR(MAX(0,CA392-CQ1163),0),0)</f>
        <v>0</v>
      </c>
      <c r="CU1163">
        <f>IF(ISNUMBER(CQ1163),IFERROR(MAX(0,CQ1163-CA392),0),0)</f>
        <v>0</v>
      </c>
    </row>
    <row r="1164" spans="87:99" x14ac:dyDescent="0.3">
      <c r="CI1164" t="e">
        <f>AT392</f>
        <v>#N/A</v>
      </c>
      <c r="CJ1164" t="e">
        <f>AU392</f>
        <v>#N/A</v>
      </c>
      <c r="CK1164">
        <f>IF(ISNUMBER(CI1164),IFERROR(MAX(0,AV392-CI1164),0),0)</f>
        <v>0</v>
      </c>
      <c r="CL1164">
        <f>IF(ISNUMBER(CI1164),IFERROR(MAX(0,CI1164-AV392),0),0)</f>
        <v>0</v>
      </c>
      <c r="CM1164">
        <f>IF(ISNUMBER(CJ1164),IFERROR(MAX(0,AW392-CJ1164),0),0)</f>
        <v>0</v>
      </c>
      <c r="CN1164">
        <f>IF(ISNUMBER(CJ1164),IFERROR(MAX(0,CJ1164-AW392),0),0)</f>
        <v>0</v>
      </c>
      <c r="CP1164" t="e">
        <f>CB392</f>
        <v>#N/A</v>
      </c>
      <c r="CQ1164" t="e">
        <f>CC392</f>
        <v>#N/A</v>
      </c>
      <c r="CR1164">
        <f>IF(ISNUMBER(CP1164),IFERROR(MAX(0,CD392-CP1164),0),0)</f>
        <v>0</v>
      </c>
      <c r="CS1164">
        <f>IF(ISNUMBER(CP1164),IFERROR(MAX(0,CP1164-CD392),0),0)</f>
        <v>0</v>
      </c>
      <c r="CT1164">
        <f>IF(ISNUMBER(CQ1164),IFERROR(MAX(0,CE392-CQ1164),0),0)</f>
        <v>0</v>
      </c>
      <c r="CU1164">
        <f>IF(ISNUMBER(CQ1164),IFERROR(MAX(0,CQ1164-CE392),0),0)</f>
        <v>0</v>
      </c>
    </row>
    <row r="1165" spans="87:99" x14ac:dyDescent="0.3">
      <c r="CI1165" t="e">
        <f>AL393</f>
        <v>#N/A</v>
      </c>
      <c r="CJ1165" t="e">
        <f>AM393</f>
        <v>#N/A</v>
      </c>
      <c r="CK1165">
        <f>IF(ISNUMBER(CI1165),IFERROR(MAX(0,AN393-CI1165),0),0)</f>
        <v>0</v>
      </c>
      <c r="CL1165">
        <f>IF(ISNUMBER(CI1165),IFERROR(MAX(0,CI1165-AN393),0),0)</f>
        <v>0</v>
      </c>
      <c r="CM1165">
        <f>IF(ISNUMBER(CJ1165),IFERROR(MAX(0,AO393-CJ1165),0),0)</f>
        <v>0</v>
      </c>
      <c r="CN1165">
        <f>IF(ISNUMBER(CJ1165),IFERROR(MAX(0,CJ1165-AO393),0),0)</f>
        <v>0</v>
      </c>
      <c r="CP1165" t="e">
        <f>BT393</f>
        <v>#N/A</v>
      </c>
      <c r="CQ1165" t="e">
        <f>BU393</f>
        <v>#N/A</v>
      </c>
      <c r="CR1165">
        <f>IF(ISNUMBER(CP1165),IFERROR(MAX(0,BV393-CP1165),0),0)</f>
        <v>0</v>
      </c>
      <c r="CS1165">
        <f>IF(ISNUMBER(CP1165),IFERROR(MAX(0,CP1165-BV393),0),0)</f>
        <v>0</v>
      </c>
      <c r="CT1165">
        <f>IF(ISNUMBER(CQ1165),IFERROR(MAX(0,BW393-CQ1165),0),0)</f>
        <v>0</v>
      </c>
      <c r="CU1165">
        <f>IF(ISNUMBER(CQ1165),IFERROR(MAX(0,CQ1165-BW393),0),0)</f>
        <v>0</v>
      </c>
    </row>
    <row r="1166" spans="87:99" x14ac:dyDescent="0.3">
      <c r="CI1166" t="e">
        <f>AP393</f>
        <v>#N/A</v>
      </c>
      <c r="CJ1166" t="e">
        <f>AQ393</f>
        <v>#N/A</v>
      </c>
      <c r="CK1166">
        <f>IF(ISNUMBER(CI1166),IFERROR(MAX(0,AR393-CI1166),0),0)</f>
        <v>0</v>
      </c>
      <c r="CL1166">
        <f>IF(ISNUMBER(CI1166),IFERROR(MAX(0,CI1166-AR393),0),0)</f>
        <v>0</v>
      </c>
      <c r="CM1166">
        <f>IF(ISNUMBER(CJ1166),IFERROR(MAX(0,AS393-CJ1166),0),0)</f>
        <v>0</v>
      </c>
      <c r="CN1166">
        <f>IF(ISNUMBER(CJ1166),IFERROR(MAX(0,CJ1166-AS393),0),0)</f>
        <v>0</v>
      </c>
      <c r="CP1166" t="e">
        <f>BX393</f>
        <v>#N/A</v>
      </c>
      <c r="CQ1166" t="e">
        <f>BY393</f>
        <v>#N/A</v>
      </c>
      <c r="CR1166">
        <f>IF(ISNUMBER(CP1166),IFERROR(MAX(0,BZ393-CP1166),0),0)</f>
        <v>0</v>
      </c>
      <c r="CS1166">
        <f>IF(ISNUMBER(CP1166),IFERROR(MAX(0,CP1166-BZ393),0),0)</f>
        <v>0</v>
      </c>
      <c r="CT1166">
        <f>IF(ISNUMBER(CQ1166),IFERROR(MAX(0,CA393-CQ1166),0),0)</f>
        <v>0</v>
      </c>
      <c r="CU1166">
        <f>IF(ISNUMBER(CQ1166),IFERROR(MAX(0,CQ1166-CA393),0),0)</f>
        <v>0</v>
      </c>
    </row>
    <row r="1167" spans="87:99" x14ac:dyDescent="0.3">
      <c r="CI1167" t="e">
        <f>AT393</f>
        <v>#N/A</v>
      </c>
      <c r="CJ1167" t="e">
        <f>AU393</f>
        <v>#N/A</v>
      </c>
      <c r="CK1167">
        <f>IF(ISNUMBER(CI1167),IFERROR(MAX(0,AV393-CI1167),0),0)</f>
        <v>0</v>
      </c>
      <c r="CL1167">
        <f>IF(ISNUMBER(CI1167),IFERROR(MAX(0,CI1167-AV393),0),0)</f>
        <v>0</v>
      </c>
      <c r="CM1167">
        <f>IF(ISNUMBER(CJ1167),IFERROR(MAX(0,AW393-CJ1167),0),0)</f>
        <v>0</v>
      </c>
      <c r="CN1167">
        <f>IF(ISNUMBER(CJ1167),IFERROR(MAX(0,CJ1167-AW393),0),0)</f>
        <v>0</v>
      </c>
      <c r="CP1167" t="e">
        <f>CB393</f>
        <v>#N/A</v>
      </c>
      <c r="CQ1167" t="e">
        <f>CC393</f>
        <v>#N/A</v>
      </c>
      <c r="CR1167">
        <f>IF(ISNUMBER(CP1167),IFERROR(MAX(0,CD393-CP1167),0),0)</f>
        <v>0</v>
      </c>
      <c r="CS1167">
        <f>IF(ISNUMBER(CP1167),IFERROR(MAX(0,CP1167-CD393),0),0)</f>
        <v>0</v>
      </c>
      <c r="CT1167">
        <f>IF(ISNUMBER(CQ1167),IFERROR(MAX(0,CE393-CQ1167),0),0)</f>
        <v>0</v>
      </c>
      <c r="CU1167">
        <f>IF(ISNUMBER(CQ1167),IFERROR(MAX(0,CQ1167-CE393),0),0)</f>
        <v>0</v>
      </c>
    </row>
    <row r="1168" spans="87:99" x14ac:dyDescent="0.3">
      <c r="CI1168" t="e">
        <f>AL394</f>
        <v>#N/A</v>
      </c>
      <c r="CJ1168" t="e">
        <f>AM394</f>
        <v>#N/A</v>
      </c>
      <c r="CK1168">
        <f>IF(ISNUMBER(CI1168),IFERROR(MAX(0,AN394-CI1168),0),0)</f>
        <v>0</v>
      </c>
      <c r="CL1168">
        <f>IF(ISNUMBER(CI1168),IFERROR(MAX(0,CI1168-AN394),0),0)</f>
        <v>0</v>
      </c>
      <c r="CM1168">
        <f>IF(ISNUMBER(CJ1168),IFERROR(MAX(0,AO394-CJ1168),0),0)</f>
        <v>0</v>
      </c>
      <c r="CN1168">
        <f>IF(ISNUMBER(CJ1168),IFERROR(MAX(0,CJ1168-AO394),0),0)</f>
        <v>0</v>
      </c>
      <c r="CP1168" t="e">
        <f>BT394</f>
        <v>#N/A</v>
      </c>
      <c r="CQ1168" t="e">
        <f>BU394</f>
        <v>#N/A</v>
      </c>
      <c r="CR1168">
        <f>IF(ISNUMBER(CP1168),IFERROR(MAX(0,BV394-CP1168),0),0)</f>
        <v>0</v>
      </c>
      <c r="CS1168">
        <f>IF(ISNUMBER(CP1168),IFERROR(MAX(0,CP1168-BV394),0),0)</f>
        <v>0</v>
      </c>
      <c r="CT1168">
        <f>IF(ISNUMBER(CQ1168),IFERROR(MAX(0,BW394-CQ1168),0),0)</f>
        <v>0</v>
      </c>
      <c r="CU1168">
        <f>IF(ISNUMBER(CQ1168),IFERROR(MAX(0,CQ1168-BW394),0),0)</f>
        <v>0</v>
      </c>
    </row>
    <row r="1169" spans="87:99" x14ac:dyDescent="0.3">
      <c r="CI1169" t="e">
        <f>AP394</f>
        <v>#N/A</v>
      </c>
      <c r="CJ1169" t="e">
        <f>AQ394</f>
        <v>#N/A</v>
      </c>
      <c r="CK1169">
        <f>IF(ISNUMBER(CI1169),IFERROR(MAX(0,AR394-CI1169),0),0)</f>
        <v>0</v>
      </c>
      <c r="CL1169">
        <f>IF(ISNUMBER(CI1169),IFERROR(MAX(0,CI1169-AR394),0),0)</f>
        <v>0</v>
      </c>
      <c r="CM1169">
        <f>IF(ISNUMBER(CJ1169),IFERROR(MAX(0,AS394-CJ1169),0),0)</f>
        <v>0</v>
      </c>
      <c r="CN1169">
        <f>IF(ISNUMBER(CJ1169),IFERROR(MAX(0,CJ1169-AS394),0),0)</f>
        <v>0</v>
      </c>
      <c r="CP1169" t="e">
        <f>BX394</f>
        <v>#N/A</v>
      </c>
      <c r="CQ1169" t="e">
        <f>BY394</f>
        <v>#N/A</v>
      </c>
      <c r="CR1169">
        <f>IF(ISNUMBER(CP1169),IFERROR(MAX(0,BZ394-CP1169),0),0)</f>
        <v>0</v>
      </c>
      <c r="CS1169">
        <f>IF(ISNUMBER(CP1169),IFERROR(MAX(0,CP1169-BZ394),0),0)</f>
        <v>0</v>
      </c>
      <c r="CT1169">
        <f>IF(ISNUMBER(CQ1169),IFERROR(MAX(0,CA394-CQ1169),0),0)</f>
        <v>0</v>
      </c>
      <c r="CU1169">
        <f>IF(ISNUMBER(CQ1169),IFERROR(MAX(0,CQ1169-CA394),0),0)</f>
        <v>0</v>
      </c>
    </row>
    <row r="1170" spans="87:99" x14ac:dyDescent="0.3">
      <c r="CI1170" t="e">
        <f>AT394</f>
        <v>#N/A</v>
      </c>
      <c r="CJ1170" t="e">
        <f>AU394</f>
        <v>#N/A</v>
      </c>
      <c r="CK1170">
        <f>IF(ISNUMBER(CI1170),IFERROR(MAX(0,AV394-CI1170),0),0)</f>
        <v>0</v>
      </c>
      <c r="CL1170">
        <f>IF(ISNUMBER(CI1170),IFERROR(MAX(0,CI1170-AV394),0),0)</f>
        <v>0</v>
      </c>
      <c r="CM1170">
        <f>IF(ISNUMBER(CJ1170),IFERROR(MAX(0,AW394-CJ1170),0),0)</f>
        <v>0</v>
      </c>
      <c r="CN1170">
        <f>IF(ISNUMBER(CJ1170),IFERROR(MAX(0,CJ1170-AW394),0),0)</f>
        <v>0</v>
      </c>
      <c r="CP1170" t="e">
        <f>CB394</f>
        <v>#N/A</v>
      </c>
      <c r="CQ1170" t="e">
        <f>CC394</f>
        <v>#N/A</v>
      </c>
      <c r="CR1170">
        <f>IF(ISNUMBER(CP1170),IFERROR(MAX(0,CD394-CP1170),0),0)</f>
        <v>0</v>
      </c>
      <c r="CS1170">
        <f>IF(ISNUMBER(CP1170),IFERROR(MAX(0,CP1170-CD394),0),0)</f>
        <v>0</v>
      </c>
      <c r="CT1170">
        <f>IF(ISNUMBER(CQ1170),IFERROR(MAX(0,CE394-CQ1170),0),0)</f>
        <v>0</v>
      </c>
      <c r="CU1170">
        <f>IF(ISNUMBER(CQ1170),IFERROR(MAX(0,CQ1170-CE394),0),0)</f>
        <v>0</v>
      </c>
    </row>
    <row r="1171" spans="87:99" x14ac:dyDescent="0.3">
      <c r="CI1171" t="e">
        <f>AL395</f>
        <v>#N/A</v>
      </c>
      <c r="CJ1171" t="e">
        <f>AM395</f>
        <v>#N/A</v>
      </c>
      <c r="CK1171">
        <f>IF(ISNUMBER(CI1171),IFERROR(MAX(0,AN395-CI1171),0),0)</f>
        <v>0</v>
      </c>
      <c r="CL1171">
        <f>IF(ISNUMBER(CI1171),IFERROR(MAX(0,CI1171-AN395),0),0)</f>
        <v>0</v>
      </c>
      <c r="CM1171">
        <f>IF(ISNUMBER(CJ1171),IFERROR(MAX(0,AO395-CJ1171),0),0)</f>
        <v>0</v>
      </c>
      <c r="CN1171">
        <f>IF(ISNUMBER(CJ1171),IFERROR(MAX(0,CJ1171-AO395),0),0)</f>
        <v>0</v>
      </c>
      <c r="CP1171" t="e">
        <f>BT395</f>
        <v>#N/A</v>
      </c>
      <c r="CQ1171" t="e">
        <f>BU395</f>
        <v>#N/A</v>
      </c>
      <c r="CR1171">
        <f>IF(ISNUMBER(CP1171),IFERROR(MAX(0,BV395-CP1171),0),0)</f>
        <v>0</v>
      </c>
      <c r="CS1171">
        <f>IF(ISNUMBER(CP1171),IFERROR(MAX(0,CP1171-BV395),0),0)</f>
        <v>0</v>
      </c>
      <c r="CT1171">
        <f>IF(ISNUMBER(CQ1171),IFERROR(MAX(0,BW395-CQ1171),0),0)</f>
        <v>0</v>
      </c>
      <c r="CU1171">
        <f>IF(ISNUMBER(CQ1171),IFERROR(MAX(0,CQ1171-BW395),0),0)</f>
        <v>0</v>
      </c>
    </row>
    <row r="1172" spans="87:99" x14ac:dyDescent="0.3">
      <c r="CI1172" t="e">
        <f>AP395</f>
        <v>#N/A</v>
      </c>
      <c r="CJ1172" t="e">
        <f>AQ395</f>
        <v>#N/A</v>
      </c>
      <c r="CK1172">
        <f>IF(ISNUMBER(CI1172),IFERROR(MAX(0,AR395-CI1172),0),0)</f>
        <v>0</v>
      </c>
      <c r="CL1172">
        <f>IF(ISNUMBER(CI1172),IFERROR(MAX(0,CI1172-AR395),0),0)</f>
        <v>0</v>
      </c>
      <c r="CM1172">
        <f>IF(ISNUMBER(CJ1172),IFERROR(MAX(0,AS395-CJ1172),0),0)</f>
        <v>0</v>
      </c>
      <c r="CN1172">
        <f>IF(ISNUMBER(CJ1172),IFERROR(MAX(0,CJ1172-AS395),0),0)</f>
        <v>0</v>
      </c>
      <c r="CP1172" t="e">
        <f>BX395</f>
        <v>#N/A</v>
      </c>
      <c r="CQ1172" t="e">
        <f>BY395</f>
        <v>#N/A</v>
      </c>
      <c r="CR1172">
        <f>IF(ISNUMBER(CP1172),IFERROR(MAX(0,BZ395-CP1172),0),0)</f>
        <v>0</v>
      </c>
      <c r="CS1172">
        <f>IF(ISNUMBER(CP1172),IFERROR(MAX(0,CP1172-BZ395),0),0)</f>
        <v>0</v>
      </c>
      <c r="CT1172">
        <f>IF(ISNUMBER(CQ1172),IFERROR(MAX(0,CA395-CQ1172),0),0)</f>
        <v>0</v>
      </c>
      <c r="CU1172">
        <f>IF(ISNUMBER(CQ1172),IFERROR(MAX(0,CQ1172-CA395),0),0)</f>
        <v>0</v>
      </c>
    </row>
    <row r="1173" spans="87:99" x14ac:dyDescent="0.3">
      <c r="CI1173" t="e">
        <f>AT395</f>
        <v>#N/A</v>
      </c>
      <c r="CJ1173" t="e">
        <f>AU395</f>
        <v>#N/A</v>
      </c>
      <c r="CK1173">
        <f>IF(ISNUMBER(CI1173),IFERROR(MAX(0,AV395-CI1173),0),0)</f>
        <v>0</v>
      </c>
      <c r="CL1173">
        <f>IF(ISNUMBER(CI1173),IFERROR(MAX(0,CI1173-AV395),0),0)</f>
        <v>0</v>
      </c>
      <c r="CM1173">
        <f>IF(ISNUMBER(CJ1173),IFERROR(MAX(0,AW395-CJ1173),0),0)</f>
        <v>0</v>
      </c>
      <c r="CN1173">
        <f>IF(ISNUMBER(CJ1173),IFERROR(MAX(0,CJ1173-AW395),0),0)</f>
        <v>0</v>
      </c>
      <c r="CP1173" t="e">
        <f>CB395</f>
        <v>#N/A</v>
      </c>
      <c r="CQ1173" t="e">
        <f>CC395</f>
        <v>#N/A</v>
      </c>
      <c r="CR1173">
        <f>IF(ISNUMBER(CP1173),IFERROR(MAX(0,CD395-CP1173),0),0)</f>
        <v>0</v>
      </c>
      <c r="CS1173">
        <f>IF(ISNUMBER(CP1173),IFERROR(MAX(0,CP1173-CD395),0),0)</f>
        <v>0</v>
      </c>
      <c r="CT1173">
        <f>IF(ISNUMBER(CQ1173),IFERROR(MAX(0,CE395-CQ1173),0),0)</f>
        <v>0</v>
      </c>
      <c r="CU1173">
        <f>IF(ISNUMBER(CQ1173),IFERROR(MAX(0,CQ1173-CE395),0),0)</f>
        <v>0</v>
      </c>
    </row>
    <row r="1174" spans="87:99" x14ac:dyDescent="0.3">
      <c r="CI1174" t="e">
        <f>AL396</f>
        <v>#N/A</v>
      </c>
      <c r="CJ1174" t="e">
        <f>AM396</f>
        <v>#N/A</v>
      </c>
      <c r="CK1174">
        <f>IF(ISNUMBER(CI1174),IFERROR(MAX(0,AN396-CI1174),0),0)</f>
        <v>0</v>
      </c>
      <c r="CL1174">
        <f>IF(ISNUMBER(CI1174),IFERROR(MAX(0,CI1174-AN396),0),0)</f>
        <v>0</v>
      </c>
      <c r="CM1174">
        <f>IF(ISNUMBER(CJ1174),IFERROR(MAX(0,AO396-CJ1174),0),0)</f>
        <v>0</v>
      </c>
      <c r="CN1174">
        <f>IF(ISNUMBER(CJ1174),IFERROR(MAX(0,CJ1174-AO396),0),0)</f>
        <v>0</v>
      </c>
      <c r="CP1174" t="e">
        <f>BT396</f>
        <v>#N/A</v>
      </c>
      <c r="CQ1174" t="e">
        <f>BU396</f>
        <v>#N/A</v>
      </c>
      <c r="CR1174">
        <f>IF(ISNUMBER(CP1174),IFERROR(MAX(0,BV396-CP1174),0),0)</f>
        <v>0</v>
      </c>
      <c r="CS1174">
        <f>IF(ISNUMBER(CP1174),IFERROR(MAX(0,CP1174-BV396),0),0)</f>
        <v>0</v>
      </c>
      <c r="CT1174">
        <f>IF(ISNUMBER(CQ1174),IFERROR(MAX(0,BW396-CQ1174),0),0)</f>
        <v>0</v>
      </c>
      <c r="CU1174">
        <f>IF(ISNUMBER(CQ1174),IFERROR(MAX(0,CQ1174-BW396),0),0)</f>
        <v>0</v>
      </c>
    </row>
    <row r="1175" spans="87:99" x14ac:dyDescent="0.3">
      <c r="CI1175" t="e">
        <f>AP396</f>
        <v>#N/A</v>
      </c>
      <c r="CJ1175" t="e">
        <f>AQ396</f>
        <v>#N/A</v>
      </c>
      <c r="CK1175">
        <f>IF(ISNUMBER(CI1175),IFERROR(MAX(0,AR396-CI1175),0),0)</f>
        <v>0</v>
      </c>
      <c r="CL1175">
        <f>IF(ISNUMBER(CI1175),IFERROR(MAX(0,CI1175-AR396),0),0)</f>
        <v>0</v>
      </c>
      <c r="CM1175">
        <f>IF(ISNUMBER(CJ1175),IFERROR(MAX(0,AS396-CJ1175),0),0)</f>
        <v>0</v>
      </c>
      <c r="CN1175">
        <f>IF(ISNUMBER(CJ1175),IFERROR(MAX(0,CJ1175-AS396),0),0)</f>
        <v>0</v>
      </c>
      <c r="CP1175" t="e">
        <f>BX396</f>
        <v>#N/A</v>
      </c>
      <c r="CQ1175" t="e">
        <f>BY396</f>
        <v>#N/A</v>
      </c>
      <c r="CR1175">
        <f>IF(ISNUMBER(CP1175),IFERROR(MAX(0,BZ396-CP1175),0),0)</f>
        <v>0</v>
      </c>
      <c r="CS1175">
        <f>IF(ISNUMBER(CP1175),IFERROR(MAX(0,CP1175-BZ396),0),0)</f>
        <v>0</v>
      </c>
      <c r="CT1175">
        <f>IF(ISNUMBER(CQ1175),IFERROR(MAX(0,CA396-CQ1175),0),0)</f>
        <v>0</v>
      </c>
      <c r="CU1175">
        <f>IF(ISNUMBER(CQ1175),IFERROR(MAX(0,CQ1175-CA396),0),0)</f>
        <v>0</v>
      </c>
    </row>
    <row r="1176" spans="87:99" x14ac:dyDescent="0.3">
      <c r="CI1176" t="e">
        <f>AT396</f>
        <v>#N/A</v>
      </c>
      <c r="CJ1176" t="e">
        <f>AU396</f>
        <v>#N/A</v>
      </c>
      <c r="CK1176">
        <f>IF(ISNUMBER(CI1176),IFERROR(MAX(0,AV396-CI1176),0),0)</f>
        <v>0</v>
      </c>
      <c r="CL1176">
        <f>IF(ISNUMBER(CI1176),IFERROR(MAX(0,CI1176-AV396),0),0)</f>
        <v>0</v>
      </c>
      <c r="CM1176">
        <f>IF(ISNUMBER(CJ1176),IFERROR(MAX(0,AW396-CJ1176),0),0)</f>
        <v>0</v>
      </c>
      <c r="CN1176">
        <f>IF(ISNUMBER(CJ1176),IFERROR(MAX(0,CJ1176-AW396),0),0)</f>
        <v>0</v>
      </c>
      <c r="CP1176" t="e">
        <f>CB396</f>
        <v>#N/A</v>
      </c>
      <c r="CQ1176" t="e">
        <f>CC396</f>
        <v>#N/A</v>
      </c>
      <c r="CR1176">
        <f>IF(ISNUMBER(CP1176),IFERROR(MAX(0,CD396-CP1176),0),0)</f>
        <v>0</v>
      </c>
      <c r="CS1176">
        <f>IF(ISNUMBER(CP1176),IFERROR(MAX(0,CP1176-CD396),0),0)</f>
        <v>0</v>
      </c>
      <c r="CT1176">
        <f>IF(ISNUMBER(CQ1176),IFERROR(MAX(0,CE396-CQ1176),0),0)</f>
        <v>0</v>
      </c>
      <c r="CU1176">
        <f>IF(ISNUMBER(CQ1176),IFERROR(MAX(0,CQ1176-CE396),0),0)</f>
        <v>0</v>
      </c>
    </row>
    <row r="1177" spans="87:99" x14ac:dyDescent="0.3">
      <c r="CI1177" t="e">
        <f>AL397</f>
        <v>#N/A</v>
      </c>
      <c r="CJ1177" t="e">
        <f>AM397</f>
        <v>#N/A</v>
      </c>
      <c r="CK1177">
        <f>IF(ISNUMBER(CI1177),IFERROR(MAX(0,AN397-CI1177),0),0)</f>
        <v>0</v>
      </c>
      <c r="CL1177">
        <f>IF(ISNUMBER(CI1177),IFERROR(MAX(0,CI1177-AN397),0),0)</f>
        <v>0</v>
      </c>
      <c r="CM1177">
        <f>IF(ISNUMBER(CJ1177),IFERROR(MAX(0,AO397-CJ1177),0),0)</f>
        <v>0</v>
      </c>
      <c r="CN1177">
        <f>IF(ISNUMBER(CJ1177),IFERROR(MAX(0,CJ1177-AO397),0),0)</f>
        <v>0</v>
      </c>
      <c r="CP1177" t="e">
        <f>BT397</f>
        <v>#N/A</v>
      </c>
      <c r="CQ1177" t="e">
        <f>BU397</f>
        <v>#N/A</v>
      </c>
      <c r="CR1177">
        <f>IF(ISNUMBER(CP1177),IFERROR(MAX(0,BV397-CP1177),0),0)</f>
        <v>0</v>
      </c>
      <c r="CS1177">
        <f>IF(ISNUMBER(CP1177),IFERROR(MAX(0,CP1177-BV397),0),0)</f>
        <v>0</v>
      </c>
      <c r="CT1177">
        <f>IF(ISNUMBER(CQ1177),IFERROR(MAX(0,BW397-CQ1177),0),0)</f>
        <v>0</v>
      </c>
      <c r="CU1177">
        <f>IF(ISNUMBER(CQ1177),IFERROR(MAX(0,CQ1177-BW397),0),0)</f>
        <v>0</v>
      </c>
    </row>
    <row r="1178" spans="87:99" x14ac:dyDescent="0.3">
      <c r="CI1178" t="e">
        <f>AP397</f>
        <v>#N/A</v>
      </c>
      <c r="CJ1178" t="e">
        <f>AQ397</f>
        <v>#N/A</v>
      </c>
      <c r="CK1178">
        <f>IF(ISNUMBER(CI1178),IFERROR(MAX(0,AR397-CI1178),0),0)</f>
        <v>0</v>
      </c>
      <c r="CL1178">
        <f>IF(ISNUMBER(CI1178),IFERROR(MAX(0,CI1178-AR397),0),0)</f>
        <v>0</v>
      </c>
      <c r="CM1178">
        <f>IF(ISNUMBER(CJ1178),IFERROR(MAX(0,AS397-CJ1178),0),0)</f>
        <v>0</v>
      </c>
      <c r="CN1178">
        <f>IF(ISNUMBER(CJ1178),IFERROR(MAX(0,CJ1178-AS397),0),0)</f>
        <v>0</v>
      </c>
      <c r="CP1178" t="e">
        <f>BX397</f>
        <v>#N/A</v>
      </c>
      <c r="CQ1178" t="e">
        <f>BY397</f>
        <v>#N/A</v>
      </c>
      <c r="CR1178">
        <f>IF(ISNUMBER(CP1178),IFERROR(MAX(0,BZ397-CP1178),0),0)</f>
        <v>0</v>
      </c>
      <c r="CS1178">
        <f>IF(ISNUMBER(CP1178),IFERROR(MAX(0,CP1178-BZ397),0),0)</f>
        <v>0</v>
      </c>
      <c r="CT1178">
        <f>IF(ISNUMBER(CQ1178),IFERROR(MAX(0,CA397-CQ1178),0),0)</f>
        <v>0</v>
      </c>
      <c r="CU1178">
        <f>IF(ISNUMBER(CQ1178),IFERROR(MAX(0,CQ1178-CA397),0),0)</f>
        <v>0</v>
      </c>
    </row>
    <row r="1179" spans="87:99" x14ac:dyDescent="0.3">
      <c r="CI1179" t="e">
        <f>AT397</f>
        <v>#N/A</v>
      </c>
      <c r="CJ1179" t="e">
        <f>AU397</f>
        <v>#N/A</v>
      </c>
      <c r="CK1179">
        <f>IF(ISNUMBER(CI1179),IFERROR(MAX(0,AV397-CI1179),0),0)</f>
        <v>0</v>
      </c>
      <c r="CL1179">
        <f>IF(ISNUMBER(CI1179),IFERROR(MAX(0,CI1179-AV397),0),0)</f>
        <v>0</v>
      </c>
      <c r="CM1179">
        <f>IF(ISNUMBER(CJ1179),IFERROR(MAX(0,AW397-CJ1179),0),0)</f>
        <v>0</v>
      </c>
      <c r="CN1179">
        <f>IF(ISNUMBER(CJ1179),IFERROR(MAX(0,CJ1179-AW397),0),0)</f>
        <v>0</v>
      </c>
      <c r="CP1179" t="e">
        <f>CB397</f>
        <v>#N/A</v>
      </c>
      <c r="CQ1179" t="e">
        <f>CC397</f>
        <v>#N/A</v>
      </c>
      <c r="CR1179">
        <f>IF(ISNUMBER(CP1179),IFERROR(MAX(0,CD397-CP1179),0),0)</f>
        <v>0</v>
      </c>
      <c r="CS1179">
        <f>IF(ISNUMBER(CP1179),IFERROR(MAX(0,CP1179-CD397),0),0)</f>
        <v>0</v>
      </c>
      <c r="CT1179">
        <f>IF(ISNUMBER(CQ1179),IFERROR(MAX(0,CE397-CQ1179),0),0)</f>
        <v>0</v>
      </c>
      <c r="CU1179">
        <f>IF(ISNUMBER(CQ1179),IFERROR(MAX(0,CQ1179-CE397),0),0)</f>
        <v>0</v>
      </c>
    </row>
    <row r="1180" spans="87:99" x14ac:dyDescent="0.3">
      <c r="CI1180" t="e">
        <f>AL398</f>
        <v>#N/A</v>
      </c>
      <c r="CJ1180" t="e">
        <f>AM398</f>
        <v>#N/A</v>
      </c>
      <c r="CK1180">
        <f>IF(ISNUMBER(CI1180),IFERROR(MAX(0,AN398-CI1180),0),0)</f>
        <v>0</v>
      </c>
      <c r="CL1180">
        <f>IF(ISNUMBER(CI1180),IFERROR(MAX(0,CI1180-AN398),0),0)</f>
        <v>0</v>
      </c>
      <c r="CM1180">
        <f>IF(ISNUMBER(CJ1180),IFERROR(MAX(0,AO398-CJ1180),0),0)</f>
        <v>0</v>
      </c>
      <c r="CN1180">
        <f>IF(ISNUMBER(CJ1180),IFERROR(MAX(0,CJ1180-AO398),0),0)</f>
        <v>0</v>
      </c>
      <c r="CP1180" t="e">
        <f>BT398</f>
        <v>#N/A</v>
      </c>
      <c r="CQ1180" t="e">
        <f>BU398</f>
        <v>#N/A</v>
      </c>
      <c r="CR1180">
        <f>IF(ISNUMBER(CP1180),IFERROR(MAX(0,BV398-CP1180),0),0)</f>
        <v>0</v>
      </c>
      <c r="CS1180">
        <f>IF(ISNUMBER(CP1180),IFERROR(MAX(0,CP1180-BV398),0),0)</f>
        <v>0</v>
      </c>
      <c r="CT1180">
        <f>IF(ISNUMBER(CQ1180),IFERROR(MAX(0,BW398-CQ1180),0),0)</f>
        <v>0</v>
      </c>
      <c r="CU1180">
        <f>IF(ISNUMBER(CQ1180),IFERROR(MAX(0,CQ1180-BW398),0),0)</f>
        <v>0</v>
      </c>
    </row>
    <row r="1181" spans="87:99" x14ac:dyDescent="0.3">
      <c r="CI1181" t="e">
        <f>AP398</f>
        <v>#N/A</v>
      </c>
      <c r="CJ1181" t="e">
        <f>AQ398</f>
        <v>#N/A</v>
      </c>
      <c r="CK1181">
        <f>IF(ISNUMBER(CI1181),IFERROR(MAX(0,AR398-CI1181),0),0)</f>
        <v>0</v>
      </c>
      <c r="CL1181">
        <f>IF(ISNUMBER(CI1181),IFERROR(MAX(0,CI1181-AR398),0),0)</f>
        <v>0</v>
      </c>
      <c r="CM1181">
        <f>IF(ISNUMBER(CJ1181),IFERROR(MAX(0,AS398-CJ1181),0),0)</f>
        <v>0</v>
      </c>
      <c r="CN1181">
        <f>IF(ISNUMBER(CJ1181),IFERROR(MAX(0,CJ1181-AS398),0),0)</f>
        <v>0</v>
      </c>
      <c r="CP1181" t="e">
        <f>BX398</f>
        <v>#N/A</v>
      </c>
      <c r="CQ1181" t="e">
        <f>BY398</f>
        <v>#N/A</v>
      </c>
      <c r="CR1181">
        <f>IF(ISNUMBER(CP1181),IFERROR(MAX(0,BZ398-CP1181),0),0)</f>
        <v>0</v>
      </c>
      <c r="CS1181">
        <f>IF(ISNUMBER(CP1181),IFERROR(MAX(0,CP1181-BZ398),0),0)</f>
        <v>0</v>
      </c>
      <c r="CT1181">
        <f>IF(ISNUMBER(CQ1181),IFERROR(MAX(0,CA398-CQ1181),0),0)</f>
        <v>0</v>
      </c>
      <c r="CU1181">
        <f>IF(ISNUMBER(CQ1181),IFERROR(MAX(0,CQ1181-CA398),0),0)</f>
        <v>0</v>
      </c>
    </row>
    <row r="1182" spans="87:99" x14ac:dyDescent="0.3">
      <c r="CI1182" t="e">
        <f>AT398</f>
        <v>#N/A</v>
      </c>
      <c r="CJ1182" t="e">
        <f>AU398</f>
        <v>#N/A</v>
      </c>
      <c r="CK1182">
        <f>IF(ISNUMBER(CI1182),IFERROR(MAX(0,AV398-CI1182),0),0)</f>
        <v>0</v>
      </c>
      <c r="CL1182">
        <f>IF(ISNUMBER(CI1182),IFERROR(MAX(0,CI1182-AV398),0),0)</f>
        <v>0</v>
      </c>
      <c r="CM1182">
        <f>IF(ISNUMBER(CJ1182),IFERROR(MAX(0,AW398-CJ1182),0),0)</f>
        <v>0</v>
      </c>
      <c r="CN1182">
        <f>IF(ISNUMBER(CJ1182),IFERROR(MAX(0,CJ1182-AW398),0),0)</f>
        <v>0</v>
      </c>
      <c r="CP1182" t="e">
        <f>CB398</f>
        <v>#N/A</v>
      </c>
      <c r="CQ1182" t="e">
        <f>CC398</f>
        <v>#N/A</v>
      </c>
      <c r="CR1182">
        <f>IF(ISNUMBER(CP1182),IFERROR(MAX(0,CD398-CP1182),0),0)</f>
        <v>0</v>
      </c>
      <c r="CS1182">
        <f>IF(ISNUMBER(CP1182),IFERROR(MAX(0,CP1182-CD398),0),0)</f>
        <v>0</v>
      </c>
      <c r="CT1182">
        <f>IF(ISNUMBER(CQ1182),IFERROR(MAX(0,CE398-CQ1182),0),0)</f>
        <v>0</v>
      </c>
      <c r="CU1182">
        <f>IF(ISNUMBER(CQ1182),IFERROR(MAX(0,CQ1182-CE398),0),0)</f>
        <v>0</v>
      </c>
    </row>
    <row r="1183" spans="87:99" x14ac:dyDescent="0.3">
      <c r="CI1183" t="e">
        <f>AL399</f>
        <v>#N/A</v>
      </c>
      <c r="CJ1183" t="e">
        <f>AM399</f>
        <v>#N/A</v>
      </c>
      <c r="CK1183">
        <f>IF(ISNUMBER(CI1183),IFERROR(MAX(0,AN399-CI1183),0),0)</f>
        <v>0</v>
      </c>
      <c r="CL1183">
        <f>IF(ISNUMBER(CI1183),IFERROR(MAX(0,CI1183-AN399),0),0)</f>
        <v>0</v>
      </c>
      <c r="CM1183">
        <f>IF(ISNUMBER(CJ1183),IFERROR(MAX(0,AO399-CJ1183),0),0)</f>
        <v>0</v>
      </c>
      <c r="CN1183">
        <f>IF(ISNUMBER(CJ1183),IFERROR(MAX(0,CJ1183-AO399),0),0)</f>
        <v>0</v>
      </c>
      <c r="CP1183" t="e">
        <f>BT399</f>
        <v>#N/A</v>
      </c>
      <c r="CQ1183" t="e">
        <f>BU399</f>
        <v>#N/A</v>
      </c>
      <c r="CR1183">
        <f>IF(ISNUMBER(CP1183),IFERROR(MAX(0,BV399-CP1183),0),0)</f>
        <v>0</v>
      </c>
      <c r="CS1183">
        <f>IF(ISNUMBER(CP1183),IFERROR(MAX(0,CP1183-BV399),0),0)</f>
        <v>0</v>
      </c>
      <c r="CT1183">
        <f>IF(ISNUMBER(CQ1183),IFERROR(MAX(0,BW399-CQ1183),0),0)</f>
        <v>0</v>
      </c>
      <c r="CU1183">
        <f>IF(ISNUMBER(CQ1183),IFERROR(MAX(0,CQ1183-BW399),0),0)</f>
        <v>0</v>
      </c>
    </row>
    <row r="1184" spans="87:99" x14ac:dyDescent="0.3">
      <c r="CI1184" t="e">
        <f>AP399</f>
        <v>#N/A</v>
      </c>
      <c r="CJ1184" t="e">
        <f>AQ399</f>
        <v>#N/A</v>
      </c>
      <c r="CK1184">
        <f>IF(ISNUMBER(CI1184),IFERROR(MAX(0,AR399-CI1184),0),0)</f>
        <v>0</v>
      </c>
      <c r="CL1184">
        <f>IF(ISNUMBER(CI1184),IFERROR(MAX(0,CI1184-AR399),0),0)</f>
        <v>0</v>
      </c>
      <c r="CM1184">
        <f>IF(ISNUMBER(CJ1184),IFERROR(MAX(0,AS399-CJ1184),0),0)</f>
        <v>0</v>
      </c>
      <c r="CN1184">
        <f>IF(ISNUMBER(CJ1184),IFERROR(MAX(0,CJ1184-AS399),0),0)</f>
        <v>0</v>
      </c>
      <c r="CP1184" t="e">
        <f>BX399</f>
        <v>#N/A</v>
      </c>
      <c r="CQ1184" t="e">
        <f>BY399</f>
        <v>#N/A</v>
      </c>
      <c r="CR1184">
        <f>IF(ISNUMBER(CP1184),IFERROR(MAX(0,BZ399-CP1184),0),0)</f>
        <v>0</v>
      </c>
      <c r="CS1184">
        <f>IF(ISNUMBER(CP1184),IFERROR(MAX(0,CP1184-BZ399),0),0)</f>
        <v>0</v>
      </c>
      <c r="CT1184">
        <f>IF(ISNUMBER(CQ1184),IFERROR(MAX(0,CA399-CQ1184),0),0)</f>
        <v>0</v>
      </c>
      <c r="CU1184">
        <f>IF(ISNUMBER(CQ1184),IFERROR(MAX(0,CQ1184-CA399),0),0)</f>
        <v>0</v>
      </c>
    </row>
    <row r="1185" spans="87:99" x14ac:dyDescent="0.3">
      <c r="CI1185" t="e">
        <f>AT399</f>
        <v>#N/A</v>
      </c>
      <c r="CJ1185" t="e">
        <f>AU399</f>
        <v>#N/A</v>
      </c>
      <c r="CK1185">
        <f>IF(ISNUMBER(CI1185),IFERROR(MAX(0,AV399-CI1185),0),0)</f>
        <v>0</v>
      </c>
      <c r="CL1185">
        <f>IF(ISNUMBER(CI1185),IFERROR(MAX(0,CI1185-AV399),0),0)</f>
        <v>0</v>
      </c>
      <c r="CM1185">
        <f>IF(ISNUMBER(CJ1185),IFERROR(MAX(0,AW399-CJ1185),0),0)</f>
        <v>0</v>
      </c>
      <c r="CN1185">
        <f>IF(ISNUMBER(CJ1185),IFERROR(MAX(0,CJ1185-AW399),0),0)</f>
        <v>0</v>
      </c>
      <c r="CP1185" t="e">
        <f>CB399</f>
        <v>#N/A</v>
      </c>
      <c r="CQ1185" t="e">
        <f>CC399</f>
        <v>#N/A</v>
      </c>
      <c r="CR1185">
        <f>IF(ISNUMBER(CP1185),IFERROR(MAX(0,CD399-CP1185),0),0)</f>
        <v>0</v>
      </c>
      <c r="CS1185">
        <f>IF(ISNUMBER(CP1185),IFERROR(MAX(0,CP1185-CD399),0),0)</f>
        <v>0</v>
      </c>
      <c r="CT1185">
        <f>IF(ISNUMBER(CQ1185),IFERROR(MAX(0,CE399-CQ1185),0),0)</f>
        <v>0</v>
      </c>
      <c r="CU1185">
        <f>IF(ISNUMBER(CQ1185),IFERROR(MAX(0,CQ1185-CE399),0),0)</f>
        <v>0</v>
      </c>
    </row>
    <row r="1186" spans="87:99" x14ac:dyDescent="0.3">
      <c r="CI1186" t="e">
        <f>AL400</f>
        <v>#N/A</v>
      </c>
      <c r="CJ1186" t="e">
        <f>AM400</f>
        <v>#N/A</v>
      </c>
      <c r="CK1186">
        <f>IF(ISNUMBER(CI1186),IFERROR(MAX(0,AN400-CI1186),0),0)</f>
        <v>0</v>
      </c>
      <c r="CL1186">
        <f>IF(ISNUMBER(CI1186),IFERROR(MAX(0,CI1186-AN400),0),0)</f>
        <v>0</v>
      </c>
      <c r="CM1186">
        <f>IF(ISNUMBER(CJ1186),IFERROR(MAX(0,AO400-CJ1186),0),0)</f>
        <v>0</v>
      </c>
      <c r="CN1186">
        <f>IF(ISNUMBER(CJ1186),IFERROR(MAX(0,CJ1186-AO400),0),0)</f>
        <v>0</v>
      </c>
      <c r="CP1186" t="e">
        <f>BT400</f>
        <v>#N/A</v>
      </c>
      <c r="CQ1186" t="e">
        <f>BU400</f>
        <v>#N/A</v>
      </c>
      <c r="CR1186">
        <f>IF(ISNUMBER(CP1186),IFERROR(MAX(0,BV400-CP1186),0),0)</f>
        <v>0</v>
      </c>
      <c r="CS1186">
        <f>IF(ISNUMBER(CP1186),IFERROR(MAX(0,CP1186-BV400),0),0)</f>
        <v>0</v>
      </c>
      <c r="CT1186">
        <f>IF(ISNUMBER(CQ1186),IFERROR(MAX(0,BW400-CQ1186),0),0)</f>
        <v>0</v>
      </c>
      <c r="CU1186">
        <f>IF(ISNUMBER(CQ1186),IFERROR(MAX(0,CQ1186-BW400),0),0)</f>
        <v>0</v>
      </c>
    </row>
    <row r="1187" spans="87:99" x14ac:dyDescent="0.3">
      <c r="CI1187" t="e">
        <f>AP400</f>
        <v>#N/A</v>
      </c>
      <c r="CJ1187" t="e">
        <f>AQ400</f>
        <v>#N/A</v>
      </c>
      <c r="CK1187">
        <f>IF(ISNUMBER(CI1187),IFERROR(MAX(0,AR400-CI1187),0),0)</f>
        <v>0</v>
      </c>
      <c r="CL1187">
        <f>IF(ISNUMBER(CI1187),IFERROR(MAX(0,CI1187-AR400),0),0)</f>
        <v>0</v>
      </c>
      <c r="CM1187">
        <f>IF(ISNUMBER(CJ1187),IFERROR(MAX(0,AS400-CJ1187),0),0)</f>
        <v>0</v>
      </c>
      <c r="CN1187">
        <f>IF(ISNUMBER(CJ1187),IFERROR(MAX(0,CJ1187-AS400),0),0)</f>
        <v>0</v>
      </c>
      <c r="CP1187" t="e">
        <f>BX400</f>
        <v>#N/A</v>
      </c>
      <c r="CQ1187" t="e">
        <f>BY400</f>
        <v>#N/A</v>
      </c>
      <c r="CR1187">
        <f>IF(ISNUMBER(CP1187),IFERROR(MAX(0,BZ400-CP1187),0),0)</f>
        <v>0</v>
      </c>
      <c r="CS1187">
        <f>IF(ISNUMBER(CP1187),IFERROR(MAX(0,CP1187-BZ400),0),0)</f>
        <v>0</v>
      </c>
      <c r="CT1187">
        <f>IF(ISNUMBER(CQ1187),IFERROR(MAX(0,CA400-CQ1187),0),0)</f>
        <v>0</v>
      </c>
      <c r="CU1187">
        <f>IF(ISNUMBER(CQ1187),IFERROR(MAX(0,CQ1187-CA400),0),0)</f>
        <v>0</v>
      </c>
    </row>
    <row r="1188" spans="87:99" x14ac:dyDescent="0.3">
      <c r="CI1188" t="e">
        <f>AT400</f>
        <v>#N/A</v>
      </c>
      <c r="CJ1188" t="e">
        <f>AU400</f>
        <v>#N/A</v>
      </c>
      <c r="CK1188">
        <f>IF(ISNUMBER(CI1188),IFERROR(MAX(0,AV400-CI1188),0),0)</f>
        <v>0</v>
      </c>
      <c r="CL1188">
        <f>IF(ISNUMBER(CI1188),IFERROR(MAX(0,CI1188-AV400),0),0)</f>
        <v>0</v>
      </c>
      <c r="CM1188">
        <f>IF(ISNUMBER(CJ1188),IFERROR(MAX(0,AW400-CJ1188),0),0)</f>
        <v>0</v>
      </c>
      <c r="CN1188">
        <f>IF(ISNUMBER(CJ1188),IFERROR(MAX(0,CJ1188-AW400),0),0)</f>
        <v>0</v>
      </c>
      <c r="CP1188" t="e">
        <f>CB400</f>
        <v>#N/A</v>
      </c>
      <c r="CQ1188" t="e">
        <f>CC400</f>
        <v>#N/A</v>
      </c>
      <c r="CR1188">
        <f>IF(ISNUMBER(CP1188),IFERROR(MAX(0,CD400-CP1188),0),0)</f>
        <v>0</v>
      </c>
      <c r="CS1188">
        <f>IF(ISNUMBER(CP1188),IFERROR(MAX(0,CP1188-CD400),0),0)</f>
        <v>0</v>
      </c>
      <c r="CT1188">
        <f>IF(ISNUMBER(CQ1188),IFERROR(MAX(0,CE400-CQ1188),0),0)</f>
        <v>0</v>
      </c>
      <c r="CU1188">
        <f>IF(ISNUMBER(CQ1188),IFERROR(MAX(0,CQ1188-CE400),0),0)</f>
        <v>0</v>
      </c>
    </row>
    <row r="1189" spans="87:99" x14ac:dyDescent="0.3">
      <c r="CI1189" t="e">
        <f>AL401</f>
        <v>#N/A</v>
      </c>
      <c r="CJ1189" t="e">
        <f>AM401</f>
        <v>#N/A</v>
      </c>
      <c r="CK1189">
        <f>IF(ISNUMBER(CI1189),IFERROR(MAX(0,AN401-CI1189),0),0)</f>
        <v>0</v>
      </c>
      <c r="CL1189">
        <f>IF(ISNUMBER(CI1189),IFERROR(MAX(0,CI1189-AN401),0),0)</f>
        <v>0</v>
      </c>
      <c r="CM1189">
        <f>IF(ISNUMBER(CJ1189),IFERROR(MAX(0,AO401-CJ1189),0),0)</f>
        <v>0</v>
      </c>
      <c r="CN1189">
        <f>IF(ISNUMBER(CJ1189),IFERROR(MAX(0,CJ1189-AO401),0),0)</f>
        <v>0</v>
      </c>
      <c r="CP1189" t="e">
        <f>BT401</f>
        <v>#N/A</v>
      </c>
      <c r="CQ1189" t="e">
        <f>BU401</f>
        <v>#N/A</v>
      </c>
      <c r="CR1189">
        <f>IF(ISNUMBER(CP1189),IFERROR(MAX(0,BV401-CP1189),0),0)</f>
        <v>0</v>
      </c>
      <c r="CS1189">
        <f>IF(ISNUMBER(CP1189),IFERROR(MAX(0,CP1189-BV401),0),0)</f>
        <v>0</v>
      </c>
      <c r="CT1189">
        <f>IF(ISNUMBER(CQ1189),IFERROR(MAX(0,BW401-CQ1189),0),0)</f>
        <v>0</v>
      </c>
      <c r="CU1189">
        <f>IF(ISNUMBER(CQ1189),IFERROR(MAX(0,CQ1189-BW401),0),0)</f>
        <v>0</v>
      </c>
    </row>
    <row r="1190" spans="87:99" x14ac:dyDescent="0.3">
      <c r="CI1190" t="e">
        <f>AP401</f>
        <v>#N/A</v>
      </c>
      <c r="CJ1190" t="e">
        <f>AQ401</f>
        <v>#N/A</v>
      </c>
      <c r="CK1190">
        <f>IF(ISNUMBER(CI1190),IFERROR(MAX(0,AR401-CI1190),0),0)</f>
        <v>0</v>
      </c>
      <c r="CL1190">
        <f>IF(ISNUMBER(CI1190),IFERROR(MAX(0,CI1190-AR401),0),0)</f>
        <v>0</v>
      </c>
      <c r="CM1190">
        <f>IF(ISNUMBER(CJ1190),IFERROR(MAX(0,AS401-CJ1190),0),0)</f>
        <v>0</v>
      </c>
      <c r="CN1190">
        <f>IF(ISNUMBER(CJ1190),IFERROR(MAX(0,CJ1190-AS401),0),0)</f>
        <v>0</v>
      </c>
      <c r="CP1190" t="e">
        <f>BX401</f>
        <v>#N/A</v>
      </c>
      <c r="CQ1190" t="e">
        <f>BY401</f>
        <v>#N/A</v>
      </c>
      <c r="CR1190">
        <f>IF(ISNUMBER(CP1190),IFERROR(MAX(0,BZ401-CP1190),0),0)</f>
        <v>0</v>
      </c>
      <c r="CS1190">
        <f>IF(ISNUMBER(CP1190),IFERROR(MAX(0,CP1190-BZ401),0),0)</f>
        <v>0</v>
      </c>
      <c r="CT1190">
        <f>IF(ISNUMBER(CQ1190),IFERROR(MAX(0,CA401-CQ1190),0),0)</f>
        <v>0</v>
      </c>
      <c r="CU1190">
        <f>IF(ISNUMBER(CQ1190),IFERROR(MAX(0,CQ1190-CA401),0),0)</f>
        <v>0</v>
      </c>
    </row>
    <row r="1191" spans="87:99" x14ac:dyDescent="0.3">
      <c r="CI1191" t="e">
        <f>AT401</f>
        <v>#N/A</v>
      </c>
      <c r="CJ1191" t="e">
        <f>AU401</f>
        <v>#N/A</v>
      </c>
      <c r="CK1191">
        <f>IF(ISNUMBER(CI1191),IFERROR(MAX(0,AV401-CI1191),0),0)</f>
        <v>0</v>
      </c>
      <c r="CL1191">
        <f>IF(ISNUMBER(CI1191),IFERROR(MAX(0,CI1191-AV401),0),0)</f>
        <v>0</v>
      </c>
      <c r="CM1191">
        <f>IF(ISNUMBER(CJ1191),IFERROR(MAX(0,AW401-CJ1191),0),0)</f>
        <v>0</v>
      </c>
      <c r="CN1191">
        <f>IF(ISNUMBER(CJ1191),IFERROR(MAX(0,CJ1191-AW401),0),0)</f>
        <v>0</v>
      </c>
      <c r="CP1191" t="e">
        <f>CB401</f>
        <v>#N/A</v>
      </c>
      <c r="CQ1191" t="e">
        <f>CC401</f>
        <v>#N/A</v>
      </c>
      <c r="CR1191">
        <f>IF(ISNUMBER(CP1191),IFERROR(MAX(0,CD401-CP1191),0),0)</f>
        <v>0</v>
      </c>
      <c r="CS1191">
        <f>IF(ISNUMBER(CP1191),IFERROR(MAX(0,CP1191-CD401),0),0)</f>
        <v>0</v>
      </c>
      <c r="CT1191">
        <f>IF(ISNUMBER(CQ1191),IFERROR(MAX(0,CE401-CQ1191),0),0)</f>
        <v>0</v>
      </c>
      <c r="CU1191">
        <f>IF(ISNUMBER(CQ1191),IFERROR(MAX(0,CQ1191-CE401),0),0)</f>
        <v>0</v>
      </c>
    </row>
    <row r="1192" spans="87:99" x14ac:dyDescent="0.3">
      <c r="CI1192" t="e">
        <f>AL402</f>
        <v>#N/A</v>
      </c>
      <c r="CJ1192" t="e">
        <f>AM402</f>
        <v>#N/A</v>
      </c>
      <c r="CK1192">
        <f>IF(ISNUMBER(CI1192),IFERROR(MAX(0,AN402-CI1192),0),0)</f>
        <v>0</v>
      </c>
      <c r="CL1192">
        <f>IF(ISNUMBER(CI1192),IFERROR(MAX(0,CI1192-AN402),0),0)</f>
        <v>0</v>
      </c>
      <c r="CM1192">
        <f>IF(ISNUMBER(CJ1192),IFERROR(MAX(0,AO402-CJ1192),0),0)</f>
        <v>0</v>
      </c>
      <c r="CN1192">
        <f>IF(ISNUMBER(CJ1192),IFERROR(MAX(0,CJ1192-AO402),0),0)</f>
        <v>0</v>
      </c>
      <c r="CP1192" t="e">
        <f>BT402</f>
        <v>#N/A</v>
      </c>
      <c r="CQ1192" t="e">
        <f>BU402</f>
        <v>#N/A</v>
      </c>
      <c r="CR1192">
        <f>IF(ISNUMBER(CP1192),IFERROR(MAX(0,BV402-CP1192),0),0)</f>
        <v>0</v>
      </c>
      <c r="CS1192">
        <f>IF(ISNUMBER(CP1192),IFERROR(MAX(0,CP1192-BV402),0),0)</f>
        <v>0</v>
      </c>
      <c r="CT1192">
        <f>IF(ISNUMBER(CQ1192),IFERROR(MAX(0,BW402-CQ1192),0),0)</f>
        <v>0</v>
      </c>
      <c r="CU1192">
        <f>IF(ISNUMBER(CQ1192),IFERROR(MAX(0,CQ1192-BW402),0),0)</f>
        <v>0</v>
      </c>
    </row>
    <row r="1193" spans="87:99" x14ac:dyDescent="0.3">
      <c r="CI1193" t="e">
        <f>AP402</f>
        <v>#N/A</v>
      </c>
      <c r="CJ1193" t="e">
        <f>AQ402</f>
        <v>#N/A</v>
      </c>
      <c r="CK1193">
        <f>IF(ISNUMBER(CI1193),IFERROR(MAX(0,AR402-CI1193),0),0)</f>
        <v>0</v>
      </c>
      <c r="CL1193">
        <f>IF(ISNUMBER(CI1193),IFERROR(MAX(0,CI1193-AR402),0),0)</f>
        <v>0</v>
      </c>
      <c r="CM1193">
        <f>IF(ISNUMBER(CJ1193),IFERROR(MAX(0,AS402-CJ1193),0),0)</f>
        <v>0</v>
      </c>
      <c r="CN1193">
        <f>IF(ISNUMBER(CJ1193),IFERROR(MAX(0,CJ1193-AS402),0),0)</f>
        <v>0</v>
      </c>
      <c r="CP1193" t="e">
        <f>BX402</f>
        <v>#N/A</v>
      </c>
      <c r="CQ1193" t="e">
        <f>BY402</f>
        <v>#N/A</v>
      </c>
      <c r="CR1193">
        <f>IF(ISNUMBER(CP1193),IFERROR(MAX(0,BZ402-CP1193),0),0)</f>
        <v>0</v>
      </c>
      <c r="CS1193">
        <f>IF(ISNUMBER(CP1193),IFERROR(MAX(0,CP1193-BZ402),0),0)</f>
        <v>0</v>
      </c>
      <c r="CT1193">
        <f>IF(ISNUMBER(CQ1193),IFERROR(MAX(0,CA402-CQ1193),0),0)</f>
        <v>0</v>
      </c>
      <c r="CU1193">
        <f>IF(ISNUMBER(CQ1193),IFERROR(MAX(0,CQ1193-CA402),0),0)</f>
        <v>0</v>
      </c>
    </row>
    <row r="1194" spans="87:99" x14ac:dyDescent="0.3">
      <c r="CI1194" t="e">
        <f>AT402</f>
        <v>#N/A</v>
      </c>
      <c r="CJ1194" t="e">
        <f>AU402</f>
        <v>#N/A</v>
      </c>
      <c r="CK1194">
        <f>IF(ISNUMBER(CI1194),IFERROR(MAX(0,AV402-CI1194),0),0)</f>
        <v>0</v>
      </c>
      <c r="CL1194">
        <f>IF(ISNUMBER(CI1194),IFERROR(MAX(0,CI1194-AV402),0),0)</f>
        <v>0</v>
      </c>
      <c r="CM1194">
        <f>IF(ISNUMBER(CJ1194),IFERROR(MAX(0,AW402-CJ1194),0),0)</f>
        <v>0</v>
      </c>
      <c r="CN1194">
        <f>IF(ISNUMBER(CJ1194),IFERROR(MAX(0,CJ1194-AW402),0),0)</f>
        <v>0</v>
      </c>
      <c r="CP1194" t="e">
        <f>CB402</f>
        <v>#N/A</v>
      </c>
      <c r="CQ1194" t="e">
        <f>CC402</f>
        <v>#N/A</v>
      </c>
      <c r="CR1194">
        <f>IF(ISNUMBER(CP1194),IFERROR(MAX(0,CD402-CP1194),0),0)</f>
        <v>0</v>
      </c>
      <c r="CS1194">
        <f>IF(ISNUMBER(CP1194),IFERROR(MAX(0,CP1194-CD402),0),0)</f>
        <v>0</v>
      </c>
      <c r="CT1194">
        <f>IF(ISNUMBER(CQ1194),IFERROR(MAX(0,CE402-CQ1194),0),0)</f>
        <v>0</v>
      </c>
      <c r="CU1194">
        <f>IF(ISNUMBER(CQ1194),IFERROR(MAX(0,CQ1194-CE402),0),0)</f>
        <v>0</v>
      </c>
    </row>
    <row r="1195" spans="87:99" x14ac:dyDescent="0.3">
      <c r="CI1195" t="e">
        <f>AL403</f>
        <v>#N/A</v>
      </c>
      <c r="CJ1195" t="e">
        <f>AM403</f>
        <v>#N/A</v>
      </c>
      <c r="CK1195">
        <f>IF(ISNUMBER(CI1195),IFERROR(MAX(0,AN403-CI1195),0),0)</f>
        <v>0</v>
      </c>
      <c r="CL1195">
        <f>IF(ISNUMBER(CI1195),IFERROR(MAX(0,CI1195-AN403),0),0)</f>
        <v>0</v>
      </c>
      <c r="CM1195">
        <f>IF(ISNUMBER(CJ1195),IFERROR(MAX(0,AO403-CJ1195),0),0)</f>
        <v>0</v>
      </c>
      <c r="CN1195">
        <f>IF(ISNUMBER(CJ1195),IFERROR(MAX(0,CJ1195-AO403),0),0)</f>
        <v>0</v>
      </c>
      <c r="CP1195" t="e">
        <f>BT403</f>
        <v>#N/A</v>
      </c>
      <c r="CQ1195" t="e">
        <f>BU403</f>
        <v>#N/A</v>
      </c>
      <c r="CR1195">
        <f>IF(ISNUMBER(CP1195),IFERROR(MAX(0,BV403-CP1195),0),0)</f>
        <v>0</v>
      </c>
      <c r="CS1195">
        <f>IF(ISNUMBER(CP1195),IFERROR(MAX(0,CP1195-BV403),0),0)</f>
        <v>0</v>
      </c>
      <c r="CT1195">
        <f>IF(ISNUMBER(CQ1195),IFERROR(MAX(0,BW403-CQ1195),0),0)</f>
        <v>0</v>
      </c>
      <c r="CU1195">
        <f>IF(ISNUMBER(CQ1195),IFERROR(MAX(0,CQ1195-BW403),0),0)</f>
        <v>0</v>
      </c>
    </row>
    <row r="1196" spans="87:99" x14ac:dyDescent="0.3">
      <c r="CI1196" t="e">
        <f>AP403</f>
        <v>#N/A</v>
      </c>
      <c r="CJ1196" t="e">
        <f>AQ403</f>
        <v>#N/A</v>
      </c>
      <c r="CK1196">
        <f>IF(ISNUMBER(CI1196),IFERROR(MAX(0,AR403-CI1196),0),0)</f>
        <v>0</v>
      </c>
      <c r="CL1196">
        <f>IF(ISNUMBER(CI1196),IFERROR(MAX(0,CI1196-AR403),0),0)</f>
        <v>0</v>
      </c>
      <c r="CM1196">
        <f>IF(ISNUMBER(CJ1196),IFERROR(MAX(0,AS403-CJ1196),0),0)</f>
        <v>0</v>
      </c>
      <c r="CN1196">
        <f>IF(ISNUMBER(CJ1196),IFERROR(MAX(0,CJ1196-AS403),0),0)</f>
        <v>0</v>
      </c>
      <c r="CP1196" t="e">
        <f>BX403</f>
        <v>#N/A</v>
      </c>
      <c r="CQ1196" t="e">
        <f>BY403</f>
        <v>#N/A</v>
      </c>
      <c r="CR1196">
        <f>IF(ISNUMBER(CP1196),IFERROR(MAX(0,BZ403-CP1196),0),0)</f>
        <v>0</v>
      </c>
      <c r="CS1196">
        <f>IF(ISNUMBER(CP1196),IFERROR(MAX(0,CP1196-BZ403),0),0)</f>
        <v>0</v>
      </c>
      <c r="CT1196">
        <f>IF(ISNUMBER(CQ1196),IFERROR(MAX(0,CA403-CQ1196),0),0)</f>
        <v>0</v>
      </c>
      <c r="CU1196">
        <f>IF(ISNUMBER(CQ1196),IFERROR(MAX(0,CQ1196-CA403),0),0)</f>
        <v>0</v>
      </c>
    </row>
    <row r="1197" spans="87:99" x14ac:dyDescent="0.3">
      <c r="CI1197" t="e">
        <f>AT403</f>
        <v>#N/A</v>
      </c>
      <c r="CJ1197" t="e">
        <f>AU403</f>
        <v>#N/A</v>
      </c>
      <c r="CK1197">
        <f>IF(ISNUMBER(CI1197),IFERROR(MAX(0,AV403-CI1197),0),0)</f>
        <v>0</v>
      </c>
      <c r="CL1197">
        <f>IF(ISNUMBER(CI1197),IFERROR(MAX(0,CI1197-AV403),0),0)</f>
        <v>0</v>
      </c>
      <c r="CM1197">
        <f>IF(ISNUMBER(CJ1197),IFERROR(MAX(0,AW403-CJ1197),0),0)</f>
        <v>0</v>
      </c>
      <c r="CN1197">
        <f>IF(ISNUMBER(CJ1197),IFERROR(MAX(0,CJ1197-AW403),0),0)</f>
        <v>0</v>
      </c>
      <c r="CP1197" t="e">
        <f>CB403</f>
        <v>#N/A</v>
      </c>
      <c r="CQ1197" t="e">
        <f>CC403</f>
        <v>#N/A</v>
      </c>
      <c r="CR1197">
        <f>IF(ISNUMBER(CP1197),IFERROR(MAX(0,CD403-CP1197),0),0)</f>
        <v>0</v>
      </c>
      <c r="CS1197">
        <f>IF(ISNUMBER(CP1197),IFERROR(MAX(0,CP1197-CD403),0),0)</f>
        <v>0</v>
      </c>
      <c r="CT1197">
        <f>IF(ISNUMBER(CQ1197),IFERROR(MAX(0,CE403-CQ1197),0),0)</f>
        <v>0</v>
      </c>
      <c r="CU1197">
        <f>IF(ISNUMBER(CQ1197),IFERROR(MAX(0,CQ1197-CE403),0),0)</f>
        <v>0</v>
      </c>
    </row>
    <row r="1198" spans="87:99" x14ac:dyDescent="0.3">
      <c r="CI1198" t="e">
        <f>AL404</f>
        <v>#N/A</v>
      </c>
      <c r="CJ1198" t="e">
        <f>AM404</f>
        <v>#N/A</v>
      </c>
      <c r="CK1198">
        <f>IF(ISNUMBER(CI1198),IFERROR(MAX(0,AN404-CI1198),0),0)</f>
        <v>0</v>
      </c>
      <c r="CL1198">
        <f>IF(ISNUMBER(CI1198),IFERROR(MAX(0,CI1198-AN404),0),0)</f>
        <v>0</v>
      </c>
      <c r="CM1198">
        <f>IF(ISNUMBER(CJ1198),IFERROR(MAX(0,AO404-CJ1198),0),0)</f>
        <v>0</v>
      </c>
      <c r="CN1198">
        <f>IF(ISNUMBER(CJ1198),IFERROR(MAX(0,CJ1198-AO404),0),0)</f>
        <v>0</v>
      </c>
      <c r="CP1198" t="e">
        <f>BT404</f>
        <v>#N/A</v>
      </c>
      <c r="CQ1198" t="e">
        <f>BU404</f>
        <v>#N/A</v>
      </c>
      <c r="CR1198">
        <f>IF(ISNUMBER(CP1198),IFERROR(MAX(0,BV404-CP1198),0),0)</f>
        <v>0</v>
      </c>
      <c r="CS1198">
        <f>IF(ISNUMBER(CP1198),IFERROR(MAX(0,CP1198-BV404),0),0)</f>
        <v>0</v>
      </c>
      <c r="CT1198">
        <f>IF(ISNUMBER(CQ1198),IFERROR(MAX(0,BW404-CQ1198),0),0)</f>
        <v>0</v>
      </c>
      <c r="CU1198">
        <f>IF(ISNUMBER(CQ1198),IFERROR(MAX(0,CQ1198-BW404),0),0)</f>
        <v>0</v>
      </c>
    </row>
    <row r="1199" spans="87:99" x14ac:dyDescent="0.3">
      <c r="CI1199" t="e">
        <f>AP404</f>
        <v>#N/A</v>
      </c>
      <c r="CJ1199" t="e">
        <f>AQ404</f>
        <v>#N/A</v>
      </c>
      <c r="CK1199">
        <f>IF(ISNUMBER(CI1199),IFERROR(MAX(0,AR404-CI1199),0),0)</f>
        <v>0</v>
      </c>
      <c r="CL1199">
        <f>IF(ISNUMBER(CI1199),IFERROR(MAX(0,CI1199-AR404),0),0)</f>
        <v>0</v>
      </c>
      <c r="CM1199">
        <f>IF(ISNUMBER(CJ1199),IFERROR(MAX(0,AS404-CJ1199),0),0)</f>
        <v>0</v>
      </c>
      <c r="CN1199">
        <f>IF(ISNUMBER(CJ1199),IFERROR(MAX(0,CJ1199-AS404),0),0)</f>
        <v>0</v>
      </c>
      <c r="CP1199" t="e">
        <f>BX404</f>
        <v>#N/A</v>
      </c>
      <c r="CQ1199" t="e">
        <f>BY404</f>
        <v>#N/A</v>
      </c>
      <c r="CR1199">
        <f>IF(ISNUMBER(CP1199),IFERROR(MAX(0,BZ404-CP1199),0),0)</f>
        <v>0</v>
      </c>
      <c r="CS1199">
        <f>IF(ISNUMBER(CP1199),IFERROR(MAX(0,CP1199-BZ404),0),0)</f>
        <v>0</v>
      </c>
      <c r="CT1199">
        <f>IF(ISNUMBER(CQ1199),IFERROR(MAX(0,CA404-CQ1199),0),0)</f>
        <v>0</v>
      </c>
      <c r="CU1199">
        <f>IF(ISNUMBER(CQ1199),IFERROR(MAX(0,CQ1199-CA404),0),0)</f>
        <v>0</v>
      </c>
    </row>
    <row r="1200" spans="87:99" x14ac:dyDescent="0.3">
      <c r="CI1200" t="e">
        <f>AT404</f>
        <v>#N/A</v>
      </c>
      <c r="CJ1200" t="e">
        <f>AU404</f>
        <v>#N/A</v>
      </c>
      <c r="CK1200">
        <f>IF(ISNUMBER(CI1200),IFERROR(MAX(0,AV404-CI1200),0),0)</f>
        <v>0</v>
      </c>
      <c r="CL1200">
        <f>IF(ISNUMBER(CI1200),IFERROR(MAX(0,CI1200-AV404),0),0)</f>
        <v>0</v>
      </c>
      <c r="CM1200">
        <f>IF(ISNUMBER(CJ1200),IFERROR(MAX(0,AW404-CJ1200),0),0)</f>
        <v>0</v>
      </c>
      <c r="CN1200">
        <f>IF(ISNUMBER(CJ1200),IFERROR(MAX(0,CJ1200-AW404),0),0)</f>
        <v>0</v>
      </c>
      <c r="CP1200" t="e">
        <f>CB404</f>
        <v>#N/A</v>
      </c>
      <c r="CQ1200" t="e">
        <f>CC404</f>
        <v>#N/A</v>
      </c>
      <c r="CR1200">
        <f>IF(ISNUMBER(CP1200),IFERROR(MAX(0,CD404-CP1200),0),0)</f>
        <v>0</v>
      </c>
      <c r="CS1200">
        <f>IF(ISNUMBER(CP1200),IFERROR(MAX(0,CP1200-CD404),0),0)</f>
        <v>0</v>
      </c>
      <c r="CT1200">
        <f>IF(ISNUMBER(CQ1200),IFERROR(MAX(0,CE404-CQ1200),0),0)</f>
        <v>0</v>
      </c>
      <c r="CU1200">
        <f>IF(ISNUMBER(CQ1200),IFERROR(MAX(0,CQ1200-CE404),0),0)</f>
        <v>0</v>
      </c>
    </row>
    <row r="1201" spans="87:99" x14ac:dyDescent="0.3">
      <c r="CI1201" t="e">
        <f>AL405</f>
        <v>#N/A</v>
      </c>
      <c r="CJ1201" t="e">
        <f>AM405</f>
        <v>#N/A</v>
      </c>
      <c r="CK1201">
        <f>IF(ISNUMBER(CI1201),IFERROR(MAX(0,AN405-CI1201),0),0)</f>
        <v>0</v>
      </c>
      <c r="CL1201">
        <f>IF(ISNUMBER(CI1201),IFERROR(MAX(0,CI1201-AN405),0),0)</f>
        <v>0</v>
      </c>
      <c r="CM1201">
        <f>IF(ISNUMBER(CJ1201),IFERROR(MAX(0,AO405-CJ1201),0),0)</f>
        <v>0</v>
      </c>
      <c r="CN1201">
        <f>IF(ISNUMBER(CJ1201),IFERROR(MAX(0,CJ1201-AO405),0),0)</f>
        <v>0</v>
      </c>
      <c r="CP1201" t="e">
        <f>BT405</f>
        <v>#N/A</v>
      </c>
      <c r="CQ1201" t="e">
        <f>BU405</f>
        <v>#N/A</v>
      </c>
      <c r="CR1201">
        <f>IF(ISNUMBER(CP1201),IFERROR(MAX(0,BV405-CP1201),0),0)</f>
        <v>0</v>
      </c>
      <c r="CS1201">
        <f>IF(ISNUMBER(CP1201),IFERROR(MAX(0,CP1201-BV405),0),0)</f>
        <v>0</v>
      </c>
      <c r="CT1201">
        <f>IF(ISNUMBER(CQ1201),IFERROR(MAX(0,BW405-CQ1201),0),0)</f>
        <v>0</v>
      </c>
      <c r="CU1201">
        <f>IF(ISNUMBER(CQ1201),IFERROR(MAX(0,CQ1201-BW405),0),0)</f>
        <v>0</v>
      </c>
    </row>
    <row r="1202" spans="87:99" x14ac:dyDescent="0.3">
      <c r="CI1202" t="e">
        <f>AP405</f>
        <v>#N/A</v>
      </c>
      <c r="CJ1202" t="e">
        <f>AQ405</f>
        <v>#N/A</v>
      </c>
      <c r="CK1202">
        <f>IF(ISNUMBER(CI1202),IFERROR(MAX(0,AR405-CI1202),0),0)</f>
        <v>0</v>
      </c>
      <c r="CL1202">
        <f>IF(ISNUMBER(CI1202),IFERROR(MAX(0,CI1202-AR405),0),0)</f>
        <v>0</v>
      </c>
      <c r="CM1202">
        <f>IF(ISNUMBER(CJ1202),IFERROR(MAX(0,AS405-CJ1202),0),0)</f>
        <v>0</v>
      </c>
      <c r="CN1202">
        <f>IF(ISNUMBER(CJ1202),IFERROR(MAX(0,CJ1202-AS405),0),0)</f>
        <v>0</v>
      </c>
      <c r="CP1202" t="e">
        <f>BX405</f>
        <v>#N/A</v>
      </c>
      <c r="CQ1202" t="e">
        <f>BY405</f>
        <v>#N/A</v>
      </c>
      <c r="CR1202">
        <f>IF(ISNUMBER(CP1202),IFERROR(MAX(0,BZ405-CP1202),0),0)</f>
        <v>0</v>
      </c>
      <c r="CS1202">
        <f>IF(ISNUMBER(CP1202),IFERROR(MAX(0,CP1202-BZ405),0),0)</f>
        <v>0</v>
      </c>
      <c r="CT1202">
        <f>IF(ISNUMBER(CQ1202),IFERROR(MAX(0,CA405-CQ1202),0),0)</f>
        <v>0</v>
      </c>
      <c r="CU1202">
        <f>IF(ISNUMBER(CQ1202),IFERROR(MAX(0,CQ1202-CA405),0),0)</f>
        <v>0</v>
      </c>
    </row>
    <row r="1203" spans="87:99" x14ac:dyDescent="0.3">
      <c r="CI1203" t="e">
        <f>AT405</f>
        <v>#N/A</v>
      </c>
      <c r="CJ1203" t="e">
        <f>AU405</f>
        <v>#N/A</v>
      </c>
      <c r="CK1203">
        <f>IF(ISNUMBER(CI1203),IFERROR(MAX(0,AV405-CI1203),0),0)</f>
        <v>0</v>
      </c>
      <c r="CL1203">
        <f>IF(ISNUMBER(CI1203),IFERROR(MAX(0,CI1203-AV405),0),0)</f>
        <v>0</v>
      </c>
      <c r="CM1203">
        <f>IF(ISNUMBER(CJ1203),IFERROR(MAX(0,AW405-CJ1203),0),0)</f>
        <v>0</v>
      </c>
      <c r="CN1203">
        <f>IF(ISNUMBER(CJ1203),IFERROR(MAX(0,CJ1203-AW405),0),0)</f>
        <v>0</v>
      </c>
      <c r="CP1203" t="e">
        <f>CB405</f>
        <v>#N/A</v>
      </c>
      <c r="CQ1203" t="e">
        <f>CC405</f>
        <v>#N/A</v>
      </c>
      <c r="CR1203">
        <f>IF(ISNUMBER(CP1203),IFERROR(MAX(0,CD405-CP1203),0),0)</f>
        <v>0</v>
      </c>
      <c r="CS1203">
        <f>IF(ISNUMBER(CP1203),IFERROR(MAX(0,CP1203-CD405),0),0)</f>
        <v>0</v>
      </c>
      <c r="CT1203">
        <f>IF(ISNUMBER(CQ1203),IFERROR(MAX(0,CE405-CQ1203),0),0)</f>
        <v>0</v>
      </c>
      <c r="CU1203">
        <f>IF(ISNUMBER(CQ1203),IFERROR(MAX(0,CQ1203-CE405),0),0)</f>
        <v>0</v>
      </c>
    </row>
    <row r="1204" spans="87:99" x14ac:dyDescent="0.3">
      <c r="CI1204" t="e">
        <f>AL406</f>
        <v>#N/A</v>
      </c>
      <c r="CJ1204" t="e">
        <f>AM406</f>
        <v>#N/A</v>
      </c>
      <c r="CK1204">
        <f>IF(ISNUMBER(CI1204),IFERROR(MAX(0,AN406-CI1204),0),0)</f>
        <v>0</v>
      </c>
      <c r="CL1204">
        <f>IF(ISNUMBER(CI1204),IFERROR(MAX(0,CI1204-AN406),0),0)</f>
        <v>0</v>
      </c>
      <c r="CM1204">
        <f>IF(ISNUMBER(CJ1204),IFERROR(MAX(0,AO406-CJ1204),0),0)</f>
        <v>0</v>
      </c>
      <c r="CN1204">
        <f>IF(ISNUMBER(CJ1204),IFERROR(MAX(0,CJ1204-AO406),0),0)</f>
        <v>0</v>
      </c>
      <c r="CP1204" t="e">
        <f>BT406</f>
        <v>#N/A</v>
      </c>
      <c r="CQ1204" t="e">
        <f>BU406</f>
        <v>#N/A</v>
      </c>
      <c r="CR1204">
        <f>IF(ISNUMBER(CP1204),IFERROR(MAX(0,BV406-CP1204),0),0)</f>
        <v>0</v>
      </c>
      <c r="CS1204">
        <f>IF(ISNUMBER(CP1204),IFERROR(MAX(0,CP1204-BV406),0),0)</f>
        <v>0</v>
      </c>
      <c r="CT1204">
        <f>IF(ISNUMBER(CQ1204),IFERROR(MAX(0,BW406-CQ1204),0),0)</f>
        <v>0</v>
      </c>
      <c r="CU1204">
        <f>IF(ISNUMBER(CQ1204),IFERROR(MAX(0,CQ1204-BW406),0),0)</f>
        <v>0</v>
      </c>
    </row>
    <row r="1205" spans="87:99" x14ac:dyDescent="0.3">
      <c r="CI1205" t="e">
        <f>AP406</f>
        <v>#N/A</v>
      </c>
      <c r="CJ1205" t="e">
        <f>AQ406</f>
        <v>#N/A</v>
      </c>
      <c r="CK1205">
        <f>IF(ISNUMBER(CI1205),IFERROR(MAX(0,AR406-CI1205),0),0)</f>
        <v>0</v>
      </c>
      <c r="CL1205">
        <f>IF(ISNUMBER(CI1205),IFERROR(MAX(0,CI1205-AR406),0),0)</f>
        <v>0</v>
      </c>
      <c r="CM1205">
        <f>IF(ISNUMBER(CJ1205),IFERROR(MAX(0,AS406-CJ1205),0),0)</f>
        <v>0</v>
      </c>
      <c r="CN1205">
        <f>IF(ISNUMBER(CJ1205),IFERROR(MAX(0,CJ1205-AS406),0),0)</f>
        <v>0</v>
      </c>
      <c r="CP1205" t="e">
        <f>BX406</f>
        <v>#N/A</v>
      </c>
      <c r="CQ1205" t="e">
        <f>BY406</f>
        <v>#N/A</v>
      </c>
      <c r="CR1205">
        <f>IF(ISNUMBER(CP1205),IFERROR(MAX(0,BZ406-CP1205),0),0)</f>
        <v>0</v>
      </c>
      <c r="CS1205">
        <f>IF(ISNUMBER(CP1205),IFERROR(MAX(0,CP1205-BZ406),0),0)</f>
        <v>0</v>
      </c>
      <c r="CT1205">
        <f>IF(ISNUMBER(CQ1205),IFERROR(MAX(0,CA406-CQ1205),0),0)</f>
        <v>0</v>
      </c>
      <c r="CU1205">
        <f>IF(ISNUMBER(CQ1205),IFERROR(MAX(0,CQ1205-CA406),0),0)</f>
        <v>0</v>
      </c>
    </row>
    <row r="1206" spans="87:99" x14ac:dyDescent="0.3">
      <c r="CI1206" t="e">
        <f>AT406</f>
        <v>#N/A</v>
      </c>
      <c r="CJ1206" t="e">
        <f>AU406</f>
        <v>#N/A</v>
      </c>
      <c r="CK1206">
        <f>IF(ISNUMBER(CI1206),IFERROR(MAX(0,AV406-CI1206),0),0)</f>
        <v>0</v>
      </c>
      <c r="CL1206">
        <f>IF(ISNUMBER(CI1206),IFERROR(MAX(0,CI1206-AV406),0),0)</f>
        <v>0</v>
      </c>
      <c r="CM1206">
        <f>IF(ISNUMBER(CJ1206),IFERROR(MAX(0,AW406-CJ1206),0),0)</f>
        <v>0</v>
      </c>
      <c r="CN1206">
        <f>IF(ISNUMBER(CJ1206),IFERROR(MAX(0,CJ1206-AW406),0),0)</f>
        <v>0</v>
      </c>
      <c r="CP1206" t="e">
        <f>CB406</f>
        <v>#N/A</v>
      </c>
      <c r="CQ1206" t="e">
        <f>CC406</f>
        <v>#N/A</v>
      </c>
      <c r="CR1206">
        <f>IF(ISNUMBER(CP1206),IFERROR(MAX(0,CD406-CP1206),0),0)</f>
        <v>0</v>
      </c>
      <c r="CS1206">
        <f>IF(ISNUMBER(CP1206),IFERROR(MAX(0,CP1206-CD406),0),0)</f>
        <v>0</v>
      </c>
      <c r="CT1206">
        <f>IF(ISNUMBER(CQ1206),IFERROR(MAX(0,CE406-CQ1206),0),0)</f>
        <v>0</v>
      </c>
      <c r="CU1206">
        <f>IF(ISNUMBER(CQ1206),IFERROR(MAX(0,CQ1206-CE406),0),0)</f>
        <v>0</v>
      </c>
    </row>
    <row r="1207" spans="87:99" x14ac:dyDescent="0.3">
      <c r="CI1207" t="e">
        <f>AL407</f>
        <v>#N/A</v>
      </c>
      <c r="CJ1207" t="e">
        <f>AM407</f>
        <v>#N/A</v>
      </c>
      <c r="CK1207">
        <f>IF(ISNUMBER(CI1207),IFERROR(MAX(0,AN407-CI1207),0),0)</f>
        <v>0</v>
      </c>
      <c r="CL1207">
        <f>IF(ISNUMBER(CI1207),IFERROR(MAX(0,CI1207-AN407),0),0)</f>
        <v>0</v>
      </c>
      <c r="CM1207">
        <f>IF(ISNUMBER(CJ1207),IFERROR(MAX(0,AO407-CJ1207),0),0)</f>
        <v>0</v>
      </c>
      <c r="CN1207">
        <f>IF(ISNUMBER(CJ1207),IFERROR(MAX(0,CJ1207-AO407),0),0)</f>
        <v>0</v>
      </c>
      <c r="CP1207" t="e">
        <f>BT407</f>
        <v>#N/A</v>
      </c>
      <c r="CQ1207" t="e">
        <f>BU407</f>
        <v>#N/A</v>
      </c>
      <c r="CR1207">
        <f>IF(ISNUMBER(CP1207),IFERROR(MAX(0,BV407-CP1207),0),0)</f>
        <v>0</v>
      </c>
      <c r="CS1207">
        <f>IF(ISNUMBER(CP1207),IFERROR(MAX(0,CP1207-BV407),0),0)</f>
        <v>0</v>
      </c>
      <c r="CT1207">
        <f>IF(ISNUMBER(CQ1207),IFERROR(MAX(0,BW407-CQ1207),0),0)</f>
        <v>0</v>
      </c>
      <c r="CU1207">
        <f>IF(ISNUMBER(CQ1207),IFERROR(MAX(0,CQ1207-BW407),0),0)</f>
        <v>0</v>
      </c>
    </row>
    <row r="1208" spans="87:99" x14ac:dyDescent="0.3">
      <c r="CI1208" t="e">
        <f>AP407</f>
        <v>#N/A</v>
      </c>
      <c r="CJ1208" t="e">
        <f>AQ407</f>
        <v>#N/A</v>
      </c>
      <c r="CK1208">
        <f>IF(ISNUMBER(CI1208),IFERROR(MAX(0,AR407-CI1208),0),0)</f>
        <v>0</v>
      </c>
      <c r="CL1208">
        <f>IF(ISNUMBER(CI1208),IFERROR(MAX(0,CI1208-AR407),0),0)</f>
        <v>0</v>
      </c>
      <c r="CM1208">
        <f>IF(ISNUMBER(CJ1208),IFERROR(MAX(0,AS407-CJ1208),0),0)</f>
        <v>0</v>
      </c>
      <c r="CN1208">
        <f>IF(ISNUMBER(CJ1208),IFERROR(MAX(0,CJ1208-AS407),0),0)</f>
        <v>0</v>
      </c>
      <c r="CP1208" t="e">
        <f>BX407</f>
        <v>#N/A</v>
      </c>
      <c r="CQ1208" t="e">
        <f>BY407</f>
        <v>#N/A</v>
      </c>
      <c r="CR1208">
        <f>IF(ISNUMBER(CP1208),IFERROR(MAX(0,BZ407-CP1208),0),0)</f>
        <v>0</v>
      </c>
      <c r="CS1208">
        <f>IF(ISNUMBER(CP1208),IFERROR(MAX(0,CP1208-BZ407),0),0)</f>
        <v>0</v>
      </c>
      <c r="CT1208">
        <f>IF(ISNUMBER(CQ1208),IFERROR(MAX(0,CA407-CQ1208),0),0)</f>
        <v>0</v>
      </c>
      <c r="CU1208">
        <f>IF(ISNUMBER(CQ1208),IFERROR(MAX(0,CQ1208-CA407),0),0)</f>
        <v>0</v>
      </c>
    </row>
    <row r="1209" spans="87:99" x14ac:dyDescent="0.3">
      <c r="CI1209" t="e">
        <f>AT407</f>
        <v>#N/A</v>
      </c>
      <c r="CJ1209" t="e">
        <f>AU407</f>
        <v>#N/A</v>
      </c>
      <c r="CK1209">
        <f>IF(ISNUMBER(CI1209),IFERROR(MAX(0,AV407-CI1209),0),0)</f>
        <v>0</v>
      </c>
      <c r="CL1209">
        <f>IF(ISNUMBER(CI1209),IFERROR(MAX(0,CI1209-AV407),0),0)</f>
        <v>0</v>
      </c>
      <c r="CM1209">
        <f>IF(ISNUMBER(CJ1209),IFERROR(MAX(0,AW407-CJ1209),0),0)</f>
        <v>0</v>
      </c>
      <c r="CN1209">
        <f>IF(ISNUMBER(CJ1209),IFERROR(MAX(0,CJ1209-AW407),0),0)</f>
        <v>0</v>
      </c>
      <c r="CP1209" t="e">
        <f>CB407</f>
        <v>#N/A</v>
      </c>
      <c r="CQ1209" t="e">
        <f>CC407</f>
        <v>#N/A</v>
      </c>
      <c r="CR1209">
        <f>IF(ISNUMBER(CP1209),IFERROR(MAX(0,CD407-CP1209),0),0)</f>
        <v>0</v>
      </c>
      <c r="CS1209">
        <f>IF(ISNUMBER(CP1209),IFERROR(MAX(0,CP1209-CD407),0),0)</f>
        <v>0</v>
      </c>
      <c r="CT1209">
        <f>IF(ISNUMBER(CQ1209),IFERROR(MAX(0,CE407-CQ1209),0),0)</f>
        <v>0</v>
      </c>
      <c r="CU1209">
        <f>IF(ISNUMBER(CQ1209),IFERROR(MAX(0,CQ1209-CE407),0),0)</f>
        <v>0</v>
      </c>
    </row>
    <row r="1210" spans="87:99" x14ac:dyDescent="0.3">
      <c r="CI1210" t="e">
        <f>AL408</f>
        <v>#N/A</v>
      </c>
      <c r="CJ1210" t="e">
        <f>AM408</f>
        <v>#N/A</v>
      </c>
      <c r="CK1210">
        <f>IF(ISNUMBER(CI1210),IFERROR(MAX(0,AN408-CI1210),0),0)</f>
        <v>0</v>
      </c>
      <c r="CL1210">
        <f>IF(ISNUMBER(CI1210),IFERROR(MAX(0,CI1210-AN408),0),0)</f>
        <v>0</v>
      </c>
      <c r="CM1210">
        <f>IF(ISNUMBER(CJ1210),IFERROR(MAX(0,AO408-CJ1210),0),0)</f>
        <v>0</v>
      </c>
      <c r="CN1210">
        <f>IF(ISNUMBER(CJ1210),IFERROR(MAX(0,CJ1210-AO408),0),0)</f>
        <v>0</v>
      </c>
      <c r="CP1210" t="e">
        <f>BT408</f>
        <v>#N/A</v>
      </c>
      <c r="CQ1210" t="e">
        <f>BU408</f>
        <v>#N/A</v>
      </c>
      <c r="CR1210">
        <f>IF(ISNUMBER(CP1210),IFERROR(MAX(0,BV408-CP1210),0),0)</f>
        <v>0</v>
      </c>
      <c r="CS1210">
        <f>IF(ISNUMBER(CP1210),IFERROR(MAX(0,CP1210-BV408),0),0)</f>
        <v>0</v>
      </c>
      <c r="CT1210">
        <f>IF(ISNUMBER(CQ1210),IFERROR(MAX(0,BW408-CQ1210),0),0)</f>
        <v>0</v>
      </c>
      <c r="CU1210">
        <f>IF(ISNUMBER(CQ1210),IFERROR(MAX(0,CQ1210-BW408),0),0)</f>
        <v>0</v>
      </c>
    </row>
    <row r="1211" spans="87:99" x14ac:dyDescent="0.3">
      <c r="CI1211" t="e">
        <f>AP408</f>
        <v>#N/A</v>
      </c>
      <c r="CJ1211" t="e">
        <f>AQ408</f>
        <v>#N/A</v>
      </c>
      <c r="CK1211">
        <f>IF(ISNUMBER(CI1211),IFERROR(MAX(0,AR408-CI1211),0),0)</f>
        <v>0</v>
      </c>
      <c r="CL1211">
        <f>IF(ISNUMBER(CI1211),IFERROR(MAX(0,CI1211-AR408),0),0)</f>
        <v>0</v>
      </c>
      <c r="CM1211">
        <f>IF(ISNUMBER(CJ1211),IFERROR(MAX(0,AS408-CJ1211),0),0)</f>
        <v>0</v>
      </c>
      <c r="CN1211">
        <f>IF(ISNUMBER(CJ1211),IFERROR(MAX(0,CJ1211-AS408),0),0)</f>
        <v>0</v>
      </c>
      <c r="CP1211" t="e">
        <f>BX408</f>
        <v>#N/A</v>
      </c>
      <c r="CQ1211" t="e">
        <f>BY408</f>
        <v>#N/A</v>
      </c>
      <c r="CR1211">
        <f>IF(ISNUMBER(CP1211),IFERROR(MAX(0,BZ408-CP1211),0),0)</f>
        <v>0</v>
      </c>
      <c r="CS1211">
        <f>IF(ISNUMBER(CP1211),IFERROR(MAX(0,CP1211-BZ408),0),0)</f>
        <v>0</v>
      </c>
      <c r="CT1211">
        <f>IF(ISNUMBER(CQ1211),IFERROR(MAX(0,CA408-CQ1211),0),0)</f>
        <v>0</v>
      </c>
      <c r="CU1211">
        <f>IF(ISNUMBER(CQ1211),IFERROR(MAX(0,CQ1211-CA408),0),0)</f>
        <v>0</v>
      </c>
    </row>
    <row r="1212" spans="87:99" x14ac:dyDescent="0.3">
      <c r="CI1212" t="e">
        <f>AT408</f>
        <v>#N/A</v>
      </c>
      <c r="CJ1212" t="e">
        <f>AU408</f>
        <v>#N/A</v>
      </c>
      <c r="CK1212">
        <f>IF(ISNUMBER(CI1212),IFERROR(MAX(0,AV408-CI1212),0),0)</f>
        <v>0</v>
      </c>
      <c r="CL1212">
        <f>IF(ISNUMBER(CI1212),IFERROR(MAX(0,CI1212-AV408),0),0)</f>
        <v>0</v>
      </c>
      <c r="CM1212">
        <f>IF(ISNUMBER(CJ1212),IFERROR(MAX(0,AW408-CJ1212),0),0)</f>
        <v>0</v>
      </c>
      <c r="CN1212">
        <f>IF(ISNUMBER(CJ1212),IFERROR(MAX(0,CJ1212-AW408),0),0)</f>
        <v>0</v>
      </c>
      <c r="CP1212" t="e">
        <f>CB408</f>
        <v>#N/A</v>
      </c>
      <c r="CQ1212" t="e">
        <f>CC408</f>
        <v>#N/A</v>
      </c>
      <c r="CR1212">
        <f>IF(ISNUMBER(CP1212),IFERROR(MAX(0,CD408-CP1212),0),0)</f>
        <v>0</v>
      </c>
      <c r="CS1212">
        <f>IF(ISNUMBER(CP1212),IFERROR(MAX(0,CP1212-CD408),0),0)</f>
        <v>0</v>
      </c>
      <c r="CT1212">
        <f>IF(ISNUMBER(CQ1212),IFERROR(MAX(0,CE408-CQ1212),0),0)</f>
        <v>0</v>
      </c>
      <c r="CU1212">
        <f>IF(ISNUMBER(CQ1212),IFERROR(MAX(0,CQ1212-CE408),0),0)</f>
        <v>0</v>
      </c>
    </row>
    <row r="1213" spans="87:99" x14ac:dyDescent="0.3">
      <c r="CI1213" t="e">
        <f>AL409</f>
        <v>#N/A</v>
      </c>
      <c r="CJ1213" t="e">
        <f>AM409</f>
        <v>#N/A</v>
      </c>
      <c r="CK1213">
        <f>IF(ISNUMBER(CI1213),IFERROR(MAX(0,AN409-CI1213),0),0)</f>
        <v>0</v>
      </c>
      <c r="CL1213">
        <f>IF(ISNUMBER(CI1213),IFERROR(MAX(0,CI1213-AN409),0),0)</f>
        <v>0</v>
      </c>
      <c r="CM1213">
        <f>IF(ISNUMBER(CJ1213),IFERROR(MAX(0,AO409-CJ1213),0),0)</f>
        <v>0</v>
      </c>
      <c r="CN1213">
        <f>IF(ISNUMBER(CJ1213),IFERROR(MAX(0,CJ1213-AO409),0),0)</f>
        <v>0</v>
      </c>
      <c r="CP1213" t="e">
        <f>BT409</f>
        <v>#N/A</v>
      </c>
      <c r="CQ1213" t="e">
        <f>BU409</f>
        <v>#N/A</v>
      </c>
      <c r="CR1213">
        <f>IF(ISNUMBER(CP1213),IFERROR(MAX(0,BV409-CP1213),0),0)</f>
        <v>0</v>
      </c>
      <c r="CS1213">
        <f>IF(ISNUMBER(CP1213),IFERROR(MAX(0,CP1213-BV409),0),0)</f>
        <v>0</v>
      </c>
      <c r="CT1213">
        <f>IF(ISNUMBER(CQ1213),IFERROR(MAX(0,BW409-CQ1213),0),0)</f>
        <v>0</v>
      </c>
      <c r="CU1213">
        <f>IF(ISNUMBER(CQ1213),IFERROR(MAX(0,CQ1213-BW409),0),0)</f>
        <v>0</v>
      </c>
    </row>
    <row r="1214" spans="87:99" x14ac:dyDescent="0.3">
      <c r="CI1214" t="e">
        <f>AP409</f>
        <v>#N/A</v>
      </c>
      <c r="CJ1214" t="e">
        <f>AQ409</f>
        <v>#N/A</v>
      </c>
      <c r="CK1214">
        <f>IF(ISNUMBER(CI1214),IFERROR(MAX(0,AR409-CI1214),0),0)</f>
        <v>0</v>
      </c>
      <c r="CL1214">
        <f>IF(ISNUMBER(CI1214),IFERROR(MAX(0,CI1214-AR409),0),0)</f>
        <v>0</v>
      </c>
      <c r="CM1214">
        <f>IF(ISNUMBER(CJ1214),IFERROR(MAX(0,AS409-CJ1214),0),0)</f>
        <v>0</v>
      </c>
      <c r="CN1214">
        <f>IF(ISNUMBER(CJ1214),IFERROR(MAX(0,CJ1214-AS409),0),0)</f>
        <v>0</v>
      </c>
      <c r="CP1214" t="e">
        <f>BX409</f>
        <v>#N/A</v>
      </c>
      <c r="CQ1214" t="e">
        <f>BY409</f>
        <v>#N/A</v>
      </c>
      <c r="CR1214">
        <f>IF(ISNUMBER(CP1214),IFERROR(MAX(0,BZ409-CP1214),0),0)</f>
        <v>0</v>
      </c>
      <c r="CS1214">
        <f>IF(ISNUMBER(CP1214),IFERROR(MAX(0,CP1214-BZ409),0),0)</f>
        <v>0</v>
      </c>
      <c r="CT1214">
        <f>IF(ISNUMBER(CQ1214),IFERROR(MAX(0,CA409-CQ1214),0),0)</f>
        <v>0</v>
      </c>
      <c r="CU1214">
        <f>IF(ISNUMBER(CQ1214),IFERROR(MAX(0,CQ1214-CA409),0),0)</f>
        <v>0</v>
      </c>
    </row>
    <row r="1215" spans="87:99" x14ac:dyDescent="0.3">
      <c r="CI1215" t="e">
        <f>AT409</f>
        <v>#N/A</v>
      </c>
      <c r="CJ1215" t="e">
        <f>AU409</f>
        <v>#N/A</v>
      </c>
      <c r="CK1215">
        <f>IF(ISNUMBER(CI1215),IFERROR(MAX(0,AV409-CI1215),0),0)</f>
        <v>0</v>
      </c>
      <c r="CL1215">
        <f>IF(ISNUMBER(CI1215),IFERROR(MAX(0,CI1215-AV409),0),0)</f>
        <v>0</v>
      </c>
      <c r="CM1215">
        <f>IF(ISNUMBER(CJ1215),IFERROR(MAX(0,AW409-CJ1215),0),0)</f>
        <v>0</v>
      </c>
      <c r="CN1215">
        <f>IF(ISNUMBER(CJ1215),IFERROR(MAX(0,CJ1215-AW409),0),0)</f>
        <v>0</v>
      </c>
      <c r="CP1215" t="e">
        <f>CB409</f>
        <v>#N/A</v>
      </c>
      <c r="CQ1215" t="e">
        <f>CC409</f>
        <v>#N/A</v>
      </c>
      <c r="CR1215">
        <f>IF(ISNUMBER(CP1215),IFERROR(MAX(0,CD409-CP1215),0),0)</f>
        <v>0</v>
      </c>
      <c r="CS1215">
        <f>IF(ISNUMBER(CP1215),IFERROR(MAX(0,CP1215-CD409),0),0)</f>
        <v>0</v>
      </c>
      <c r="CT1215">
        <f>IF(ISNUMBER(CQ1215),IFERROR(MAX(0,CE409-CQ1215),0),0)</f>
        <v>0</v>
      </c>
      <c r="CU1215">
        <f>IF(ISNUMBER(CQ1215),IFERROR(MAX(0,CQ1215-CE409),0),0)</f>
        <v>0</v>
      </c>
    </row>
    <row r="1216" spans="87:99" x14ac:dyDescent="0.3">
      <c r="CI1216" t="e">
        <f>AL410</f>
        <v>#N/A</v>
      </c>
      <c r="CJ1216" t="e">
        <f>AM410</f>
        <v>#N/A</v>
      </c>
      <c r="CK1216">
        <f>IF(ISNUMBER(CI1216),IFERROR(MAX(0,AN410-CI1216),0),0)</f>
        <v>0</v>
      </c>
      <c r="CL1216">
        <f>IF(ISNUMBER(CI1216),IFERROR(MAX(0,CI1216-AN410),0),0)</f>
        <v>0</v>
      </c>
      <c r="CM1216">
        <f>IF(ISNUMBER(CJ1216),IFERROR(MAX(0,AO410-CJ1216),0),0)</f>
        <v>0</v>
      </c>
      <c r="CN1216">
        <f>IF(ISNUMBER(CJ1216),IFERROR(MAX(0,CJ1216-AO410),0),0)</f>
        <v>0</v>
      </c>
      <c r="CP1216" t="e">
        <f>BT410</f>
        <v>#N/A</v>
      </c>
      <c r="CQ1216" t="e">
        <f>BU410</f>
        <v>#N/A</v>
      </c>
      <c r="CR1216">
        <f>IF(ISNUMBER(CP1216),IFERROR(MAX(0,BV410-CP1216),0),0)</f>
        <v>0</v>
      </c>
      <c r="CS1216">
        <f>IF(ISNUMBER(CP1216),IFERROR(MAX(0,CP1216-BV410),0),0)</f>
        <v>0</v>
      </c>
      <c r="CT1216">
        <f>IF(ISNUMBER(CQ1216),IFERROR(MAX(0,BW410-CQ1216),0),0)</f>
        <v>0</v>
      </c>
      <c r="CU1216">
        <f>IF(ISNUMBER(CQ1216),IFERROR(MAX(0,CQ1216-BW410),0),0)</f>
        <v>0</v>
      </c>
    </row>
    <row r="1217" spans="87:99" x14ac:dyDescent="0.3">
      <c r="CI1217" t="e">
        <f>AP410</f>
        <v>#N/A</v>
      </c>
      <c r="CJ1217" t="e">
        <f>AQ410</f>
        <v>#N/A</v>
      </c>
      <c r="CK1217">
        <f>IF(ISNUMBER(CI1217),IFERROR(MAX(0,AR410-CI1217),0),0)</f>
        <v>0</v>
      </c>
      <c r="CL1217">
        <f>IF(ISNUMBER(CI1217),IFERROR(MAX(0,CI1217-AR410),0),0)</f>
        <v>0</v>
      </c>
      <c r="CM1217">
        <f>IF(ISNUMBER(CJ1217),IFERROR(MAX(0,AS410-CJ1217),0),0)</f>
        <v>0</v>
      </c>
      <c r="CN1217">
        <f>IF(ISNUMBER(CJ1217),IFERROR(MAX(0,CJ1217-AS410),0),0)</f>
        <v>0</v>
      </c>
      <c r="CP1217" t="e">
        <f>BX410</f>
        <v>#N/A</v>
      </c>
      <c r="CQ1217" t="e">
        <f>BY410</f>
        <v>#N/A</v>
      </c>
      <c r="CR1217">
        <f>IF(ISNUMBER(CP1217),IFERROR(MAX(0,BZ410-CP1217),0),0)</f>
        <v>0</v>
      </c>
      <c r="CS1217">
        <f>IF(ISNUMBER(CP1217),IFERROR(MAX(0,CP1217-BZ410),0),0)</f>
        <v>0</v>
      </c>
      <c r="CT1217">
        <f>IF(ISNUMBER(CQ1217),IFERROR(MAX(0,CA410-CQ1217),0),0)</f>
        <v>0</v>
      </c>
      <c r="CU1217">
        <f>IF(ISNUMBER(CQ1217),IFERROR(MAX(0,CQ1217-CA410),0),0)</f>
        <v>0</v>
      </c>
    </row>
    <row r="1218" spans="87:99" x14ac:dyDescent="0.3">
      <c r="CI1218" t="e">
        <f>AT410</f>
        <v>#N/A</v>
      </c>
      <c r="CJ1218" t="e">
        <f>AU410</f>
        <v>#N/A</v>
      </c>
      <c r="CK1218">
        <f>IF(ISNUMBER(CI1218),IFERROR(MAX(0,AV410-CI1218),0),0)</f>
        <v>0</v>
      </c>
      <c r="CL1218">
        <f>IF(ISNUMBER(CI1218),IFERROR(MAX(0,CI1218-AV410),0),0)</f>
        <v>0</v>
      </c>
      <c r="CM1218">
        <f>IF(ISNUMBER(CJ1218),IFERROR(MAX(0,AW410-CJ1218),0),0)</f>
        <v>0</v>
      </c>
      <c r="CN1218">
        <f>IF(ISNUMBER(CJ1218),IFERROR(MAX(0,CJ1218-AW410),0),0)</f>
        <v>0</v>
      </c>
      <c r="CP1218" t="e">
        <f>CB410</f>
        <v>#N/A</v>
      </c>
      <c r="CQ1218" t="e">
        <f>CC410</f>
        <v>#N/A</v>
      </c>
      <c r="CR1218">
        <f>IF(ISNUMBER(CP1218),IFERROR(MAX(0,CD410-CP1218),0),0)</f>
        <v>0</v>
      </c>
      <c r="CS1218">
        <f>IF(ISNUMBER(CP1218),IFERROR(MAX(0,CP1218-CD410),0),0)</f>
        <v>0</v>
      </c>
      <c r="CT1218">
        <f>IF(ISNUMBER(CQ1218),IFERROR(MAX(0,CE410-CQ1218),0),0)</f>
        <v>0</v>
      </c>
      <c r="CU1218">
        <f>IF(ISNUMBER(CQ1218),IFERROR(MAX(0,CQ1218-CE410),0),0)</f>
        <v>0</v>
      </c>
    </row>
    <row r="1219" spans="87:99" x14ac:dyDescent="0.3">
      <c r="CI1219" t="e">
        <f>AL411</f>
        <v>#N/A</v>
      </c>
      <c r="CJ1219" t="e">
        <f>AM411</f>
        <v>#N/A</v>
      </c>
      <c r="CK1219">
        <f>IF(ISNUMBER(CI1219),IFERROR(MAX(0,AN411-CI1219),0),0)</f>
        <v>0</v>
      </c>
      <c r="CL1219">
        <f>IF(ISNUMBER(CI1219),IFERROR(MAX(0,CI1219-AN411),0),0)</f>
        <v>0</v>
      </c>
      <c r="CM1219">
        <f>IF(ISNUMBER(CJ1219),IFERROR(MAX(0,AO411-CJ1219),0),0)</f>
        <v>0</v>
      </c>
      <c r="CN1219">
        <f>IF(ISNUMBER(CJ1219),IFERROR(MAX(0,CJ1219-AO411),0),0)</f>
        <v>0</v>
      </c>
      <c r="CP1219" t="e">
        <f>BT411</f>
        <v>#N/A</v>
      </c>
      <c r="CQ1219" t="e">
        <f>BU411</f>
        <v>#N/A</v>
      </c>
      <c r="CR1219">
        <f>IF(ISNUMBER(CP1219),IFERROR(MAX(0,BV411-CP1219),0),0)</f>
        <v>0</v>
      </c>
      <c r="CS1219">
        <f>IF(ISNUMBER(CP1219),IFERROR(MAX(0,CP1219-BV411),0),0)</f>
        <v>0</v>
      </c>
      <c r="CT1219">
        <f>IF(ISNUMBER(CQ1219),IFERROR(MAX(0,BW411-CQ1219),0),0)</f>
        <v>0</v>
      </c>
      <c r="CU1219">
        <f>IF(ISNUMBER(CQ1219),IFERROR(MAX(0,CQ1219-BW411),0),0)</f>
        <v>0</v>
      </c>
    </row>
    <row r="1220" spans="87:99" x14ac:dyDescent="0.3">
      <c r="CI1220" t="e">
        <f>AP411</f>
        <v>#N/A</v>
      </c>
      <c r="CJ1220" t="e">
        <f>AQ411</f>
        <v>#N/A</v>
      </c>
      <c r="CK1220">
        <f>IF(ISNUMBER(CI1220),IFERROR(MAX(0,AR411-CI1220),0),0)</f>
        <v>0</v>
      </c>
      <c r="CL1220">
        <f>IF(ISNUMBER(CI1220),IFERROR(MAX(0,CI1220-AR411),0),0)</f>
        <v>0</v>
      </c>
      <c r="CM1220">
        <f>IF(ISNUMBER(CJ1220),IFERROR(MAX(0,AS411-CJ1220),0),0)</f>
        <v>0</v>
      </c>
      <c r="CN1220">
        <f>IF(ISNUMBER(CJ1220),IFERROR(MAX(0,CJ1220-AS411),0),0)</f>
        <v>0</v>
      </c>
      <c r="CP1220" t="e">
        <f>BX411</f>
        <v>#N/A</v>
      </c>
      <c r="CQ1220" t="e">
        <f>BY411</f>
        <v>#N/A</v>
      </c>
      <c r="CR1220">
        <f>IF(ISNUMBER(CP1220),IFERROR(MAX(0,BZ411-CP1220),0),0)</f>
        <v>0</v>
      </c>
      <c r="CS1220">
        <f>IF(ISNUMBER(CP1220),IFERROR(MAX(0,CP1220-BZ411),0),0)</f>
        <v>0</v>
      </c>
      <c r="CT1220">
        <f>IF(ISNUMBER(CQ1220),IFERROR(MAX(0,CA411-CQ1220),0),0)</f>
        <v>0</v>
      </c>
      <c r="CU1220">
        <f>IF(ISNUMBER(CQ1220),IFERROR(MAX(0,CQ1220-CA411),0),0)</f>
        <v>0</v>
      </c>
    </row>
    <row r="1221" spans="87:99" x14ac:dyDescent="0.3">
      <c r="CI1221" t="e">
        <f>AT411</f>
        <v>#N/A</v>
      </c>
      <c r="CJ1221" t="e">
        <f>AU411</f>
        <v>#N/A</v>
      </c>
      <c r="CK1221">
        <f>IF(ISNUMBER(CI1221),IFERROR(MAX(0,AV411-CI1221),0),0)</f>
        <v>0</v>
      </c>
      <c r="CL1221">
        <f>IF(ISNUMBER(CI1221),IFERROR(MAX(0,CI1221-AV411),0),0)</f>
        <v>0</v>
      </c>
      <c r="CM1221">
        <f>IF(ISNUMBER(CJ1221),IFERROR(MAX(0,AW411-CJ1221),0),0)</f>
        <v>0</v>
      </c>
      <c r="CN1221">
        <f>IF(ISNUMBER(CJ1221),IFERROR(MAX(0,CJ1221-AW411),0),0)</f>
        <v>0</v>
      </c>
      <c r="CP1221" t="e">
        <f>CB411</f>
        <v>#N/A</v>
      </c>
      <c r="CQ1221" t="e">
        <f>CC411</f>
        <v>#N/A</v>
      </c>
      <c r="CR1221">
        <f>IF(ISNUMBER(CP1221),IFERROR(MAX(0,CD411-CP1221),0),0)</f>
        <v>0</v>
      </c>
      <c r="CS1221">
        <f>IF(ISNUMBER(CP1221),IFERROR(MAX(0,CP1221-CD411),0),0)</f>
        <v>0</v>
      </c>
      <c r="CT1221">
        <f>IF(ISNUMBER(CQ1221),IFERROR(MAX(0,CE411-CQ1221),0),0)</f>
        <v>0</v>
      </c>
      <c r="CU1221">
        <f>IF(ISNUMBER(CQ1221),IFERROR(MAX(0,CQ1221-CE411),0),0)</f>
        <v>0</v>
      </c>
    </row>
    <row r="1222" spans="87:99" x14ac:dyDescent="0.3">
      <c r="CI1222" t="e">
        <f>AL412</f>
        <v>#N/A</v>
      </c>
      <c r="CJ1222" t="e">
        <f>AM412</f>
        <v>#N/A</v>
      </c>
      <c r="CK1222">
        <f>IF(ISNUMBER(CI1222),IFERROR(MAX(0,AN412-CI1222),0),0)</f>
        <v>0</v>
      </c>
      <c r="CL1222">
        <f>IF(ISNUMBER(CI1222),IFERROR(MAX(0,CI1222-AN412),0),0)</f>
        <v>0</v>
      </c>
      <c r="CM1222">
        <f>IF(ISNUMBER(CJ1222),IFERROR(MAX(0,AO412-CJ1222),0),0)</f>
        <v>0</v>
      </c>
      <c r="CN1222">
        <f>IF(ISNUMBER(CJ1222),IFERROR(MAX(0,CJ1222-AO412),0),0)</f>
        <v>0</v>
      </c>
      <c r="CP1222" t="e">
        <f>BT412</f>
        <v>#N/A</v>
      </c>
      <c r="CQ1222" t="e">
        <f>BU412</f>
        <v>#N/A</v>
      </c>
      <c r="CR1222">
        <f>IF(ISNUMBER(CP1222),IFERROR(MAX(0,BV412-CP1222),0),0)</f>
        <v>0</v>
      </c>
      <c r="CS1222">
        <f>IF(ISNUMBER(CP1222),IFERROR(MAX(0,CP1222-BV412),0),0)</f>
        <v>0</v>
      </c>
      <c r="CT1222">
        <f>IF(ISNUMBER(CQ1222),IFERROR(MAX(0,BW412-CQ1222),0),0)</f>
        <v>0</v>
      </c>
      <c r="CU1222">
        <f>IF(ISNUMBER(CQ1222),IFERROR(MAX(0,CQ1222-BW412),0),0)</f>
        <v>0</v>
      </c>
    </row>
    <row r="1223" spans="87:99" x14ac:dyDescent="0.3">
      <c r="CI1223" t="e">
        <f>AP412</f>
        <v>#N/A</v>
      </c>
      <c r="CJ1223" t="e">
        <f>AQ412</f>
        <v>#N/A</v>
      </c>
      <c r="CK1223">
        <f>IF(ISNUMBER(CI1223),IFERROR(MAX(0,AR412-CI1223),0),0)</f>
        <v>0</v>
      </c>
      <c r="CL1223">
        <f>IF(ISNUMBER(CI1223),IFERROR(MAX(0,CI1223-AR412),0),0)</f>
        <v>0</v>
      </c>
      <c r="CM1223">
        <f>IF(ISNUMBER(CJ1223),IFERROR(MAX(0,AS412-CJ1223),0),0)</f>
        <v>0</v>
      </c>
      <c r="CN1223">
        <f>IF(ISNUMBER(CJ1223),IFERROR(MAX(0,CJ1223-AS412),0),0)</f>
        <v>0</v>
      </c>
      <c r="CP1223" t="e">
        <f>BX412</f>
        <v>#N/A</v>
      </c>
      <c r="CQ1223" t="e">
        <f>BY412</f>
        <v>#N/A</v>
      </c>
      <c r="CR1223">
        <f>IF(ISNUMBER(CP1223),IFERROR(MAX(0,BZ412-CP1223),0),0)</f>
        <v>0</v>
      </c>
      <c r="CS1223">
        <f>IF(ISNUMBER(CP1223),IFERROR(MAX(0,CP1223-BZ412),0),0)</f>
        <v>0</v>
      </c>
      <c r="CT1223">
        <f>IF(ISNUMBER(CQ1223),IFERROR(MAX(0,CA412-CQ1223),0),0)</f>
        <v>0</v>
      </c>
      <c r="CU1223">
        <f>IF(ISNUMBER(CQ1223),IFERROR(MAX(0,CQ1223-CA412),0),0)</f>
        <v>0</v>
      </c>
    </row>
    <row r="1224" spans="87:99" x14ac:dyDescent="0.3">
      <c r="CI1224" t="e">
        <f>AT412</f>
        <v>#N/A</v>
      </c>
      <c r="CJ1224" t="e">
        <f>AU412</f>
        <v>#N/A</v>
      </c>
      <c r="CK1224">
        <f>IF(ISNUMBER(CI1224),IFERROR(MAX(0,AV412-CI1224),0),0)</f>
        <v>0</v>
      </c>
      <c r="CL1224">
        <f>IF(ISNUMBER(CI1224),IFERROR(MAX(0,CI1224-AV412),0),0)</f>
        <v>0</v>
      </c>
      <c r="CM1224">
        <f>IF(ISNUMBER(CJ1224),IFERROR(MAX(0,AW412-CJ1224),0),0)</f>
        <v>0</v>
      </c>
      <c r="CN1224">
        <f>IF(ISNUMBER(CJ1224),IFERROR(MAX(0,CJ1224-AW412),0),0)</f>
        <v>0</v>
      </c>
      <c r="CP1224" t="e">
        <f>CB412</f>
        <v>#N/A</v>
      </c>
      <c r="CQ1224" t="e">
        <f>CC412</f>
        <v>#N/A</v>
      </c>
      <c r="CR1224">
        <f>IF(ISNUMBER(CP1224),IFERROR(MAX(0,CD412-CP1224),0),0)</f>
        <v>0</v>
      </c>
      <c r="CS1224">
        <f>IF(ISNUMBER(CP1224),IFERROR(MAX(0,CP1224-CD412),0),0)</f>
        <v>0</v>
      </c>
      <c r="CT1224">
        <f>IF(ISNUMBER(CQ1224),IFERROR(MAX(0,CE412-CQ1224),0),0)</f>
        <v>0</v>
      </c>
      <c r="CU1224">
        <f>IF(ISNUMBER(CQ1224),IFERROR(MAX(0,CQ1224-CE412),0),0)</f>
        <v>0</v>
      </c>
    </row>
    <row r="1225" spans="87:99" x14ac:dyDescent="0.3">
      <c r="CI1225" t="e">
        <f>AL413</f>
        <v>#N/A</v>
      </c>
      <c r="CJ1225" t="e">
        <f>AM413</f>
        <v>#N/A</v>
      </c>
      <c r="CK1225">
        <f>IF(ISNUMBER(CI1225),IFERROR(MAX(0,AN413-CI1225),0),0)</f>
        <v>0</v>
      </c>
      <c r="CL1225">
        <f>IF(ISNUMBER(CI1225),IFERROR(MAX(0,CI1225-AN413),0),0)</f>
        <v>0</v>
      </c>
      <c r="CM1225">
        <f>IF(ISNUMBER(CJ1225),IFERROR(MAX(0,AO413-CJ1225),0),0)</f>
        <v>0</v>
      </c>
      <c r="CN1225">
        <f>IF(ISNUMBER(CJ1225),IFERROR(MAX(0,CJ1225-AO413),0),0)</f>
        <v>0</v>
      </c>
      <c r="CP1225" t="e">
        <f>BT413</f>
        <v>#N/A</v>
      </c>
      <c r="CQ1225" t="e">
        <f>BU413</f>
        <v>#N/A</v>
      </c>
      <c r="CR1225">
        <f>IF(ISNUMBER(CP1225),IFERROR(MAX(0,BV413-CP1225),0),0)</f>
        <v>0</v>
      </c>
      <c r="CS1225">
        <f>IF(ISNUMBER(CP1225),IFERROR(MAX(0,CP1225-BV413),0),0)</f>
        <v>0</v>
      </c>
      <c r="CT1225">
        <f>IF(ISNUMBER(CQ1225),IFERROR(MAX(0,BW413-CQ1225),0),0)</f>
        <v>0</v>
      </c>
      <c r="CU1225">
        <f>IF(ISNUMBER(CQ1225),IFERROR(MAX(0,CQ1225-BW413),0),0)</f>
        <v>0</v>
      </c>
    </row>
    <row r="1226" spans="87:99" x14ac:dyDescent="0.3">
      <c r="CI1226" t="e">
        <f>AP413</f>
        <v>#N/A</v>
      </c>
      <c r="CJ1226" t="e">
        <f>AQ413</f>
        <v>#N/A</v>
      </c>
      <c r="CK1226">
        <f>IF(ISNUMBER(CI1226),IFERROR(MAX(0,AR413-CI1226),0),0)</f>
        <v>0</v>
      </c>
      <c r="CL1226">
        <f>IF(ISNUMBER(CI1226),IFERROR(MAX(0,CI1226-AR413),0),0)</f>
        <v>0</v>
      </c>
      <c r="CM1226">
        <f>IF(ISNUMBER(CJ1226),IFERROR(MAX(0,AS413-CJ1226),0),0)</f>
        <v>0</v>
      </c>
      <c r="CN1226">
        <f>IF(ISNUMBER(CJ1226),IFERROR(MAX(0,CJ1226-AS413),0),0)</f>
        <v>0</v>
      </c>
      <c r="CP1226" t="e">
        <f>BX413</f>
        <v>#N/A</v>
      </c>
      <c r="CQ1226" t="e">
        <f>BY413</f>
        <v>#N/A</v>
      </c>
      <c r="CR1226">
        <f>IF(ISNUMBER(CP1226),IFERROR(MAX(0,BZ413-CP1226),0),0)</f>
        <v>0</v>
      </c>
      <c r="CS1226">
        <f>IF(ISNUMBER(CP1226),IFERROR(MAX(0,CP1226-BZ413),0),0)</f>
        <v>0</v>
      </c>
      <c r="CT1226">
        <f>IF(ISNUMBER(CQ1226),IFERROR(MAX(0,CA413-CQ1226),0),0)</f>
        <v>0</v>
      </c>
      <c r="CU1226">
        <f>IF(ISNUMBER(CQ1226),IFERROR(MAX(0,CQ1226-CA413),0),0)</f>
        <v>0</v>
      </c>
    </row>
    <row r="1227" spans="87:99" x14ac:dyDescent="0.3">
      <c r="CI1227" t="e">
        <f>AT413</f>
        <v>#N/A</v>
      </c>
      <c r="CJ1227" t="e">
        <f>AU413</f>
        <v>#N/A</v>
      </c>
      <c r="CK1227">
        <f>IF(ISNUMBER(CI1227),IFERROR(MAX(0,AV413-CI1227),0),0)</f>
        <v>0</v>
      </c>
      <c r="CL1227">
        <f>IF(ISNUMBER(CI1227),IFERROR(MAX(0,CI1227-AV413),0),0)</f>
        <v>0</v>
      </c>
      <c r="CM1227">
        <f>IF(ISNUMBER(CJ1227),IFERROR(MAX(0,AW413-CJ1227),0),0)</f>
        <v>0</v>
      </c>
      <c r="CN1227">
        <f>IF(ISNUMBER(CJ1227),IFERROR(MAX(0,CJ1227-AW413),0),0)</f>
        <v>0</v>
      </c>
      <c r="CP1227" t="e">
        <f>CB413</f>
        <v>#N/A</v>
      </c>
      <c r="CQ1227" t="e">
        <f>CC413</f>
        <v>#N/A</v>
      </c>
      <c r="CR1227">
        <f>IF(ISNUMBER(CP1227),IFERROR(MAX(0,CD413-CP1227),0),0)</f>
        <v>0</v>
      </c>
      <c r="CS1227">
        <f>IF(ISNUMBER(CP1227),IFERROR(MAX(0,CP1227-CD413),0),0)</f>
        <v>0</v>
      </c>
      <c r="CT1227">
        <f>IF(ISNUMBER(CQ1227),IFERROR(MAX(0,CE413-CQ1227),0),0)</f>
        <v>0</v>
      </c>
      <c r="CU1227">
        <f>IF(ISNUMBER(CQ1227),IFERROR(MAX(0,CQ1227-CE413),0),0)</f>
        <v>0</v>
      </c>
    </row>
    <row r="1228" spans="87:99" x14ac:dyDescent="0.3">
      <c r="CI1228" t="e">
        <f>AL414</f>
        <v>#N/A</v>
      </c>
      <c r="CJ1228" t="e">
        <f>AM414</f>
        <v>#N/A</v>
      </c>
      <c r="CK1228">
        <f>IF(ISNUMBER(CI1228),IFERROR(MAX(0,AN414-CI1228),0),0)</f>
        <v>0</v>
      </c>
      <c r="CL1228">
        <f>IF(ISNUMBER(CI1228),IFERROR(MAX(0,CI1228-AN414),0),0)</f>
        <v>0</v>
      </c>
      <c r="CM1228">
        <f>IF(ISNUMBER(CJ1228),IFERROR(MAX(0,AO414-CJ1228),0),0)</f>
        <v>0</v>
      </c>
      <c r="CN1228">
        <f>IF(ISNUMBER(CJ1228),IFERROR(MAX(0,CJ1228-AO414),0),0)</f>
        <v>0</v>
      </c>
      <c r="CP1228" t="e">
        <f>BT414</f>
        <v>#N/A</v>
      </c>
      <c r="CQ1228" t="e">
        <f>BU414</f>
        <v>#N/A</v>
      </c>
      <c r="CR1228">
        <f>IF(ISNUMBER(CP1228),IFERROR(MAX(0,BV414-CP1228),0),0)</f>
        <v>0</v>
      </c>
      <c r="CS1228">
        <f>IF(ISNUMBER(CP1228),IFERROR(MAX(0,CP1228-BV414),0),0)</f>
        <v>0</v>
      </c>
      <c r="CT1228">
        <f>IF(ISNUMBER(CQ1228),IFERROR(MAX(0,BW414-CQ1228),0),0)</f>
        <v>0</v>
      </c>
      <c r="CU1228">
        <f>IF(ISNUMBER(CQ1228),IFERROR(MAX(0,CQ1228-BW414),0),0)</f>
        <v>0</v>
      </c>
    </row>
    <row r="1229" spans="87:99" x14ac:dyDescent="0.3">
      <c r="CI1229" t="e">
        <f>AP414</f>
        <v>#N/A</v>
      </c>
      <c r="CJ1229" t="e">
        <f>AQ414</f>
        <v>#N/A</v>
      </c>
      <c r="CK1229">
        <f>IF(ISNUMBER(CI1229),IFERROR(MAX(0,AR414-CI1229),0),0)</f>
        <v>0</v>
      </c>
      <c r="CL1229">
        <f>IF(ISNUMBER(CI1229),IFERROR(MAX(0,CI1229-AR414),0),0)</f>
        <v>0</v>
      </c>
      <c r="CM1229">
        <f>IF(ISNUMBER(CJ1229),IFERROR(MAX(0,AS414-CJ1229),0),0)</f>
        <v>0</v>
      </c>
      <c r="CN1229">
        <f>IF(ISNUMBER(CJ1229),IFERROR(MAX(0,CJ1229-AS414),0),0)</f>
        <v>0</v>
      </c>
      <c r="CP1229" t="e">
        <f>BX414</f>
        <v>#N/A</v>
      </c>
      <c r="CQ1229" t="e">
        <f>BY414</f>
        <v>#N/A</v>
      </c>
      <c r="CR1229">
        <f>IF(ISNUMBER(CP1229),IFERROR(MAX(0,BZ414-CP1229),0),0)</f>
        <v>0</v>
      </c>
      <c r="CS1229">
        <f>IF(ISNUMBER(CP1229),IFERROR(MAX(0,CP1229-BZ414),0),0)</f>
        <v>0</v>
      </c>
      <c r="CT1229">
        <f>IF(ISNUMBER(CQ1229),IFERROR(MAX(0,CA414-CQ1229),0),0)</f>
        <v>0</v>
      </c>
      <c r="CU1229">
        <f>IF(ISNUMBER(CQ1229),IFERROR(MAX(0,CQ1229-CA414),0),0)</f>
        <v>0</v>
      </c>
    </row>
    <row r="1230" spans="87:99" x14ac:dyDescent="0.3">
      <c r="CI1230" t="e">
        <f>AT414</f>
        <v>#N/A</v>
      </c>
      <c r="CJ1230" t="e">
        <f>AU414</f>
        <v>#N/A</v>
      </c>
      <c r="CK1230">
        <f>IF(ISNUMBER(CI1230),IFERROR(MAX(0,AV414-CI1230),0),0)</f>
        <v>0</v>
      </c>
      <c r="CL1230">
        <f>IF(ISNUMBER(CI1230),IFERROR(MAX(0,CI1230-AV414),0),0)</f>
        <v>0</v>
      </c>
      <c r="CM1230">
        <f>IF(ISNUMBER(CJ1230),IFERROR(MAX(0,AW414-CJ1230),0),0)</f>
        <v>0</v>
      </c>
      <c r="CN1230">
        <f>IF(ISNUMBER(CJ1230),IFERROR(MAX(0,CJ1230-AW414),0),0)</f>
        <v>0</v>
      </c>
      <c r="CP1230" t="e">
        <f>CB414</f>
        <v>#N/A</v>
      </c>
      <c r="CQ1230" t="e">
        <f>CC414</f>
        <v>#N/A</v>
      </c>
      <c r="CR1230">
        <f>IF(ISNUMBER(CP1230),IFERROR(MAX(0,CD414-CP1230),0),0)</f>
        <v>0</v>
      </c>
      <c r="CS1230">
        <f>IF(ISNUMBER(CP1230),IFERROR(MAX(0,CP1230-CD414),0),0)</f>
        <v>0</v>
      </c>
      <c r="CT1230">
        <f>IF(ISNUMBER(CQ1230),IFERROR(MAX(0,CE414-CQ1230),0),0)</f>
        <v>0</v>
      </c>
      <c r="CU1230">
        <f>IF(ISNUMBER(CQ1230),IFERROR(MAX(0,CQ1230-CE414),0),0)</f>
        <v>0</v>
      </c>
    </row>
    <row r="1231" spans="87:99" x14ac:dyDescent="0.3">
      <c r="CI1231" t="e">
        <f>AL415</f>
        <v>#N/A</v>
      </c>
      <c r="CJ1231" t="e">
        <f>AM415</f>
        <v>#N/A</v>
      </c>
      <c r="CK1231">
        <f>IF(ISNUMBER(CI1231),IFERROR(MAX(0,AN415-CI1231),0),0)</f>
        <v>0</v>
      </c>
      <c r="CL1231">
        <f>IF(ISNUMBER(CI1231),IFERROR(MAX(0,CI1231-AN415),0),0)</f>
        <v>0</v>
      </c>
      <c r="CM1231">
        <f>IF(ISNUMBER(CJ1231),IFERROR(MAX(0,AO415-CJ1231),0),0)</f>
        <v>0</v>
      </c>
      <c r="CN1231">
        <f>IF(ISNUMBER(CJ1231),IFERROR(MAX(0,CJ1231-AO415),0),0)</f>
        <v>0</v>
      </c>
      <c r="CP1231" t="e">
        <f>BT415</f>
        <v>#N/A</v>
      </c>
      <c r="CQ1231" t="e">
        <f>BU415</f>
        <v>#N/A</v>
      </c>
      <c r="CR1231">
        <f>IF(ISNUMBER(CP1231),IFERROR(MAX(0,BV415-CP1231),0),0)</f>
        <v>0</v>
      </c>
      <c r="CS1231">
        <f>IF(ISNUMBER(CP1231),IFERROR(MAX(0,CP1231-BV415),0),0)</f>
        <v>0</v>
      </c>
      <c r="CT1231">
        <f>IF(ISNUMBER(CQ1231),IFERROR(MAX(0,BW415-CQ1231),0),0)</f>
        <v>0</v>
      </c>
      <c r="CU1231">
        <f>IF(ISNUMBER(CQ1231),IFERROR(MAX(0,CQ1231-BW415),0),0)</f>
        <v>0</v>
      </c>
    </row>
    <row r="1232" spans="87:99" x14ac:dyDescent="0.3">
      <c r="CI1232" t="e">
        <f>AP415</f>
        <v>#N/A</v>
      </c>
      <c r="CJ1232" t="e">
        <f>AQ415</f>
        <v>#N/A</v>
      </c>
      <c r="CK1232">
        <f>IF(ISNUMBER(CI1232),IFERROR(MAX(0,AR415-CI1232),0),0)</f>
        <v>0</v>
      </c>
      <c r="CL1232">
        <f>IF(ISNUMBER(CI1232),IFERROR(MAX(0,CI1232-AR415),0),0)</f>
        <v>0</v>
      </c>
      <c r="CM1232">
        <f>IF(ISNUMBER(CJ1232),IFERROR(MAX(0,AS415-CJ1232),0),0)</f>
        <v>0</v>
      </c>
      <c r="CN1232">
        <f>IF(ISNUMBER(CJ1232),IFERROR(MAX(0,CJ1232-AS415),0),0)</f>
        <v>0</v>
      </c>
      <c r="CP1232" t="e">
        <f>BX415</f>
        <v>#N/A</v>
      </c>
      <c r="CQ1232" t="e">
        <f>BY415</f>
        <v>#N/A</v>
      </c>
      <c r="CR1232">
        <f>IF(ISNUMBER(CP1232),IFERROR(MAX(0,BZ415-CP1232),0),0)</f>
        <v>0</v>
      </c>
      <c r="CS1232">
        <f>IF(ISNUMBER(CP1232),IFERROR(MAX(0,CP1232-BZ415),0),0)</f>
        <v>0</v>
      </c>
      <c r="CT1232">
        <f>IF(ISNUMBER(CQ1232),IFERROR(MAX(0,CA415-CQ1232),0),0)</f>
        <v>0</v>
      </c>
      <c r="CU1232">
        <f>IF(ISNUMBER(CQ1232),IFERROR(MAX(0,CQ1232-CA415),0),0)</f>
        <v>0</v>
      </c>
    </row>
    <row r="1233" spans="87:99" x14ac:dyDescent="0.3">
      <c r="CI1233" t="e">
        <f>AT415</f>
        <v>#N/A</v>
      </c>
      <c r="CJ1233" t="e">
        <f>AU415</f>
        <v>#N/A</v>
      </c>
      <c r="CK1233">
        <f>IF(ISNUMBER(CI1233),IFERROR(MAX(0,AV415-CI1233),0),0)</f>
        <v>0</v>
      </c>
      <c r="CL1233">
        <f>IF(ISNUMBER(CI1233),IFERROR(MAX(0,CI1233-AV415),0),0)</f>
        <v>0</v>
      </c>
      <c r="CM1233">
        <f>IF(ISNUMBER(CJ1233),IFERROR(MAX(0,AW415-CJ1233),0),0)</f>
        <v>0</v>
      </c>
      <c r="CN1233">
        <f>IF(ISNUMBER(CJ1233),IFERROR(MAX(0,CJ1233-AW415),0),0)</f>
        <v>0</v>
      </c>
      <c r="CP1233" t="e">
        <f>CB415</f>
        <v>#N/A</v>
      </c>
      <c r="CQ1233" t="e">
        <f>CC415</f>
        <v>#N/A</v>
      </c>
      <c r="CR1233">
        <f>IF(ISNUMBER(CP1233),IFERROR(MAX(0,CD415-CP1233),0),0)</f>
        <v>0</v>
      </c>
      <c r="CS1233">
        <f>IF(ISNUMBER(CP1233),IFERROR(MAX(0,CP1233-CD415),0),0)</f>
        <v>0</v>
      </c>
      <c r="CT1233">
        <f>IF(ISNUMBER(CQ1233),IFERROR(MAX(0,CE415-CQ1233),0),0)</f>
        <v>0</v>
      </c>
      <c r="CU1233">
        <f>IF(ISNUMBER(CQ1233),IFERROR(MAX(0,CQ1233-CE415),0),0)</f>
        <v>0</v>
      </c>
    </row>
    <row r="1234" spans="87:99" x14ac:dyDescent="0.3">
      <c r="CI1234" t="e">
        <f>AL416</f>
        <v>#N/A</v>
      </c>
      <c r="CJ1234" t="e">
        <f>AM416</f>
        <v>#N/A</v>
      </c>
      <c r="CK1234">
        <f>IF(ISNUMBER(CI1234),IFERROR(MAX(0,AN416-CI1234),0),0)</f>
        <v>0</v>
      </c>
      <c r="CL1234">
        <f>IF(ISNUMBER(CI1234),IFERROR(MAX(0,CI1234-AN416),0),0)</f>
        <v>0</v>
      </c>
      <c r="CM1234">
        <f>IF(ISNUMBER(CJ1234),IFERROR(MAX(0,AO416-CJ1234),0),0)</f>
        <v>0</v>
      </c>
      <c r="CN1234">
        <f>IF(ISNUMBER(CJ1234),IFERROR(MAX(0,CJ1234-AO416),0),0)</f>
        <v>0</v>
      </c>
      <c r="CP1234" t="e">
        <f>BT416</f>
        <v>#N/A</v>
      </c>
      <c r="CQ1234" t="e">
        <f>BU416</f>
        <v>#N/A</v>
      </c>
      <c r="CR1234">
        <f>IF(ISNUMBER(CP1234),IFERROR(MAX(0,BV416-CP1234),0),0)</f>
        <v>0</v>
      </c>
      <c r="CS1234">
        <f>IF(ISNUMBER(CP1234),IFERROR(MAX(0,CP1234-BV416),0),0)</f>
        <v>0</v>
      </c>
      <c r="CT1234">
        <f>IF(ISNUMBER(CQ1234),IFERROR(MAX(0,BW416-CQ1234),0),0)</f>
        <v>0</v>
      </c>
      <c r="CU1234">
        <f>IF(ISNUMBER(CQ1234),IFERROR(MAX(0,CQ1234-BW416),0),0)</f>
        <v>0</v>
      </c>
    </row>
    <row r="1235" spans="87:99" x14ac:dyDescent="0.3">
      <c r="CI1235" t="e">
        <f>AP416</f>
        <v>#N/A</v>
      </c>
      <c r="CJ1235" t="e">
        <f>AQ416</f>
        <v>#N/A</v>
      </c>
      <c r="CK1235">
        <f>IF(ISNUMBER(CI1235),IFERROR(MAX(0,AR416-CI1235),0),0)</f>
        <v>0</v>
      </c>
      <c r="CL1235">
        <f>IF(ISNUMBER(CI1235),IFERROR(MAX(0,CI1235-AR416),0),0)</f>
        <v>0</v>
      </c>
      <c r="CM1235">
        <f>IF(ISNUMBER(CJ1235),IFERROR(MAX(0,AS416-CJ1235),0),0)</f>
        <v>0</v>
      </c>
      <c r="CN1235">
        <f>IF(ISNUMBER(CJ1235),IFERROR(MAX(0,CJ1235-AS416),0),0)</f>
        <v>0</v>
      </c>
      <c r="CP1235" t="e">
        <f>BX416</f>
        <v>#N/A</v>
      </c>
      <c r="CQ1235" t="e">
        <f>BY416</f>
        <v>#N/A</v>
      </c>
      <c r="CR1235">
        <f>IF(ISNUMBER(CP1235),IFERROR(MAX(0,BZ416-CP1235),0),0)</f>
        <v>0</v>
      </c>
      <c r="CS1235">
        <f>IF(ISNUMBER(CP1235),IFERROR(MAX(0,CP1235-BZ416),0),0)</f>
        <v>0</v>
      </c>
      <c r="CT1235">
        <f>IF(ISNUMBER(CQ1235),IFERROR(MAX(0,CA416-CQ1235),0),0)</f>
        <v>0</v>
      </c>
      <c r="CU1235">
        <f>IF(ISNUMBER(CQ1235),IFERROR(MAX(0,CQ1235-CA416),0),0)</f>
        <v>0</v>
      </c>
    </row>
    <row r="1236" spans="87:99" x14ac:dyDescent="0.3">
      <c r="CI1236" t="e">
        <f>AT416</f>
        <v>#N/A</v>
      </c>
      <c r="CJ1236" t="e">
        <f>AU416</f>
        <v>#N/A</v>
      </c>
      <c r="CK1236">
        <f>IF(ISNUMBER(CI1236),IFERROR(MAX(0,AV416-CI1236),0),0)</f>
        <v>0</v>
      </c>
      <c r="CL1236">
        <f>IF(ISNUMBER(CI1236),IFERROR(MAX(0,CI1236-AV416),0),0)</f>
        <v>0</v>
      </c>
      <c r="CM1236">
        <f>IF(ISNUMBER(CJ1236),IFERROR(MAX(0,AW416-CJ1236),0),0)</f>
        <v>0</v>
      </c>
      <c r="CN1236">
        <f>IF(ISNUMBER(CJ1236),IFERROR(MAX(0,CJ1236-AW416),0),0)</f>
        <v>0</v>
      </c>
      <c r="CP1236" t="e">
        <f>CB416</f>
        <v>#N/A</v>
      </c>
      <c r="CQ1236" t="e">
        <f>CC416</f>
        <v>#N/A</v>
      </c>
      <c r="CR1236">
        <f>IF(ISNUMBER(CP1236),IFERROR(MAX(0,CD416-CP1236),0),0)</f>
        <v>0</v>
      </c>
      <c r="CS1236">
        <f>IF(ISNUMBER(CP1236),IFERROR(MAX(0,CP1236-CD416),0),0)</f>
        <v>0</v>
      </c>
      <c r="CT1236">
        <f>IF(ISNUMBER(CQ1236),IFERROR(MAX(0,CE416-CQ1236),0),0)</f>
        <v>0</v>
      </c>
      <c r="CU1236">
        <f>IF(ISNUMBER(CQ1236),IFERROR(MAX(0,CQ1236-CE416),0),0)</f>
        <v>0</v>
      </c>
    </row>
    <row r="1237" spans="87:99" x14ac:dyDescent="0.3">
      <c r="CI1237" t="e">
        <f>AL417</f>
        <v>#N/A</v>
      </c>
      <c r="CJ1237" t="e">
        <f>AM417</f>
        <v>#N/A</v>
      </c>
      <c r="CK1237">
        <f>IF(ISNUMBER(CI1237),IFERROR(MAX(0,AN417-CI1237),0),0)</f>
        <v>0</v>
      </c>
      <c r="CL1237">
        <f>IF(ISNUMBER(CI1237),IFERROR(MAX(0,CI1237-AN417),0),0)</f>
        <v>0</v>
      </c>
      <c r="CM1237">
        <f>IF(ISNUMBER(CJ1237),IFERROR(MAX(0,AO417-CJ1237),0),0)</f>
        <v>0</v>
      </c>
      <c r="CN1237">
        <f>IF(ISNUMBER(CJ1237),IFERROR(MAX(0,CJ1237-AO417),0),0)</f>
        <v>0</v>
      </c>
      <c r="CP1237" t="e">
        <f>BT417</f>
        <v>#N/A</v>
      </c>
      <c r="CQ1237" t="e">
        <f>BU417</f>
        <v>#N/A</v>
      </c>
      <c r="CR1237">
        <f>IF(ISNUMBER(CP1237),IFERROR(MAX(0,BV417-CP1237),0),0)</f>
        <v>0</v>
      </c>
      <c r="CS1237">
        <f>IF(ISNUMBER(CP1237),IFERROR(MAX(0,CP1237-BV417),0),0)</f>
        <v>0</v>
      </c>
      <c r="CT1237">
        <f>IF(ISNUMBER(CQ1237),IFERROR(MAX(0,BW417-CQ1237),0),0)</f>
        <v>0</v>
      </c>
      <c r="CU1237">
        <f>IF(ISNUMBER(CQ1237),IFERROR(MAX(0,CQ1237-BW417),0),0)</f>
        <v>0</v>
      </c>
    </row>
    <row r="1238" spans="87:99" x14ac:dyDescent="0.3">
      <c r="CI1238" t="e">
        <f>AP417</f>
        <v>#N/A</v>
      </c>
      <c r="CJ1238" t="e">
        <f>AQ417</f>
        <v>#N/A</v>
      </c>
      <c r="CK1238">
        <f>IF(ISNUMBER(CI1238),IFERROR(MAX(0,AR417-CI1238),0),0)</f>
        <v>0</v>
      </c>
      <c r="CL1238">
        <f>IF(ISNUMBER(CI1238),IFERROR(MAX(0,CI1238-AR417),0),0)</f>
        <v>0</v>
      </c>
      <c r="CM1238">
        <f>IF(ISNUMBER(CJ1238),IFERROR(MAX(0,AS417-CJ1238),0),0)</f>
        <v>0</v>
      </c>
      <c r="CN1238">
        <f>IF(ISNUMBER(CJ1238),IFERROR(MAX(0,CJ1238-AS417),0),0)</f>
        <v>0</v>
      </c>
      <c r="CP1238" t="e">
        <f>BX417</f>
        <v>#N/A</v>
      </c>
      <c r="CQ1238" t="e">
        <f>BY417</f>
        <v>#N/A</v>
      </c>
      <c r="CR1238">
        <f>IF(ISNUMBER(CP1238),IFERROR(MAX(0,BZ417-CP1238),0),0)</f>
        <v>0</v>
      </c>
      <c r="CS1238">
        <f>IF(ISNUMBER(CP1238),IFERROR(MAX(0,CP1238-BZ417),0),0)</f>
        <v>0</v>
      </c>
      <c r="CT1238">
        <f>IF(ISNUMBER(CQ1238),IFERROR(MAX(0,CA417-CQ1238),0),0)</f>
        <v>0</v>
      </c>
      <c r="CU1238">
        <f>IF(ISNUMBER(CQ1238),IFERROR(MAX(0,CQ1238-CA417),0),0)</f>
        <v>0</v>
      </c>
    </row>
    <row r="1239" spans="87:99" x14ac:dyDescent="0.3">
      <c r="CI1239" t="e">
        <f>AT417</f>
        <v>#N/A</v>
      </c>
      <c r="CJ1239" t="e">
        <f>AU417</f>
        <v>#N/A</v>
      </c>
      <c r="CK1239">
        <f>IF(ISNUMBER(CI1239),IFERROR(MAX(0,AV417-CI1239),0),0)</f>
        <v>0</v>
      </c>
      <c r="CL1239">
        <f>IF(ISNUMBER(CI1239),IFERROR(MAX(0,CI1239-AV417),0),0)</f>
        <v>0</v>
      </c>
      <c r="CM1239">
        <f>IF(ISNUMBER(CJ1239),IFERROR(MAX(0,AW417-CJ1239),0),0)</f>
        <v>0</v>
      </c>
      <c r="CN1239">
        <f>IF(ISNUMBER(CJ1239),IFERROR(MAX(0,CJ1239-AW417),0),0)</f>
        <v>0</v>
      </c>
      <c r="CP1239" t="e">
        <f>CB417</f>
        <v>#N/A</v>
      </c>
      <c r="CQ1239" t="e">
        <f>CC417</f>
        <v>#N/A</v>
      </c>
      <c r="CR1239">
        <f>IF(ISNUMBER(CP1239),IFERROR(MAX(0,CD417-CP1239),0),0)</f>
        <v>0</v>
      </c>
      <c r="CS1239">
        <f>IF(ISNUMBER(CP1239),IFERROR(MAX(0,CP1239-CD417),0),0)</f>
        <v>0</v>
      </c>
      <c r="CT1239">
        <f>IF(ISNUMBER(CQ1239),IFERROR(MAX(0,CE417-CQ1239),0),0)</f>
        <v>0</v>
      </c>
      <c r="CU1239">
        <f>IF(ISNUMBER(CQ1239),IFERROR(MAX(0,CQ1239-CE417),0),0)</f>
        <v>0</v>
      </c>
    </row>
    <row r="1240" spans="87:99" x14ac:dyDescent="0.3">
      <c r="CI1240" t="e">
        <f>AL418</f>
        <v>#N/A</v>
      </c>
      <c r="CJ1240" t="e">
        <f>AM418</f>
        <v>#N/A</v>
      </c>
      <c r="CK1240">
        <f>IF(ISNUMBER(CI1240),IFERROR(MAX(0,AN418-CI1240),0),0)</f>
        <v>0</v>
      </c>
      <c r="CL1240">
        <f>IF(ISNUMBER(CI1240),IFERROR(MAX(0,CI1240-AN418),0),0)</f>
        <v>0</v>
      </c>
      <c r="CM1240">
        <f>IF(ISNUMBER(CJ1240),IFERROR(MAX(0,AO418-CJ1240),0),0)</f>
        <v>0</v>
      </c>
      <c r="CN1240">
        <f>IF(ISNUMBER(CJ1240),IFERROR(MAX(0,CJ1240-AO418),0),0)</f>
        <v>0</v>
      </c>
      <c r="CP1240" t="e">
        <f>BT418</f>
        <v>#N/A</v>
      </c>
      <c r="CQ1240" t="e">
        <f>BU418</f>
        <v>#N/A</v>
      </c>
      <c r="CR1240">
        <f>IF(ISNUMBER(CP1240),IFERROR(MAX(0,BV418-CP1240),0),0)</f>
        <v>0</v>
      </c>
      <c r="CS1240">
        <f>IF(ISNUMBER(CP1240),IFERROR(MAX(0,CP1240-BV418),0),0)</f>
        <v>0</v>
      </c>
      <c r="CT1240">
        <f>IF(ISNUMBER(CQ1240),IFERROR(MAX(0,BW418-CQ1240),0),0)</f>
        <v>0</v>
      </c>
      <c r="CU1240">
        <f>IF(ISNUMBER(CQ1240),IFERROR(MAX(0,CQ1240-BW418),0),0)</f>
        <v>0</v>
      </c>
    </row>
    <row r="1241" spans="87:99" x14ac:dyDescent="0.3">
      <c r="CI1241" t="e">
        <f>AP418</f>
        <v>#N/A</v>
      </c>
      <c r="CJ1241" t="e">
        <f>AQ418</f>
        <v>#N/A</v>
      </c>
      <c r="CK1241">
        <f>IF(ISNUMBER(CI1241),IFERROR(MAX(0,AR418-CI1241),0),0)</f>
        <v>0</v>
      </c>
      <c r="CL1241">
        <f>IF(ISNUMBER(CI1241),IFERROR(MAX(0,CI1241-AR418),0),0)</f>
        <v>0</v>
      </c>
      <c r="CM1241">
        <f>IF(ISNUMBER(CJ1241),IFERROR(MAX(0,AS418-CJ1241),0),0)</f>
        <v>0</v>
      </c>
      <c r="CN1241">
        <f>IF(ISNUMBER(CJ1241),IFERROR(MAX(0,CJ1241-AS418),0),0)</f>
        <v>0</v>
      </c>
      <c r="CP1241" t="e">
        <f>BX418</f>
        <v>#N/A</v>
      </c>
      <c r="CQ1241" t="e">
        <f>BY418</f>
        <v>#N/A</v>
      </c>
      <c r="CR1241">
        <f>IF(ISNUMBER(CP1241),IFERROR(MAX(0,BZ418-CP1241),0),0)</f>
        <v>0</v>
      </c>
      <c r="CS1241">
        <f>IF(ISNUMBER(CP1241),IFERROR(MAX(0,CP1241-BZ418),0),0)</f>
        <v>0</v>
      </c>
      <c r="CT1241">
        <f>IF(ISNUMBER(CQ1241),IFERROR(MAX(0,CA418-CQ1241),0),0)</f>
        <v>0</v>
      </c>
      <c r="CU1241">
        <f>IF(ISNUMBER(CQ1241),IFERROR(MAX(0,CQ1241-CA418),0),0)</f>
        <v>0</v>
      </c>
    </row>
    <row r="1242" spans="87:99" x14ac:dyDescent="0.3">
      <c r="CI1242" t="e">
        <f>AT418</f>
        <v>#N/A</v>
      </c>
      <c r="CJ1242" t="e">
        <f>AU418</f>
        <v>#N/A</v>
      </c>
      <c r="CK1242">
        <f>IF(ISNUMBER(CI1242),IFERROR(MAX(0,AV418-CI1242),0),0)</f>
        <v>0</v>
      </c>
      <c r="CL1242">
        <f>IF(ISNUMBER(CI1242),IFERROR(MAX(0,CI1242-AV418),0),0)</f>
        <v>0</v>
      </c>
      <c r="CM1242">
        <f>IF(ISNUMBER(CJ1242),IFERROR(MAX(0,AW418-CJ1242),0),0)</f>
        <v>0</v>
      </c>
      <c r="CN1242">
        <f>IF(ISNUMBER(CJ1242),IFERROR(MAX(0,CJ1242-AW418),0),0)</f>
        <v>0</v>
      </c>
      <c r="CP1242" t="e">
        <f>CB418</f>
        <v>#N/A</v>
      </c>
      <c r="CQ1242" t="e">
        <f>CC418</f>
        <v>#N/A</v>
      </c>
      <c r="CR1242">
        <f>IF(ISNUMBER(CP1242),IFERROR(MAX(0,CD418-CP1242),0),0)</f>
        <v>0</v>
      </c>
      <c r="CS1242">
        <f>IF(ISNUMBER(CP1242),IFERROR(MAX(0,CP1242-CD418),0),0)</f>
        <v>0</v>
      </c>
      <c r="CT1242">
        <f>IF(ISNUMBER(CQ1242),IFERROR(MAX(0,CE418-CQ1242),0),0)</f>
        <v>0</v>
      </c>
      <c r="CU1242">
        <f>IF(ISNUMBER(CQ1242),IFERROR(MAX(0,CQ1242-CE418),0),0)</f>
        <v>0</v>
      </c>
    </row>
    <row r="1243" spans="87:99" x14ac:dyDescent="0.3">
      <c r="CI1243" t="e">
        <f>AL419</f>
        <v>#N/A</v>
      </c>
      <c r="CJ1243" t="e">
        <f>AM419</f>
        <v>#N/A</v>
      </c>
      <c r="CK1243">
        <f>IF(ISNUMBER(CI1243),IFERROR(MAX(0,AN419-CI1243),0),0)</f>
        <v>0</v>
      </c>
      <c r="CL1243">
        <f>IF(ISNUMBER(CI1243),IFERROR(MAX(0,CI1243-AN419),0),0)</f>
        <v>0</v>
      </c>
      <c r="CM1243">
        <f>IF(ISNUMBER(CJ1243),IFERROR(MAX(0,AO419-CJ1243),0),0)</f>
        <v>0</v>
      </c>
      <c r="CN1243">
        <f>IF(ISNUMBER(CJ1243),IFERROR(MAX(0,CJ1243-AO419),0),0)</f>
        <v>0</v>
      </c>
      <c r="CP1243" t="e">
        <f>BT419</f>
        <v>#N/A</v>
      </c>
      <c r="CQ1243" t="e">
        <f>BU419</f>
        <v>#N/A</v>
      </c>
      <c r="CR1243">
        <f>IF(ISNUMBER(CP1243),IFERROR(MAX(0,BV419-CP1243),0),0)</f>
        <v>0</v>
      </c>
      <c r="CS1243">
        <f>IF(ISNUMBER(CP1243),IFERROR(MAX(0,CP1243-BV419),0),0)</f>
        <v>0</v>
      </c>
      <c r="CT1243">
        <f>IF(ISNUMBER(CQ1243),IFERROR(MAX(0,BW419-CQ1243),0),0)</f>
        <v>0</v>
      </c>
      <c r="CU1243">
        <f>IF(ISNUMBER(CQ1243),IFERROR(MAX(0,CQ1243-BW419),0),0)</f>
        <v>0</v>
      </c>
    </row>
    <row r="1244" spans="87:99" x14ac:dyDescent="0.3">
      <c r="CI1244" t="e">
        <f>AP419</f>
        <v>#N/A</v>
      </c>
      <c r="CJ1244" t="e">
        <f>AQ419</f>
        <v>#N/A</v>
      </c>
      <c r="CK1244">
        <f>IF(ISNUMBER(CI1244),IFERROR(MAX(0,AR419-CI1244),0),0)</f>
        <v>0</v>
      </c>
      <c r="CL1244">
        <f>IF(ISNUMBER(CI1244),IFERROR(MAX(0,CI1244-AR419),0),0)</f>
        <v>0</v>
      </c>
      <c r="CM1244">
        <f>IF(ISNUMBER(CJ1244),IFERROR(MAX(0,AS419-CJ1244),0),0)</f>
        <v>0</v>
      </c>
      <c r="CN1244">
        <f>IF(ISNUMBER(CJ1244),IFERROR(MAX(0,CJ1244-AS419),0),0)</f>
        <v>0</v>
      </c>
      <c r="CP1244" t="e">
        <f>BX419</f>
        <v>#N/A</v>
      </c>
      <c r="CQ1244" t="e">
        <f>BY419</f>
        <v>#N/A</v>
      </c>
      <c r="CR1244">
        <f>IF(ISNUMBER(CP1244),IFERROR(MAX(0,BZ419-CP1244),0),0)</f>
        <v>0</v>
      </c>
      <c r="CS1244">
        <f>IF(ISNUMBER(CP1244),IFERROR(MAX(0,CP1244-BZ419),0),0)</f>
        <v>0</v>
      </c>
      <c r="CT1244">
        <f>IF(ISNUMBER(CQ1244),IFERROR(MAX(0,CA419-CQ1244),0),0)</f>
        <v>0</v>
      </c>
      <c r="CU1244">
        <f>IF(ISNUMBER(CQ1244),IFERROR(MAX(0,CQ1244-CA419),0),0)</f>
        <v>0</v>
      </c>
    </row>
    <row r="1245" spans="87:99" x14ac:dyDescent="0.3">
      <c r="CI1245" t="e">
        <f>AT419</f>
        <v>#N/A</v>
      </c>
      <c r="CJ1245" t="e">
        <f>AU419</f>
        <v>#N/A</v>
      </c>
      <c r="CK1245">
        <f>IF(ISNUMBER(CI1245),IFERROR(MAX(0,AV419-CI1245),0),0)</f>
        <v>0</v>
      </c>
      <c r="CL1245">
        <f>IF(ISNUMBER(CI1245),IFERROR(MAX(0,CI1245-AV419),0),0)</f>
        <v>0</v>
      </c>
      <c r="CM1245">
        <f>IF(ISNUMBER(CJ1245),IFERROR(MAX(0,AW419-CJ1245),0),0)</f>
        <v>0</v>
      </c>
      <c r="CN1245">
        <f>IF(ISNUMBER(CJ1245),IFERROR(MAX(0,CJ1245-AW419),0),0)</f>
        <v>0</v>
      </c>
      <c r="CP1245" t="e">
        <f>CB419</f>
        <v>#N/A</v>
      </c>
      <c r="CQ1245" t="e">
        <f>CC419</f>
        <v>#N/A</v>
      </c>
      <c r="CR1245">
        <f>IF(ISNUMBER(CP1245),IFERROR(MAX(0,CD419-CP1245),0),0)</f>
        <v>0</v>
      </c>
      <c r="CS1245">
        <f>IF(ISNUMBER(CP1245),IFERROR(MAX(0,CP1245-CD419),0),0)</f>
        <v>0</v>
      </c>
      <c r="CT1245">
        <f>IF(ISNUMBER(CQ1245),IFERROR(MAX(0,CE419-CQ1245),0),0)</f>
        <v>0</v>
      </c>
      <c r="CU1245">
        <f>IF(ISNUMBER(CQ1245),IFERROR(MAX(0,CQ1245-CE419),0),0)</f>
        <v>0</v>
      </c>
    </row>
    <row r="1246" spans="87:99" x14ac:dyDescent="0.3">
      <c r="CI1246" t="e">
        <f>AL420</f>
        <v>#N/A</v>
      </c>
      <c r="CJ1246" t="e">
        <f>AM420</f>
        <v>#N/A</v>
      </c>
      <c r="CK1246">
        <f>IF(ISNUMBER(CI1246),IFERROR(MAX(0,AN420-CI1246),0),0)</f>
        <v>0</v>
      </c>
      <c r="CL1246">
        <f>IF(ISNUMBER(CI1246),IFERROR(MAX(0,CI1246-AN420),0),0)</f>
        <v>0</v>
      </c>
      <c r="CM1246">
        <f>IF(ISNUMBER(CJ1246),IFERROR(MAX(0,AO420-CJ1246),0),0)</f>
        <v>0</v>
      </c>
      <c r="CN1246">
        <f>IF(ISNUMBER(CJ1246),IFERROR(MAX(0,CJ1246-AO420),0),0)</f>
        <v>0</v>
      </c>
      <c r="CP1246" t="e">
        <f>BT420</f>
        <v>#N/A</v>
      </c>
      <c r="CQ1246" t="e">
        <f>BU420</f>
        <v>#N/A</v>
      </c>
      <c r="CR1246">
        <f>IF(ISNUMBER(CP1246),IFERROR(MAX(0,BV420-CP1246),0),0)</f>
        <v>0</v>
      </c>
      <c r="CS1246">
        <f>IF(ISNUMBER(CP1246),IFERROR(MAX(0,CP1246-BV420),0),0)</f>
        <v>0</v>
      </c>
      <c r="CT1246">
        <f>IF(ISNUMBER(CQ1246),IFERROR(MAX(0,BW420-CQ1246),0),0)</f>
        <v>0</v>
      </c>
      <c r="CU1246">
        <f>IF(ISNUMBER(CQ1246),IFERROR(MAX(0,CQ1246-BW420),0),0)</f>
        <v>0</v>
      </c>
    </row>
    <row r="1247" spans="87:99" x14ac:dyDescent="0.3">
      <c r="CI1247" t="e">
        <f>AP420</f>
        <v>#N/A</v>
      </c>
      <c r="CJ1247" t="e">
        <f>AQ420</f>
        <v>#N/A</v>
      </c>
      <c r="CK1247">
        <f>IF(ISNUMBER(CI1247),IFERROR(MAX(0,AR420-CI1247),0),0)</f>
        <v>0</v>
      </c>
      <c r="CL1247">
        <f>IF(ISNUMBER(CI1247),IFERROR(MAX(0,CI1247-AR420),0),0)</f>
        <v>0</v>
      </c>
      <c r="CM1247">
        <f>IF(ISNUMBER(CJ1247),IFERROR(MAX(0,AS420-CJ1247),0),0)</f>
        <v>0</v>
      </c>
      <c r="CN1247">
        <f>IF(ISNUMBER(CJ1247),IFERROR(MAX(0,CJ1247-AS420),0),0)</f>
        <v>0</v>
      </c>
      <c r="CP1247" t="e">
        <f>BX420</f>
        <v>#N/A</v>
      </c>
      <c r="CQ1247" t="e">
        <f>BY420</f>
        <v>#N/A</v>
      </c>
      <c r="CR1247">
        <f>IF(ISNUMBER(CP1247),IFERROR(MAX(0,BZ420-CP1247),0),0)</f>
        <v>0</v>
      </c>
      <c r="CS1247">
        <f>IF(ISNUMBER(CP1247),IFERROR(MAX(0,CP1247-BZ420),0),0)</f>
        <v>0</v>
      </c>
      <c r="CT1247">
        <f>IF(ISNUMBER(CQ1247),IFERROR(MAX(0,CA420-CQ1247),0),0)</f>
        <v>0</v>
      </c>
      <c r="CU1247">
        <f>IF(ISNUMBER(CQ1247),IFERROR(MAX(0,CQ1247-CA420),0),0)</f>
        <v>0</v>
      </c>
    </row>
    <row r="1248" spans="87:99" x14ac:dyDescent="0.3">
      <c r="CI1248" t="e">
        <f>AT420</f>
        <v>#N/A</v>
      </c>
      <c r="CJ1248" t="e">
        <f>AU420</f>
        <v>#N/A</v>
      </c>
      <c r="CK1248">
        <f>IF(ISNUMBER(CI1248),IFERROR(MAX(0,AV420-CI1248),0),0)</f>
        <v>0</v>
      </c>
      <c r="CL1248">
        <f>IF(ISNUMBER(CI1248),IFERROR(MAX(0,CI1248-AV420),0),0)</f>
        <v>0</v>
      </c>
      <c r="CM1248">
        <f>IF(ISNUMBER(CJ1248),IFERROR(MAX(0,AW420-CJ1248),0),0)</f>
        <v>0</v>
      </c>
      <c r="CN1248">
        <f>IF(ISNUMBER(CJ1248),IFERROR(MAX(0,CJ1248-AW420),0),0)</f>
        <v>0</v>
      </c>
      <c r="CP1248" t="e">
        <f>CB420</f>
        <v>#N/A</v>
      </c>
      <c r="CQ1248" t="e">
        <f>CC420</f>
        <v>#N/A</v>
      </c>
      <c r="CR1248">
        <f>IF(ISNUMBER(CP1248),IFERROR(MAX(0,CD420-CP1248),0),0)</f>
        <v>0</v>
      </c>
      <c r="CS1248">
        <f>IF(ISNUMBER(CP1248),IFERROR(MAX(0,CP1248-CD420),0),0)</f>
        <v>0</v>
      </c>
      <c r="CT1248">
        <f>IF(ISNUMBER(CQ1248),IFERROR(MAX(0,CE420-CQ1248),0),0)</f>
        <v>0</v>
      </c>
      <c r="CU1248">
        <f>IF(ISNUMBER(CQ1248),IFERROR(MAX(0,CQ1248-CE420),0),0)</f>
        <v>0</v>
      </c>
    </row>
    <row r="1249" spans="87:99" x14ac:dyDescent="0.3">
      <c r="CI1249" t="e">
        <f>AL421</f>
        <v>#N/A</v>
      </c>
      <c r="CJ1249" t="e">
        <f>AM421</f>
        <v>#N/A</v>
      </c>
      <c r="CK1249">
        <f>IF(ISNUMBER(CI1249),IFERROR(MAX(0,AN421-CI1249),0),0)</f>
        <v>0</v>
      </c>
      <c r="CL1249">
        <f>IF(ISNUMBER(CI1249),IFERROR(MAX(0,CI1249-AN421),0),0)</f>
        <v>0</v>
      </c>
      <c r="CM1249">
        <f>IF(ISNUMBER(CJ1249),IFERROR(MAX(0,AO421-CJ1249),0),0)</f>
        <v>0</v>
      </c>
      <c r="CN1249">
        <f>IF(ISNUMBER(CJ1249),IFERROR(MAX(0,CJ1249-AO421),0),0)</f>
        <v>0</v>
      </c>
      <c r="CP1249" t="e">
        <f>BT421</f>
        <v>#N/A</v>
      </c>
      <c r="CQ1249" t="e">
        <f>BU421</f>
        <v>#N/A</v>
      </c>
      <c r="CR1249">
        <f>IF(ISNUMBER(CP1249),IFERROR(MAX(0,BV421-CP1249),0),0)</f>
        <v>0</v>
      </c>
      <c r="CS1249">
        <f>IF(ISNUMBER(CP1249),IFERROR(MAX(0,CP1249-BV421),0),0)</f>
        <v>0</v>
      </c>
      <c r="CT1249">
        <f>IF(ISNUMBER(CQ1249),IFERROR(MAX(0,BW421-CQ1249),0),0)</f>
        <v>0</v>
      </c>
      <c r="CU1249">
        <f>IF(ISNUMBER(CQ1249),IFERROR(MAX(0,CQ1249-BW421),0),0)</f>
        <v>0</v>
      </c>
    </row>
    <row r="1250" spans="87:99" x14ac:dyDescent="0.3">
      <c r="CI1250" t="e">
        <f>AP421</f>
        <v>#N/A</v>
      </c>
      <c r="CJ1250" t="e">
        <f>AQ421</f>
        <v>#N/A</v>
      </c>
      <c r="CK1250">
        <f>IF(ISNUMBER(CI1250),IFERROR(MAX(0,AR421-CI1250),0),0)</f>
        <v>0</v>
      </c>
      <c r="CL1250">
        <f>IF(ISNUMBER(CI1250),IFERROR(MAX(0,CI1250-AR421),0),0)</f>
        <v>0</v>
      </c>
      <c r="CM1250">
        <f>IF(ISNUMBER(CJ1250),IFERROR(MAX(0,AS421-CJ1250),0),0)</f>
        <v>0</v>
      </c>
      <c r="CN1250">
        <f>IF(ISNUMBER(CJ1250),IFERROR(MAX(0,CJ1250-AS421),0),0)</f>
        <v>0</v>
      </c>
      <c r="CP1250" t="e">
        <f>BX421</f>
        <v>#N/A</v>
      </c>
      <c r="CQ1250" t="e">
        <f>BY421</f>
        <v>#N/A</v>
      </c>
      <c r="CR1250">
        <f>IF(ISNUMBER(CP1250),IFERROR(MAX(0,BZ421-CP1250),0),0)</f>
        <v>0</v>
      </c>
      <c r="CS1250">
        <f>IF(ISNUMBER(CP1250),IFERROR(MAX(0,CP1250-BZ421),0),0)</f>
        <v>0</v>
      </c>
      <c r="CT1250">
        <f>IF(ISNUMBER(CQ1250),IFERROR(MAX(0,CA421-CQ1250),0),0)</f>
        <v>0</v>
      </c>
      <c r="CU1250">
        <f>IF(ISNUMBER(CQ1250),IFERROR(MAX(0,CQ1250-CA421),0),0)</f>
        <v>0</v>
      </c>
    </row>
    <row r="1251" spans="87:99" x14ac:dyDescent="0.3">
      <c r="CI1251" t="e">
        <f>AT421</f>
        <v>#N/A</v>
      </c>
      <c r="CJ1251" t="e">
        <f>AU421</f>
        <v>#N/A</v>
      </c>
      <c r="CK1251">
        <f>IF(ISNUMBER(CI1251),IFERROR(MAX(0,AV421-CI1251),0),0)</f>
        <v>0</v>
      </c>
      <c r="CL1251">
        <f>IF(ISNUMBER(CI1251),IFERROR(MAX(0,CI1251-AV421),0),0)</f>
        <v>0</v>
      </c>
      <c r="CM1251">
        <f>IF(ISNUMBER(CJ1251),IFERROR(MAX(0,AW421-CJ1251),0),0)</f>
        <v>0</v>
      </c>
      <c r="CN1251">
        <f>IF(ISNUMBER(CJ1251),IFERROR(MAX(0,CJ1251-AW421),0),0)</f>
        <v>0</v>
      </c>
      <c r="CP1251" t="e">
        <f>CB421</f>
        <v>#N/A</v>
      </c>
      <c r="CQ1251" t="e">
        <f>CC421</f>
        <v>#N/A</v>
      </c>
      <c r="CR1251">
        <f>IF(ISNUMBER(CP1251),IFERROR(MAX(0,CD421-CP1251),0),0)</f>
        <v>0</v>
      </c>
      <c r="CS1251">
        <f>IF(ISNUMBER(CP1251),IFERROR(MAX(0,CP1251-CD421),0),0)</f>
        <v>0</v>
      </c>
      <c r="CT1251">
        <f>IF(ISNUMBER(CQ1251),IFERROR(MAX(0,CE421-CQ1251),0),0)</f>
        <v>0</v>
      </c>
      <c r="CU1251">
        <f>IF(ISNUMBER(CQ1251),IFERROR(MAX(0,CQ1251-CE421),0),0)</f>
        <v>0</v>
      </c>
    </row>
    <row r="1252" spans="87:99" x14ac:dyDescent="0.3">
      <c r="CI1252" t="e">
        <f>AL422</f>
        <v>#N/A</v>
      </c>
      <c r="CJ1252" t="e">
        <f>AM422</f>
        <v>#N/A</v>
      </c>
      <c r="CK1252">
        <f>IF(ISNUMBER(CI1252),IFERROR(MAX(0,AN422-CI1252),0),0)</f>
        <v>0</v>
      </c>
      <c r="CL1252">
        <f>IF(ISNUMBER(CI1252),IFERROR(MAX(0,CI1252-AN422),0),0)</f>
        <v>0</v>
      </c>
      <c r="CM1252">
        <f>IF(ISNUMBER(CJ1252),IFERROR(MAX(0,AO422-CJ1252),0),0)</f>
        <v>0</v>
      </c>
      <c r="CN1252">
        <f>IF(ISNUMBER(CJ1252),IFERROR(MAX(0,CJ1252-AO422),0),0)</f>
        <v>0</v>
      </c>
      <c r="CP1252" t="e">
        <f>BT422</f>
        <v>#N/A</v>
      </c>
      <c r="CQ1252" t="e">
        <f>BU422</f>
        <v>#N/A</v>
      </c>
      <c r="CR1252">
        <f>IF(ISNUMBER(CP1252),IFERROR(MAX(0,BV422-CP1252),0),0)</f>
        <v>0</v>
      </c>
      <c r="CS1252">
        <f>IF(ISNUMBER(CP1252),IFERROR(MAX(0,CP1252-BV422),0),0)</f>
        <v>0</v>
      </c>
      <c r="CT1252">
        <f>IF(ISNUMBER(CQ1252),IFERROR(MAX(0,BW422-CQ1252),0),0)</f>
        <v>0</v>
      </c>
      <c r="CU1252">
        <f>IF(ISNUMBER(CQ1252),IFERROR(MAX(0,CQ1252-BW422),0),0)</f>
        <v>0</v>
      </c>
    </row>
    <row r="1253" spans="87:99" x14ac:dyDescent="0.3">
      <c r="CI1253" t="e">
        <f>AP422</f>
        <v>#N/A</v>
      </c>
      <c r="CJ1253" t="e">
        <f>AQ422</f>
        <v>#N/A</v>
      </c>
      <c r="CK1253">
        <f>IF(ISNUMBER(CI1253),IFERROR(MAX(0,AR422-CI1253),0),0)</f>
        <v>0</v>
      </c>
      <c r="CL1253">
        <f>IF(ISNUMBER(CI1253),IFERROR(MAX(0,CI1253-AR422),0),0)</f>
        <v>0</v>
      </c>
      <c r="CM1253">
        <f>IF(ISNUMBER(CJ1253),IFERROR(MAX(0,AS422-CJ1253),0),0)</f>
        <v>0</v>
      </c>
      <c r="CN1253">
        <f>IF(ISNUMBER(CJ1253),IFERROR(MAX(0,CJ1253-AS422),0),0)</f>
        <v>0</v>
      </c>
      <c r="CP1253" t="e">
        <f>BX422</f>
        <v>#N/A</v>
      </c>
      <c r="CQ1253" t="e">
        <f>BY422</f>
        <v>#N/A</v>
      </c>
      <c r="CR1253">
        <f>IF(ISNUMBER(CP1253),IFERROR(MAX(0,BZ422-CP1253),0),0)</f>
        <v>0</v>
      </c>
      <c r="CS1253">
        <f>IF(ISNUMBER(CP1253),IFERROR(MAX(0,CP1253-BZ422),0),0)</f>
        <v>0</v>
      </c>
      <c r="CT1253">
        <f>IF(ISNUMBER(CQ1253),IFERROR(MAX(0,CA422-CQ1253),0),0)</f>
        <v>0</v>
      </c>
      <c r="CU1253">
        <f>IF(ISNUMBER(CQ1253),IFERROR(MAX(0,CQ1253-CA422),0),0)</f>
        <v>0</v>
      </c>
    </row>
    <row r="1254" spans="87:99" x14ac:dyDescent="0.3">
      <c r="CI1254" t="e">
        <f>AT422</f>
        <v>#N/A</v>
      </c>
      <c r="CJ1254" t="e">
        <f>AU422</f>
        <v>#N/A</v>
      </c>
      <c r="CK1254">
        <f>IF(ISNUMBER(CI1254),IFERROR(MAX(0,AV422-CI1254),0),0)</f>
        <v>0</v>
      </c>
      <c r="CL1254">
        <f>IF(ISNUMBER(CI1254),IFERROR(MAX(0,CI1254-AV422),0),0)</f>
        <v>0</v>
      </c>
      <c r="CM1254">
        <f>IF(ISNUMBER(CJ1254),IFERROR(MAX(0,AW422-CJ1254),0),0)</f>
        <v>0</v>
      </c>
      <c r="CN1254">
        <f>IF(ISNUMBER(CJ1254),IFERROR(MAX(0,CJ1254-AW422),0),0)</f>
        <v>0</v>
      </c>
      <c r="CP1254" t="e">
        <f>CB422</f>
        <v>#N/A</v>
      </c>
      <c r="CQ1254" t="e">
        <f>CC422</f>
        <v>#N/A</v>
      </c>
      <c r="CR1254">
        <f>IF(ISNUMBER(CP1254),IFERROR(MAX(0,CD422-CP1254),0),0)</f>
        <v>0</v>
      </c>
      <c r="CS1254">
        <f>IF(ISNUMBER(CP1254),IFERROR(MAX(0,CP1254-CD422),0),0)</f>
        <v>0</v>
      </c>
      <c r="CT1254">
        <f>IF(ISNUMBER(CQ1254),IFERROR(MAX(0,CE422-CQ1254),0),0)</f>
        <v>0</v>
      </c>
      <c r="CU1254">
        <f>IF(ISNUMBER(CQ1254),IFERROR(MAX(0,CQ1254-CE422),0),0)</f>
        <v>0</v>
      </c>
    </row>
    <row r="1255" spans="87:99" x14ac:dyDescent="0.3">
      <c r="CI1255" t="e">
        <f>AL423</f>
        <v>#N/A</v>
      </c>
      <c r="CJ1255" t="e">
        <f>AM423</f>
        <v>#N/A</v>
      </c>
      <c r="CK1255">
        <f>IF(ISNUMBER(CI1255),IFERROR(MAX(0,AN423-CI1255),0),0)</f>
        <v>0</v>
      </c>
      <c r="CL1255">
        <f>IF(ISNUMBER(CI1255),IFERROR(MAX(0,CI1255-AN423),0),0)</f>
        <v>0</v>
      </c>
      <c r="CM1255">
        <f>IF(ISNUMBER(CJ1255),IFERROR(MAX(0,AO423-CJ1255),0),0)</f>
        <v>0</v>
      </c>
      <c r="CN1255">
        <f>IF(ISNUMBER(CJ1255),IFERROR(MAX(0,CJ1255-AO423),0),0)</f>
        <v>0</v>
      </c>
      <c r="CP1255" t="e">
        <f>BT423</f>
        <v>#N/A</v>
      </c>
      <c r="CQ1255" t="e">
        <f>BU423</f>
        <v>#N/A</v>
      </c>
      <c r="CR1255">
        <f>IF(ISNUMBER(CP1255),IFERROR(MAX(0,BV423-CP1255),0),0)</f>
        <v>0</v>
      </c>
      <c r="CS1255">
        <f>IF(ISNUMBER(CP1255),IFERROR(MAX(0,CP1255-BV423),0),0)</f>
        <v>0</v>
      </c>
      <c r="CT1255">
        <f>IF(ISNUMBER(CQ1255),IFERROR(MAX(0,BW423-CQ1255),0),0)</f>
        <v>0</v>
      </c>
      <c r="CU1255">
        <f>IF(ISNUMBER(CQ1255),IFERROR(MAX(0,CQ1255-BW423),0),0)</f>
        <v>0</v>
      </c>
    </row>
    <row r="1256" spans="87:99" x14ac:dyDescent="0.3">
      <c r="CI1256" t="e">
        <f>AP423</f>
        <v>#N/A</v>
      </c>
      <c r="CJ1256" t="e">
        <f>AQ423</f>
        <v>#N/A</v>
      </c>
      <c r="CK1256">
        <f>IF(ISNUMBER(CI1256),IFERROR(MAX(0,AR423-CI1256),0),0)</f>
        <v>0</v>
      </c>
      <c r="CL1256">
        <f>IF(ISNUMBER(CI1256),IFERROR(MAX(0,CI1256-AR423),0),0)</f>
        <v>0</v>
      </c>
      <c r="CM1256">
        <f>IF(ISNUMBER(CJ1256),IFERROR(MAX(0,AS423-CJ1256),0),0)</f>
        <v>0</v>
      </c>
      <c r="CN1256">
        <f>IF(ISNUMBER(CJ1256),IFERROR(MAX(0,CJ1256-AS423),0),0)</f>
        <v>0</v>
      </c>
      <c r="CP1256" t="e">
        <f>BX423</f>
        <v>#N/A</v>
      </c>
      <c r="CQ1256" t="e">
        <f>BY423</f>
        <v>#N/A</v>
      </c>
      <c r="CR1256">
        <f>IF(ISNUMBER(CP1256),IFERROR(MAX(0,BZ423-CP1256),0),0)</f>
        <v>0</v>
      </c>
      <c r="CS1256">
        <f>IF(ISNUMBER(CP1256),IFERROR(MAX(0,CP1256-BZ423),0),0)</f>
        <v>0</v>
      </c>
      <c r="CT1256">
        <f>IF(ISNUMBER(CQ1256),IFERROR(MAX(0,CA423-CQ1256),0),0)</f>
        <v>0</v>
      </c>
      <c r="CU1256">
        <f>IF(ISNUMBER(CQ1256),IFERROR(MAX(0,CQ1256-CA423),0),0)</f>
        <v>0</v>
      </c>
    </row>
    <row r="1257" spans="87:99" x14ac:dyDescent="0.3">
      <c r="CI1257" t="e">
        <f>AT423</f>
        <v>#N/A</v>
      </c>
      <c r="CJ1257" t="e">
        <f>AU423</f>
        <v>#N/A</v>
      </c>
      <c r="CK1257">
        <f>IF(ISNUMBER(CI1257),IFERROR(MAX(0,AV423-CI1257),0),0)</f>
        <v>0</v>
      </c>
      <c r="CL1257">
        <f>IF(ISNUMBER(CI1257),IFERROR(MAX(0,CI1257-AV423),0),0)</f>
        <v>0</v>
      </c>
      <c r="CM1257">
        <f>IF(ISNUMBER(CJ1257),IFERROR(MAX(0,AW423-CJ1257),0),0)</f>
        <v>0</v>
      </c>
      <c r="CN1257">
        <f>IF(ISNUMBER(CJ1257),IFERROR(MAX(0,CJ1257-AW423),0),0)</f>
        <v>0</v>
      </c>
      <c r="CP1257" t="e">
        <f>CB423</f>
        <v>#N/A</v>
      </c>
      <c r="CQ1257" t="e">
        <f>CC423</f>
        <v>#N/A</v>
      </c>
      <c r="CR1257">
        <f>IF(ISNUMBER(CP1257),IFERROR(MAX(0,CD423-CP1257),0),0)</f>
        <v>0</v>
      </c>
      <c r="CS1257">
        <f>IF(ISNUMBER(CP1257),IFERROR(MAX(0,CP1257-CD423),0),0)</f>
        <v>0</v>
      </c>
      <c r="CT1257">
        <f>IF(ISNUMBER(CQ1257),IFERROR(MAX(0,CE423-CQ1257),0),0)</f>
        <v>0</v>
      </c>
      <c r="CU1257">
        <f>IF(ISNUMBER(CQ1257),IFERROR(MAX(0,CQ1257-CE423),0),0)</f>
        <v>0</v>
      </c>
    </row>
    <row r="1258" spans="87:99" x14ac:dyDescent="0.3">
      <c r="CI1258" t="e">
        <f>AL424</f>
        <v>#N/A</v>
      </c>
      <c r="CJ1258" t="e">
        <f>AM424</f>
        <v>#N/A</v>
      </c>
      <c r="CK1258">
        <f>IF(ISNUMBER(CI1258),IFERROR(MAX(0,AN424-CI1258),0),0)</f>
        <v>0</v>
      </c>
      <c r="CL1258">
        <f>IF(ISNUMBER(CI1258),IFERROR(MAX(0,CI1258-AN424),0),0)</f>
        <v>0</v>
      </c>
      <c r="CM1258">
        <f>IF(ISNUMBER(CJ1258),IFERROR(MAX(0,AO424-CJ1258),0),0)</f>
        <v>0</v>
      </c>
      <c r="CN1258">
        <f>IF(ISNUMBER(CJ1258),IFERROR(MAX(0,CJ1258-AO424),0),0)</f>
        <v>0</v>
      </c>
      <c r="CP1258" t="e">
        <f>BT424</f>
        <v>#N/A</v>
      </c>
      <c r="CQ1258" t="e">
        <f>BU424</f>
        <v>#N/A</v>
      </c>
      <c r="CR1258">
        <f>IF(ISNUMBER(CP1258),IFERROR(MAX(0,BV424-CP1258),0),0)</f>
        <v>0</v>
      </c>
      <c r="CS1258">
        <f>IF(ISNUMBER(CP1258),IFERROR(MAX(0,CP1258-BV424),0),0)</f>
        <v>0</v>
      </c>
      <c r="CT1258">
        <f>IF(ISNUMBER(CQ1258),IFERROR(MAX(0,BW424-CQ1258),0),0)</f>
        <v>0</v>
      </c>
      <c r="CU1258">
        <f>IF(ISNUMBER(CQ1258),IFERROR(MAX(0,CQ1258-BW424),0),0)</f>
        <v>0</v>
      </c>
    </row>
    <row r="1259" spans="87:99" x14ac:dyDescent="0.3">
      <c r="CI1259" t="e">
        <f>AP424</f>
        <v>#N/A</v>
      </c>
      <c r="CJ1259" t="e">
        <f>AQ424</f>
        <v>#N/A</v>
      </c>
      <c r="CK1259">
        <f>IF(ISNUMBER(CI1259),IFERROR(MAX(0,AR424-CI1259),0),0)</f>
        <v>0</v>
      </c>
      <c r="CL1259">
        <f>IF(ISNUMBER(CI1259),IFERROR(MAX(0,CI1259-AR424),0),0)</f>
        <v>0</v>
      </c>
      <c r="CM1259">
        <f>IF(ISNUMBER(CJ1259),IFERROR(MAX(0,AS424-CJ1259),0),0)</f>
        <v>0</v>
      </c>
      <c r="CN1259">
        <f>IF(ISNUMBER(CJ1259),IFERROR(MAX(0,CJ1259-AS424),0),0)</f>
        <v>0</v>
      </c>
      <c r="CP1259" t="e">
        <f>BX424</f>
        <v>#N/A</v>
      </c>
      <c r="CQ1259" t="e">
        <f>BY424</f>
        <v>#N/A</v>
      </c>
      <c r="CR1259">
        <f>IF(ISNUMBER(CP1259),IFERROR(MAX(0,BZ424-CP1259),0),0)</f>
        <v>0</v>
      </c>
      <c r="CS1259">
        <f>IF(ISNUMBER(CP1259),IFERROR(MAX(0,CP1259-BZ424),0),0)</f>
        <v>0</v>
      </c>
      <c r="CT1259">
        <f>IF(ISNUMBER(CQ1259),IFERROR(MAX(0,CA424-CQ1259),0),0)</f>
        <v>0</v>
      </c>
      <c r="CU1259">
        <f>IF(ISNUMBER(CQ1259),IFERROR(MAX(0,CQ1259-CA424),0),0)</f>
        <v>0</v>
      </c>
    </row>
    <row r="1260" spans="87:99" x14ac:dyDescent="0.3">
      <c r="CI1260" t="e">
        <f>AT424</f>
        <v>#N/A</v>
      </c>
      <c r="CJ1260" t="e">
        <f>AU424</f>
        <v>#N/A</v>
      </c>
      <c r="CK1260">
        <f>IF(ISNUMBER(CI1260),IFERROR(MAX(0,AV424-CI1260),0),0)</f>
        <v>0</v>
      </c>
      <c r="CL1260">
        <f>IF(ISNUMBER(CI1260),IFERROR(MAX(0,CI1260-AV424),0),0)</f>
        <v>0</v>
      </c>
      <c r="CM1260">
        <f>IF(ISNUMBER(CJ1260),IFERROR(MAX(0,AW424-CJ1260),0),0)</f>
        <v>0</v>
      </c>
      <c r="CN1260">
        <f>IF(ISNUMBER(CJ1260),IFERROR(MAX(0,CJ1260-AW424),0),0)</f>
        <v>0</v>
      </c>
      <c r="CP1260" t="e">
        <f>CB424</f>
        <v>#N/A</v>
      </c>
      <c r="CQ1260" t="e">
        <f>CC424</f>
        <v>#N/A</v>
      </c>
      <c r="CR1260">
        <f>IF(ISNUMBER(CP1260),IFERROR(MAX(0,CD424-CP1260),0),0)</f>
        <v>0</v>
      </c>
      <c r="CS1260">
        <f>IF(ISNUMBER(CP1260),IFERROR(MAX(0,CP1260-CD424),0),0)</f>
        <v>0</v>
      </c>
      <c r="CT1260">
        <f>IF(ISNUMBER(CQ1260),IFERROR(MAX(0,CE424-CQ1260),0),0)</f>
        <v>0</v>
      </c>
      <c r="CU1260">
        <f>IF(ISNUMBER(CQ1260),IFERROR(MAX(0,CQ1260-CE424),0),0)</f>
        <v>0</v>
      </c>
    </row>
    <row r="1261" spans="87:99" x14ac:dyDescent="0.3">
      <c r="CI1261" t="e">
        <f>AL425</f>
        <v>#N/A</v>
      </c>
      <c r="CJ1261" t="e">
        <f>AM425</f>
        <v>#N/A</v>
      </c>
      <c r="CK1261">
        <f>IF(ISNUMBER(CI1261),IFERROR(MAX(0,AN425-CI1261),0),0)</f>
        <v>0</v>
      </c>
      <c r="CL1261">
        <f>IF(ISNUMBER(CI1261),IFERROR(MAX(0,CI1261-AN425),0),0)</f>
        <v>0</v>
      </c>
      <c r="CM1261">
        <f>IF(ISNUMBER(CJ1261),IFERROR(MAX(0,AO425-CJ1261),0),0)</f>
        <v>0</v>
      </c>
      <c r="CN1261">
        <f>IF(ISNUMBER(CJ1261),IFERROR(MAX(0,CJ1261-AO425),0),0)</f>
        <v>0</v>
      </c>
      <c r="CP1261" t="e">
        <f>BT425</f>
        <v>#N/A</v>
      </c>
      <c r="CQ1261" t="e">
        <f>BU425</f>
        <v>#N/A</v>
      </c>
      <c r="CR1261">
        <f>IF(ISNUMBER(CP1261),IFERROR(MAX(0,BV425-CP1261),0),0)</f>
        <v>0</v>
      </c>
      <c r="CS1261">
        <f>IF(ISNUMBER(CP1261),IFERROR(MAX(0,CP1261-BV425),0),0)</f>
        <v>0</v>
      </c>
      <c r="CT1261">
        <f>IF(ISNUMBER(CQ1261),IFERROR(MAX(0,BW425-CQ1261),0),0)</f>
        <v>0</v>
      </c>
      <c r="CU1261">
        <f>IF(ISNUMBER(CQ1261),IFERROR(MAX(0,CQ1261-BW425),0),0)</f>
        <v>0</v>
      </c>
    </row>
    <row r="1262" spans="87:99" x14ac:dyDescent="0.3">
      <c r="CI1262" t="e">
        <f>AP425</f>
        <v>#N/A</v>
      </c>
      <c r="CJ1262" t="e">
        <f>AQ425</f>
        <v>#N/A</v>
      </c>
      <c r="CK1262">
        <f>IF(ISNUMBER(CI1262),IFERROR(MAX(0,AR425-CI1262),0),0)</f>
        <v>0</v>
      </c>
      <c r="CL1262">
        <f>IF(ISNUMBER(CI1262),IFERROR(MAX(0,CI1262-AR425),0),0)</f>
        <v>0</v>
      </c>
      <c r="CM1262">
        <f>IF(ISNUMBER(CJ1262),IFERROR(MAX(0,AS425-CJ1262),0),0)</f>
        <v>0</v>
      </c>
      <c r="CN1262">
        <f>IF(ISNUMBER(CJ1262),IFERROR(MAX(0,CJ1262-AS425),0),0)</f>
        <v>0</v>
      </c>
      <c r="CP1262" t="e">
        <f>BX425</f>
        <v>#N/A</v>
      </c>
      <c r="CQ1262" t="e">
        <f>BY425</f>
        <v>#N/A</v>
      </c>
      <c r="CR1262">
        <f>IF(ISNUMBER(CP1262),IFERROR(MAX(0,BZ425-CP1262),0),0)</f>
        <v>0</v>
      </c>
      <c r="CS1262">
        <f>IF(ISNUMBER(CP1262),IFERROR(MAX(0,CP1262-BZ425),0),0)</f>
        <v>0</v>
      </c>
      <c r="CT1262">
        <f>IF(ISNUMBER(CQ1262),IFERROR(MAX(0,CA425-CQ1262),0),0)</f>
        <v>0</v>
      </c>
      <c r="CU1262">
        <f>IF(ISNUMBER(CQ1262),IFERROR(MAX(0,CQ1262-CA425),0),0)</f>
        <v>0</v>
      </c>
    </row>
    <row r="1263" spans="87:99" x14ac:dyDescent="0.3">
      <c r="CI1263" t="e">
        <f>AT425</f>
        <v>#N/A</v>
      </c>
      <c r="CJ1263" t="e">
        <f>AU425</f>
        <v>#N/A</v>
      </c>
      <c r="CK1263">
        <f>IF(ISNUMBER(CI1263),IFERROR(MAX(0,AV425-CI1263),0),0)</f>
        <v>0</v>
      </c>
      <c r="CL1263">
        <f>IF(ISNUMBER(CI1263),IFERROR(MAX(0,CI1263-AV425),0),0)</f>
        <v>0</v>
      </c>
      <c r="CM1263">
        <f>IF(ISNUMBER(CJ1263),IFERROR(MAX(0,AW425-CJ1263),0),0)</f>
        <v>0</v>
      </c>
      <c r="CN1263">
        <f>IF(ISNUMBER(CJ1263),IFERROR(MAX(0,CJ1263-AW425),0),0)</f>
        <v>0</v>
      </c>
      <c r="CP1263" t="e">
        <f>CB425</f>
        <v>#N/A</v>
      </c>
      <c r="CQ1263" t="e">
        <f>CC425</f>
        <v>#N/A</v>
      </c>
      <c r="CR1263">
        <f>IF(ISNUMBER(CP1263),IFERROR(MAX(0,CD425-CP1263),0),0)</f>
        <v>0</v>
      </c>
      <c r="CS1263">
        <f>IF(ISNUMBER(CP1263),IFERROR(MAX(0,CP1263-CD425),0),0)</f>
        <v>0</v>
      </c>
      <c r="CT1263">
        <f>IF(ISNUMBER(CQ1263),IFERROR(MAX(0,CE425-CQ1263),0),0)</f>
        <v>0</v>
      </c>
      <c r="CU1263">
        <f>IF(ISNUMBER(CQ1263),IFERROR(MAX(0,CQ1263-CE425),0),0)</f>
        <v>0</v>
      </c>
    </row>
    <row r="1264" spans="87:99" x14ac:dyDescent="0.3">
      <c r="CI1264" t="e">
        <f>AL426</f>
        <v>#N/A</v>
      </c>
      <c r="CJ1264" t="e">
        <f>AM426</f>
        <v>#N/A</v>
      </c>
      <c r="CK1264">
        <f>IF(ISNUMBER(CI1264),IFERROR(MAX(0,AN426-CI1264),0),0)</f>
        <v>0</v>
      </c>
      <c r="CL1264">
        <f>IF(ISNUMBER(CI1264),IFERROR(MAX(0,CI1264-AN426),0),0)</f>
        <v>0</v>
      </c>
      <c r="CM1264">
        <f>IF(ISNUMBER(CJ1264),IFERROR(MAX(0,AO426-CJ1264),0),0)</f>
        <v>0</v>
      </c>
      <c r="CN1264">
        <f>IF(ISNUMBER(CJ1264),IFERROR(MAX(0,CJ1264-AO426),0),0)</f>
        <v>0</v>
      </c>
      <c r="CP1264" t="e">
        <f>BT426</f>
        <v>#N/A</v>
      </c>
      <c r="CQ1264" t="e">
        <f>BU426</f>
        <v>#N/A</v>
      </c>
      <c r="CR1264">
        <f>IF(ISNUMBER(CP1264),IFERROR(MAX(0,BV426-CP1264),0),0)</f>
        <v>0</v>
      </c>
      <c r="CS1264">
        <f>IF(ISNUMBER(CP1264),IFERROR(MAX(0,CP1264-BV426),0),0)</f>
        <v>0</v>
      </c>
      <c r="CT1264">
        <f>IF(ISNUMBER(CQ1264),IFERROR(MAX(0,BW426-CQ1264),0),0)</f>
        <v>0</v>
      </c>
      <c r="CU1264">
        <f>IF(ISNUMBER(CQ1264),IFERROR(MAX(0,CQ1264-BW426),0),0)</f>
        <v>0</v>
      </c>
    </row>
    <row r="1265" spans="87:99" x14ac:dyDescent="0.3">
      <c r="CI1265" t="e">
        <f>AP426</f>
        <v>#N/A</v>
      </c>
      <c r="CJ1265" t="e">
        <f>AQ426</f>
        <v>#N/A</v>
      </c>
      <c r="CK1265">
        <f>IF(ISNUMBER(CI1265),IFERROR(MAX(0,AR426-CI1265),0),0)</f>
        <v>0</v>
      </c>
      <c r="CL1265">
        <f>IF(ISNUMBER(CI1265),IFERROR(MAX(0,CI1265-AR426),0),0)</f>
        <v>0</v>
      </c>
      <c r="CM1265">
        <f>IF(ISNUMBER(CJ1265),IFERROR(MAX(0,AS426-CJ1265),0),0)</f>
        <v>0</v>
      </c>
      <c r="CN1265">
        <f>IF(ISNUMBER(CJ1265),IFERROR(MAX(0,CJ1265-AS426),0),0)</f>
        <v>0</v>
      </c>
      <c r="CP1265" t="e">
        <f>BX426</f>
        <v>#N/A</v>
      </c>
      <c r="CQ1265" t="e">
        <f>BY426</f>
        <v>#N/A</v>
      </c>
      <c r="CR1265">
        <f>IF(ISNUMBER(CP1265),IFERROR(MAX(0,BZ426-CP1265),0),0)</f>
        <v>0</v>
      </c>
      <c r="CS1265">
        <f>IF(ISNUMBER(CP1265),IFERROR(MAX(0,CP1265-BZ426),0),0)</f>
        <v>0</v>
      </c>
      <c r="CT1265">
        <f>IF(ISNUMBER(CQ1265),IFERROR(MAX(0,CA426-CQ1265),0),0)</f>
        <v>0</v>
      </c>
      <c r="CU1265">
        <f>IF(ISNUMBER(CQ1265),IFERROR(MAX(0,CQ1265-CA426),0),0)</f>
        <v>0</v>
      </c>
    </row>
    <row r="1266" spans="87:99" x14ac:dyDescent="0.3">
      <c r="CI1266" t="e">
        <f>AT426</f>
        <v>#N/A</v>
      </c>
      <c r="CJ1266" t="e">
        <f>AU426</f>
        <v>#N/A</v>
      </c>
      <c r="CK1266">
        <f>IF(ISNUMBER(CI1266),IFERROR(MAX(0,AV426-CI1266),0),0)</f>
        <v>0</v>
      </c>
      <c r="CL1266">
        <f>IF(ISNUMBER(CI1266),IFERROR(MAX(0,CI1266-AV426),0),0)</f>
        <v>0</v>
      </c>
      <c r="CM1266">
        <f>IF(ISNUMBER(CJ1266),IFERROR(MAX(0,AW426-CJ1266),0),0)</f>
        <v>0</v>
      </c>
      <c r="CN1266">
        <f>IF(ISNUMBER(CJ1266),IFERROR(MAX(0,CJ1266-AW426),0),0)</f>
        <v>0</v>
      </c>
      <c r="CP1266" t="e">
        <f>CB426</f>
        <v>#N/A</v>
      </c>
      <c r="CQ1266" t="e">
        <f>CC426</f>
        <v>#N/A</v>
      </c>
      <c r="CR1266">
        <f>IF(ISNUMBER(CP1266),IFERROR(MAX(0,CD426-CP1266),0),0)</f>
        <v>0</v>
      </c>
      <c r="CS1266">
        <f>IF(ISNUMBER(CP1266),IFERROR(MAX(0,CP1266-CD426),0),0)</f>
        <v>0</v>
      </c>
      <c r="CT1266">
        <f>IF(ISNUMBER(CQ1266),IFERROR(MAX(0,CE426-CQ1266),0),0)</f>
        <v>0</v>
      </c>
      <c r="CU1266">
        <f>IF(ISNUMBER(CQ1266),IFERROR(MAX(0,CQ1266-CE426),0),0)</f>
        <v>0</v>
      </c>
    </row>
    <row r="1267" spans="87:99" x14ac:dyDescent="0.3">
      <c r="CI1267" t="e">
        <f>AL427</f>
        <v>#N/A</v>
      </c>
      <c r="CJ1267" t="e">
        <f>AM427</f>
        <v>#N/A</v>
      </c>
      <c r="CK1267">
        <f>IF(ISNUMBER(CI1267),IFERROR(MAX(0,AN427-CI1267),0),0)</f>
        <v>0</v>
      </c>
      <c r="CL1267">
        <f>IF(ISNUMBER(CI1267),IFERROR(MAX(0,CI1267-AN427),0),0)</f>
        <v>0</v>
      </c>
      <c r="CM1267">
        <f>IF(ISNUMBER(CJ1267),IFERROR(MAX(0,AO427-CJ1267),0),0)</f>
        <v>0</v>
      </c>
      <c r="CN1267">
        <f>IF(ISNUMBER(CJ1267),IFERROR(MAX(0,CJ1267-AO427),0),0)</f>
        <v>0</v>
      </c>
      <c r="CP1267" t="e">
        <f>BT427</f>
        <v>#N/A</v>
      </c>
      <c r="CQ1267" t="e">
        <f>BU427</f>
        <v>#N/A</v>
      </c>
      <c r="CR1267">
        <f>IF(ISNUMBER(CP1267),IFERROR(MAX(0,BV427-CP1267),0),0)</f>
        <v>0</v>
      </c>
      <c r="CS1267">
        <f>IF(ISNUMBER(CP1267),IFERROR(MAX(0,CP1267-BV427),0),0)</f>
        <v>0</v>
      </c>
      <c r="CT1267">
        <f>IF(ISNUMBER(CQ1267),IFERROR(MAX(0,BW427-CQ1267),0),0)</f>
        <v>0</v>
      </c>
      <c r="CU1267">
        <f>IF(ISNUMBER(CQ1267),IFERROR(MAX(0,CQ1267-BW427),0),0)</f>
        <v>0</v>
      </c>
    </row>
    <row r="1268" spans="87:99" x14ac:dyDescent="0.3">
      <c r="CI1268" t="e">
        <f>AP427</f>
        <v>#N/A</v>
      </c>
      <c r="CJ1268" t="e">
        <f>AQ427</f>
        <v>#N/A</v>
      </c>
      <c r="CK1268">
        <f>IF(ISNUMBER(CI1268),IFERROR(MAX(0,AR427-CI1268),0),0)</f>
        <v>0</v>
      </c>
      <c r="CL1268">
        <f>IF(ISNUMBER(CI1268),IFERROR(MAX(0,CI1268-AR427),0),0)</f>
        <v>0</v>
      </c>
      <c r="CM1268">
        <f>IF(ISNUMBER(CJ1268),IFERROR(MAX(0,AS427-CJ1268),0),0)</f>
        <v>0</v>
      </c>
      <c r="CN1268">
        <f>IF(ISNUMBER(CJ1268),IFERROR(MAX(0,CJ1268-AS427),0),0)</f>
        <v>0</v>
      </c>
      <c r="CP1268" t="e">
        <f>BX427</f>
        <v>#N/A</v>
      </c>
      <c r="CQ1268" t="e">
        <f>BY427</f>
        <v>#N/A</v>
      </c>
      <c r="CR1268">
        <f>IF(ISNUMBER(CP1268),IFERROR(MAX(0,BZ427-CP1268),0),0)</f>
        <v>0</v>
      </c>
      <c r="CS1268">
        <f>IF(ISNUMBER(CP1268),IFERROR(MAX(0,CP1268-BZ427),0),0)</f>
        <v>0</v>
      </c>
      <c r="CT1268">
        <f>IF(ISNUMBER(CQ1268),IFERROR(MAX(0,CA427-CQ1268),0),0)</f>
        <v>0</v>
      </c>
      <c r="CU1268">
        <f>IF(ISNUMBER(CQ1268),IFERROR(MAX(0,CQ1268-CA427),0),0)</f>
        <v>0</v>
      </c>
    </row>
    <row r="1269" spans="87:99" x14ac:dyDescent="0.3">
      <c r="CI1269" t="e">
        <f>AT427</f>
        <v>#N/A</v>
      </c>
      <c r="CJ1269" t="e">
        <f>AU427</f>
        <v>#N/A</v>
      </c>
      <c r="CK1269">
        <f>IF(ISNUMBER(CI1269),IFERROR(MAX(0,AV427-CI1269),0),0)</f>
        <v>0</v>
      </c>
      <c r="CL1269">
        <f>IF(ISNUMBER(CI1269),IFERROR(MAX(0,CI1269-AV427),0),0)</f>
        <v>0</v>
      </c>
      <c r="CM1269">
        <f>IF(ISNUMBER(CJ1269),IFERROR(MAX(0,AW427-CJ1269),0),0)</f>
        <v>0</v>
      </c>
      <c r="CN1269">
        <f>IF(ISNUMBER(CJ1269),IFERROR(MAX(0,CJ1269-AW427),0),0)</f>
        <v>0</v>
      </c>
      <c r="CP1269" t="e">
        <f>CB427</f>
        <v>#N/A</v>
      </c>
      <c r="CQ1269" t="e">
        <f>CC427</f>
        <v>#N/A</v>
      </c>
      <c r="CR1269">
        <f>IF(ISNUMBER(CP1269),IFERROR(MAX(0,CD427-CP1269),0),0)</f>
        <v>0</v>
      </c>
      <c r="CS1269">
        <f>IF(ISNUMBER(CP1269),IFERROR(MAX(0,CP1269-CD427),0),0)</f>
        <v>0</v>
      </c>
      <c r="CT1269">
        <f>IF(ISNUMBER(CQ1269),IFERROR(MAX(0,CE427-CQ1269),0),0)</f>
        <v>0</v>
      </c>
      <c r="CU1269">
        <f>IF(ISNUMBER(CQ1269),IFERROR(MAX(0,CQ1269-CE427),0),0)</f>
        <v>0</v>
      </c>
    </row>
    <row r="1270" spans="87:99" x14ac:dyDescent="0.3">
      <c r="CI1270" t="e">
        <f>AL428</f>
        <v>#N/A</v>
      </c>
      <c r="CJ1270" t="e">
        <f>AM428</f>
        <v>#N/A</v>
      </c>
      <c r="CK1270">
        <f>IF(ISNUMBER(CI1270),IFERROR(MAX(0,AN428-CI1270),0),0)</f>
        <v>0</v>
      </c>
      <c r="CL1270">
        <f>IF(ISNUMBER(CI1270),IFERROR(MAX(0,CI1270-AN428),0),0)</f>
        <v>0</v>
      </c>
      <c r="CM1270">
        <f>IF(ISNUMBER(CJ1270),IFERROR(MAX(0,AO428-CJ1270),0),0)</f>
        <v>0</v>
      </c>
      <c r="CN1270">
        <f>IF(ISNUMBER(CJ1270),IFERROR(MAX(0,CJ1270-AO428),0),0)</f>
        <v>0</v>
      </c>
      <c r="CP1270" t="e">
        <f>BT428</f>
        <v>#N/A</v>
      </c>
      <c r="CQ1270" t="e">
        <f>BU428</f>
        <v>#N/A</v>
      </c>
      <c r="CR1270">
        <f>IF(ISNUMBER(CP1270),IFERROR(MAX(0,BV428-CP1270),0),0)</f>
        <v>0</v>
      </c>
      <c r="CS1270">
        <f>IF(ISNUMBER(CP1270),IFERROR(MAX(0,CP1270-BV428),0),0)</f>
        <v>0</v>
      </c>
      <c r="CT1270">
        <f>IF(ISNUMBER(CQ1270),IFERROR(MAX(0,BW428-CQ1270),0),0)</f>
        <v>0</v>
      </c>
      <c r="CU1270">
        <f>IF(ISNUMBER(CQ1270),IFERROR(MAX(0,CQ1270-BW428),0),0)</f>
        <v>0</v>
      </c>
    </row>
    <row r="1271" spans="87:99" x14ac:dyDescent="0.3">
      <c r="CI1271" t="e">
        <f>AP428</f>
        <v>#N/A</v>
      </c>
      <c r="CJ1271" t="e">
        <f>AQ428</f>
        <v>#N/A</v>
      </c>
      <c r="CK1271">
        <f>IF(ISNUMBER(CI1271),IFERROR(MAX(0,AR428-CI1271),0),0)</f>
        <v>0</v>
      </c>
      <c r="CL1271">
        <f>IF(ISNUMBER(CI1271),IFERROR(MAX(0,CI1271-AR428),0),0)</f>
        <v>0</v>
      </c>
      <c r="CM1271">
        <f>IF(ISNUMBER(CJ1271),IFERROR(MAX(0,AS428-CJ1271),0),0)</f>
        <v>0</v>
      </c>
      <c r="CN1271">
        <f>IF(ISNUMBER(CJ1271),IFERROR(MAX(0,CJ1271-AS428),0),0)</f>
        <v>0</v>
      </c>
      <c r="CP1271" t="e">
        <f>BX428</f>
        <v>#N/A</v>
      </c>
      <c r="CQ1271" t="e">
        <f>BY428</f>
        <v>#N/A</v>
      </c>
      <c r="CR1271">
        <f>IF(ISNUMBER(CP1271),IFERROR(MAX(0,BZ428-CP1271),0),0)</f>
        <v>0</v>
      </c>
      <c r="CS1271">
        <f>IF(ISNUMBER(CP1271),IFERROR(MAX(0,CP1271-BZ428),0),0)</f>
        <v>0</v>
      </c>
      <c r="CT1271">
        <f>IF(ISNUMBER(CQ1271),IFERROR(MAX(0,CA428-CQ1271),0),0)</f>
        <v>0</v>
      </c>
      <c r="CU1271">
        <f>IF(ISNUMBER(CQ1271),IFERROR(MAX(0,CQ1271-CA428),0),0)</f>
        <v>0</v>
      </c>
    </row>
    <row r="1272" spans="87:99" x14ac:dyDescent="0.3">
      <c r="CI1272" t="e">
        <f>AT428</f>
        <v>#N/A</v>
      </c>
      <c r="CJ1272" t="e">
        <f>AU428</f>
        <v>#N/A</v>
      </c>
      <c r="CK1272">
        <f>IF(ISNUMBER(CI1272),IFERROR(MAX(0,AV428-CI1272),0),0)</f>
        <v>0</v>
      </c>
      <c r="CL1272">
        <f>IF(ISNUMBER(CI1272),IFERROR(MAX(0,CI1272-AV428),0),0)</f>
        <v>0</v>
      </c>
      <c r="CM1272">
        <f>IF(ISNUMBER(CJ1272),IFERROR(MAX(0,AW428-CJ1272),0),0)</f>
        <v>0</v>
      </c>
      <c r="CN1272">
        <f>IF(ISNUMBER(CJ1272),IFERROR(MAX(0,CJ1272-AW428),0),0)</f>
        <v>0</v>
      </c>
      <c r="CP1272" t="e">
        <f>CB428</f>
        <v>#N/A</v>
      </c>
      <c r="CQ1272" t="e">
        <f>CC428</f>
        <v>#N/A</v>
      </c>
      <c r="CR1272">
        <f>IF(ISNUMBER(CP1272),IFERROR(MAX(0,CD428-CP1272),0),0)</f>
        <v>0</v>
      </c>
      <c r="CS1272">
        <f>IF(ISNUMBER(CP1272),IFERROR(MAX(0,CP1272-CD428),0),0)</f>
        <v>0</v>
      </c>
      <c r="CT1272">
        <f>IF(ISNUMBER(CQ1272),IFERROR(MAX(0,CE428-CQ1272),0),0)</f>
        <v>0</v>
      </c>
      <c r="CU1272">
        <f>IF(ISNUMBER(CQ1272),IFERROR(MAX(0,CQ1272-CE428),0),0)</f>
        <v>0</v>
      </c>
    </row>
    <row r="1273" spans="87:99" x14ac:dyDescent="0.3">
      <c r="CI1273" t="e">
        <f>AL429</f>
        <v>#N/A</v>
      </c>
      <c r="CJ1273" t="e">
        <f>AM429</f>
        <v>#N/A</v>
      </c>
      <c r="CK1273">
        <f>IF(ISNUMBER(CI1273),IFERROR(MAX(0,AN429-CI1273),0),0)</f>
        <v>0</v>
      </c>
      <c r="CL1273">
        <f>IF(ISNUMBER(CI1273),IFERROR(MAX(0,CI1273-AN429),0),0)</f>
        <v>0</v>
      </c>
      <c r="CM1273">
        <f>IF(ISNUMBER(CJ1273),IFERROR(MAX(0,AO429-CJ1273),0),0)</f>
        <v>0</v>
      </c>
      <c r="CN1273">
        <f>IF(ISNUMBER(CJ1273),IFERROR(MAX(0,CJ1273-AO429),0),0)</f>
        <v>0</v>
      </c>
      <c r="CP1273" t="e">
        <f>BT429</f>
        <v>#N/A</v>
      </c>
      <c r="CQ1273" t="e">
        <f>BU429</f>
        <v>#N/A</v>
      </c>
      <c r="CR1273">
        <f>IF(ISNUMBER(CP1273),IFERROR(MAX(0,BV429-CP1273),0),0)</f>
        <v>0</v>
      </c>
      <c r="CS1273">
        <f>IF(ISNUMBER(CP1273),IFERROR(MAX(0,CP1273-BV429),0),0)</f>
        <v>0</v>
      </c>
      <c r="CT1273">
        <f>IF(ISNUMBER(CQ1273),IFERROR(MAX(0,BW429-CQ1273),0),0)</f>
        <v>0</v>
      </c>
      <c r="CU1273">
        <f>IF(ISNUMBER(CQ1273),IFERROR(MAX(0,CQ1273-BW429),0),0)</f>
        <v>0</v>
      </c>
    </row>
    <row r="1274" spans="87:99" x14ac:dyDescent="0.3">
      <c r="CI1274" t="e">
        <f>AP429</f>
        <v>#N/A</v>
      </c>
      <c r="CJ1274" t="e">
        <f>AQ429</f>
        <v>#N/A</v>
      </c>
      <c r="CK1274">
        <f>IF(ISNUMBER(CI1274),IFERROR(MAX(0,AR429-CI1274),0),0)</f>
        <v>0</v>
      </c>
      <c r="CL1274">
        <f>IF(ISNUMBER(CI1274),IFERROR(MAX(0,CI1274-AR429),0),0)</f>
        <v>0</v>
      </c>
      <c r="CM1274">
        <f>IF(ISNUMBER(CJ1274),IFERROR(MAX(0,AS429-CJ1274),0),0)</f>
        <v>0</v>
      </c>
      <c r="CN1274">
        <f>IF(ISNUMBER(CJ1274),IFERROR(MAX(0,CJ1274-AS429),0),0)</f>
        <v>0</v>
      </c>
      <c r="CP1274" t="e">
        <f>BX429</f>
        <v>#N/A</v>
      </c>
      <c r="CQ1274" t="e">
        <f>BY429</f>
        <v>#N/A</v>
      </c>
      <c r="CR1274">
        <f>IF(ISNUMBER(CP1274),IFERROR(MAX(0,BZ429-CP1274),0),0)</f>
        <v>0</v>
      </c>
      <c r="CS1274">
        <f>IF(ISNUMBER(CP1274),IFERROR(MAX(0,CP1274-BZ429),0),0)</f>
        <v>0</v>
      </c>
      <c r="CT1274">
        <f>IF(ISNUMBER(CQ1274),IFERROR(MAX(0,CA429-CQ1274),0),0)</f>
        <v>0</v>
      </c>
      <c r="CU1274">
        <f>IF(ISNUMBER(CQ1274),IFERROR(MAX(0,CQ1274-CA429),0),0)</f>
        <v>0</v>
      </c>
    </row>
    <row r="1275" spans="87:99" x14ac:dyDescent="0.3">
      <c r="CI1275" t="e">
        <f>AT429</f>
        <v>#N/A</v>
      </c>
      <c r="CJ1275" t="e">
        <f>AU429</f>
        <v>#N/A</v>
      </c>
      <c r="CK1275">
        <f>IF(ISNUMBER(CI1275),IFERROR(MAX(0,AV429-CI1275),0),0)</f>
        <v>0</v>
      </c>
      <c r="CL1275">
        <f>IF(ISNUMBER(CI1275),IFERROR(MAX(0,CI1275-AV429),0),0)</f>
        <v>0</v>
      </c>
      <c r="CM1275">
        <f>IF(ISNUMBER(CJ1275),IFERROR(MAX(0,AW429-CJ1275),0),0)</f>
        <v>0</v>
      </c>
      <c r="CN1275">
        <f>IF(ISNUMBER(CJ1275),IFERROR(MAX(0,CJ1275-AW429),0),0)</f>
        <v>0</v>
      </c>
      <c r="CP1275" t="e">
        <f>CB429</f>
        <v>#N/A</v>
      </c>
      <c r="CQ1275" t="e">
        <f>CC429</f>
        <v>#N/A</v>
      </c>
      <c r="CR1275">
        <f>IF(ISNUMBER(CP1275),IFERROR(MAX(0,CD429-CP1275),0),0)</f>
        <v>0</v>
      </c>
      <c r="CS1275">
        <f>IF(ISNUMBER(CP1275),IFERROR(MAX(0,CP1275-CD429),0),0)</f>
        <v>0</v>
      </c>
      <c r="CT1275">
        <f>IF(ISNUMBER(CQ1275),IFERROR(MAX(0,CE429-CQ1275),0),0)</f>
        <v>0</v>
      </c>
      <c r="CU1275">
        <f>IF(ISNUMBER(CQ1275),IFERROR(MAX(0,CQ1275-CE429),0),0)</f>
        <v>0</v>
      </c>
    </row>
    <row r="1276" spans="87:99" x14ac:dyDescent="0.3">
      <c r="CI1276" t="e">
        <f>AL430</f>
        <v>#N/A</v>
      </c>
      <c r="CJ1276" t="e">
        <f>AM430</f>
        <v>#N/A</v>
      </c>
      <c r="CK1276">
        <f>IF(ISNUMBER(CI1276),IFERROR(MAX(0,AN430-CI1276),0),0)</f>
        <v>0</v>
      </c>
      <c r="CL1276">
        <f>IF(ISNUMBER(CI1276),IFERROR(MAX(0,CI1276-AN430),0),0)</f>
        <v>0</v>
      </c>
      <c r="CM1276">
        <f>IF(ISNUMBER(CJ1276),IFERROR(MAX(0,AO430-CJ1276),0),0)</f>
        <v>0</v>
      </c>
      <c r="CN1276">
        <f>IF(ISNUMBER(CJ1276),IFERROR(MAX(0,CJ1276-AO430),0),0)</f>
        <v>0</v>
      </c>
      <c r="CP1276" t="e">
        <f>BT430</f>
        <v>#N/A</v>
      </c>
      <c r="CQ1276" t="e">
        <f>BU430</f>
        <v>#N/A</v>
      </c>
      <c r="CR1276">
        <f>IF(ISNUMBER(CP1276),IFERROR(MAX(0,BV430-CP1276),0),0)</f>
        <v>0</v>
      </c>
      <c r="CS1276">
        <f>IF(ISNUMBER(CP1276),IFERROR(MAX(0,CP1276-BV430),0),0)</f>
        <v>0</v>
      </c>
      <c r="CT1276">
        <f>IF(ISNUMBER(CQ1276),IFERROR(MAX(0,BW430-CQ1276),0),0)</f>
        <v>0</v>
      </c>
      <c r="CU1276">
        <f>IF(ISNUMBER(CQ1276),IFERROR(MAX(0,CQ1276-BW430),0),0)</f>
        <v>0</v>
      </c>
    </row>
    <row r="1277" spans="87:99" x14ac:dyDescent="0.3">
      <c r="CI1277" t="e">
        <f>AP430</f>
        <v>#N/A</v>
      </c>
      <c r="CJ1277" t="e">
        <f>AQ430</f>
        <v>#N/A</v>
      </c>
      <c r="CK1277">
        <f>IF(ISNUMBER(CI1277),IFERROR(MAX(0,AR430-CI1277),0),0)</f>
        <v>0</v>
      </c>
      <c r="CL1277">
        <f>IF(ISNUMBER(CI1277),IFERROR(MAX(0,CI1277-AR430),0),0)</f>
        <v>0</v>
      </c>
      <c r="CM1277">
        <f>IF(ISNUMBER(CJ1277),IFERROR(MAX(0,AS430-CJ1277),0),0)</f>
        <v>0</v>
      </c>
      <c r="CN1277">
        <f>IF(ISNUMBER(CJ1277),IFERROR(MAX(0,CJ1277-AS430),0),0)</f>
        <v>0</v>
      </c>
      <c r="CP1277" t="e">
        <f>BX430</f>
        <v>#N/A</v>
      </c>
      <c r="CQ1277" t="e">
        <f>BY430</f>
        <v>#N/A</v>
      </c>
      <c r="CR1277">
        <f>IF(ISNUMBER(CP1277),IFERROR(MAX(0,BZ430-CP1277),0),0)</f>
        <v>0</v>
      </c>
      <c r="CS1277">
        <f>IF(ISNUMBER(CP1277),IFERROR(MAX(0,CP1277-BZ430),0),0)</f>
        <v>0</v>
      </c>
      <c r="CT1277">
        <f>IF(ISNUMBER(CQ1277),IFERROR(MAX(0,CA430-CQ1277),0),0)</f>
        <v>0</v>
      </c>
      <c r="CU1277">
        <f>IF(ISNUMBER(CQ1277),IFERROR(MAX(0,CQ1277-CA430),0),0)</f>
        <v>0</v>
      </c>
    </row>
    <row r="1278" spans="87:99" x14ac:dyDescent="0.3">
      <c r="CI1278" t="e">
        <f>AT430</f>
        <v>#N/A</v>
      </c>
      <c r="CJ1278" t="e">
        <f>AU430</f>
        <v>#N/A</v>
      </c>
      <c r="CK1278">
        <f>IF(ISNUMBER(CI1278),IFERROR(MAX(0,AV430-CI1278),0),0)</f>
        <v>0</v>
      </c>
      <c r="CL1278">
        <f>IF(ISNUMBER(CI1278),IFERROR(MAX(0,CI1278-AV430),0),0)</f>
        <v>0</v>
      </c>
      <c r="CM1278">
        <f>IF(ISNUMBER(CJ1278),IFERROR(MAX(0,AW430-CJ1278),0),0)</f>
        <v>0</v>
      </c>
      <c r="CN1278">
        <f>IF(ISNUMBER(CJ1278),IFERROR(MAX(0,CJ1278-AW430),0),0)</f>
        <v>0</v>
      </c>
      <c r="CP1278" t="e">
        <f>CB430</f>
        <v>#N/A</v>
      </c>
      <c r="CQ1278" t="e">
        <f>CC430</f>
        <v>#N/A</v>
      </c>
      <c r="CR1278">
        <f>IF(ISNUMBER(CP1278),IFERROR(MAX(0,CD430-CP1278),0),0)</f>
        <v>0</v>
      </c>
      <c r="CS1278">
        <f>IF(ISNUMBER(CP1278),IFERROR(MAX(0,CP1278-CD430),0),0)</f>
        <v>0</v>
      </c>
      <c r="CT1278">
        <f>IF(ISNUMBER(CQ1278),IFERROR(MAX(0,CE430-CQ1278),0),0)</f>
        <v>0</v>
      </c>
      <c r="CU1278">
        <f>IF(ISNUMBER(CQ1278),IFERROR(MAX(0,CQ1278-CE430),0),0)</f>
        <v>0</v>
      </c>
    </row>
    <row r="1279" spans="87:99" x14ac:dyDescent="0.3">
      <c r="CI1279" t="e">
        <f>AL431</f>
        <v>#N/A</v>
      </c>
      <c r="CJ1279" t="e">
        <f>AM431</f>
        <v>#N/A</v>
      </c>
      <c r="CK1279">
        <f>IF(ISNUMBER(CI1279),IFERROR(MAX(0,AN431-CI1279),0),0)</f>
        <v>0</v>
      </c>
      <c r="CL1279">
        <f>IF(ISNUMBER(CI1279),IFERROR(MAX(0,CI1279-AN431),0),0)</f>
        <v>0</v>
      </c>
      <c r="CM1279">
        <f>IF(ISNUMBER(CJ1279),IFERROR(MAX(0,AO431-CJ1279),0),0)</f>
        <v>0</v>
      </c>
      <c r="CN1279">
        <f>IF(ISNUMBER(CJ1279),IFERROR(MAX(0,CJ1279-AO431),0),0)</f>
        <v>0</v>
      </c>
      <c r="CP1279" t="e">
        <f>BT431</f>
        <v>#N/A</v>
      </c>
      <c r="CQ1279" t="e">
        <f>BU431</f>
        <v>#N/A</v>
      </c>
      <c r="CR1279">
        <f>IF(ISNUMBER(CP1279),IFERROR(MAX(0,BV431-CP1279),0),0)</f>
        <v>0</v>
      </c>
      <c r="CS1279">
        <f>IF(ISNUMBER(CP1279),IFERROR(MAX(0,CP1279-BV431),0),0)</f>
        <v>0</v>
      </c>
      <c r="CT1279">
        <f>IF(ISNUMBER(CQ1279),IFERROR(MAX(0,BW431-CQ1279),0),0)</f>
        <v>0</v>
      </c>
      <c r="CU1279">
        <f>IF(ISNUMBER(CQ1279),IFERROR(MAX(0,CQ1279-BW431),0),0)</f>
        <v>0</v>
      </c>
    </row>
    <row r="1280" spans="87:99" x14ac:dyDescent="0.3">
      <c r="CI1280" t="e">
        <f>AP431</f>
        <v>#N/A</v>
      </c>
      <c r="CJ1280" t="e">
        <f>AQ431</f>
        <v>#N/A</v>
      </c>
      <c r="CK1280">
        <f>IF(ISNUMBER(CI1280),IFERROR(MAX(0,AR431-CI1280),0),0)</f>
        <v>0</v>
      </c>
      <c r="CL1280">
        <f>IF(ISNUMBER(CI1280),IFERROR(MAX(0,CI1280-AR431),0),0)</f>
        <v>0</v>
      </c>
      <c r="CM1280">
        <f>IF(ISNUMBER(CJ1280),IFERROR(MAX(0,AS431-CJ1280),0),0)</f>
        <v>0</v>
      </c>
      <c r="CN1280">
        <f>IF(ISNUMBER(CJ1280),IFERROR(MAX(0,CJ1280-AS431),0),0)</f>
        <v>0</v>
      </c>
      <c r="CP1280" t="e">
        <f>BX431</f>
        <v>#N/A</v>
      </c>
      <c r="CQ1280" t="e">
        <f>BY431</f>
        <v>#N/A</v>
      </c>
      <c r="CR1280">
        <f>IF(ISNUMBER(CP1280),IFERROR(MAX(0,BZ431-CP1280),0),0)</f>
        <v>0</v>
      </c>
      <c r="CS1280">
        <f>IF(ISNUMBER(CP1280),IFERROR(MAX(0,CP1280-BZ431),0),0)</f>
        <v>0</v>
      </c>
      <c r="CT1280">
        <f>IF(ISNUMBER(CQ1280),IFERROR(MAX(0,CA431-CQ1280),0),0)</f>
        <v>0</v>
      </c>
      <c r="CU1280">
        <f>IF(ISNUMBER(CQ1280),IFERROR(MAX(0,CQ1280-CA431),0),0)</f>
        <v>0</v>
      </c>
    </row>
    <row r="1281" spans="87:99" x14ac:dyDescent="0.3">
      <c r="CI1281" t="e">
        <f>AT431</f>
        <v>#N/A</v>
      </c>
      <c r="CJ1281" t="e">
        <f>AU431</f>
        <v>#N/A</v>
      </c>
      <c r="CK1281">
        <f>IF(ISNUMBER(CI1281),IFERROR(MAX(0,AV431-CI1281),0),0)</f>
        <v>0</v>
      </c>
      <c r="CL1281">
        <f>IF(ISNUMBER(CI1281),IFERROR(MAX(0,CI1281-AV431),0),0)</f>
        <v>0</v>
      </c>
      <c r="CM1281">
        <f>IF(ISNUMBER(CJ1281),IFERROR(MAX(0,AW431-CJ1281),0),0)</f>
        <v>0</v>
      </c>
      <c r="CN1281">
        <f>IF(ISNUMBER(CJ1281),IFERROR(MAX(0,CJ1281-AW431),0),0)</f>
        <v>0</v>
      </c>
      <c r="CP1281" t="e">
        <f>CB431</f>
        <v>#N/A</v>
      </c>
      <c r="CQ1281" t="e">
        <f>CC431</f>
        <v>#N/A</v>
      </c>
      <c r="CR1281">
        <f>IF(ISNUMBER(CP1281),IFERROR(MAX(0,CD431-CP1281),0),0)</f>
        <v>0</v>
      </c>
      <c r="CS1281">
        <f>IF(ISNUMBER(CP1281),IFERROR(MAX(0,CP1281-CD431),0),0)</f>
        <v>0</v>
      </c>
      <c r="CT1281">
        <f>IF(ISNUMBER(CQ1281),IFERROR(MAX(0,CE431-CQ1281),0),0)</f>
        <v>0</v>
      </c>
      <c r="CU1281">
        <f>IF(ISNUMBER(CQ1281),IFERROR(MAX(0,CQ1281-CE431),0),0)</f>
        <v>0</v>
      </c>
    </row>
    <row r="1282" spans="87:99" x14ac:dyDescent="0.3">
      <c r="CI1282" t="e">
        <f>AL432</f>
        <v>#N/A</v>
      </c>
      <c r="CJ1282" t="e">
        <f>AM432</f>
        <v>#N/A</v>
      </c>
      <c r="CK1282">
        <f>IF(ISNUMBER(CI1282),IFERROR(MAX(0,AN432-CI1282),0),0)</f>
        <v>0</v>
      </c>
      <c r="CL1282">
        <f>IF(ISNUMBER(CI1282),IFERROR(MAX(0,CI1282-AN432),0),0)</f>
        <v>0</v>
      </c>
      <c r="CM1282">
        <f>IF(ISNUMBER(CJ1282),IFERROR(MAX(0,AO432-CJ1282),0),0)</f>
        <v>0</v>
      </c>
      <c r="CN1282">
        <f>IF(ISNUMBER(CJ1282),IFERROR(MAX(0,CJ1282-AO432),0),0)</f>
        <v>0</v>
      </c>
      <c r="CP1282" t="e">
        <f>BT432</f>
        <v>#N/A</v>
      </c>
      <c r="CQ1282" t="e">
        <f>BU432</f>
        <v>#N/A</v>
      </c>
      <c r="CR1282">
        <f>IF(ISNUMBER(CP1282),IFERROR(MAX(0,BV432-CP1282),0),0)</f>
        <v>0</v>
      </c>
      <c r="CS1282">
        <f>IF(ISNUMBER(CP1282),IFERROR(MAX(0,CP1282-BV432),0),0)</f>
        <v>0</v>
      </c>
      <c r="CT1282">
        <f>IF(ISNUMBER(CQ1282),IFERROR(MAX(0,BW432-CQ1282),0),0)</f>
        <v>0</v>
      </c>
      <c r="CU1282">
        <f>IF(ISNUMBER(CQ1282),IFERROR(MAX(0,CQ1282-BW432),0),0)</f>
        <v>0</v>
      </c>
    </row>
    <row r="1283" spans="87:99" x14ac:dyDescent="0.3">
      <c r="CI1283" t="e">
        <f>AP432</f>
        <v>#N/A</v>
      </c>
      <c r="CJ1283" t="e">
        <f>AQ432</f>
        <v>#N/A</v>
      </c>
      <c r="CK1283">
        <f>IF(ISNUMBER(CI1283),IFERROR(MAX(0,AR432-CI1283),0),0)</f>
        <v>0</v>
      </c>
      <c r="CL1283">
        <f>IF(ISNUMBER(CI1283),IFERROR(MAX(0,CI1283-AR432),0),0)</f>
        <v>0</v>
      </c>
      <c r="CM1283">
        <f>IF(ISNUMBER(CJ1283),IFERROR(MAX(0,AS432-CJ1283),0),0)</f>
        <v>0</v>
      </c>
      <c r="CN1283">
        <f>IF(ISNUMBER(CJ1283),IFERROR(MAX(0,CJ1283-AS432),0),0)</f>
        <v>0</v>
      </c>
      <c r="CP1283" t="e">
        <f>BX432</f>
        <v>#N/A</v>
      </c>
      <c r="CQ1283" t="e">
        <f>BY432</f>
        <v>#N/A</v>
      </c>
      <c r="CR1283">
        <f>IF(ISNUMBER(CP1283),IFERROR(MAX(0,BZ432-CP1283),0),0)</f>
        <v>0</v>
      </c>
      <c r="CS1283">
        <f>IF(ISNUMBER(CP1283),IFERROR(MAX(0,CP1283-BZ432),0),0)</f>
        <v>0</v>
      </c>
      <c r="CT1283">
        <f>IF(ISNUMBER(CQ1283),IFERROR(MAX(0,CA432-CQ1283),0),0)</f>
        <v>0</v>
      </c>
      <c r="CU1283">
        <f>IF(ISNUMBER(CQ1283),IFERROR(MAX(0,CQ1283-CA432),0),0)</f>
        <v>0</v>
      </c>
    </row>
    <row r="1284" spans="87:99" x14ac:dyDescent="0.3">
      <c r="CI1284" t="e">
        <f>AT432</f>
        <v>#N/A</v>
      </c>
      <c r="CJ1284" t="e">
        <f>AU432</f>
        <v>#N/A</v>
      </c>
      <c r="CK1284">
        <f>IF(ISNUMBER(CI1284),IFERROR(MAX(0,AV432-CI1284),0),0)</f>
        <v>0</v>
      </c>
      <c r="CL1284">
        <f>IF(ISNUMBER(CI1284),IFERROR(MAX(0,CI1284-AV432),0),0)</f>
        <v>0</v>
      </c>
      <c r="CM1284">
        <f>IF(ISNUMBER(CJ1284),IFERROR(MAX(0,AW432-CJ1284),0),0)</f>
        <v>0</v>
      </c>
      <c r="CN1284">
        <f>IF(ISNUMBER(CJ1284),IFERROR(MAX(0,CJ1284-AW432),0),0)</f>
        <v>0</v>
      </c>
      <c r="CP1284" t="e">
        <f>CB432</f>
        <v>#N/A</v>
      </c>
      <c r="CQ1284" t="e">
        <f>CC432</f>
        <v>#N/A</v>
      </c>
      <c r="CR1284">
        <f>IF(ISNUMBER(CP1284),IFERROR(MAX(0,CD432-CP1284),0),0)</f>
        <v>0</v>
      </c>
      <c r="CS1284">
        <f>IF(ISNUMBER(CP1284),IFERROR(MAX(0,CP1284-CD432),0),0)</f>
        <v>0</v>
      </c>
      <c r="CT1284">
        <f>IF(ISNUMBER(CQ1284),IFERROR(MAX(0,CE432-CQ1284),0),0)</f>
        <v>0</v>
      </c>
      <c r="CU1284">
        <f>IF(ISNUMBER(CQ1284),IFERROR(MAX(0,CQ1284-CE432),0),0)</f>
        <v>0</v>
      </c>
    </row>
    <row r="1285" spans="87:99" x14ac:dyDescent="0.3">
      <c r="CI1285" t="e">
        <f>AL433</f>
        <v>#N/A</v>
      </c>
      <c r="CJ1285" t="e">
        <f>AM433</f>
        <v>#N/A</v>
      </c>
      <c r="CK1285">
        <f>IF(ISNUMBER(CI1285),IFERROR(MAX(0,AN433-CI1285),0),0)</f>
        <v>0</v>
      </c>
      <c r="CL1285">
        <f>IF(ISNUMBER(CI1285),IFERROR(MAX(0,CI1285-AN433),0),0)</f>
        <v>0</v>
      </c>
      <c r="CM1285">
        <f>IF(ISNUMBER(CJ1285),IFERROR(MAX(0,AO433-CJ1285),0),0)</f>
        <v>0</v>
      </c>
      <c r="CN1285">
        <f>IF(ISNUMBER(CJ1285),IFERROR(MAX(0,CJ1285-AO433),0),0)</f>
        <v>0</v>
      </c>
      <c r="CP1285" t="e">
        <f>BT433</f>
        <v>#N/A</v>
      </c>
      <c r="CQ1285" t="e">
        <f>BU433</f>
        <v>#N/A</v>
      </c>
      <c r="CR1285">
        <f>IF(ISNUMBER(CP1285),IFERROR(MAX(0,BV433-CP1285),0),0)</f>
        <v>0</v>
      </c>
      <c r="CS1285">
        <f>IF(ISNUMBER(CP1285),IFERROR(MAX(0,CP1285-BV433),0),0)</f>
        <v>0</v>
      </c>
      <c r="CT1285">
        <f>IF(ISNUMBER(CQ1285),IFERROR(MAX(0,BW433-CQ1285),0),0)</f>
        <v>0</v>
      </c>
      <c r="CU1285">
        <f>IF(ISNUMBER(CQ1285),IFERROR(MAX(0,CQ1285-BW433),0),0)</f>
        <v>0</v>
      </c>
    </row>
    <row r="1286" spans="87:99" x14ac:dyDescent="0.3">
      <c r="CI1286" t="e">
        <f>AP433</f>
        <v>#N/A</v>
      </c>
      <c r="CJ1286" t="e">
        <f>AQ433</f>
        <v>#N/A</v>
      </c>
      <c r="CK1286">
        <f>IF(ISNUMBER(CI1286),IFERROR(MAX(0,AR433-CI1286),0),0)</f>
        <v>0</v>
      </c>
      <c r="CL1286">
        <f>IF(ISNUMBER(CI1286),IFERROR(MAX(0,CI1286-AR433),0),0)</f>
        <v>0</v>
      </c>
      <c r="CM1286">
        <f>IF(ISNUMBER(CJ1286),IFERROR(MAX(0,AS433-CJ1286),0),0)</f>
        <v>0</v>
      </c>
      <c r="CN1286">
        <f>IF(ISNUMBER(CJ1286),IFERROR(MAX(0,CJ1286-AS433),0),0)</f>
        <v>0</v>
      </c>
      <c r="CP1286" t="e">
        <f>BX433</f>
        <v>#N/A</v>
      </c>
      <c r="CQ1286" t="e">
        <f>BY433</f>
        <v>#N/A</v>
      </c>
      <c r="CR1286">
        <f>IF(ISNUMBER(CP1286),IFERROR(MAX(0,BZ433-CP1286),0),0)</f>
        <v>0</v>
      </c>
      <c r="CS1286">
        <f>IF(ISNUMBER(CP1286),IFERROR(MAX(0,CP1286-BZ433),0),0)</f>
        <v>0</v>
      </c>
      <c r="CT1286">
        <f>IF(ISNUMBER(CQ1286),IFERROR(MAX(0,CA433-CQ1286),0),0)</f>
        <v>0</v>
      </c>
      <c r="CU1286">
        <f>IF(ISNUMBER(CQ1286),IFERROR(MAX(0,CQ1286-CA433),0),0)</f>
        <v>0</v>
      </c>
    </row>
    <row r="1287" spans="87:99" x14ac:dyDescent="0.3">
      <c r="CI1287" t="e">
        <f>AT433</f>
        <v>#N/A</v>
      </c>
      <c r="CJ1287" t="e">
        <f>AU433</f>
        <v>#N/A</v>
      </c>
      <c r="CK1287">
        <f>IF(ISNUMBER(CI1287),IFERROR(MAX(0,AV433-CI1287),0),0)</f>
        <v>0</v>
      </c>
      <c r="CL1287">
        <f>IF(ISNUMBER(CI1287),IFERROR(MAX(0,CI1287-AV433),0),0)</f>
        <v>0</v>
      </c>
      <c r="CM1287">
        <f>IF(ISNUMBER(CJ1287),IFERROR(MAX(0,AW433-CJ1287),0),0)</f>
        <v>0</v>
      </c>
      <c r="CN1287">
        <f>IF(ISNUMBER(CJ1287),IFERROR(MAX(0,CJ1287-AW433),0),0)</f>
        <v>0</v>
      </c>
      <c r="CP1287" t="e">
        <f>CB433</f>
        <v>#N/A</v>
      </c>
      <c r="CQ1287" t="e">
        <f>CC433</f>
        <v>#N/A</v>
      </c>
      <c r="CR1287">
        <f>IF(ISNUMBER(CP1287),IFERROR(MAX(0,CD433-CP1287),0),0)</f>
        <v>0</v>
      </c>
      <c r="CS1287">
        <f>IF(ISNUMBER(CP1287),IFERROR(MAX(0,CP1287-CD433),0),0)</f>
        <v>0</v>
      </c>
      <c r="CT1287">
        <f>IF(ISNUMBER(CQ1287),IFERROR(MAX(0,CE433-CQ1287),0),0)</f>
        <v>0</v>
      </c>
      <c r="CU1287">
        <f>IF(ISNUMBER(CQ1287),IFERROR(MAX(0,CQ1287-CE433),0),0)</f>
        <v>0</v>
      </c>
    </row>
    <row r="1288" spans="87:99" x14ac:dyDescent="0.3">
      <c r="CI1288" t="e">
        <f>AL434</f>
        <v>#N/A</v>
      </c>
      <c r="CJ1288" t="e">
        <f>AM434</f>
        <v>#N/A</v>
      </c>
      <c r="CK1288">
        <f>IF(ISNUMBER(CI1288),IFERROR(MAX(0,AN434-CI1288),0),0)</f>
        <v>0</v>
      </c>
      <c r="CL1288">
        <f>IF(ISNUMBER(CI1288),IFERROR(MAX(0,CI1288-AN434),0),0)</f>
        <v>0</v>
      </c>
      <c r="CM1288">
        <f>IF(ISNUMBER(CJ1288),IFERROR(MAX(0,AO434-CJ1288),0),0)</f>
        <v>0</v>
      </c>
      <c r="CN1288">
        <f>IF(ISNUMBER(CJ1288),IFERROR(MAX(0,CJ1288-AO434),0),0)</f>
        <v>0</v>
      </c>
      <c r="CP1288" t="e">
        <f>BT434</f>
        <v>#N/A</v>
      </c>
      <c r="CQ1288" t="e">
        <f>BU434</f>
        <v>#N/A</v>
      </c>
      <c r="CR1288">
        <f>IF(ISNUMBER(CP1288),IFERROR(MAX(0,BV434-CP1288),0),0)</f>
        <v>0</v>
      </c>
      <c r="CS1288">
        <f>IF(ISNUMBER(CP1288),IFERROR(MAX(0,CP1288-BV434),0),0)</f>
        <v>0</v>
      </c>
      <c r="CT1288">
        <f>IF(ISNUMBER(CQ1288),IFERROR(MAX(0,BW434-CQ1288),0),0)</f>
        <v>0</v>
      </c>
      <c r="CU1288">
        <f>IF(ISNUMBER(CQ1288),IFERROR(MAX(0,CQ1288-BW434),0),0)</f>
        <v>0</v>
      </c>
    </row>
    <row r="1289" spans="87:99" x14ac:dyDescent="0.3">
      <c r="CI1289" t="e">
        <f>AP434</f>
        <v>#N/A</v>
      </c>
      <c r="CJ1289" t="e">
        <f>AQ434</f>
        <v>#N/A</v>
      </c>
      <c r="CK1289">
        <f>IF(ISNUMBER(CI1289),IFERROR(MAX(0,AR434-CI1289),0),0)</f>
        <v>0</v>
      </c>
      <c r="CL1289">
        <f>IF(ISNUMBER(CI1289),IFERROR(MAX(0,CI1289-AR434),0),0)</f>
        <v>0</v>
      </c>
      <c r="CM1289">
        <f>IF(ISNUMBER(CJ1289),IFERROR(MAX(0,AS434-CJ1289),0),0)</f>
        <v>0</v>
      </c>
      <c r="CN1289">
        <f>IF(ISNUMBER(CJ1289),IFERROR(MAX(0,CJ1289-AS434),0),0)</f>
        <v>0</v>
      </c>
      <c r="CP1289" t="e">
        <f>BX434</f>
        <v>#N/A</v>
      </c>
      <c r="CQ1289" t="e">
        <f>BY434</f>
        <v>#N/A</v>
      </c>
      <c r="CR1289">
        <f>IF(ISNUMBER(CP1289),IFERROR(MAX(0,BZ434-CP1289),0),0)</f>
        <v>0</v>
      </c>
      <c r="CS1289">
        <f>IF(ISNUMBER(CP1289),IFERROR(MAX(0,CP1289-BZ434),0),0)</f>
        <v>0</v>
      </c>
      <c r="CT1289">
        <f>IF(ISNUMBER(CQ1289),IFERROR(MAX(0,CA434-CQ1289),0),0)</f>
        <v>0</v>
      </c>
      <c r="CU1289">
        <f>IF(ISNUMBER(CQ1289),IFERROR(MAX(0,CQ1289-CA434),0),0)</f>
        <v>0</v>
      </c>
    </row>
    <row r="1290" spans="87:99" x14ac:dyDescent="0.3">
      <c r="CI1290" t="e">
        <f>AT434</f>
        <v>#N/A</v>
      </c>
      <c r="CJ1290" t="e">
        <f>AU434</f>
        <v>#N/A</v>
      </c>
      <c r="CK1290">
        <f>IF(ISNUMBER(CI1290),IFERROR(MAX(0,AV434-CI1290),0),0)</f>
        <v>0</v>
      </c>
      <c r="CL1290">
        <f>IF(ISNUMBER(CI1290),IFERROR(MAX(0,CI1290-AV434),0),0)</f>
        <v>0</v>
      </c>
      <c r="CM1290">
        <f>IF(ISNUMBER(CJ1290),IFERROR(MAX(0,AW434-CJ1290),0),0)</f>
        <v>0</v>
      </c>
      <c r="CN1290">
        <f>IF(ISNUMBER(CJ1290),IFERROR(MAX(0,CJ1290-AW434),0),0)</f>
        <v>0</v>
      </c>
      <c r="CP1290" t="e">
        <f>CB434</f>
        <v>#N/A</v>
      </c>
      <c r="CQ1290" t="e">
        <f>CC434</f>
        <v>#N/A</v>
      </c>
      <c r="CR1290">
        <f>IF(ISNUMBER(CP1290),IFERROR(MAX(0,CD434-CP1290),0),0)</f>
        <v>0</v>
      </c>
      <c r="CS1290">
        <f>IF(ISNUMBER(CP1290),IFERROR(MAX(0,CP1290-CD434),0),0)</f>
        <v>0</v>
      </c>
      <c r="CT1290">
        <f>IF(ISNUMBER(CQ1290),IFERROR(MAX(0,CE434-CQ1290),0),0)</f>
        <v>0</v>
      </c>
      <c r="CU1290">
        <f>IF(ISNUMBER(CQ1290),IFERROR(MAX(0,CQ1290-CE434),0),0)</f>
        <v>0</v>
      </c>
    </row>
    <row r="1291" spans="87:99" x14ac:dyDescent="0.3">
      <c r="CI1291" t="e">
        <f>AL435</f>
        <v>#N/A</v>
      </c>
      <c r="CJ1291" t="e">
        <f>AM435</f>
        <v>#N/A</v>
      </c>
      <c r="CK1291">
        <f>IF(ISNUMBER(CI1291),IFERROR(MAX(0,AN435-CI1291),0),0)</f>
        <v>0</v>
      </c>
      <c r="CL1291">
        <f>IF(ISNUMBER(CI1291),IFERROR(MAX(0,CI1291-AN435),0),0)</f>
        <v>0</v>
      </c>
      <c r="CM1291">
        <f>IF(ISNUMBER(CJ1291),IFERROR(MAX(0,AO435-CJ1291),0),0)</f>
        <v>0</v>
      </c>
      <c r="CN1291">
        <f>IF(ISNUMBER(CJ1291),IFERROR(MAX(0,CJ1291-AO435),0),0)</f>
        <v>0</v>
      </c>
      <c r="CP1291" t="e">
        <f>BT435</f>
        <v>#N/A</v>
      </c>
      <c r="CQ1291" t="e">
        <f>BU435</f>
        <v>#N/A</v>
      </c>
      <c r="CR1291">
        <f>IF(ISNUMBER(CP1291),IFERROR(MAX(0,BV435-CP1291),0),0)</f>
        <v>0</v>
      </c>
      <c r="CS1291">
        <f>IF(ISNUMBER(CP1291),IFERROR(MAX(0,CP1291-BV435),0),0)</f>
        <v>0</v>
      </c>
      <c r="CT1291">
        <f>IF(ISNUMBER(CQ1291),IFERROR(MAX(0,BW435-CQ1291),0),0)</f>
        <v>0</v>
      </c>
      <c r="CU1291">
        <f>IF(ISNUMBER(CQ1291),IFERROR(MAX(0,CQ1291-BW435),0),0)</f>
        <v>0</v>
      </c>
    </row>
    <row r="1292" spans="87:99" x14ac:dyDescent="0.3">
      <c r="CI1292" t="e">
        <f>AP435</f>
        <v>#N/A</v>
      </c>
      <c r="CJ1292" t="e">
        <f>AQ435</f>
        <v>#N/A</v>
      </c>
      <c r="CK1292">
        <f>IF(ISNUMBER(CI1292),IFERROR(MAX(0,AR435-CI1292),0),0)</f>
        <v>0</v>
      </c>
      <c r="CL1292">
        <f>IF(ISNUMBER(CI1292),IFERROR(MAX(0,CI1292-AR435),0),0)</f>
        <v>0</v>
      </c>
      <c r="CM1292">
        <f>IF(ISNUMBER(CJ1292),IFERROR(MAX(0,AS435-CJ1292),0),0)</f>
        <v>0</v>
      </c>
      <c r="CN1292">
        <f>IF(ISNUMBER(CJ1292),IFERROR(MAX(0,CJ1292-AS435),0),0)</f>
        <v>0</v>
      </c>
      <c r="CP1292" t="e">
        <f>BX435</f>
        <v>#N/A</v>
      </c>
      <c r="CQ1292" t="e">
        <f>BY435</f>
        <v>#N/A</v>
      </c>
      <c r="CR1292">
        <f>IF(ISNUMBER(CP1292),IFERROR(MAX(0,BZ435-CP1292),0),0)</f>
        <v>0</v>
      </c>
      <c r="CS1292">
        <f>IF(ISNUMBER(CP1292),IFERROR(MAX(0,CP1292-BZ435),0),0)</f>
        <v>0</v>
      </c>
      <c r="CT1292">
        <f>IF(ISNUMBER(CQ1292),IFERROR(MAX(0,CA435-CQ1292),0),0)</f>
        <v>0</v>
      </c>
      <c r="CU1292">
        <f>IF(ISNUMBER(CQ1292),IFERROR(MAX(0,CQ1292-CA435),0),0)</f>
        <v>0</v>
      </c>
    </row>
    <row r="1293" spans="87:99" x14ac:dyDescent="0.3">
      <c r="CI1293" t="e">
        <f>AT435</f>
        <v>#N/A</v>
      </c>
      <c r="CJ1293" t="e">
        <f>AU435</f>
        <v>#N/A</v>
      </c>
      <c r="CK1293">
        <f>IF(ISNUMBER(CI1293),IFERROR(MAX(0,AV435-CI1293),0),0)</f>
        <v>0</v>
      </c>
      <c r="CL1293">
        <f>IF(ISNUMBER(CI1293),IFERROR(MAX(0,CI1293-AV435),0),0)</f>
        <v>0</v>
      </c>
      <c r="CM1293">
        <f>IF(ISNUMBER(CJ1293),IFERROR(MAX(0,AW435-CJ1293),0),0)</f>
        <v>0</v>
      </c>
      <c r="CN1293">
        <f>IF(ISNUMBER(CJ1293),IFERROR(MAX(0,CJ1293-AW435),0),0)</f>
        <v>0</v>
      </c>
      <c r="CP1293" t="e">
        <f>CB435</f>
        <v>#N/A</v>
      </c>
      <c r="CQ1293" t="e">
        <f>CC435</f>
        <v>#N/A</v>
      </c>
      <c r="CR1293">
        <f>IF(ISNUMBER(CP1293),IFERROR(MAX(0,CD435-CP1293),0),0)</f>
        <v>0</v>
      </c>
      <c r="CS1293">
        <f>IF(ISNUMBER(CP1293),IFERROR(MAX(0,CP1293-CD435),0),0)</f>
        <v>0</v>
      </c>
      <c r="CT1293">
        <f>IF(ISNUMBER(CQ1293),IFERROR(MAX(0,CE435-CQ1293),0),0)</f>
        <v>0</v>
      </c>
      <c r="CU1293">
        <f>IF(ISNUMBER(CQ1293),IFERROR(MAX(0,CQ1293-CE435),0),0)</f>
        <v>0</v>
      </c>
    </row>
    <row r="1294" spans="87:99" x14ac:dyDescent="0.3">
      <c r="CI1294" t="e">
        <f>AL436</f>
        <v>#N/A</v>
      </c>
      <c r="CJ1294" t="e">
        <f>AM436</f>
        <v>#N/A</v>
      </c>
      <c r="CK1294">
        <f>IF(ISNUMBER(CI1294),IFERROR(MAX(0,AN436-CI1294),0),0)</f>
        <v>0</v>
      </c>
      <c r="CL1294">
        <f>IF(ISNUMBER(CI1294),IFERROR(MAX(0,CI1294-AN436),0),0)</f>
        <v>0</v>
      </c>
      <c r="CM1294">
        <f>IF(ISNUMBER(CJ1294),IFERROR(MAX(0,AO436-CJ1294),0),0)</f>
        <v>0</v>
      </c>
      <c r="CN1294">
        <f>IF(ISNUMBER(CJ1294),IFERROR(MAX(0,CJ1294-AO436),0),0)</f>
        <v>0</v>
      </c>
      <c r="CP1294" t="e">
        <f>BT436</f>
        <v>#N/A</v>
      </c>
      <c r="CQ1294" t="e">
        <f>BU436</f>
        <v>#N/A</v>
      </c>
      <c r="CR1294">
        <f>IF(ISNUMBER(CP1294),IFERROR(MAX(0,BV436-CP1294),0),0)</f>
        <v>0</v>
      </c>
      <c r="CS1294">
        <f>IF(ISNUMBER(CP1294),IFERROR(MAX(0,CP1294-BV436),0),0)</f>
        <v>0</v>
      </c>
      <c r="CT1294">
        <f>IF(ISNUMBER(CQ1294),IFERROR(MAX(0,BW436-CQ1294),0),0)</f>
        <v>0</v>
      </c>
      <c r="CU1294">
        <f>IF(ISNUMBER(CQ1294),IFERROR(MAX(0,CQ1294-BW436),0),0)</f>
        <v>0</v>
      </c>
    </row>
    <row r="1295" spans="87:99" x14ac:dyDescent="0.3">
      <c r="CI1295" t="e">
        <f>AP436</f>
        <v>#N/A</v>
      </c>
      <c r="CJ1295" t="e">
        <f>AQ436</f>
        <v>#N/A</v>
      </c>
      <c r="CK1295">
        <f>IF(ISNUMBER(CI1295),IFERROR(MAX(0,AR436-CI1295),0),0)</f>
        <v>0</v>
      </c>
      <c r="CL1295">
        <f>IF(ISNUMBER(CI1295),IFERROR(MAX(0,CI1295-AR436),0),0)</f>
        <v>0</v>
      </c>
      <c r="CM1295">
        <f>IF(ISNUMBER(CJ1295),IFERROR(MAX(0,AS436-CJ1295),0),0)</f>
        <v>0</v>
      </c>
      <c r="CN1295">
        <f>IF(ISNUMBER(CJ1295),IFERROR(MAX(0,CJ1295-AS436),0),0)</f>
        <v>0</v>
      </c>
      <c r="CP1295" t="e">
        <f>BX436</f>
        <v>#N/A</v>
      </c>
      <c r="CQ1295" t="e">
        <f>BY436</f>
        <v>#N/A</v>
      </c>
      <c r="CR1295">
        <f>IF(ISNUMBER(CP1295),IFERROR(MAX(0,BZ436-CP1295),0),0)</f>
        <v>0</v>
      </c>
      <c r="CS1295">
        <f>IF(ISNUMBER(CP1295),IFERROR(MAX(0,CP1295-BZ436),0),0)</f>
        <v>0</v>
      </c>
      <c r="CT1295">
        <f>IF(ISNUMBER(CQ1295),IFERROR(MAX(0,CA436-CQ1295),0),0)</f>
        <v>0</v>
      </c>
      <c r="CU1295">
        <f>IF(ISNUMBER(CQ1295),IFERROR(MAX(0,CQ1295-CA436),0),0)</f>
        <v>0</v>
      </c>
    </row>
    <row r="1296" spans="87:99" x14ac:dyDescent="0.3">
      <c r="CI1296" t="e">
        <f>AT436</f>
        <v>#N/A</v>
      </c>
      <c r="CJ1296" t="e">
        <f>AU436</f>
        <v>#N/A</v>
      </c>
      <c r="CK1296">
        <f>IF(ISNUMBER(CI1296),IFERROR(MAX(0,AV436-CI1296),0),0)</f>
        <v>0</v>
      </c>
      <c r="CL1296">
        <f>IF(ISNUMBER(CI1296),IFERROR(MAX(0,CI1296-AV436),0),0)</f>
        <v>0</v>
      </c>
      <c r="CM1296">
        <f>IF(ISNUMBER(CJ1296),IFERROR(MAX(0,AW436-CJ1296),0),0)</f>
        <v>0</v>
      </c>
      <c r="CN1296">
        <f>IF(ISNUMBER(CJ1296),IFERROR(MAX(0,CJ1296-AW436),0),0)</f>
        <v>0</v>
      </c>
      <c r="CP1296" t="e">
        <f>CB436</f>
        <v>#N/A</v>
      </c>
      <c r="CQ1296" t="e">
        <f>CC436</f>
        <v>#N/A</v>
      </c>
      <c r="CR1296">
        <f>IF(ISNUMBER(CP1296),IFERROR(MAX(0,CD436-CP1296),0),0)</f>
        <v>0</v>
      </c>
      <c r="CS1296">
        <f>IF(ISNUMBER(CP1296),IFERROR(MAX(0,CP1296-CD436),0),0)</f>
        <v>0</v>
      </c>
      <c r="CT1296">
        <f>IF(ISNUMBER(CQ1296),IFERROR(MAX(0,CE436-CQ1296),0),0)</f>
        <v>0</v>
      </c>
      <c r="CU1296">
        <f>IF(ISNUMBER(CQ1296),IFERROR(MAX(0,CQ1296-CE436),0),0)</f>
        <v>0</v>
      </c>
    </row>
    <row r="1297" spans="87:99" x14ac:dyDescent="0.3">
      <c r="CI1297" t="e">
        <f>AL437</f>
        <v>#N/A</v>
      </c>
      <c r="CJ1297" t="e">
        <f>AM437</f>
        <v>#N/A</v>
      </c>
      <c r="CK1297">
        <f>IF(ISNUMBER(CI1297),IFERROR(MAX(0,AN437-CI1297),0),0)</f>
        <v>0</v>
      </c>
      <c r="CL1297">
        <f>IF(ISNUMBER(CI1297),IFERROR(MAX(0,CI1297-AN437),0),0)</f>
        <v>0</v>
      </c>
      <c r="CM1297">
        <f>IF(ISNUMBER(CJ1297),IFERROR(MAX(0,AO437-CJ1297),0),0)</f>
        <v>0</v>
      </c>
      <c r="CN1297">
        <f>IF(ISNUMBER(CJ1297),IFERROR(MAX(0,CJ1297-AO437),0),0)</f>
        <v>0</v>
      </c>
      <c r="CP1297" t="e">
        <f>BT437</f>
        <v>#N/A</v>
      </c>
      <c r="CQ1297" t="e">
        <f>BU437</f>
        <v>#N/A</v>
      </c>
      <c r="CR1297">
        <f>IF(ISNUMBER(CP1297),IFERROR(MAX(0,BV437-CP1297),0),0)</f>
        <v>0</v>
      </c>
      <c r="CS1297">
        <f>IF(ISNUMBER(CP1297),IFERROR(MAX(0,CP1297-BV437),0),0)</f>
        <v>0</v>
      </c>
      <c r="CT1297">
        <f>IF(ISNUMBER(CQ1297),IFERROR(MAX(0,BW437-CQ1297),0),0)</f>
        <v>0</v>
      </c>
      <c r="CU1297">
        <f>IF(ISNUMBER(CQ1297),IFERROR(MAX(0,CQ1297-BW437),0),0)</f>
        <v>0</v>
      </c>
    </row>
    <row r="1298" spans="87:99" x14ac:dyDescent="0.3">
      <c r="CI1298" t="e">
        <f>AP437</f>
        <v>#N/A</v>
      </c>
      <c r="CJ1298" t="e">
        <f>AQ437</f>
        <v>#N/A</v>
      </c>
      <c r="CK1298">
        <f>IF(ISNUMBER(CI1298),IFERROR(MAX(0,AR437-CI1298),0),0)</f>
        <v>0</v>
      </c>
      <c r="CL1298">
        <f>IF(ISNUMBER(CI1298),IFERROR(MAX(0,CI1298-AR437),0),0)</f>
        <v>0</v>
      </c>
      <c r="CM1298">
        <f>IF(ISNUMBER(CJ1298),IFERROR(MAX(0,AS437-CJ1298),0),0)</f>
        <v>0</v>
      </c>
      <c r="CN1298">
        <f>IF(ISNUMBER(CJ1298),IFERROR(MAX(0,CJ1298-AS437),0),0)</f>
        <v>0</v>
      </c>
      <c r="CP1298" t="e">
        <f>BX437</f>
        <v>#N/A</v>
      </c>
      <c r="CQ1298" t="e">
        <f>BY437</f>
        <v>#N/A</v>
      </c>
      <c r="CR1298">
        <f>IF(ISNUMBER(CP1298),IFERROR(MAX(0,BZ437-CP1298),0),0)</f>
        <v>0</v>
      </c>
      <c r="CS1298">
        <f>IF(ISNUMBER(CP1298),IFERROR(MAX(0,CP1298-BZ437),0),0)</f>
        <v>0</v>
      </c>
      <c r="CT1298">
        <f>IF(ISNUMBER(CQ1298),IFERROR(MAX(0,CA437-CQ1298),0),0)</f>
        <v>0</v>
      </c>
      <c r="CU1298">
        <f>IF(ISNUMBER(CQ1298),IFERROR(MAX(0,CQ1298-CA437),0),0)</f>
        <v>0</v>
      </c>
    </row>
    <row r="1299" spans="87:99" x14ac:dyDescent="0.3">
      <c r="CI1299" t="e">
        <f>AT437</f>
        <v>#N/A</v>
      </c>
      <c r="CJ1299" t="e">
        <f>AU437</f>
        <v>#N/A</v>
      </c>
      <c r="CK1299">
        <f>IF(ISNUMBER(CI1299),IFERROR(MAX(0,AV437-CI1299),0),0)</f>
        <v>0</v>
      </c>
      <c r="CL1299">
        <f>IF(ISNUMBER(CI1299),IFERROR(MAX(0,CI1299-AV437),0),0)</f>
        <v>0</v>
      </c>
      <c r="CM1299">
        <f>IF(ISNUMBER(CJ1299),IFERROR(MAX(0,AW437-CJ1299),0),0)</f>
        <v>0</v>
      </c>
      <c r="CN1299">
        <f>IF(ISNUMBER(CJ1299),IFERROR(MAX(0,CJ1299-AW437),0),0)</f>
        <v>0</v>
      </c>
      <c r="CP1299" t="e">
        <f>CB437</f>
        <v>#N/A</v>
      </c>
      <c r="CQ1299" t="e">
        <f>CC437</f>
        <v>#N/A</v>
      </c>
      <c r="CR1299">
        <f>IF(ISNUMBER(CP1299),IFERROR(MAX(0,CD437-CP1299),0),0)</f>
        <v>0</v>
      </c>
      <c r="CS1299">
        <f>IF(ISNUMBER(CP1299),IFERROR(MAX(0,CP1299-CD437),0),0)</f>
        <v>0</v>
      </c>
      <c r="CT1299">
        <f>IF(ISNUMBER(CQ1299),IFERROR(MAX(0,CE437-CQ1299),0),0)</f>
        <v>0</v>
      </c>
      <c r="CU1299">
        <f>IF(ISNUMBER(CQ1299),IFERROR(MAX(0,CQ1299-CE437),0),0)</f>
        <v>0</v>
      </c>
    </row>
    <row r="1300" spans="87:99" x14ac:dyDescent="0.3">
      <c r="CI1300" t="e">
        <f>AL438</f>
        <v>#N/A</v>
      </c>
      <c r="CJ1300" t="e">
        <f>AM438</f>
        <v>#N/A</v>
      </c>
      <c r="CK1300">
        <f>IF(ISNUMBER(CI1300),IFERROR(MAX(0,AN438-CI1300),0),0)</f>
        <v>0</v>
      </c>
      <c r="CL1300">
        <f>IF(ISNUMBER(CI1300),IFERROR(MAX(0,CI1300-AN438),0),0)</f>
        <v>0</v>
      </c>
      <c r="CM1300">
        <f>IF(ISNUMBER(CJ1300),IFERROR(MAX(0,AO438-CJ1300),0),0)</f>
        <v>0</v>
      </c>
      <c r="CN1300">
        <f>IF(ISNUMBER(CJ1300),IFERROR(MAX(0,CJ1300-AO438),0),0)</f>
        <v>0</v>
      </c>
      <c r="CP1300" t="e">
        <f>BT438</f>
        <v>#N/A</v>
      </c>
      <c r="CQ1300" t="e">
        <f>BU438</f>
        <v>#N/A</v>
      </c>
      <c r="CR1300">
        <f>IF(ISNUMBER(CP1300),IFERROR(MAX(0,BV438-CP1300),0),0)</f>
        <v>0</v>
      </c>
      <c r="CS1300">
        <f>IF(ISNUMBER(CP1300),IFERROR(MAX(0,CP1300-BV438),0),0)</f>
        <v>0</v>
      </c>
      <c r="CT1300">
        <f>IF(ISNUMBER(CQ1300),IFERROR(MAX(0,BW438-CQ1300),0),0)</f>
        <v>0</v>
      </c>
      <c r="CU1300">
        <f>IF(ISNUMBER(CQ1300),IFERROR(MAX(0,CQ1300-BW438),0),0)</f>
        <v>0</v>
      </c>
    </row>
    <row r="1301" spans="87:99" x14ac:dyDescent="0.3">
      <c r="CI1301" t="e">
        <f>AP438</f>
        <v>#N/A</v>
      </c>
      <c r="CJ1301" t="e">
        <f>AQ438</f>
        <v>#N/A</v>
      </c>
      <c r="CK1301">
        <f>IF(ISNUMBER(CI1301),IFERROR(MAX(0,AR438-CI1301),0),0)</f>
        <v>0</v>
      </c>
      <c r="CL1301">
        <f>IF(ISNUMBER(CI1301),IFERROR(MAX(0,CI1301-AR438),0),0)</f>
        <v>0</v>
      </c>
      <c r="CM1301">
        <f>IF(ISNUMBER(CJ1301),IFERROR(MAX(0,AS438-CJ1301),0),0)</f>
        <v>0</v>
      </c>
      <c r="CN1301">
        <f>IF(ISNUMBER(CJ1301),IFERROR(MAX(0,CJ1301-AS438),0),0)</f>
        <v>0</v>
      </c>
      <c r="CP1301" t="e">
        <f>BX438</f>
        <v>#N/A</v>
      </c>
      <c r="CQ1301" t="e">
        <f>BY438</f>
        <v>#N/A</v>
      </c>
      <c r="CR1301">
        <f>IF(ISNUMBER(CP1301),IFERROR(MAX(0,BZ438-CP1301),0),0)</f>
        <v>0</v>
      </c>
      <c r="CS1301">
        <f>IF(ISNUMBER(CP1301),IFERROR(MAX(0,CP1301-BZ438),0),0)</f>
        <v>0</v>
      </c>
      <c r="CT1301">
        <f>IF(ISNUMBER(CQ1301),IFERROR(MAX(0,CA438-CQ1301),0),0)</f>
        <v>0</v>
      </c>
      <c r="CU1301">
        <f>IF(ISNUMBER(CQ1301),IFERROR(MAX(0,CQ1301-CA438),0),0)</f>
        <v>0</v>
      </c>
    </row>
    <row r="1302" spans="87:99" x14ac:dyDescent="0.3">
      <c r="CI1302" t="e">
        <f>AT438</f>
        <v>#N/A</v>
      </c>
      <c r="CJ1302" t="e">
        <f>AU438</f>
        <v>#N/A</v>
      </c>
      <c r="CK1302">
        <f>IF(ISNUMBER(CI1302),IFERROR(MAX(0,AV438-CI1302),0),0)</f>
        <v>0</v>
      </c>
      <c r="CL1302">
        <f>IF(ISNUMBER(CI1302),IFERROR(MAX(0,CI1302-AV438),0),0)</f>
        <v>0</v>
      </c>
      <c r="CM1302">
        <f>IF(ISNUMBER(CJ1302),IFERROR(MAX(0,AW438-CJ1302),0),0)</f>
        <v>0</v>
      </c>
      <c r="CN1302">
        <f>IF(ISNUMBER(CJ1302),IFERROR(MAX(0,CJ1302-AW438),0),0)</f>
        <v>0</v>
      </c>
      <c r="CP1302" t="e">
        <f>CB438</f>
        <v>#N/A</v>
      </c>
      <c r="CQ1302" t="e">
        <f>CC438</f>
        <v>#N/A</v>
      </c>
      <c r="CR1302">
        <f>IF(ISNUMBER(CP1302),IFERROR(MAX(0,CD438-CP1302),0),0)</f>
        <v>0</v>
      </c>
      <c r="CS1302">
        <f>IF(ISNUMBER(CP1302),IFERROR(MAX(0,CP1302-CD438),0),0)</f>
        <v>0</v>
      </c>
      <c r="CT1302">
        <f>IF(ISNUMBER(CQ1302),IFERROR(MAX(0,CE438-CQ1302),0),0)</f>
        <v>0</v>
      </c>
      <c r="CU1302">
        <f>IF(ISNUMBER(CQ1302),IFERROR(MAX(0,CQ1302-CE438),0),0)</f>
        <v>0</v>
      </c>
    </row>
    <row r="1303" spans="87:99" x14ac:dyDescent="0.3">
      <c r="CI1303" t="e">
        <f>AL439</f>
        <v>#N/A</v>
      </c>
      <c r="CJ1303" t="e">
        <f>AM439</f>
        <v>#N/A</v>
      </c>
      <c r="CK1303">
        <f>IF(ISNUMBER(CI1303),IFERROR(MAX(0,AN439-CI1303),0),0)</f>
        <v>0</v>
      </c>
      <c r="CL1303">
        <f>IF(ISNUMBER(CI1303),IFERROR(MAX(0,CI1303-AN439),0),0)</f>
        <v>0</v>
      </c>
      <c r="CM1303">
        <f>IF(ISNUMBER(CJ1303),IFERROR(MAX(0,AO439-CJ1303),0),0)</f>
        <v>0</v>
      </c>
      <c r="CN1303">
        <f>IF(ISNUMBER(CJ1303),IFERROR(MAX(0,CJ1303-AO439),0),0)</f>
        <v>0</v>
      </c>
      <c r="CP1303" t="e">
        <f>BT439</f>
        <v>#N/A</v>
      </c>
      <c r="CQ1303" t="e">
        <f>BU439</f>
        <v>#N/A</v>
      </c>
      <c r="CR1303">
        <f>IF(ISNUMBER(CP1303),IFERROR(MAX(0,BV439-CP1303),0),0)</f>
        <v>0</v>
      </c>
      <c r="CS1303">
        <f>IF(ISNUMBER(CP1303),IFERROR(MAX(0,CP1303-BV439),0),0)</f>
        <v>0</v>
      </c>
      <c r="CT1303">
        <f>IF(ISNUMBER(CQ1303),IFERROR(MAX(0,BW439-CQ1303),0),0)</f>
        <v>0</v>
      </c>
      <c r="CU1303">
        <f>IF(ISNUMBER(CQ1303),IFERROR(MAX(0,CQ1303-BW439),0),0)</f>
        <v>0</v>
      </c>
    </row>
    <row r="1304" spans="87:99" x14ac:dyDescent="0.3">
      <c r="CI1304" t="e">
        <f>AP439</f>
        <v>#N/A</v>
      </c>
      <c r="CJ1304" t="e">
        <f>AQ439</f>
        <v>#N/A</v>
      </c>
      <c r="CK1304">
        <f>IF(ISNUMBER(CI1304),IFERROR(MAX(0,AR439-CI1304),0),0)</f>
        <v>0</v>
      </c>
      <c r="CL1304">
        <f>IF(ISNUMBER(CI1304),IFERROR(MAX(0,CI1304-AR439),0),0)</f>
        <v>0</v>
      </c>
      <c r="CM1304">
        <f>IF(ISNUMBER(CJ1304),IFERROR(MAX(0,AS439-CJ1304),0),0)</f>
        <v>0</v>
      </c>
      <c r="CN1304">
        <f>IF(ISNUMBER(CJ1304),IFERROR(MAX(0,CJ1304-AS439),0),0)</f>
        <v>0</v>
      </c>
      <c r="CP1304" t="e">
        <f>BX439</f>
        <v>#N/A</v>
      </c>
      <c r="CQ1304" t="e">
        <f>BY439</f>
        <v>#N/A</v>
      </c>
      <c r="CR1304">
        <f>IF(ISNUMBER(CP1304),IFERROR(MAX(0,BZ439-CP1304),0),0)</f>
        <v>0</v>
      </c>
      <c r="CS1304">
        <f>IF(ISNUMBER(CP1304),IFERROR(MAX(0,CP1304-BZ439),0),0)</f>
        <v>0</v>
      </c>
      <c r="CT1304">
        <f>IF(ISNUMBER(CQ1304),IFERROR(MAX(0,CA439-CQ1304),0),0)</f>
        <v>0</v>
      </c>
      <c r="CU1304">
        <f>IF(ISNUMBER(CQ1304),IFERROR(MAX(0,CQ1304-CA439),0),0)</f>
        <v>0</v>
      </c>
    </row>
    <row r="1305" spans="87:99" x14ac:dyDescent="0.3">
      <c r="CI1305" t="e">
        <f>AT439</f>
        <v>#N/A</v>
      </c>
      <c r="CJ1305" t="e">
        <f>AU439</f>
        <v>#N/A</v>
      </c>
      <c r="CK1305">
        <f>IF(ISNUMBER(CI1305),IFERROR(MAX(0,AV439-CI1305),0),0)</f>
        <v>0</v>
      </c>
      <c r="CL1305">
        <f>IF(ISNUMBER(CI1305),IFERROR(MAX(0,CI1305-AV439),0),0)</f>
        <v>0</v>
      </c>
      <c r="CM1305">
        <f>IF(ISNUMBER(CJ1305),IFERROR(MAX(0,AW439-CJ1305),0),0)</f>
        <v>0</v>
      </c>
      <c r="CN1305">
        <f>IF(ISNUMBER(CJ1305),IFERROR(MAX(0,CJ1305-AW439),0),0)</f>
        <v>0</v>
      </c>
      <c r="CP1305" t="e">
        <f>CB439</f>
        <v>#N/A</v>
      </c>
      <c r="CQ1305" t="e">
        <f>CC439</f>
        <v>#N/A</v>
      </c>
      <c r="CR1305">
        <f>IF(ISNUMBER(CP1305),IFERROR(MAX(0,CD439-CP1305),0),0)</f>
        <v>0</v>
      </c>
      <c r="CS1305">
        <f>IF(ISNUMBER(CP1305),IFERROR(MAX(0,CP1305-CD439),0),0)</f>
        <v>0</v>
      </c>
      <c r="CT1305">
        <f>IF(ISNUMBER(CQ1305),IFERROR(MAX(0,CE439-CQ1305),0),0)</f>
        <v>0</v>
      </c>
      <c r="CU1305">
        <f>IF(ISNUMBER(CQ1305),IFERROR(MAX(0,CQ1305-CE439),0),0)</f>
        <v>0</v>
      </c>
    </row>
    <row r="1306" spans="87:99" x14ac:dyDescent="0.3">
      <c r="CI1306" t="e">
        <f>AL440</f>
        <v>#N/A</v>
      </c>
      <c r="CJ1306" t="e">
        <f>AM440</f>
        <v>#N/A</v>
      </c>
      <c r="CK1306">
        <f>IF(ISNUMBER(CI1306),IFERROR(MAX(0,AN440-CI1306),0),0)</f>
        <v>0</v>
      </c>
      <c r="CL1306">
        <f>IF(ISNUMBER(CI1306),IFERROR(MAX(0,CI1306-AN440),0),0)</f>
        <v>0</v>
      </c>
      <c r="CM1306">
        <f>IF(ISNUMBER(CJ1306),IFERROR(MAX(0,AO440-CJ1306),0),0)</f>
        <v>0</v>
      </c>
      <c r="CN1306">
        <f>IF(ISNUMBER(CJ1306),IFERROR(MAX(0,CJ1306-AO440),0),0)</f>
        <v>0</v>
      </c>
      <c r="CP1306" t="e">
        <f>BT440</f>
        <v>#N/A</v>
      </c>
      <c r="CQ1306" t="e">
        <f>BU440</f>
        <v>#N/A</v>
      </c>
      <c r="CR1306">
        <f>IF(ISNUMBER(CP1306),IFERROR(MAX(0,BV440-CP1306),0),0)</f>
        <v>0</v>
      </c>
      <c r="CS1306">
        <f>IF(ISNUMBER(CP1306),IFERROR(MAX(0,CP1306-BV440),0),0)</f>
        <v>0</v>
      </c>
      <c r="CT1306">
        <f>IF(ISNUMBER(CQ1306),IFERROR(MAX(0,BW440-CQ1306),0),0)</f>
        <v>0</v>
      </c>
      <c r="CU1306">
        <f>IF(ISNUMBER(CQ1306),IFERROR(MAX(0,CQ1306-BW440),0),0)</f>
        <v>0</v>
      </c>
    </row>
    <row r="1307" spans="87:99" x14ac:dyDescent="0.3">
      <c r="CI1307" t="e">
        <f>AP440</f>
        <v>#N/A</v>
      </c>
      <c r="CJ1307" t="e">
        <f>AQ440</f>
        <v>#N/A</v>
      </c>
      <c r="CK1307">
        <f>IF(ISNUMBER(CI1307),IFERROR(MAX(0,AR440-CI1307),0),0)</f>
        <v>0</v>
      </c>
      <c r="CL1307">
        <f>IF(ISNUMBER(CI1307),IFERROR(MAX(0,CI1307-AR440),0),0)</f>
        <v>0</v>
      </c>
      <c r="CM1307">
        <f>IF(ISNUMBER(CJ1307),IFERROR(MAX(0,AS440-CJ1307),0),0)</f>
        <v>0</v>
      </c>
      <c r="CN1307">
        <f>IF(ISNUMBER(CJ1307),IFERROR(MAX(0,CJ1307-AS440),0),0)</f>
        <v>0</v>
      </c>
      <c r="CP1307" t="e">
        <f>BX440</f>
        <v>#N/A</v>
      </c>
      <c r="CQ1307" t="e">
        <f>BY440</f>
        <v>#N/A</v>
      </c>
      <c r="CR1307">
        <f>IF(ISNUMBER(CP1307),IFERROR(MAX(0,BZ440-CP1307),0),0)</f>
        <v>0</v>
      </c>
      <c r="CS1307">
        <f>IF(ISNUMBER(CP1307),IFERROR(MAX(0,CP1307-BZ440),0),0)</f>
        <v>0</v>
      </c>
      <c r="CT1307">
        <f>IF(ISNUMBER(CQ1307),IFERROR(MAX(0,CA440-CQ1307),0),0)</f>
        <v>0</v>
      </c>
      <c r="CU1307">
        <f>IF(ISNUMBER(CQ1307),IFERROR(MAX(0,CQ1307-CA440),0),0)</f>
        <v>0</v>
      </c>
    </row>
    <row r="1308" spans="87:99" x14ac:dyDescent="0.3">
      <c r="CI1308" t="e">
        <f>AT440</f>
        <v>#N/A</v>
      </c>
      <c r="CJ1308" t="e">
        <f>AU440</f>
        <v>#N/A</v>
      </c>
      <c r="CK1308">
        <f>IF(ISNUMBER(CI1308),IFERROR(MAX(0,AV440-CI1308),0),0)</f>
        <v>0</v>
      </c>
      <c r="CL1308">
        <f>IF(ISNUMBER(CI1308),IFERROR(MAX(0,CI1308-AV440),0),0)</f>
        <v>0</v>
      </c>
      <c r="CM1308">
        <f>IF(ISNUMBER(CJ1308),IFERROR(MAX(0,AW440-CJ1308),0),0)</f>
        <v>0</v>
      </c>
      <c r="CN1308">
        <f>IF(ISNUMBER(CJ1308),IFERROR(MAX(0,CJ1308-AW440),0),0)</f>
        <v>0</v>
      </c>
      <c r="CP1308" t="e">
        <f>CB440</f>
        <v>#N/A</v>
      </c>
      <c r="CQ1308" t="e">
        <f>CC440</f>
        <v>#N/A</v>
      </c>
      <c r="CR1308">
        <f>IF(ISNUMBER(CP1308),IFERROR(MAX(0,CD440-CP1308),0),0)</f>
        <v>0</v>
      </c>
      <c r="CS1308">
        <f>IF(ISNUMBER(CP1308),IFERROR(MAX(0,CP1308-CD440),0),0)</f>
        <v>0</v>
      </c>
      <c r="CT1308">
        <f>IF(ISNUMBER(CQ1308),IFERROR(MAX(0,CE440-CQ1308),0),0)</f>
        <v>0</v>
      </c>
      <c r="CU1308">
        <f>IF(ISNUMBER(CQ1308),IFERROR(MAX(0,CQ1308-CE440),0),0)</f>
        <v>0</v>
      </c>
    </row>
    <row r="1309" spans="87:99" x14ac:dyDescent="0.3">
      <c r="CI1309" t="e">
        <f>AL441</f>
        <v>#N/A</v>
      </c>
      <c r="CJ1309" t="e">
        <f>AM441</f>
        <v>#N/A</v>
      </c>
      <c r="CK1309">
        <f>IF(ISNUMBER(CI1309),IFERROR(MAX(0,AN441-CI1309),0),0)</f>
        <v>0</v>
      </c>
      <c r="CL1309">
        <f>IF(ISNUMBER(CI1309),IFERROR(MAX(0,CI1309-AN441),0),0)</f>
        <v>0</v>
      </c>
      <c r="CM1309">
        <f>IF(ISNUMBER(CJ1309),IFERROR(MAX(0,AO441-CJ1309),0),0)</f>
        <v>0</v>
      </c>
      <c r="CN1309">
        <f>IF(ISNUMBER(CJ1309),IFERROR(MAX(0,CJ1309-AO441),0),0)</f>
        <v>0</v>
      </c>
      <c r="CP1309" t="e">
        <f>BT441</f>
        <v>#N/A</v>
      </c>
      <c r="CQ1309" t="e">
        <f>BU441</f>
        <v>#N/A</v>
      </c>
      <c r="CR1309">
        <f>IF(ISNUMBER(CP1309),IFERROR(MAX(0,BV441-CP1309),0),0)</f>
        <v>0</v>
      </c>
      <c r="CS1309">
        <f>IF(ISNUMBER(CP1309),IFERROR(MAX(0,CP1309-BV441),0),0)</f>
        <v>0</v>
      </c>
      <c r="CT1309">
        <f>IF(ISNUMBER(CQ1309),IFERROR(MAX(0,BW441-CQ1309),0),0)</f>
        <v>0</v>
      </c>
      <c r="CU1309">
        <f>IF(ISNUMBER(CQ1309),IFERROR(MAX(0,CQ1309-BW441),0),0)</f>
        <v>0</v>
      </c>
    </row>
    <row r="1310" spans="87:99" x14ac:dyDescent="0.3">
      <c r="CI1310" t="e">
        <f>AP441</f>
        <v>#N/A</v>
      </c>
      <c r="CJ1310" t="e">
        <f>AQ441</f>
        <v>#N/A</v>
      </c>
      <c r="CK1310">
        <f>IF(ISNUMBER(CI1310),IFERROR(MAX(0,AR441-CI1310),0),0)</f>
        <v>0</v>
      </c>
      <c r="CL1310">
        <f>IF(ISNUMBER(CI1310),IFERROR(MAX(0,CI1310-AR441),0),0)</f>
        <v>0</v>
      </c>
      <c r="CM1310">
        <f>IF(ISNUMBER(CJ1310),IFERROR(MAX(0,AS441-CJ1310),0),0)</f>
        <v>0</v>
      </c>
      <c r="CN1310">
        <f>IF(ISNUMBER(CJ1310),IFERROR(MAX(0,CJ1310-AS441),0),0)</f>
        <v>0</v>
      </c>
      <c r="CP1310" t="e">
        <f>BX441</f>
        <v>#N/A</v>
      </c>
      <c r="CQ1310" t="e">
        <f>BY441</f>
        <v>#N/A</v>
      </c>
      <c r="CR1310">
        <f>IF(ISNUMBER(CP1310),IFERROR(MAX(0,BZ441-CP1310),0),0)</f>
        <v>0</v>
      </c>
      <c r="CS1310">
        <f>IF(ISNUMBER(CP1310),IFERROR(MAX(0,CP1310-BZ441),0),0)</f>
        <v>0</v>
      </c>
      <c r="CT1310">
        <f>IF(ISNUMBER(CQ1310),IFERROR(MAX(0,CA441-CQ1310),0),0)</f>
        <v>0</v>
      </c>
      <c r="CU1310">
        <f>IF(ISNUMBER(CQ1310),IFERROR(MAX(0,CQ1310-CA441),0),0)</f>
        <v>0</v>
      </c>
    </row>
    <row r="1311" spans="87:99" x14ac:dyDescent="0.3">
      <c r="CI1311" t="e">
        <f>AT441</f>
        <v>#N/A</v>
      </c>
      <c r="CJ1311" t="e">
        <f>AU441</f>
        <v>#N/A</v>
      </c>
      <c r="CK1311">
        <f>IF(ISNUMBER(CI1311),IFERROR(MAX(0,AV441-CI1311),0),0)</f>
        <v>0</v>
      </c>
      <c r="CL1311">
        <f>IF(ISNUMBER(CI1311),IFERROR(MAX(0,CI1311-AV441),0),0)</f>
        <v>0</v>
      </c>
      <c r="CM1311">
        <f>IF(ISNUMBER(CJ1311),IFERROR(MAX(0,AW441-CJ1311),0),0)</f>
        <v>0</v>
      </c>
      <c r="CN1311">
        <f>IF(ISNUMBER(CJ1311),IFERROR(MAX(0,CJ1311-AW441),0),0)</f>
        <v>0</v>
      </c>
      <c r="CP1311" t="e">
        <f>CB441</f>
        <v>#N/A</v>
      </c>
      <c r="CQ1311" t="e">
        <f>CC441</f>
        <v>#N/A</v>
      </c>
      <c r="CR1311">
        <f>IF(ISNUMBER(CP1311),IFERROR(MAX(0,CD441-CP1311),0),0)</f>
        <v>0</v>
      </c>
      <c r="CS1311">
        <f>IF(ISNUMBER(CP1311),IFERROR(MAX(0,CP1311-CD441),0),0)</f>
        <v>0</v>
      </c>
      <c r="CT1311">
        <f>IF(ISNUMBER(CQ1311),IFERROR(MAX(0,CE441-CQ1311),0),0)</f>
        <v>0</v>
      </c>
      <c r="CU1311">
        <f>IF(ISNUMBER(CQ1311),IFERROR(MAX(0,CQ1311-CE441),0),0)</f>
        <v>0</v>
      </c>
    </row>
    <row r="1312" spans="87:99" x14ac:dyDescent="0.3">
      <c r="CI1312" t="e">
        <f>AL442</f>
        <v>#N/A</v>
      </c>
      <c r="CJ1312" t="e">
        <f>AM442</f>
        <v>#N/A</v>
      </c>
      <c r="CK1312">
        <f>IF(ISNUMBER(CI1312),IFERROR(MAX(0,AN442-CI1312),0),0)</f>
        <v>0</v>
      </c>
      <c r="CL1312">
        <f>IF(ISNUMBER(CI1312),IFERROR(MAX(0,CI1312-AN442),0),0)</f>
        <v>0</v>
      </c>
      <c r="CM1312">
        <f>IF(ISNUMBER(CJ1312),IFERROR(MAX(0,AO442-CJ1312),0),0)</f>
        <v>0</v>
      </c>
      <c r="CN1312">
        <f>IF(ISNUMBER(CJ1312),IFERROR(MAX(0,CJ1312-AO442),0),0)</f>
        <v>0</v>
      </c>
      <c r="CP1312" t="e">
        <f>BT442</f>
        <v>#N/A</v>
      </c>
      <c r="CQ1312" t="e">
        <f>BU442</f>
        <v>#N/A</v>
      </c>
      <c r="CR1312">
        <f>IF(ISNUMBER(CP1312),IFERROR(MAX(0,BV442-CP1312),0),0)</f>
        <v>0</v>
      </c>
      <c r="CS1312">
        <f>IF(ISNUMBER(CP1312),IFERROR(MAX(0,CP1312-BV442),0),0)</f>
        <v>0</v>
      </c>
      <c r="CT1312">
        <f>IF(ISNUMBER(CQ1312),IFERROR(MAX(0,BW442-CQ1312),0),0)</f>
        <v>0</v>
      </c>
      <c r="CU1312">
        <f>IF(ISNUMBER(CQ1312),IFERROR(MAX(0,CQ1312-BW442),0),0)</f>
        <v>0</v>
      </c>
    </row>
    <row r="1313" spans="87:99" x14ac:dyDescent="0.3">
      <c r="CI1313" t="e">
        <f>AP442</f>
        <v>#N/A</v>
      </c>
      <c r="CJ1313" t="e">
        <f>AQ442</f>
        <v>#N/A</v>
      </c>
      <c r="CK1313">
        <f>IF(ISNUMBER(CI1313),IFERROR(MAX(0,AR442-CI1313),0),0)</f>
        <v>0</v>
      </c>
      <c r="CL1313">
        <f>IF(ISNUMBER(CI1313),IFERROR(MAX(0,CI1313-AR442),0),0)</f>
        <v>0</v>
      </c>
      <c r="CM1313">
        <f>IF(ISNUMBER(CJ1313),IFERROR(MAX(0,AS442-CJ1313),0),0)</f>
        <v>0</v>
      </c>
      <c r="CN1313">
        <f>IF(ISNUMBER(CJ1313),IFERROR(MAX(0,CJ1313-AS442),0),0)</f>
        <v>0</v>
      </c>
      <c r="CP1313" t="e">
        <f>BX442</f>
        <v>#N/A</v>
      </c>
      <c r="CQ1313" t="e">
        <f>BY442</f>
        <v>#N/A</v>
      </c>
      <c r="CR1313">
        <f>IF(ISNUMBER(CP1313),IFERROR(MAX(0,BZ442-CP1313),0),0)</f>
        <v>0</v>
      </c>
      <c r="CS1313">
        <f>IF(ISNUMBER(CP1313),IFERROR(MAX(0,CP1313-BZ442),0),0)</f>
        <v>0</v>
      </c>
      <c r="CT1313">
        <f>IF(ISNUMBER(CQ1313),IFERROR(MAX(0,CA442-CQ1313),0),0)</f>
        <v>0</v>
      </c>
      <c r="CU1313">
        <f>IF(ISNUMBER(CQ1313),IFERROR(MAX(0,CQ1313-CA442),0),0)</f>
        <v>0</v>
      </c>
    </row>
    <row r="1314" spans="87:99" x14ac:dyDescent="0.3">
      <c r="CI1314" t="e">
        <f>AT442</f>
        <v>#N/A</v>
      </c>
      <c r="CJ1314" t="e">
        <f>AU442</f>
        <v>#N/A</v>
      </c>
      <c r="CK1314">
        <f>IF(ISNUMBER(CI1314),IFERROR(MAX(0,AV442-CI1314),0),0)</f>
        <v>0</v>
      </c>
      <c r="CL1314">
        <f>IF(ISNUMBER(CI1314),IFERROR(MAX(0,CI1314-AV442),0),0)</f>
        <v>0</v>
      </c>
      <c r="CM1314">
        <f>IF(ISNUMBER(CJ1314),IFERROR(MAX(0,AW442-CJ1314),0),0)</f>
        <v>0</v>
      </c>
      <c r="CN1314">
        <f>IF(ISNUMBER(CJ1314),IFERROR(MAX(0,CJ1314-AW442),0),0)</f>
        <v>0</v>
      </c>
      <c r="CP1314" t="e">
        <f>CB442</f>
        <v>#N/A</v>
      </c>
      <c r="CQ1314" t="e">
        <f>CC442</f>
        <v>#N/A</v>
      </c>
      <c r="CR1314">
        <f>IF(ISNUMBER(CP1314),IFERROR(MAX(0,CD442-CP1314),0),0)</f>
        <v>0</v>
      </c>
      <c r="CS1314">
        <f>IF(ISNUMBER(CP1314),IFERROR(MAX(0,CP1314-CD442),0),0)</f>
        <v>0</v>
      </c>
      <c r="CT1314">
        <f>IF(ISNUMBER(CQ1314),IFERROR(MAX(0,CE442-CQ1314),0),0)</f>
        <v>0</v>
      </c>
      <c r="CU1314">
        <f>IF(ISNUMBER(CQ1314),IFERROR(MAX(0,CQ1314-CE442),0),0)</f>
        <v>0</v>
      </c>
    </row>
    <row r="1315" spans="87:99" x14ac:dyDescent="0.3">
      <c r="CI1315" t="e">
        <f>AL443</f>
        <v>#N/A</v>
      </c>
      <c r="CJ1315" t="e">
        <f>AM443</f>
        <v>#N/A</v>
      </c>
      <c r="CK1315">
        <f>IF(ISNUMBER(CI1315),IFERROR(MAX(0,AN443-CI1315),0),0)</f>
        <v>0</v>
      </c>
      <c r="CL1315">
        <f>IF(ISNUMBER(CI1315),IFERROR(MAX(0,CI1315-AN443),0),0)</f>
        <v>0</v>
      </c>
      <c r="CM1315">
        <f>IF(ISNUMBER(CJ1315),IFERROR(MAX(0,AO443-CJ1315),0),0)</f>
        <v>0</v>
      </c>
      <c r="CN1315">
        <f>IF(ISNUMBER(CJ1315),IFERROR(MAX(0,CJ1315-AO443),0),0)</f>
        <v>0</v>
      </c>
      <c r="CP1315" t="e">
        <f>BT443</f>
        <v>#N/A</v>
      </c>
      <c r="CQ1315" t="e">
        <f>BU443</f>
        <v>#N/A</v>
      </c>
      <c r="CR1315">
        <f>IF(ISNUMBER(CP1315),IFERROR(MAX(0,BV443-CP1315),0),0)</f>
        <v>0</v>
      </c>
      <c r="CS1315">
        <f>IF(ISNUMBER(CP1315),IFERROR(MAX(0,CP1315-BV443),0),0)</f>
        <v>0</v>
      </c>
      <c r="CT1315">
        <f>IF(ISNUMBER(CQ1315),IFERROR(MAX(0,BW443-CQ1315),0),0)</f>
        <v>0</v>
      </c>
      <c r="CU1315">
        <f>IF(ISNUMBER(CQ1315),IFERROR(MAX(0,CQ1315-BW443),0),0)</f>
        <v>0</v>
      </c>
    </row>
    <row r="1316" spans="87:99" x14ac:dyDescent="0.3">
      <c r="CI1316" t="e">
        <f>AP443</f>
        <v>#N/A</v>
      </c>
      <c r="CJ1316" t="e">
        <f>AQ443</f>
        <v>#N/A</v>
      </c>
      <c r="CK1316">
        <f>IF(ISNUMBER(CI1316),IFERROR(MAX(0,AR443-CI1316),0),0)</f>
        <v>0</v>
      </c>
      <c r="CL1316">
        <f>IF(ISNUMBER(CI1316),IFERROR(MAX(0,CI1316-AR443),0),0)</f>
        <v>0</v>
      </c>
      <c r="CM1316">
        <f>IF(ISNUMBER(CJ1316),IFERROR(MAX(0,AS443-CJ1316),0),0)</f>
        <v>0</v>
      </c>
      <c r="CN1316">
        <f>IF(ISNUMBER(CJ1316),IFERROR(MAX(0,CJ1316-AS443),0),0)</f>
        <v>0</v>
      </c>
      <c r="CP1316" t="e">
        <f>BX443</f>
        <v>#N/A</v>
      </c>
      <c r="CQ1316" t="e">
        <f>BY443</f>
        <v>#N/A</v>
      </c>
      <c r="CR1316">
        <f>IF(ISNUMBER(CP1316),IFERROR(MAX(0,BZ443-CP1316),0),0)</f>
        <v>0</v>
      </c>
      <c r="CS1316">
        <f>IF(ISNUMBER(CP1316),IFERROR(MAX(0,CP1316-BZ443),0),0)</f>
        <v>0</v>
      </c>
      <c r="CT1316">
        <f>IF(ISNUMBER(CQ1316),IFERROR(MAX(0,CA443-CQ1316),0),0)</f>
        <v>0</v>
      </c>
      <c r="CU1316">
        <f>IF(ISNUMBER(CQ1316),IFERROR(MAX(0,CQ1316-CA443),0),0)</f>
        <v>0</v>
      </c>
    </row>
    <row r="1317" spans="87:99" x14ac:dyDescent="0.3">
      <c r="CI1317" t="e">
        <f>AT443</f>
        <v>#N/A</v>
      </c>
      <c r="CJ1317" t="e">
        <f>AU443</f>
        <v>#N/A</v>
      </c>
      <c r="CK1317">
        <f>IF(ISNUMBER(CI1317),IFERROR(MAX(0,AV443-CI1317),0),0)</f>
        <v>0</v>
      </c>
      <c r="CL1317">
        <f>IF(ISNUMBER(CI1317),IFERROR(MAX(0,CI1317-AV443),0),0)</f>
        <v>0</v>
      </c>
      <c r="CM1317">
        <f>IF(ISNUMBER(CJ1317),IFERROR(MAX(0,AW443-CJ1317),0),0)</f>
        <v>0</v>
      </c>
      <c r="CN1317">
        <f>IF(ISNUMBER(CJ1317),IFERROR(MAX(0,CJ1317-AW443),0),0)</f>
        <v>0</v>
      </c>
      <c r="CP1317" t="e">
        <f>CB443</f>
        <v>#N/A</v>
      </c>
      <c r="CQ1317" t="e">
        <f>CC443</f>
        <v>#N/A</v>
      </c>
      <c r="CR1317">
        <f>IF(ISNUMBER(CP1317),IFERROR(MAX(0,CD443-CP1317),0),0)</f>
        <v>0</v>
      </c>
      <c r="CS1317">
        <f>IF(ISNUMBER(CP1317),IFERROR(MAX(0,CP1317-CD443),0),0)</f>
        <v>0</v>
      </c>
      <c r="CT1317">
        <f>IF(ISNUMBER(CQ1317),IFERROR(MAX(0,CE443-CQ1317),0),0)</f>
        <v>0</v>
      </c>
      <c r="CU1317">
        <f>IF(ISNUMBER(CQ1317),IFERROR(MAX(0,CQ1317-CE443),0),0)</f>
        <v>0</v>
      </c>
    </row>
    <row r="1318" spans="87:99" x14ac:dyDescent="0.3">
      <c r="CI1318" t="e">
        <f>AL444</f>
        <v>#N/A</v>
      </c>
      <c r="CJ1318" t="e">
        <f>AM444</f>
        <v>#N/A</v>
      </c>
      <c r="CK1318">
        <f>IF(ISNUMBER(CI1318),IFERROR(MAX(0,AN444-CI1318),0),0)</f>
        <v>0</v>
      </c>
      <c r="CL1318">
        <f>IF(ISNUMBER(CI1318),IFERROR(MAX(0,CI1318-AN444),0),0)</f>
        <v>0</v>
      </c>
      <c r="CM1318">
        <f>IF(ISNUMBER(CJ1318),IFERROR(MAX(0,AO444-CJ1318),0),0)</f>
        <v>0</v>
      </c>
      <c r="CN1318">
        <f>IF(ISNUMBER(CJ1318),IFERROR(MAX(0,CJ1318-AO444),0),0)</f>
        <v>0</v>
      </c>
      <c r="CP1318" t="e">
        <f>BT444</f>
        <v>#N/A</v>
      </c>
      <c r="CQ1318" t="e">
        <f>BU444</f>
        <v>#N/A</v>
      </c>
      <c r="CR1318">
        <f>IF(ISNUMBER(CP1318),IFERROR(MAX(0,BV444-CP1318),0),0)</f>
        <v>0</v>
      </c>
      <c r="CS1318">
        <f>IF(ISNUMBER(CP1318),IFERROR(MAX(0,CP1318-BV444),0),0)</f>
        <v>0</v>
      </c>
      <c r="CT1318">
        <f>IF(ISNUMBER(CQ1318),IFERROR(MAX(0,BW444-CQ1318),0),0)</f>
        <v>0</v>
      </c>
      <c r="CU1318">
        <f>IF(ISNUMBER(CQ1318),IFERROR(MAX(0,CQ1318-BW444),0),0)</f>
        <v>0</v>
      </c>
    </row>
    <row r="1319" spans="87:99" x14ac:dyDescent="0.3">
      <c r="CI1319" t="e">
        <f>AP444</f>
        <v>#N/A</v>
      </c>
      <c r="CJ1319" t="e">
        <f>AQ444</f>
        <v>#N/A</v>
      </c>
      <c r="CK1319">
        <f>IF(ISNUMBER(CI1319),IFERROR(MAX(0,AR444-CI1319),0),0)</f>
        <v>0</v>
      </c>
      <c r="CL1319">
        <f>IF(ISNUMBER(CI1319),IFERROR(MAX(0,CI1319-AR444),0),0)</f>
        <v>0</v>
      </c>
      <c r="CM1319">
        <f>IF(ISNUMBER(CJ1319),IFERROR(MAX(0,AS444-CJ1319),0),0)</f>
        <v>0</v>
      </c>
      <c r="CN1319">
        <f>IF(ISNUMBER(CJ1319),IFERROR(MAX(0,CJ1319-AS444),0),0)</f>
        <v>0</v>
      </c>
      <c r="CP1319" t="e">
        <f>BX444</f>
        <v>#N/A</v>
      </c>
      <c r="CQ1319" t="e">
        <f>BY444</f>
        <v>#N/A</v>
      </c>
      <c r="CR1319">
        <f>IF(ISNUMBER(CP1319),IFERROR(MAX(0,BZ444-CP1319),0),0)</f>
        <v>0</v>
      </c>
      <c r="CS1319">
        <f>IF(ISNUMBER(CP1319),IFERROR(MAX(0,CP1319-BZ444),0),0)</f>
        <v>0</v>
      </c>
      <c r="CT1319">
        <f>IF(ISNUMBER(CQ1319),IFERROR(MAX(0,CA444-CQ1319),0),0)</f>
        <v>0</v>
      </c>
      <c r="CU1319">
        <f>IF(ISNUMBER(CQ1319),IFERROR(MAX(0,CQ1319-CA444),0),0)</f>
        <v>0</v>
      </c>
    </row>
    <row r="1320" spans="87:99" x14ac:dyDescent="0.3">
      <c r="CI1320" t="e">
        <f>AT444</f>
        <v>#N/A</v>
      </c>
      <c r="CJ1320" t="e">
        <f>AU444</f>
        <v>#N/A</v>
      </c>
      <c r="CK1320">
        <f>IF(ISNUMBER(CI1320),IFERROR(MAX(0,AV444-CI1320),0),0)</f>
        <v>0</v>
      </c>
      <c r="CL1320">
        <f>IF(ISNUMBER(CI1320),IFERROR(MAX(0,CI1320-AV444),0),0)</f>
        <v>0</v>
      </c>
      <c r="CM1320">
        <f>IF(ISNUMBER(CJ1320),IFERROR(MAX(0,AW444-CJ1320),0),0)</f>
        <v>0</v>
      </c>
      <c r="CN1320">
        <f>IF(ISNUMBER(CJ1320),IFERROR(MAX(0,CJ1320-AW444),0),0)</f>
        <v>0</v>
      </c>
      <c r="CP1320" t="e">
        <f>CB444</f>
        <v>#N/A</v>
      </c>
      <c r="CQ1320" t="e">
        <f>CC444</f>
        <v>#N/A</v>
      </c>
      <c r="CR1320">
        <f>IF(ISNUMBER(CP1320),IFERROR(MAX(0,CD444-CP1320),0),0)</f>
        <v>0</v>
      </c>
      <c r="CS1320">
        <f>IF(ISNUMBER(CP1320),IFERROR(MAX(0,CP1320-CD444),0),0)</f>
        <v>0</v>
      </c>
      <c r="CT1320">
        <f>IF(ISNUMBER(CQ1320),IFERROR(MAX(0,CE444-CQ1320),0),0)</f>
        <v>0</v>
      </c>
      <c r="CU1320">
        <f>IF(ISNUMBER(CQ1320),IFERROR(MAX(0,CQ1320-CE444),0),0)</f>
        <v>0</v>
      </c>
    </row>
    <row r="1321" spans="87:99" x14ac:dyDescent="0.3">
      <c r="CI1321" t="e">
        <f>AL445</f>
        <v>#N/A</v>
      </c>
      <c r="CJ1321" t="e">
        <f>AM445</f>
        <v>#N/A</v>
      </c>
      <c r="CK1321">
        <f>IF(ISNUMBER(CI1321),IFERROR(MAX(0,AN445-CI1321),0),0)</f>
        <v>0</v>
      </c>
      <c r="CL1321">
        <f>IF(ISNUMBER(CI1321),IFERROR(MAX(0,CI1321-AN445),0),0)</f>
        <v>0</v>
      </c>
      <c r="CM1321">
        <f>IF(ISNUMBER(CJ1321),IFERROR(MAX(0,AO445-CJ1321),0),0)</f>
        <v>0</v>
      </c>
      <c r="CN1321">
        <f>IF(ISNUMBER(CJ1321),IFERROR(MAX(0,CJ1321-AO445),0),0)</f>
        <v>0</v>
      </c>
      <c r="CP1321" t="e">
        <f>BT445</f>
        <v>#N/A</v>
      </c>
      <c r="CQ1321" t="e">
        <f>BU445</f>
        <v>#N/A</v>
      </c>
      <c r="CR1321">
        <f>IF(ISNUMBER(CP1321),IFERROR(MAX(0,BV445-CP1321),0),0)</f>
        <v>0</v>
      </c>
      <c r="CS1321">
        <f>IF(ISNUMBER(CP1321),IFERROR(MAX(0,CP1321-BV445),0),0)</f>
        <v>0</v>
      </c>
      <c r="CT1321">
        <f>IF(ISNUMBER(CQ1321),IFERROR(MAX(0,BW445-CQ1321),0),0)</f>
        <v>0</v>
      </c>
      <c r="CU1321">
        <f>IF(ISNUMBER(CQ1321),IFERROR(MAX(0,CQ1321-BW445),0),0)</f>
        <v>0</v>
      </c>
    </row>
    <row r="1322" spans="87:99" x14ac:dyDescent="0.3">
      <c r="CI1322" t="e">
        <f>AP445</f>
        <v>#N/A</v>
      </c>
      <c r="CJ1322" t="e">
        <f>AQ445</f>
        <v>#N/A</v>
      </c>
      <c r="CK1322">
        <f>IF(ISNUMBER(CI1322),IFERROR(MAX(0,AR445-CI1322),0),0)</f>
        <v>0</v>
      </c>
      <c r="CL1322">
        <f>IF(ISNUMBER(CI1322),IFERROR(MAX(0,CI1322-AR445),0),0)</f>
        <v>0</v>
      </c>
      <c r="CM1322">
        <f>IF(ISNUMBER(CJ1322),IFERROR(MAX(0,AS445-CJ1322),0),0)</f>
        <v>0</v>
      </c>
      <c r="CN1322">
        <f>IF(ISNUMBER(CJ1322),IFERROR(MAX(0,CJ1322-AS445),0),0)</f>
        <v>0</v>
      </c>
      <c r="CP1322" t="e">
        <f>BX445</f>
        <v>#N/A</v>
      </c>
      <c r="CQ1322" t="e">
        <f>BY445</f>
        <v>#N/A</v>
      </c>
      <c r="CR1322">
        <f>IF(ISNUMBER(CP1322),IFERROR(MAX(0,BZ445-CP1322),0),0)</f>
        <v>0</v>
      </c>
      <c r="CS1322">
        <f>IF(ISNUMBER(CP1322),IFERROR(MAX(0,CP1322-BZ445),0),0)</f>
        <v>0</v>
      </c>
      <c r="CT1322">
        <f>IF(ISNUMBER(CQ1322),IFERROR(MAX(0,CA445-CQ1322),0),0)</f>
        <v>0</v>
      </c>
      <c r="CU1322">
        <f>IF(ISNUMBER(CQ1322),IFERROR(MAX(0,CQ1322-CA445),0),0)</f>
        <v>0</v>
      </c>
    </row>
    <row r="1323" spans="87:99" x14ac:dyDescent="0.3">
      <c r="CI1323" t="e">
        <f>AT445</f>
        <v>#N/A</v>
      </c>
      <c r="CJ1323" t="e">
        <f>AU445</f>
        <v>#N/A</v>
      </c>
      <c r="CK1323">
        <f>IF(ISNUMBER(CI1323),IFERROR(MAX(0,AV445-CI1323),0),0)</f>
        <v>0</v>
      </c>
      <c r="CL1323">
        <f>IF(ISNUMBER(CI1323),IFERROR(MAX(0,CI1323-AV445),0),0)</f>
        <v>0</v>
      </c>
      <c r="CM1323">
        <f>IF(ISNUMBER(CJ1323),IFERROR(MAX(0,AW445-CJ1323),0),0)</f>
        <v>0</v>
      </c>
      <c r="CN1323">
        <f>IF(ISNUMBER(CJ1323),IFERROR(MAX(0,CJ1323-AW445),0),0)</f>
        <v>0</v>
      </c>
      <c r="CP1323" t="e">
        <f>CB445</f>
        <v>#N/A</v>
      </c>
      <c r="CQ1323" t="e">
        <f>CC445</f>
        <v>#N/A</v>
      </c>
      <c r="CR1323">
        <f>IF(ISNUMBER(CP1323),IFERROR(MAX(0,CD445-CP1323),0),0)</f>
        <v>0</v>
      </c>
      <c r="CS1323">
        <f>IF(ISNUMBER(CP1323),IFERROR(MAX(0,CP1323-CD445),0),0)</f>
        <v>0</v>
      </c>
      <c r="CT1323">
        <f>IF(ISNUMBER(CQ1323),IFERROR(MAX(0,CE445-CQ1323),0),0)</f>
        <v>0</v>
      </c>
      <c r="CU1323">
        <f>IF(ISNUMBER(CQ1323),IFERROR(MAX(0,CQ1323-CE445),0),0)</f>
        <v>0</v>
      </c>
    </row>
    <row r="1324" spans="87:99" x14ac:dyDescent="0.3">
      <c r="CI1324" t="e">
        <f>AL446</f>
        <v>#N/A</v>
      </c>
      <c r="CJ1324" t="e">
        <f>AM446</f>
        <v>#N/A</v>
      </c>
      <c r="CK1324">
        <f>IF(ISNUMBER(CI1324),IFERROR(MAX(0,AN446-CI1324),0),0)</f>
        <v>0</v>
      </c>
      <c r="CL1324">
        <f>IF(ISNUMBER(CI1324),IFERROR(MAX(0,CI1324-AN446),0),0)</f>
        <v>0</v>
      </c>
      <c r="CM1324">
        <f>IF(ISNUMBER(CJ1324),IFERROR(MAX(0,AO446-CJ1324),0),0)</f>
        <v>0</v>
      </c>
      <c r="CN1324">
        <f>IF(ISNUMBER(CJ1324),IFERROR(MAX(0,CJ1324-AO446),0),0)</f>
        <v>0</v>
      </c>
      <c r="CP1324" t="e">
        <f>BT446</f>
        <v>#N/A</v>
      </c>
      <c r="CQ1324" t="e">
        <f>BU446</f>
        <v>#N/A</v>
      </c>
      <c r="CR1324">
        <f>IF(ISNUMBER(CP1324),IFERROR(MAX(0,BV446-CP1324),0),0)</f>
        <v>0</v>
      </c>
      <c r="CS1324">
        <f>IF(ISNUMBER(CP1324),IFERROR(MAX(0,CP1324-BV446),0),0)</f>
        <v>0</v>
      </c>
      <c r="CT1324">
        <f>IF(ISNUMBER(CQ1324),IFERROR(MAX(0,BW446-CQ1324),0),0)</f>
        <v>0</v>
      </c>
      <c r="CU1324">
        <f>IF(ISNUMBER(CQ1324),IFERROR(MAX(0,CQ1324-BW446),0),0)</f>
        <v>0</v>
      </c>
    </row>
    <row r="1325" spans="87:99" x14ac:dyDescent="0.3">
      <c r="CI1325" t="e">
        <f>AP446</f>
        <v>#N/A</v>
      </c>
      <c r="CJ1325" t="e">
        <f>AQ446</f>
        <v>#N/A</v>
      </c>
      <c r="CK1325">
        <f>IF(ISNUMBER(CI1325),IFERROR(MAX(0,AR446-CI1325),0),0)</f>
        <v>0</v>
      </c>
      <c r="CL1325">
        <f>IF(ISNUMBER(CI1325),IFERROR(MAX(0,CI1325-AR446),0),0)</f>
        <v>0</v>
      </c>
      <c r="CM1325">
        <f>IF(ISNUMBER(CJ1325),IFERROR(MAX(0,AS446-CJ1325),0),0)</f>
        <v>0</v>
      </c>
      <c r="CN1325">
        <f>IF(ISNUMBER(CJ1325),IFERROR(MAX(0,CJ1325-AS446),0),0)</f>
        <v>0</v>
      </c>
      <c r="CP1325" t="e">
        <f>BX446</f>
        <v>#N/A</v>
      </c>
      <c r="CQ1325" t="e">
        <f>BY446</f>
        <v>#N/A</v>
      </c>
      <c r="CR1325">
        <f>IF(ISNUMBER(CP1325),IFERROR(MAX(0,BZ446-CP1325),0),0)</f>
        <v>0</v>
      </c>
      <c r="CS1325">
        <f>IF(ISNUMBER(CP1325),IFERROR(MAX(0,CP1325-BZ446),0),0)</f>
        <v>0</v>
      </c>
      <c r="CT1325">
        <f>IF(ISNUMBER(CQ1325),IFERROR(MAX(0,CA446-CQ1325),0),0)</f>
        <v>0</v>
      </c>
      <c r="CU1325">
        <f>IF(ISNUMBER(CQ1325),IFERROR(MAX(0,CQ1325-CA446),0),0)</f>
        <v>0</v>
      </c>
    </row>
    <row r="1326" spans="87:99" x14ac:dyDescent="0.3">
      <c r="CI1326" t="e">
        <f>AT446</f>
        <v>#N/A</v>
      </c>
      <c r="CJ1326" t="e">
        <f>AU446</f>
        <v>#N/A</v>
      </c>
      <c r="CK1326">
        <f>IF(ISNUMBER(CI1326),IFERROR(MAX(0,AV446-CI1326),0),0)</f>
        <v>0</v>
      </c>
      <c r="CL1326">
        <f>IF(ISNUMBER(CI1326),IFERROR(MAX(0,CI1326-AV446),0),0)</f>
        <v>0</v>
      </c>
      <c r="CM1326">
        <f>IF(ISNUMBER(CJ1326),IFERROR(MAX(0,AW446-CJ1326),0),0)</f>
        <v>0</v>
      </c>
      <c r="CN1326">
        <f>IF(ISNUMBER(CJ1326),IFERROR(MAX(0,CJ1326-AW446),0),0)</f>
        <v>0</v>
      </c>
      <c r="CP1326" t="e">
        <f>CB446</f>
        <v>#N/A</v>
      </c>
      <c r="CQ1326" t="e">
        <f>CC446</f>
        <v>#N/A</v>
      </c>
      <c r="CR1326">
        <f>IF(ISNUMBER(CP1326),IFERROR(MAX(0,CD446-CP1326),0),0)</f>
        <v>0</v>
      </c>
      <c r="CS1326">
        <f>IF(ISNUMBER(CP1326),IFERROR(MAX(0,CP1326-CD446),0),0)</f>
        <v>0</v>
      </c>
      <c r="CT1326">
        <f>IF(ISNUMBER(CQ1326),IFERROR(MAX(0,CE446-CQ1326),0),0)</f>
        <v>0</v>
      </c>
      <c r="CU1326">
        <f>IF(ISNUMBER(CQ1326),IFERROR(MAX(0,CQ1326-CE446),0),0)</f>
        <v>0</v>
      </c>
    </row>
    <row r="1327" spans="87:99" x14ac:dyDescent="0.3">
      <c r="CI1327" t="e">
        <f>AL447</f>
        <v>#N/A</v>
      </c>
      <c r="CJ1327" t="e">
        <f>AM447</f>
        <v>#N/A</v>
      </c>
      <c r="CK1327">
        <f>IF(ISNUMBER(CI1327),IFERROR(MAX(0,AN447-CI1327),0),0)</f>
        <v>0</v>
      </c>
      <c r="CL1327">
        <f>IF(ISNUMBER(CI1327),IFERROR(MAX(0,CI1327-AN447),0),0)</f>
        <v>0</v>
      </c>
      <c r="CM1327">
        <f>IF(ISNUMBER(CJ1327),IFERROR(MAX(0,AO447-CJ1327),0),0)</f>
        <v>0</v>
      </c>
      <c r="CN1327">
        <f>IF(ISNUMBER(CJ1327),IFERROR(MAX(0,CJ1327-AO447),0),0)</f>
        <v>0</v>
      </c>
      <c r="CP1327" t="e">
        <f>BT447</f>
        <v>#N/A</v>
      </c>
      <c r="CQ1327" t="e">
        <f>BU447</f>
        <v>#N/A</v>
      </c>
      <c r="CR1327">
        <f>IF(ISNUMBER(CP1327),IFERROR(MAX(0,BV447-CP1327),0),0)</f>
        <v>0</v>
      </c>
      <c r="CS1327">
        <f>IF(ISNUMBER(CP1327),IFERROR(MAX(0,CP1327-BV447),0),0)</f>
        <v>0</v>
      </c>
      <c r="CT1327">
        <f>IF(ISNUMBER(CQ1327),IFERROR(MAX(0,BW447-CQ1327),0),0)</f>
        <v>0</v>
      </c>
      <c r="CU1327">
        <f>IF(ISNUMBER(CQ1327),IFERROR(MAX(0,CQ1327-BW447),0),0)</f>
        <v>0</v>
      </c>
    </row>
    <row r="1328" spans="87:99" x14ac:dyDescent="0.3">
      <c r="CI1328" t="e">
        <f>AP447</f>
        <v>#N/A</v>
      </c>
      <c r="CJ1328" t="e">
        <f>AQ447</f>
        <v>#N/A</v>
      </c>
      <c r="CK1328">
        <f>IF(ISNUMBER(CI1328),IFERROR(MAX(0,AR447-CI1328),0),0)</f>
        <v>0</v>
      </c>
      <c r="CL1328">
        <f>IF(ISNUMBER(CI1328),IFERROR(MAX(0,CI1328-AR447),0),0)</f>
        <v>0</v>
      </c>
      <c r="CM1328">
        <f>IF(ISNUMBER(CJ1328),IFERROR(MAX(0,AS447-CJ1328),0),0)</f>
        <v>0</v>
      </c>
      <c r="CN1328">
        <f>IF(ISNUMBER(CJ1328),IFERROR(MAX(0,CJ1328-AS447),0),0)</f>
        <v>0</v>
      </c>
      <c r="CP1328" t="e">
        <f>BX447</f>
        <v>#N/A</v>
      </c>
      <c r="CQ1328" t="e">
        <f>BY447</f>
        <v>#N/A</v>
      </c>
      <c r="CR1328">
        <f>IF(ISNUMBER(CP1328),IFERROR(MAX(0,BZ447-CP1328),0),0)</f>
        <v>0</v>
      </c>
      <c r="CS1328">
        <f>IF(ISNUMBER(CP1328),IFERROR(MAX(0,CP1328-BZ447),0),0)</f>
        <v>0</v>
      </c>
      <c r="CT1328">
        <f>IF(ISNUMBER(CQ1328),IFERROR(MAX(0,CA447-CQ1328),0),0)</f>
        <v>0</v>
      </c>
      <c r="CU1328">
        <f>IF(ISNUMBER(CQ1328),IFERROR(MAX(0,CQ1328-CA447),0),0)</f>
        <v>0</v>
      </c>
    </row>
    <row r="1329" spans="87:99" x14ac:dyDescent="0.3">
      <c r="CI1329" t="e">
        <f>AT447</f>
        <v>#N/A</v>
      </c>
      <c r="CJ1329" t="e">
        <f>AU447</f>
        <v>#N/A</v>
      </c>
      <c r="CK1329">
        <f>IF(ISNUMBER(CI1329),IFERROR(MAX(0,AV447-CI1329),0),0)</f>
        <v>0</v>
      </c>
      <c r="CL1329">
        <f>IF(ISNUMBER(CI1329),IFERROR(MAX(0,CI1329-AV447),0),0)</f>
        <v>0</v>
      </c>
      <c r="CM1329">
        <f>IF(ISNUMBER(CJ1329),IFERROR(MAX(0,AW447-CJ1329),0),0)</f>
        <v>0</v>
      </c>
      <c r="CN1329">
        <f>IF(ISNUMBER(CJ1329),IFERROR(MAX(0,CJ1329-AW447),0),0)</f>
        <v>0</v>
      </c>
      <c r="CP1329" t="e">
        <f>CB447</f>
        <v>#N/A</v>
      </c>
      <c r="CQ1329" t="e">
        <f>CC447</f>
        <v>#N/A</v>
      </c>
      <c r="CR1329">
        <f>IF(ISNUMBER(CP1329),IFERROR(MAX(0,CD447-CP1329),0),0)</f>
        <v>0</v>
      </c>
      <c r="CS1329">
        <f>IF(ISNUMBER(CP1329),IFERROR(MAX(0,CP1329-CD447),0),0)</f>
        <v>0</v>
      </c>
      <c r="CT1329">
        <f>IF(ISNUMBER(CQ1329),IFERROR(MAX(0,CE447-CQ1329),0),0)</f>
        <v>0</v>
      </c>
      <c r="CU1329">
        <f>IF(ISNUMBER(CQ1329),IFERROR(MAX(0,CQ1329-CE447),0),0)</f>
        <v>0</v>
      </c>
    </row>
    <row r="1330" spans="87:99" x14ac:dyDescent="0.3">
      <c r="CI1330" t="e">
        <f>AL448</f>
        <v>#N/A</v>
      </c>
      <c r="CJ1330" t="e">
        <f>AM448</f>
        <v>#N/A</v>
      </c>
      <c r="CK1330">
        <f>IF(ISNUMBER(CI1330),IFERROR(MAX(0,AN448-CI1330),0),0)</f>
        <v>0</v>
      </c>
      <c r="CL1330">
        <f>IF(ISNUMBER(CI1330),IFERROR(MAX(0,CI1330-AN448),0),0)</f>
        <v>0</v>
      </c>
      <c r="CM1330">
        <f>IF(ISNUMBER(CJ1330),IFERROR(MAX(0,AO448-CJ1330),0),0)</f>
        <v>0</v>
      </c>
      <c r="CN1330">
        <f>IF(ISNUMBER(CJ1330),IFERROR(MAX(0,CJ1330-AO448),0),0)</f>
        <v>0</v>
      </c>
      <c r="CP1330" t="e">
        <f>BT448</f>
        <v>#N/A</v>
      </c>
      <c r="CQ1330" t="e">
        <f>BU448</f>
        <v>#N/A</v>
      </c>
      <c r="CR1330">
        <f>IF(ISNUMBER(CP1330),IFERROR(MAX(0,BV448-CP1330),0),0)</f>
        <v>0</v>
      </c>
      <c r="CS1330">
        <f>IF(ISNUMBER(CP1330),IFERROR(MAX(0,CP1330-BV448),0),0)</f>
        <v>0</v>
      </c>
      <c r="CT1330">
        <f>IF(ISNUMBER(CQ1330),IFERROR(MAX(0,BW448-CQ1330),0),0)</f>
        <v>0</v>
      </c>
      <c r="CU1330">
        <f>IF(ISNUMBER(CQ1330),IFERROR(MAX(0,CQ1330-BW448),0),0)</f>
        <v>0</v>
      </c>
    </row>
    <row r="1331" spans="87:99" x14ac:dyDescent="0.3">
      <c r="CI1331" t="e">
        <f>AP448</f>
        <v>#N/A</v>
      </c>
      <c r="CJ1331" t="e">
        <f>AQ448</f>
        <v>#N/A</v>
      </c>
      <c r="CK1331">
        <f>IF(ISNUMBER(CI1331),IFERROR(MAX(0,AR448-CI1331),0),0)</f>
        <v>0</v>
      </c>
      <c r="CL1331">
        <f>IF(ISNUMBER(CI1331),IFERROR(MAX(0,CI1331-AR448),0),0)</f>
        <v>0</v>
      </c>
      <c r="CM1331">
        <f>IF(ISNUMBER(CJ1331),IFERROR(MAX(0,AS448-CJ1331),0),0)</f>
        <v>0</v>
      </c>
      <c r="CN1331">
        <f>IF(ISNUMBER(CJ1331),IFERROR(MAX(0,CJ1331-AS448),0),0)</f>
        <v>0</v>
      </c>
      <c r="CP1331" t="e">
        <f>BX448</f>
        <v>#N/A</v>
      </c>
      <c r="CQ1331" t="e">
        <f>BY448</f>
        <v>#N/A</v>
      </c>
      <c r="CR1331">
        <f>IF(ISNUMBER(CP1331),IFERROR(MAX(0,BZ448-CP1331),0),0)</f>
        <v>0</v>
      </c>
      <c r="CS1331">
        <f>IF(ISNUMBER(CP1331),IFERROR(MAX(0,CP1331-BZ448),0),0)</f>
        <v>0</v>
      </c>
      <c r="CT1331">
        <f>IF(ISNUMBER(CQ1331),IFERROR(MAX(0,CA448-CQ1331),0),0)</f>
        <v>0</v>
      </c>
      <c r="CU1331">
        <f>IF(ISNUMBER(CQ1331),IFERROR(MAX(0,CQ1331-CA448),0),0)</f>
        <v>0</v>
      </c>
    </row>
    <row r="1332" spans="87:99" x14ac:dyDescent="0.3">
      <c r="CI1332" t="e">
        <f>AT448</f>
        <v>#N/A</v>
      </c>
      <c r="CJ1332" t="e">
        <f>AU448</f>
        <v>#N/A</v>
      </c>
      <c r="CK1332">
        <f>IF(ISNUMBER(CI1332),IFERROR(MAX(0,AV448-CI1332),0),0)</f>
        <v>0</v>
      </c>
      <c r="CL1332">
        <f>IF(ISNUMBER(CI1332),IFERROR(MAX(0,CI1332-AV448),0),0)</f>
        <v>0</v>
      </c>
      <c r="CM1332">
        <f>IF(ISNUMBER(CJ1332),IFERROR(MAX(0,AW448-CJ1332),0),0)</f>
        <v>0</v>
      </c>
      <c r="CN1332">
        <f>IF(ISNUMBER(CJ1332),IFERROR(MAX(0,CJ1332-AW448),0),0)</f>
        <v>0</v>
      </c>
      <c r="CP1332" t="e">
        <f>CB448</f>
        <v>#N/A</v>
      </c>
      <c r="CQ1332" t="e">
        <f>CC448</f>
        <v>#N/A</v>
      </c>
      <c r="CR1332">
        <f>IF(ISNUMBER(CP1332),IFERROR(MAX(0,CD448-CP1332),0),0)</f>
        <v>0</v>
      </c>
      <c r="CS1332">
        <f>IF(ISNUMBER(CP1332),IFERROR(MAX(0,CP1332-CD448),0),0)</f>
        <v>0</v>
      </c>
      <c r="CT1332">
        <f>IF(ISNUMBER(CQ1332),IFERROR(MAX(0,CE448-CQ1332),0),0)</f>
        <v>0</v>
      </c>
      <c r="CU1332">
        <f>IF(ISNUMBER(CQ1332),IFERROR(MAX(0,CQ1332-CE448),0),0)</f>
        <v>0</v>
      </c>
    </row>
    <row r="1333" spans="87:99" x14ac:dyDescent="0.3">
      <c r="CI1333" t="e">
        <f>AL449</f>
        <v>#N/A</v>
      </c>
      <c r="CJ1333" t="e">
        <f>AM449</f>
        <v>#N/A</v>
      </c>
      <c r="CK1333">
        <f>IF(ISNUMBER(CI1333),IFERROR(MAX(0,AN449-CI1333),0),0)</f>
        <v>0</v>
      </c>
      <c r="CL1333">
        <f>IF(ISNUMBER(CI1333),IFERROR(MAX(0,CI1333-AN449),0),0)</f>
        <v>0</v>
      </c>
      <c r="CM1333">
        <f>IF(ISNUMBER(CJ1333),IFERROR(MAX(0,AO449-CJ1333),0),0)</f>
        <v>0</v>
      </c>
      <c r="CN1333">
        <f>IF(ISNUMBER(CJ1333),IFERROR(MAX(0,CJ1333-AO449),0),0)</f>
        <v>0</v>
      </c>
      <c r="CP1333" t="e">
        <f>BT449</f>
        <v>#N/A</v>
      </c>
      <c r="CQ1333" t="e">
        <f>BU449</f>
        <v>#N/A</v>
      </c>
      <c r="CR1333">
        <f>IF(ISNUMBER(CP1333),IFERROR(MAX(0,BV449-CP1333),0),0)</f>
        <v>0</v>
      </c>
      <c r="CS1333">
        <f>IF(ISNUMBER(CP1333),IFERROR(MAX(0,CP1333-BV449),0),0)</f>
        <v>0</v>
      </c>
      <c r="CT1333">
        <f>IF(ISNUMBER(CQ1333),IFERROR(MAX(0,BW449-CQ1333),0),0)</f>
        <v>0</v>
      </c>
      <c r="CU1333">
        <f>IF(ISNUMBER(CQ1333),IFERROR(MAX(0,CQ1333-BW449),0),0)</f>
        <v>0</v>
      </c>
    </row>
    <row r="1334" spans="87:99" x14ac:dyDescent="0.3">
      <c r="CI1334" t="e">
        <f>AP449</f>
        <v>#N/A</v>
      </c>
      <c r="CJ1334" t="e">
        <f>AQ449</f>
        <v>#N/A</v>
      </c>
      <c r="CK1334">
        <f>IF(ISNUMBER(CI1334),IFERROR(MAX(0,AR449-CI1334),0),0)</f>
        <v>0</v>
      </c>
      <c r="CL1334">
        <f>IF(ISNUMBER(CI1334),IFERROR(MAX(0,CI1334-AR449),0),0)</f>
        <v>0</v>
      </c>
      <c r="CM1334">
        <f>IF(ISNUMBER(CJ1334),IFERROR(MAX(0,AS449-CJ1334),0),0)</f>
        <v>0</v>
      </c>
      <c r="CN1334">
        <f>IF(ISNUMBER(CJ1334),IFERROR(MAX(0,CJ1334-AS449),0),0)</f>
        <v>0</v>
      </c>
      <c r="CP1334" t="e">
        <f>BX449</f>
        <v>#N/A</v>
      </c>
      <c r="CQ1334" t="e">
        <f>BY449</f>
        <v>#N/A</v>
      </c>
      <c r="CR1334">
        <f>IF(ISNUMBER(CP1334),IFERROR(MAX(0,BZ449-CP1334),0),0)</f>
        <v>0</v>
      </c>
      <c r="CS1334">
        <f>IF(ISNUMBER(CP1334),IFERROR(MAX(0,CP1334-BZ449),0),0)</f>
        <v>0</v>
      </c>
      <c r="CT1334">
        <f>IF(ISNUMBER(CQ1334),IFERROR(MAX(0,CA449-CQ1334),0),0)</f>
        <v>0</v>
      </c>
      <c r="CU1334">
        <f>IF(ISNUMBER(CQ1334),IFERROR(MAX(0,CQ1334-CA449),0),0)</f>
        <v>0</v>
      </c>
    </row>
    <row r="1335" spans="87:99" x14ac:dyDescent="0.3">
      <c r="CI1335" t="e">
        <f>AT449</f>
        <v>#N/A</v>
      </c>
      <c r="CJ1335" t="e">
        <f>AU449</f>
        <v>#N/A</v>
      </c>
      <c r="CK1335">
        <f>IF(ISNUMBER(CI1335),IFERROR(MAX(0,AV449-CI1335),0),0)</f>
        <v>0</v>
      </c>
      <c r="CL1335">
        <f>IF(ISNUMBER(CI1335),IFERROR(MAX(0,CI1335-AV449),0),0)</f>
        <v>0</v>
      </c>
      <c r="CM1335">
        <f>IF(ISNUMBER(CJ1335),IFERROR(MAX(0,AW449-CJ1335),0),0)</f>
        <v>0</v>
      </c>
      <c r="CN1335">
        <f>IF(ISNUMBER(CJ1335),IFERROR(MAX(0,CJ1335-AW449),0),0)</f>
        <v>0</v>
      </c>
      <c r="CP1335" t="e">
        <f>CB449</f>
        <v>#N/A</v>
      </c>
      <c r="CQ1335" t="e">
        <f>CC449</f>
        <v>#N/A</v>
      </c>
      <c r="CR1335">
        <f>IF(ISNUMBER(CP1335),IFERROR(MAX(0,CD449-CP1335),0),0)</f>
        <v>0</v>
      </c>
      <c r="CS1335">
        <f>IF(ISNUMBER(CP1335),IFERROR(MAX(0,CP1335-CD449),0),0)</f>
        <v>0</v>
      </c>
      <c r="CT1335">
        <f>IF(ISNUMBER(CQ1335),IFERROR(MAX(0,CE449-CQ1335),0),0)</f>
        <v>0</v>
      </c>
      <c r="CU1335">
        <f>IF(ISNUMBER(CQ1335),IFERROR(MAX(0,CQ1335-CE449),0),0)</f>
        <v>0</v>
      </c>
    </row>
    <row r="1336" spans="87:99" x14ac:dyDescent="0.3">
      <c r="CI1336" t="e">
        <f>AL450</f>
        <v>#N/A</v>
      </c>
      <c r="CJ1336" t="e">
        <f>AM450</f>
        <v>#N/A</v>
      </c>
      <c r="CK1336">
        <f>IF(ISNUMBER(CI1336),IFERROR(MAX(0,AN450-CI1336),0),0)</f>
        <v>0</v>
      </c>
      <c r="CL1336">
        <f>IF(ISNUMBER(CI1336),IFERROR(MAX(0,CI1336-AN450),0),0)</f>
        <v>0</v>
      </c>
      <c r="CM1336">
        <f>IF(ISNUMBER(CJ1336),IFERROR(MAX(0,AO450-CJ1336),0),0)</f>
        <v>0</v>
      </c>
      <c r="CN1336">
        <f>IF(ISNUMBER(CJ1336),IFERROR(MAX(0,CJ1336-AO450),0),0)</f>
        <v>0</v>
      </c>
      <c r="CP1336" t="e">
        <f>BT450</f>
        <v>#N/A</v>
      </c>
      <c r="CQ1336" t="e">
        <f>BU450</f>
        <v>#N/A</v>
      </c>
      <c r="CR1336">
        <f>IF(ISNUMBER(CP1336),IFERROR(MAX(0,BV450-CP1336),0),0)</f>
        <v>0</v>
      </c>
      <c r="CS1336">
        <f>IF(ISNUMBER(CP1336),IFERROR(MAX(0,CP1336-BV450),0),0)</f>
        <v>0</v>
      </c>
      <c r="CT1336">
        <f>IF(ISNUMBER(CQ1336),IFERROR(MAX(0,BW450-CQ1336),0),0)</f>
        <v>0</v>
      </c>
      <c r="CU1336">
        <f>IF(ISNUMBER(CQ1336),IFERROR(MAX(0,CQ1336-BW450),0),0)</f>
        <v>0</v>
      </c>
    </row>
    <row r="1337" spans="87:99" x14ac:dyDescent="0.3">
      <c r="CI1337" t="e">
        <f>AP450</f>
        <v>#N/A</v>
      </c>
      <c r="CJ1337" t="e">
        <f>AQ450</f>
        <v>#N/A</v>
      </c>
      <c r="CK1337">
        <f>IF(ISNUMBER(CI1337),IFERROR(MAX(0,AR450-CI1337),0),0)</f>
        <v>0</v>
      </c>
      <c r="CL1337">
        <f>IF(ISNUMBER(CI1337),IFERROR(MAX(0,CI1337-AR450),0),0)</f>
        <v>0</v>
      </c>
      <c r="CM1337">
        <f>IF(ISNUMBER(CJ1337),IFERROR(MAX(0,AS450-CJ1337),0),0)</f>
        <v>0</v>
      </c>
      <c r="CN1337">
        <f>IF(ISNUMBER(CJ1337),IFERROR(MAX(0,CJ1337-AS450),0),0)</f>
        <v>0</v>
      </c>
      <c r="CP1337" t="e">
        <f>BX450</f>
        <v>#N/A</v>
      </c>
      <c r="CQ1337" t="e">
        <f>BY450</f>
        <v>#N/A</v>
      </c>
      <c r="CR1337">
        <f>IF(ISNUMBER(CP1337),IFERROR(MAX(0,BZ450-CP1337),0),0)</f>
        <v>0</v>
      </c>
      <c r="CS1337">
        <f>IF(ISNUMBER(CP1337),IFERROR(MAX(0,CP1337-BZ450),0),0)</f>
        <v>0</v>
      </c>
      <c r="CT1337">
        <f>IF(ISNUMBER(CQ1337),IFERROR(MAX(0,CA450-CQ1337),0),0)</f>
        <v>0</v>
      </c>
      <c r="CU1337">
        <f>IF(ISNUMBER(CQ1337),IFERROR(MAX(0,CQ1337-CA450),0),0)</f>
        <v>0</v>
      </c>
    </row>
    <row r="1338" spans="87:99" x14ac:dyDescent="0.3">
      <c r="CI1338" t="e">
        <f>AT450</f>
        <v>#N/A</v>
      </c>
      <c r="CJ1338" t="e">
        <f>AU450</f>
        <v>#N/A</v>
      </c>
      <c r="CK1338">
        <f>IF(ISNUMBER(CI1338),IFERROR(MAX(0,AV450-CI1338),0),0)</f>
        <v>0</v>
      </c>
      <c r="CL1338">
        <f>IF(ISNUMBER(CI1338),IFERROR(MAX(0,CI1338-AV450),0),0)</f>
        <v>0</v>
      </c>
      <c r="CM1338">
        <f>IF(ISNUMBER(CJ1338),IFERROR(MAX(0,AW450-CJ1338),0),0)</f>
        <v>0</v>
      </c>
      <c r="CN1338">
        <f>IF(ISNUMBER(CJ1338),IFERROR(MAX(0,CJ1338-AW450),0),0)</f>
        <v>0</v>
      </c>
      <c r="CP1338" t="e">
        <f>CB450</f>
        <v>#N/A</v>
      </c>
      <c r="CQ1338" t="e">
        <f>CC450</f>
        <v>#N/A</v>
      </c>
      <c r="CR1338">
        <f>IF(ISNUMBER(CP1338),IFERROR(MAX(0,CD450-CP1338),0),0)</f>
        <v>0</v>
      </c>
      <c r="CS1338">
        <f>IF(ISNUMBER(CP1338),IFERROR(MAX(0,CP1338-CD450),0),0)</f>
        <v>0</v>
      </c>
      <c r="CT1338">
        <f>IF(ISNUMBER(CQ1338),IFERROR(MAX(0,CE450-CQ1338),0),0)</f>
        <v>0</v>
      </c>
      <c r="CU1338">
        <f>IF(ISNUMBER(CQ1338),IFERROR(MAX(0,CQ1338-CE450),0),0)</f>
        <v>0</v>
      </c>
    </row>
    <row r="1339" spans="87:99" x14ac:dyDescent="0.3">
      <c r="CI1339" t="e">
        <f>AL451</f>
        <v>#N/A</v>
      </c>
      <c r="CJ1339" t="e">
        <f>AM451</f>
        <v>#N/A</v>
      </c>
      <c r="CK1339">
        <f>IF(ISNUMBER(CI1339),IFERROR(MAX(0,AN451-CI1339),0),0)</f>
        <v>0</v>
      </c>
      <c r="CL1339">
        <f>IF(ISNUMBER(CI1339),IFERROR(MAX(0,CI1339-AN451),0),0)</f>
        <v>0</v>
      </c>
      <c r="CM1339">
        <f>IF(ISNUMBER(CJ1339),IFERROR(MAX(0,AO451-CJ1339),0),0)</f>
        <v>0</v>
      </c>
      <c r="CN1339">
        <f>IF(ISNUMBER(CJ1339),IFERROR(MAX(0,CJ1339-AO451),0),0)</f>
        <v>0</v>
      </c>
      <c r="CP1339" t="e">
        <f>BT451</f>
        <v>#N/A</v>
      </c>
      <c r="CQ1339" t="e">
        <f>BU451</f>
        <v>#N/A</v>
      </c>
      <c r="CR1339">
        <f>IF(ISNUMBER(CP1339),IFERROR(MAX(0,BV451-CP1339),0),0)</f>
        <v>0</v>
      </c>
      <c r="CS1339">
        <f>IF(ISNUMBER(CP1339),IFERROR(MAX(0,CP1339-BV451),0),0)</f>
        <v>0</v>
      </c>
      <c r="CT1339">
        <f>IF(ISNUMBER(CQ1339),IFERROR(MAX(0,BW451-CQ1339),0),0)</f>
        <v>0</v>
      </c>
      <c r="CU1339">
        <f>IF(ISNUMBER(CQ1339),IFERROR(MAX(0,CQ1339-BW451),0),0)</f>
        <v>0</v>
      </c>
    </row>
    <row r="1340" spans="87:99" x14ac:dyDescent="0.3">
      <c r="CI1340" t="e">
        <f>AP451</f>
        <v>#N/A</v>
      </c>
      <c r="CJ1340" t="e">
        <f>AQ451</f>
        <v>#N/A</v>
      </c>
      <c r="CK1340">
        <f>IF(ISNUMBER(CI1340),IFERROR(MAX(0,AR451-CI1340),0),0)</f>
        <v>0</v>
      </c>
      <c r="CL1340">
        <f>IF(ISNUMBER(CI1340),IFERROR(MAX(0,CI1340-AR451),0),0)</f>
        <v>0</v>
      </c>
      <c r="CM1340">
        <f>IF(ISNUMBER(CJ1340),IFERROR(MAX(0,AS451-CJ1340),0),0)</f>
        <v>0</v>
      </c>
      <c r="CN1340">
        <f>IF(ISNUMBER(CJ1340),IFERROR(MAX(0,CJ1340-AS451),0),0)</f>
        <v>0</v>
      </c>
      <c r="CP1340" t="e">
        <f>BX451</f>
        <v>#N/A</v>
      </c>
      <c r="CQ1340" t="e">
        <f>BY451</f>
        <v>#N/A</v>
      </c>
      <c r="CR1340">
        <f>IF(ISNUMBER(CP1340),IFERROR(MAX(0,BZ451-CP1340),0),0)</f>
        <v>0</v>
      </c>
      <c r="CS1340">
        <f>IF(ISNUMBER(CP1340),IFERROR(MAX(0,CP1340-BZ451),0),0)</f>
        <v>0</v>
      </c>
      <c r="CT1340">
        <f>IF(ISNUMBER(CQ1340),IFERROR(MAX(0,CA451-CQ1340),0),0)</f>
        <v>0</v>
      </c>
      <c r="CU1340">
        <f>IF(ISNUMBER(CQ1340),IFERROR(MAX(0,CQ1340-CA451),0),0)</f>
        <v>0</v>
      </c>
    </row>
    <row r="1341" spans="87:99" x14ac:dyDescent="0.3">
      <c r="CI1341" t="e">
        <f>AT451</f>
        <v>#N/A</v>
      </c>
      <c r="CJ1341" t="e">
        <f>AU451</f>
        <v>#N/A</v>
      </c>
      <c r="CK1341">
        <f>IF(ISNUMBER(CI1341),IFERROR(MAX(0,AV451-CI1341),0),0)</f>
        <v>0</v>
      </c>
      <c r="CL1341">
        <f>IF(ISNUMBER(CI1341),IFERROR(MAX(0,CI1341-AV451),0),0)</f>
        <v>0</v>
      </c>
      <c r="CM1341">
        <f>IF(ISNUMBER(CJ1341),IFERROR(MAX(0,AW451-CJ1341),0),0)</f>
        <v>0</v>
      </c>
      <c r="CN1341">
        <f>IF(ISNUMBER(CJ1341),IFERROR(MAX(0,CJ1341-AW451),0),0)</f>
        <v>0</v>
      </c>
      <c r="CP1341" t="e">
        <f>CB451</f>
        <v>#N/A</v>
      </c>
      <c r="CQ1341" t="e">
        <f>CC451</f>
        <v>#N/A</v>
      </c>
      <c r="CR1341">
        <f>IF(ISNUMBER(CP1341),IFERROR(MAX(0,CD451-CP1341),0),0)</f>
        <v>0</v>
      </c>
      <c r="CS1341">
        <f>IF(ISNUMBER(CP1341),IFERROR(MAX(0,CP1341-CD451),0),0)</f>
        <v>0</v>
      </c>
      <c r="CT1341">
        <f>IF(ISNUMBER(CQ1341),IFERROR(MAX(0,CE451-CQ1341),0),0)</f>
        <v>0</v>
      </c>
      <c r="CU1341">
        <f>IF(ISNUMBER(CQ1341),IFERROR(MAX(0,CQ1341-CE451),0),0)</f>
        <v>0</v>
      </c>
    </row>
    <row r="1342" spans="87:99" x14ac:dyDescent="0.3">
      <c r="CI1342" t="e">
        <f>AL452</f>
        <v>#N/A</v>
      </c>
      <c r="CJ1342" t="e">
        <f>AM452</f>
        <v>#N/A</v>
      </c>
      <c r="CK1342">
        <f>IF(ISNUMBER(CI1342),IFERROR(MAX(0,AN452-CI1342),0),0)</f>
        <v>0</v>
      </c>
      <c r="CL1342">
        <f>IF(ISNUMBER(CI1342),IFERROR(MAX(0,CI1342-AN452),0),0)</f>
        <v>0</v>
      </c>
      <c r="CM1342">
        <f>IF(ISNUMBER(CJ1342),IFERROR(MAX(0,AO452-CJ1342),0),0)</f>
        <v>0</v>
      </c>
      <c r="CN1342">
        <f>IF(ISNUMBER(CJ1342),IFERROR(MAX(0,CJ1342-AO452),0),0)</f>
        <v>0</v>
      </c>
      <c r="CP1342" t="e">
        <f>BT452</f>
        <v>#N/A</v>
      </c>
      <c r="CQ1342" t="e">
        <f>BU452</f>
        <v>#N/A</v>
      </c>
      <c r="CR1342">
        <f>IF(ISNUMBER(CP1342),IFERROR(MAX(0,BV452-CP1342),0),0)</f>
        <v>0</v>
      </c>
      <c r="CS1342">
        <f>IF(ISNUMBER(CP1342),IFERROR(MAX(0,CP1342-BV452),0),0)</f>
        <v>0</v>
      </c>
      <c r="CT1342">
        <f>IF(ISNUMBER(CQ1342),IFERROR(MAX(0,BW452-CQ1342),0),0)</f>
        <v>0</v>
      </c>
      <c r="CU1342">
        <f>IF(ISNUMBER(CQ1342),IFERROR(MAX(0,CQ1342-BW452),0),0)</f>
        <v>0</v>
      </c>
    </row>
    <row r="1343" spans="87:99" x14ac:dyDescent="0.3">
      <c r="CI1343" t="e">
        <f>AP452</f>
        <v>#N/A</v>
      </c>
      <c r="CJ1343" t="e">
        <f>AQ452</f>
        <v>#N/A</v>
      </c>
      <c r="CK1343">
        <f>IF(ISNUMBER(CI1343),IFERROR(MAX(0,AR452-CI1343),0),0)</f>
        <v>0</v>
      </c>
      <c r="CL1343">
        <f>IF(ISNUMBER(CI1343),IFERROR(MAX(0,CI1343-AR452),0),0)</f>
        <v>0</v>
      </c>
      <c r="CM1343">
        <f>IF(ISNUMBER(CJ1343),IFERROR(MAX(0,AS452-CJ1343),0),0)</f>
        <v>0</v>
      </c>
      <c r="CN1343">
        <f>IF(ISNUMBER(CJ1343),IFERROR(MAX(0,CJ1343-AS452),0),0)</f>
        <v>0</v>
      </c>
      <c r="CP1343" t="e">
        <f>BX452</f>
        <v>#N/A</v>
      </c>
      <c r="CQ1343" t="e">
        <f>BY452</f>
        <v>#N/A</v>
      </c>
      <c r="CR1343">
        <f>IF(ISNUMBER(CP1343),IFERROR(MAX(0,BZ452-CP1343),0),0)</f>
        <v>0</v>
      </c>
      <c r="CS1343">
        <f>IF(ISNUMBER(CP1343),IFERROR(MAX(0,CP1343-BZ452),0),0)</f>
        <v>0</v>
      </c>
      <c r="CT1343">
        <f>IF(ISNUMBER(CQ1343),IFERROR(MAX(0,CA452-CQ1343),0),0)</f>
        <v>0</v>
      </c>
      <c r="CU1343">
        <f>IF(ISNUMBER(CQ1343),IFERROR(MAX(0,CQ1343-CA452),0),0)</f>
        <v>0</v>
      </c>
    </row>
    <row r="1344" spans="87:99" x14ac:dyDescent="0.3">
      <c r="CI1344" t="e">
        <f>AT452</f>
        <v>#N/A</v>
      </c>
      <c r="CJ1344" t="e">
        <f>AU452</f>
        <v>#N/A</v>
      </c>
      <c r="CK1344">
        <f>IF(ISNUMBER(CI1344),IFERROR(MAX(0,AV452-CI1344),0),0)</f>
        <v>0</v>
      </c>
      <c r="CL1344">
        <f>IF(ISNUMBER(CI1344),IFERROR(MAX(0,CI1344-AV452),0),0)</f>
        <v>0</v>
      </c>
      <c r="CM1344">
        <f>IF(ISNUMBER(CJ1344),IFERROR(MAX(0,AW452-CJ1344),0),0)</f>
        <v>0</v>
      </c>
      <c r="CN1344">
        <f>IF(ISNUMBER(CJ1344),IFERROR(MAX(0,CJ1344-AW452),0),0)</f>
        <v>0</v>
      </c>
      <c r="CP1344" t="e">
        <f>CB452</f>
        <v>#N/A</v>
      </c>
      <c r="CQ1344" t="e">
        <f>CC452</f>
        <v>#N/A</v>
      </c>
      <c r="CR1344">
        <f>IF(ISNUMBER(CP1344),IFERROR(MAX(0,CD452-CP1344),0),0)</f>
        <v>0</v>
      </c>
      <c r="CS1344">
        <f>IF(ISNUMBER(CP1344),IFERROR(MAX(0,CP1344-CD452),0),0)</f>
        <v>0</v>
      </c>
      <c r="CT1344">
        <f>IF(ISNUMBER(CQ1344),IFERROR(MAX(0,CE452-CQ1344),0),0)</f>
        <v>0</v>
      </c>
      <c r="CU1344">
        <f>IF(ISNUMBER(CQ1344),IFERROR(MAX(0,CQ1344-CE452),0),0)</f>
        <v>0</v>
      </c>
    </row>
    <row r="1345" spans="87:99" x14ac:dyDescent="0.3">
      <c r="CI1345" t="e">
        <f>AL453</f>
        <v>#N/A</v>
      </c>
      <c r="CJ1345" t="e">
        <f>AM453</f>
        <v>#N/A</v>
      </c>
      <c r="CK1345">
        <f>IF(ISNUMBER(CI1345),IFERROR(MAX(0,AN453-CI1345),0),0)</f>
        <v>0</v>
      </c>
      <c r="CL1345">
        <f>IF(ISNUMBER(CI1345),IFERROR(MAX(0,CI1345-AN453),0),0)</f>
        <v>0</v>
      </c>
      <c r="CM1345">
        <f>IF(ISNUMBER(CJ1345),IFERROR(MAX(0,AO453-CJ1345),0),0)</f>
        <v>0</v>
      </c>
      <c r="CN1345">
        <f>IF(ISNUMBER(CJ1345),IFERROR(MAX(0,CJ1345-AO453),0),0)</f>
        <v>0</v>
      </c>
      <c r="CP1345" t="e">
        <f>BT453</f>
        <v>#N/A</v>
      </c>
      <c r="CQ1345" t="e">
        <f>BU453</f>
        <v>#N/A</v>
      </c>
      <c r="CR1345">
        <f>IF(ISNUMBER(CP1345),IFERROR(MAX(0,BV453-CP1345),0),0)</f>
        <v>0</v>
      </c>
      <c r="CS1345">
        <f>IF(ISNUMBER(CP1345),IFERROR(MAX(0,CP1345-BV453),0),0)</f>
        <v>0</v>
      </c>
      <c r="CT1345">
        <f>IF(ISNUMBER(CQ1345),IFERROR(MAX(0,BW453-CQ1345),0),0)</f>
        <v>0</v>
      </c>
      <c r="CU1345">
        <f>IF(ISNUMBER(CQ1345),IFERROR(MAX(0,CQ1345-BW453),0),0)</f>
        <v>0</v>
      </c>
    </row>
    <row r="1346" spans="87:99" x14ac:dyDescent="0.3">
      <c r="CI1346" t="e">
        <f>AP453</f>
        <v>#N/A</v>
      </c>
      <c r="CJ1346" t="e">
        <f>AQ453</f>
        <v>#N/A</v>
      </c>
      <c r="CK1346">
        <f>IF(ISNUMBER(CI1346),IFERROR(MAX(0,AR453-CI1346),0),0)</f>
        <v>0</v>
      </c>
      <c r="CL1346">
        <f>IF(ISNUMBER(CI1346),IFERROR(MAX(0,CI1346-AR453),0),0)</f>
        <v>0</v>
      </c>
      <c r="CM1346">
        <f>IF(ISNUMBER(CJ1346),IFERROR(MAX(0,AS453-CJ1346),0),0)</f>
        <v>0</v>
      </c>
      <c r="CN1346">
        <f>IF(ISNUMBER(CJ1346),IFERROR(MAX(0,CJ1346-AS453),0),0)</f>
        <v>0</v>
      </c>
      <c r="CP1346" t="e">
        <f>BX453</f>
        <v>#N/A</v>
      </c>
      <c r="CQ1346" t="e">
        <f>BY453</f>
        <v>#N/A</v>
      </c>
      <c r="CR1346">
        <f>IF(ISNUMBER(CP1346),IFERROR(MAX(0,BZ453-CP1346),0),0)</f>
        <v>0</v>
      </c>
      <c r="CS1346">
        <f>IF(ISNUMBER(CP1346),IFERROR(MAX(0,CP1346-BZ453),0),0)</f>
        <v>0</v>
      </c>
      <c r="CT1346">
        <f>IF(ISNUMBER(CQ1346),IFERROR(MAX(0,CA453-CQ1346),0),0)</f>
        <v>0</v>
      </c>
      <c r="CU1346">
        <f>IF(ISNUMBER(CQ1346),IFERROR(MAX(0,CQ1346-CA453),0),0)</f>
        <v>0</v>
      </c>
    </row>
    <row r="1347" spans="87:99" x14ac:dyDescent="0.3">
      <c r="CI1347" t="e">
        <f>AT453</f>
        <v>#N/A</v>
      </c>
      <c r="CJ1347" t="e">
        <f>AU453</f>
        <v>#N/A</v>
      </c>
      <c r="CK1347">
        <f>IF(ISNUMBER(CI1347),IFERROR(MAX(0,AV453-CI1347),0),0)</f>
        <v>0</v>
      </c>
      <c r="CL1347">
        <f>IF(ISNUMBER(CI1347),IFERROR(MAX(0,CI1347-AV453),0),0)</f>
        <v>0</v>
      </c>
      <c r="CM1347">
        <f>IF(ISNUMBER(CJ1347),IFERROR(MAX(0,AW453-CJ1347),0),0)</f>
        <v>0</v>
      </c>
      <c r="CN1347">
        <f>IF(ISNUMBER(CJ1347),IFERROR(MAX(0,CJ1347-AW453),0),0)</f>
        <v>0</v>
      </c>
      <c r="CP1347" t="e">
        <f>CB453</f>
        <v>#N/A</v>
      </c>
      <c r="CQ1347" t="e">
        <f>CC453</f>
        <v>#N/A</v>
      </c>
      <c r="CR1347">
        <f>IF(ISNUMBER(CP1347),IFERROR(MAX(0,CD453-CP1347),0),0)</f>
        <v>0</v>
      </c>
      <c r="CS1347">
        <f>IF(ISNUMBER(CP1347),IFERROR(MAX(0,CP1347-CD453),0),0)</f>
        <v>0</v>
      </c>
      <c r="CT1347">
        <f>IF(ISNUMBER(CQ1347),IFERROR(MAX(0,CE453-CQ1347),0),0)</f>
        <v>0</v>
      </c>
      <c r="CU1347">
        <f>IF(ISNUMBER(CQ1347),IFERROR(MAX(0,CQ1347-CE453),0),0)</f>
        <v>0</v>
      </c>
    </row>
    <row r="1348" spans="87:99" x14ac:dyDescent="0.3">
      <c r="CI1348" t="e">
        <f>AL454</f>
        <v>#N/A</v>
      </c>
      <c r="CJ1348" t="e">
        <f>AM454</f>
        <v>#N/A</v>
      </c>
      <c r="CK1348">
        <f>IF(ISNUMBER(CI1348),IFERROR(MAX(0,AN454-CI1348),0),0)</f>
        <v>0</v>
      </c>
      <c r="CL1348">
        <f>IF(ISNUMBER(CI1348),IFERROR(MAX(0,CI1348-AN454),0),0)</f>
        <v>0</v>
      </c>
      <c r="CM1348">
        <f>IF(ISNUMBER(CJ1348),IFERROR(MAX(0,AO454-CJ1348),0),0)</f>
        <v>0</v>
      </c>
      <c r="CN1348">
        <f>IF(ISNUMBER(CJ1348),IFERROR(MAX(0,CJ1348-AO454),0),0)</f>
        <v>0</v>
      </c>
      <c r="CP1348" t="e">
        <f>BT454</f>
        <v>#N/A</v>
      </c>
      <c r="CQ1348" t="e">
        <f>BU454</f>
        <v>#N/A</v>
      </c>
      <c r="CR1348">
        <f>IF(ISNUMBER(CP1348),IFERROR(MAX(0,BV454-CP1348),0),0)</f>
        <v>0</v>
      </c>
      <c r="CS1348">
        <f>IF(ISNUMBER(CP1348),IFERROR(MAX(0,CP1348-BV454),0),0)</f>
        <v>0</v>
      </c>
      <c r="CT1348">
        <f>IF(ISNUMBER(CQ1348),IFERROR(MAX(0,BW454-CQ1348),0),0)</f>
        <v>0</v>
      </c>
      <c r="CU1348">
        <f>IF(ISNUMBER(CQ1348),IFERROR(MAX(0,CQ1348-BW454),0),0)</f>
        <v>0</v>
      </c>
    </row>
    <row r="1349" spans="87:99" x14ac:dyDescent="0.3">
      <c r="CI1349" t="e">
        <f>AP454</f>
        <v>#N/A</v>
      </c>
      <c r="CJ1349" t="e">
        <f>AQ454</f>
        <v>#N/A</v>
      </c>
      <c r="CK1349">
        <f>IF(ISNUMBER(CI1349),IFERROR(MAX(0,AR454-CI1349),0),0)</f>
        <v>0</v>
      </c>
      <c r="CL1349">
        <f>IF(ISNUMBER(CI1349),IFERROR(MAX(0,CI1349-AR454),0),0)</f>
        <v>0</v>
      </c>
      <c r="CM1349">
        <f>IF(ISNUMBER(CJ1349),IFERROR(MAX(0,AS454-CJ1349),0),0)</f>
        <v>0</v>
      </c>
      <c r="CN1349">
        <f>IF(ISNUMBER(CJ1349),IFERROR(MAX(0,CJ1349-AS454),0),0)</f>
        <v>0</v>
      </c>
      <c r="CP1349" t="e">
        <f>BX454</f>
        <v>#N/A</v>
      </c>
      <c r="CQ1349" t="e">
        <f>BY454</f>
        <v>#N/A</v>
      </c>
      <c r="CR1349">
        <f>IF(ISNUMBER(CP1349),IFERROR(MAX(0,BZ454-CP1349),0),0)</f>
        <v>0</v>
      </c>
      <c r="CS1349">
        <f>IF(ISNUMBER(CP1349),IFERROR(MAX(0,CP1349-BZ454),0),0)</f>
        <v>0</v>
      </c>
      <c r="CT1349">
        <f>IF(ISNUMBER(CQ1349),IFERROR(MAX(0,CA454-CQ1349),0),0)</f>
        <v>0</v>
      </c>
      <c r="CU1349">
        <f>IF(ISNUMBER(CQ1349),IFERROR(MAX(0,CQ1349-CA454),0),0)</f>
        <v>0</v>
      </c>
    </row>
    <row r="1350" spans="87:99" x14ac:dyDescent="0.3">
      <c r="CI1350" t="e">
        <f>AT454</f>
        <v>#N/A</v>
      </c>
      <c r="CJ1350" t="e">
        <f>AU454</f>
        <v>#N/A</v>
      </c>
      <c r="CK1350">
        <f>IF(ISNUMBER(CI1350),IFERROR(MAX(0,AV454-CI1350),0),0)</f>
        <v>0</v>
      </c>
      <c r="CL1350">
        <f>IF(ISNUMBER(CI1350),IFERROR(MAX(0,CI1350-AV454),0),0)</f>
        <v>0</v>
      </c>
      <c r="CM1350">
        <f>IF(ISNUMBER(CJ1350),IFERROR(MAX(0,AW454-CJ1350),0),0)</f>
        <v>0</v>
      </c>
      <c r="CN1350">
        <f>IF(ISNUMBER(CJ1350),IFERROR(MAX(0,CJ1350-AW454),0),0)</f>
        <v>0</v>
      </c>
      <c r="CP1350" t="e">
        <f>CB454</f>
        <v>#N/A</v>
      </c>
      <c r="CQ1350" t="e">
        <f>CC454</f>
        <v>#N/A</v>
      </c>
      <c r="CR1350">
        <f>IF(ISNUMBER(CP1350),IFERROR(MAX(0,CD454-CP1350),0),0)</f>
        <v>0</v>
      </c>
      <c r="CS1350">
        <f>IF(ISNUMBER(CP1350),IFERROR(MAX(0,CP1350-CD454),0),0)</f>
        <v>0</v>
      </c>
      <c r="CT1350">
        <f>IF(ISNUMBER(CQ1350),IFERROR(MAX(0,CE454-CQ1350),0),0)</f>
        <v>0</v>
      </c>
      <c r="CU1350">
        <f>IF(ISNUMBER(CQ1350),IFERROR(MAX(0,CQ1350-CE454),0),0)</f>
        <v>0</v>
      </c>
    </row>
    <row r="1351" spans="87:99" x14ac:dyDescent="0.3">
      <c r="CI1351" t="e">
        <f>AL455</f>
        <v>#N/A</v>
      </c>
      <c r="CJ1351" t="e">
        <f>AM455</f>
        <v>#N/A</v>
      </c>
      <c r="CK1351">
        <f>IF(ISNUMBER(CI1351),IFERROR(MAX(0,AN455-CI1351),0),0)</f>
        <v>0</v>
      </c>
      <c r="CL1351">
        <f>IF(ISNUMBER(CI1351),IFERROR(MAX(0,CI1351-AN455),0),0)</f>
        <v>0</v>
      </c>
      <c r="CM1351">
        <f>IF(ISNUMBER(CJ1351),IFERROR(MAX(0,AO455-CJ1351),0),0)</f>
        <v>0</v>
      </c>
      <c r="CN1351">
        <f>IF(ISNUMBER(CJ1351),IFERROR(MAX(0,CJ1351-AO455),0),0)</f>
        <v>0</v>
      </c>
      <c r="CP1351" t="e">
        <f>BT455</f>
        <v>#N/A</v>
      </c>
      <c r="CQ1351" t="e">
        <f>BU455</f>
        <v>#N/A</v>
      </c>
      <c r="CR1351">
        <f>IF(ISNUMBER(CP1351),IFERROR(MAX(0,BV455-CP1351),0),0)</f>
        <v>0</v>
      </c>
      <c r="CS1351">
        <f>IF(ISNUMBER(CP1351),IFERROR(MAX(0,CP1351-BV455),0),0)</f>
        <v>0</v>
      </c>
      <c r="CT1351">
        <f>IF(ISNUMBER(CQ1351),IFERROR(MAX(0,BW455-CQ1351),0),0)</f>
        <v>0</v>
      </c>
      <c r="CU1351">
        <f>IF(ISNUMBER(CQ1351),IFERROR(MAX(0,CQ1351-BW455),0),0)</f>
        <v>0</v>
      </c>
    </row>
    <row r="1352" spans="87:99" x14ac:dyDescent="0.3">
      <c r="CI1352" t="e">
        <f>AP455</f>
        <v>#N/A</v>
      </c>
      <c r="CJ1352" t="e">
        <f>AQ455</f>
        <v>#N/A</v>
      </c>
      <c r="CK1352">
        <f>IF(ISNUMBER(CI1352),IFERROR(MAX(0,AR455-CI1352),0),0)</f>
        <v>0</v>
      </c>
      <c r="CL1352">
        <f>IF(ISNUMBER(CI1352),IFERROR(MAX(0,CI1352-AR455),0),0)</f>
        <v>0</v>
      </c>
      <c r="CM1352">
        <f>IF(ISNUMBER(CJ1352),IFERROR(MAX(0,AS455-CJ1352),0),0)</f>
        <v>0</v>
      </c>
      <c r="CN1352">
        <f>IF(ISNUMBER(CJ1352),IFERROR(MAX(0,CJ1352-AS455),0),0)</f>
        <v>0</v>
      </c>
      <c r="CP1352" t="e">
        <f>BX455</f>
        <v>#N/A</v>
      </c>
      <c r="CQ1352" t="e">
        <f>BY455</f>
        <v>#N/A</v>
      </c>
      <c r="CR1352">
        <f>IF(ISNUMBER(CP1352),IFERROR(MAX(0,BZ455-CP1352),0),0)</f>
        <v>0</v>
      </c>
      <c r="CS1352">
        <f>IF(ISNUMBER(CP1352),IFERROR(MAX(0,CP1352-BZ455),0),0)</f>
        <v>0</v>
      </c>
      <c r="CT1352">
        <f>IF(ISNUMBER(CQ1352),IFERROR(MAX(0,CA455-CQ1352),0),0)</f>
        <v>0</v>
      </c>
      <c r="CU1352">
        <f>IF(ISNUMBER(CQ1352),IFERROR(MAX(0,CQ1352-CA455),0),0)</f>
        <v>0</v>
      </c>
    </row>
    <row r="1353" spans="87:99" x14ac:dyDescent="0.3">
      <c r="CI1353" t="e">
        <f>AT455</f>
        <v>#N/A</v>
      </c>
      <c r="CJ1353" t="e">
        <f>AU455</f>
        <v>#N/A</v>
      </c>
      <c r="CK1353">
        <f>IF(ISNUMBER(CI1353),IFERROR(MAX(0,AV455-CI1353),0),0)</f>
        <v>0</v>
      </c>
      <c r="CL1353">
        <f>IF(ISNUMBER(CI1353),IFERROR(MAX(0,CI1353-AV455),0),0)</f>
        <v>0</v>
      </c>
      <c r="CM1353">
        <f>IF(ISNUMBER(CJ1353),IFERROR(MAX(0,AW455-CJ1353),0),0)</f>
        <v>0</v>
      </c>
      <c r="CN1353">
        <f>IF(ISNUMBER(CJ1353),IFERROR(MAX(0,CJ1353-AW455),0),0)</f>
        <v>0</v>
      </c>
      <c r="CP1353" t="e">
        <f>CB455</f>
        <v>#N/A</v>
      </c>
      <c r="CQ1353" t="e">
        <f>CC455</f>
        <v>#N/A</v>
      </c>
      <c r="CR1353">
        <f>IF(ISNUMBER(CP1353),IFERROR(MAX(0,CD455-CP1353),0),0)</f>
        <v>0</v>
      </c>
      <c r="CS1353">
        <f>IF(ISNUMBER(CP1353),IFERROR(MAX(0,CP1353-CD455),0),0)</f>
        <v>0</v>
      </c>
      <c r="CT1353">
        <f>IF(ISNUMBER(CQ1353),IFERROR(MAX(0,CE455-CQ1353),0),0)</f>
        <v>0</v>
      </c>
      <c r="CU1353">
        <f>IF(ISNUMBER(CQ1353),IFERROR(MAX(0,CQ1353-CE455),0),0)</f>
        <v>0</v>
      </c>
    </row>
    <row r="1354" spans="87:99" x14ac:dyDescent="0.3">
      <c r="CI1354" t="e">
        <f>AL456</f>
        <v>#N/A</v>
      </c>
      <c r="CJ1354" t="e">
        <f>AM456</f>
        <v>#N/A</v>
      </c>
      <c r="CK1354">
        <f>IF(ISNUMBER(CI1354),IFERROR(MAX(0,AN456-CI1354),0),0)</f>
        <v>0</v>
      </c>
      <c r="CL1354">
        <f>IF(ISNUMBER(CI1354),IFERROR(MAX(0,CI1354-AN456),0),0)</f>
        <v>0</v>
      </c>
      <c r="CM1354">
        <f>IF(ISNUMBER(CJ1354),IFERROR(MAX(0,AO456-CJ1354),0),0)</f>
        <v>0</v>
      </c>
      <c r="CN1354">
        <f>IF(ISNUMBER(CJ1354),IFERROR(MAX(0,CJ1354-AO456),0),0)</f>
        <v>0</v>
      </c>
      <c r="CP1354" t="e">
        <f>BT456</f>
        <v>#N/A</v>
      </c>
      <c r="CQ1354" t="e">
        <f>BU456</f>
        <v>#N/A</v>
      </c>
      <c r="CR1354">
        <f>IF(ISNUMBER(CP1354),IFERROR(MAX(0,BV456-CP1354),0),0)</f>
        <v>0</v>
      </c>
      <c r="CS1354">
        <f>IF(ISNUMBER(CP1354),IFERROR(MAX(0,CP1354-BV456),0),0)</f>
        <v>0</v>
      </c>
      <c r="CT1354">
        <f>IF(ISNUMBER(CQ1354),IFERROR(MAX(0,BW456-CQ1354),0),0)</f>
        <v>0</v>
      </c>
      <c r="CU1354">
        <f>IF(ISNUMBER(CQ1354),IFERROR(MAX(0,CQ1354-BW456),0),0)</f>
        <v>0</v>
      </c>
    </row>
    <row r="1355" spans="87:99" x14ac:dyDescent="0.3">
      <c r="CI1355" t="e">
        <f>AP456</f>
        <v>#N/A</v>
      </c>
      <c r="CJ1355" t="e">
        <f>AQ456</f>
        <v>#N/A</v>
      </c>
      <c r="CK1355">
        <f>IF(ISNUMBER(CI1355),IFERROR(MAX(0,AR456-CI1355),0),0)</f>
        <v>0</v>
      </c>
      <c r="CL1355">
        <f>IF(ISNUMBER(CI1355),IFERROR(MAX(0,CI1355-AR456),0),0)</f>
        <v>0</v>
      </c>
      <c r="CM1355">
        <f>IF(ISNUMBER(CJ1355),IFERROR(MAX(0,AS456-CJ1355),0),0)</f>
        <v>0</v>
      </c>
      <c r="CN1355">
        <f>IF(ISNUMBER(CJ1355),IFERROR(MAX(0,CJ1355-AS456),0),0)</f>
        <v>0</v>
      </c>
      <c r="CP1355" t="e">
        <f>BX456</f>
        <v>#N/A</v>
      </c>
      <c r="CQ1355" t="e">
        <f>BY456</f>
        <v>#N/A</v>
      </c>
      <c r="CR1355">
        <f>IF(ISNUMBER(CP1355),IFERROR(MAX(0,BZ456-CP1355),0),0)</f>
        <v>0</v>
      </c>
      <c r="CS1355">
        <f>IF(ISNUMBER(CP1355),IFERROR(MAX(0,CP1355-BZ456),0),0)</f>
        <v>0</v>
      </c>
      <c r="CT1355">
        <f>IF(ISNUMBER(CQ1355),IFERROR(MAX(0,CA456-CQ1355),0),0)</f>
        <v>0</v>
      </c>
      <c r="CU1355">
        <f>IF(ISNUMBER(CQ1355),IFERROR(MAX(0,CQ1355-CA456),0),0)</f>
        <v>0</v>
      </c>
    </row>
    <row r="1356" spans="87:99" x14ac:dyDescent="0.3">
      <c r="CI1356" t="e">
        <f>AT456</f>
        <v>#N/A</v>
      </c>
      <c r="CJ1356" t="e">
        <f>AU456</f>
        <v>#N/A</v>
      </c>
      <c r="CK1356">
        <f>IF(ISNUMBER(CI1356),IFERROR(MAX(0,AV456-CI1356),0),0)</f>
        <v>0</v>
      </c>
      <c r="CL1356">
        <f>IF(ISNUMBER(CI1356),IFERROR(MAX(0,CI1356-AV456),0),0)</f>
        <v>0</v>
      </c>
      <c r="CM1356">
        <f>IF(ISNUMBER(CJ1356),IFERROR(MAX(0,AW456-CJ1356),0),0)</f>
        <v>0</v>
      </c>
      <c r="CN1356">
        <f>IF(ISNUMBER(CJ1356),IFERROR(MAX(0,CJ1356-AW456),0),0)</f>
        <v>0</v>
      </c>
      <c r="CP1356" t="e">
        <f>CB456</f>
        <v>#N/A</v>
      </c>
      <c r="CQ1356" t="e">
        <f>CC456</f>
        <v>#N/A</v>
      </c>
      <c r="CR1356">
        <f>IF(ISNUMBER(CP1356),IFERROR(MAX(0,CD456-CP1356),0),0)</f>
        <v>0</v>
      </c>
      <c r="CS1356">
        <f>IF(ISNUMBER(CP1356),IFERROR(MAX(0,CP1356-CD456),0),0)</f>
        <v>0</v>
      </c>
      <c r="CT1356">
        <f>IF(ISNUMBER(CQ1356),IFERROR(MAX(0,CE456-CQ1356),0),0)</f>
        <v>0</v>
      </c>
      <c r="CU1356">
        <f>IF(ISNUMBER(CQ1356),IFERROR(MAX(0,CQ1356-CE456),0),0)</f>
        <v>0</v>
      </c>
    </row>
    <row r="1357" spans="87:99" x14ac:dyDescent="0.3">
      <c r="CI1357" t="e">
        <f>AL457</f>
        <v>#N/A</v>
      </c>
      <c r="CJ1357" t="e">
        <f>AM457</f>
        <v>#N/A</v>
      </c>
      <c r="CK1357">
        <f>IF(ISNUMBER(CI1357),IFERROR(MAX(0,AN457-CI1357),0),0)</f>
        <v>0</v>
      </c>
      <c r="CL1357">
        <f>IF(ISNUMBER(CI1357),IFERROR(MAX(0,CI1357-AN457),0),0)</f>
        <v>0</v>
      </c>
      <c r="CM1357">
        <f>IF(ISNUMBER(CJ1357),IFERROR(MAX(0,AO457-CJ1357),0),0)</f>
        <v>0</v>
      </c>
      <c r="CN1357">
        <f>IF(ISNUMBER(CJ1357),IFERROR(MAX(0,CJ1357-AO457),0),0)</f>
        <v>0</v>
      </c>
      <c r="CP1357" t="e">
        <f>BT457</f>
        <v>#N/A</v>
      </c>
      <c r="CQ1357" t="e">
        <f>BU457</f>
        <v>#N/A</v>
      </c>
      <c r="CR1357">
        <f>IF(ISNUMBER(CP1357),IFERROR(MAX(0,BV457-CP1357),0),0)</f>
        <v>0</v>
      </c>
      <c r="CS1357">
        <f>IF(ISNUMBER(CP1357),IFERROR(MAX(0,CP1357-BV457),0),0)</f>
        <v>0</v>
      </c>
      <c r="CT1357">
        <f>IF(ISNUMBER(CQ1357),IFERROR(MAX(0,BW457-CQ1357),0),0)</f>
        <v>0</v>
      </c>
      <c r="CU1357">
        <f>IF(ISNUMBER(CQ1357),IFERROR(MAX(0,CQ1357-BW457),0),0)</f>
        <v>0</v>
      </c>
    </row>
    <row r="1358" spans="87:99" x14ac:dyDescent="0.3">
      <c r="CI1358" t="e">
        <f>AP457</f>
        <v>#N/A</v>
      </c>
      <c r="CJ1358" t="e">
        <f>AQ457</f>
        <v>#N/A</v>
      </c>
      <c r="CK1358">
        <f>IF(ISNUMBER(CI1358),IFERROR(MAX(0,AR457-CI1358),0),0)</f>
        <v>0</v>
      </c>
      <c r="CL1358">
        <f>IF(ISNUMBER(CI1358),IFERROR(MAX(0,CI1358-AR457),0),0)</f>
        <v>0</v>
      </c>
      <c r="CM1358">
        <f>IF(ISNUMBER(CJ1358),IFERROR(MAX(0,AS457-CJ1358),0),0)</f>
        <v>0</v>
      </c>
      <c r="CN1358">
        <f>IF(ISNUMBER(CJ1358),IFERROR(MAX(0,CJ1358-AS457),0),0)</f>
        <v>0</v>
      </c>
      <c r="CP1358" t="e">
        <f>BX457</f>
        <v>#N/A</v>
      </c>
      <c r="CQ1358" t="e">
        <f>BY457</f>
        <v>#N/A</v>
      </c>
      <c r="CR1358">
        <f>IF(ISNUMBER(CP1358),IFERROR(MAX(0,BZ457-CP1358),0),0)</f>
        <v>0</v>
      </c>
      <c r="CS1358">
        <f>IF(ISNUMBER(CP1358),IFERROR(MAX(0,CP1358-BZ457),0),0)</f>
        <v>0</v>
      </c>
      <c r="CT1358">
        <f>IF(ISNUMBER(CQ1358),IFERROR(MAX(0,CA457-CQ1358),0),0)</f>
        <v>0</v>
      </c>
      <c r="CU1358">
        <f>IF(ISNUMBER(CQ1358),IFERROR(MAX(0,CQ1358-CA457),0),0)</f>
        <v>0</v>
      </c>
    </row>
    <row r="1359" spans="87:99" x14ac:dyDescent="0.3">
      <c r="CI1359" t="e">
        <f>AT457</f>
        <v>#N/A</v>
      </c>
      <c r="CJ1359" t="e">
        <f>AU457</f>
        <v>#N/A</v>
      </c>
      <c r="CK1359">
        <f>IF(ISNUMBER(CI1359),IFERROR(MAX(0,AV457-CI1359),0),0)</f>
        <v>0</v>
      </c>
      <c r="CL1359">
        <f>IF(ISNUMBER(CI1359),IFERROR(MAX(0,CI1359-AV457),0),0)</f>
        <v>0</v>
      </c>
      <c r="CM1359">
        <f>IF(ISNUMBER(CJ1359),IFERROR(MAX(0,AW457-CJ1359),0),0)</f>
        <v>0</v>
      </c>
      <c r="CN1359">
        <f>IF(ISNUMBER(CJ1359),IFERROR(MAX(0,CJ1359-AW457),0),0)</f>
        <v>0</v>
      </c>
      <c r="CP1359" t="e">
        <f>CB457</f>
        <v>#N/A</v>
      </c>
      <c r="CQ1359" t="e">
        <f>CC457</f>
        <v>#N/A</v>
      </c>
      <c r="CR1359">
        <f>IF(ISNUMBER(CP1359),IFERROR(MAX(0,CD457-CP1359),0),0)</f>
        <v>0</v>
      </c>
      <c r="CS1359">
        <f>IF(ISNUMBER(CP1359),IFERROR(MAX(0,CP1359-CD457),0),0)</f>
        <v>0</v>
      </c>
      <c r="CT1359">
        <f>IF(ISNUMBER(CQ1359),IFERROR(MAX(0,CE457-CQ1359),0),0)</f>
        <v>0</v>
      </c>
      <c r="CU1359">
        <f>IF(ISNUMBER(CQ1359),IFERROR(MAX(0,CQ1359-CE457),0),0)</f>
        <v>0</v>
      </c>
    </row>
    <row r="1360" spans="87:99" x14ac:dyDescent="0.3">
      <c r="CI1360" t="e">
        <f>AL458</f>
        <v>#N/A</v>
      </c>
      <c r="CJ1360" t="e">
        <f>AM458</f>
        <v>#N/A</v>
      </c>
      <c r="CK1360">
        <f>IF(ISNUMBER(CI1360),IFERROR(MAX(0,AN458-CI1360),0),0)</f>
        <v>0</v>
      </c>
      <c r="CL1360">
        <f>IF(ISNUMBER(CI1360),IFERROR(MAX(0,CI1360-AN458),0),0)</f>
        <v>0</v>
      </c>
      <c r="CM1360">
        <f>IF(ISNUMBER(CJ1360),IFERROR(MAX(0,AO458-CJ1360),0),0)</f>
        <v>0</v>
      </c>
      <c r="CN1360">
        <f>IF(ISNUMBER(CJ1360),IFERROR(MAX(0,CJ1360-AO458),0),0)</f>
        <v>0</v>
      </c>
      <c r="CP1360" t="e">
        <f>BT458</f>
        <v>#N/A</v>
      </c>
      <c r="CQ1360" t="e">
        <f>BU458</f>
        <v>#N/A</v>
      </c>
      <c r="CR1360">
        <f>IF(ISNUMBER(CP1360),IFERROR(MAX(0,BV458-CP1360),0),0)</f>
        <v>0</v>
      </c>
      <c r="CS1360">
        <f>IF(ISNUMBER(CP1360),IFERROR(MAX(0,CP1360-BV458),0),0)</f>
        <v>0</v>
      </c>
      <c r="CT1360">
        <f>IF(ISNUMBER(CQ1360),IFERROR(MAX(0,BW458-CQ1360),0),0)</f>
        <v>0</v>
      </c>
      <c r="CU1360">
        <f>IF(ISNUMBER(CQ1360),IFERROR(MAX(0,CQ1360-BW458),0),0)</f>
        <v>0</v>
      </c>
    </row>
    <row r="1361" spans="87:99" x14ac:dyDescent="0.3">
      <c r="CI1361" t="e">
        <f>AP458</f>
        <v>#N/A</v>
      </c>
      <c r="CJ1361" t="e">
        <f>AQ458</f>
        <v>#N/A</v>
      </c>
      <c r="CK1361">
        <f>IF(ISNUMBER(CI1361),IFERROR(MAX(0,AR458-CI1361),0),0)</f>
        <v>0</v>
      </c>
      <c r="CL1361">
        <f>IF(ISNUMBER(CI1361),IFERROR(MAX(0,CI1361-AR458),0),0)</f>
        <v>0</v>
      </c>
      <c r="CM1361">
        <f>IF(ISNUMBER(CJ1361),IFERROR(MAX(0,AS458-CJ1361),0),0)</f>
        <v>0</v>
      </c>
      <c r="CN1361">
        <f>IF(ISNUMBER(CJ1361),IFERROR(MAX(0,CJ1361-AS458),0),0)</f>
        <v>0</v>
      </c>
      <c r="CP1361" t="e">
        <f>BX458</f>
        <v>#N/A</v>
      </c>
      <c r="CQ1361" t="e">
        <f>BY458</f>
        <v>#N/A</v>
      </c>
      <c r="CR1361">
        <f>IF(ISNUMBER(CP1361),IFERROR(MAX(0,BZ458-CP1361),0),0)</f>
        <v>0</v>
      </c>
      <c r="CS1361">
        <f>IF(ISNUMBER(CP1361),IFERROR(MAX(0,CP1361-BZ458),0),0)</f>
        <v>0</v>
      </c>
      <c r="CT1361">
        <f>IF(ISNUMBER(CQ1361),IFERROR(MAX(0,CA458-CQ1361),0),0)</f>
        <v>0</v>
      </c>
      <c r="CU1361">
        <f>IF(ISNUMBER(CQ1361),IFERROR(MAX(0,CQ1361-CA458),0),0)</f>
        <v>0</v>
      </c>
    </row>
    <row r="1362" spans="87:99" x14ac:dyDescent="0.3">
      <c r="CI1362" t="e">
        <f>AT458</f>
        <v>#N/A</v>
      </c>
      <c r="CJ1362" t="e">
        <f>AU458</f>
        <v>#N/A</v>
      </c>
      <c r="CK1362">
        <f>IF(ISNUMBER(CI1362),IFERROR(MAX(0,AV458-CI1362),0),0)</f>
        <v>0</v>
      </c>
      <c r="CL1362">
        <f>IF(ISNUMBER(CI1362),IFERROR(MAX(0,CI1362-AV458),0),0)</f>
        <v>0</v>
      </c>
      <c r="CM1362">
        <f>IF(ISNUMBER(CJ1362),IFERROR(MAX(0,AW458-CJ1362),0),0)</f>
        <v>0</v>
      </c>
      <c r="CN1362">
        <f>IF(ISNUMBER(CJ1362),IFERROR(MAX(0,CJ1362-AW458),0),0)</f>
        <v>0</v>
      </c>
      <c r="CP1362" t="e">
        <f>CB458</f>
        <v>#N/A</v>
      </c>
      <c r="CQ1362" t="e">
        <f>CC458</f>
        <v>#N/A</v>
      </c>
      <c r="CR1362">
        <f>IF(ISNUMBER(CP1362),IFERROR(MAX(0,CD458-CP1362),0),0)</f>
        <v>0</v>
      </c>
      <c r="CS1362">
        <f>IF(ISNUMBER(CP1362),IFERROR(MAX(0,CP1362-CD458),0),0)</f>
        <v>0</v>
      </c>
      <c r="CT1362">
        <f>IF(ISNUMBER(CQ1362),IFERROR(MAX(0,CE458-CQ1362),0),0)</f>
        <v>0</v>
      </c>
      <c r="CU1362">
        <f>IF(ISNUMBER(CQ1362),IFERROR(MAX(0,CQ1362-CE458),0),0)</f>
        <v>0</v>
      </c>
    </row>
    <row r="1363" spans="87:99" x14ac:dyDescent="0.3">
      <c r="CI1363" t="e">
        <f>AL459</f>
        <v>#N/A</v>
      </c>
      <c r="CJ1363" t="e">
        <f>AM459</f>
        <v>#N/A</v>
      </c>
      <c r="CK1363">
        <f>IF(ISNUMBER(CI1363),IFERROR(MAX(0,AN459-CI1363),0),0)</f>
        <v>0</v>
      </c>
      <c r="CL1363">
        <f>IF(ISNUMBER(CI1363),IFERROR(MAX(0,CI1363-AN459),0),0)</f>
        <v>0</v>
      </c>
      <c r="CM1363">
        <f>IF(ISNUMBER(CJ1363),IFERROR(MAX(0,AO459-CJ1363),0),0)</f>
        <v>0</v>
      </c>
      <c r="CN1363">
        <f>IF(ISNUMBER(CJ1363),IFERROR(MAX(0,CJ1363-AO459),0),0)</f>
        <v>0</v>
      </c>
      <c r="CP1363" t="e">
        <f>BT459</f>
        <v>#N/A</v>
      </c>
      <c r="CQ1363" t="e">
        <f>BU459</f>
        <v>#N/A</v>
      </c>
      <c r="CR1363">
        <f>IF(ISNUMBER(CP1363),IFERROR(MAX(0,BV459-CP1363),0),0)</f>
        <v>0</v>
      </c>
      <c r="CS1363">
        <f>IF(ISNUMBER(CP1363),IFERROR(MAX(0,CP1363-BV459),0),0)</f>
        <v>0</v>
      </c>
      <c r="CT1363">
        <f>IF(ISNUMBER(CQ1363),IFERROR(MAX(0,BW459-CQ1363),0),0)</f>
        <v>0</v>
      </c>
      <c r="CU1363">
        <f>IF(ISNUMBER(CQ1363),IFERROR(MAX(0,CQ1363-BW459),0),0)</f>
        <v>0</v>
      </c>
    </row>
    <row r="1364" spans="87:99" x14ac:dyDescent="0.3">
      <c r="CI1364" t="e">
        <f>AP459</f>
        <v>#N/A</v>
      </c>
      <c r="CJ1364" t="e">
        <f>AQ459</f>
        <v>#N/A</v>
      </c>
      <c r="CK1364">
        <f>IF(ISNUMBER(CI1364),IFERROR(MAX(0,AR459-CI1364),0),0)</f>
        <v>0</v>
      </c>
      <c r="CL1364">
        <f>IF(ISNUMBER(CI1364),IFERROR(MAX(0,CI1364-AR459),0),0)</f>
        <v>0</v>
      </c>
      <c r="CM1364">
        <f>IF(ISNUMBER(CJ1364),IFERROR(MAX(0,AS459-CJ1364),0),0)</f>
        <v>0</v>
      </c>
      <c r="CN1364">
        <f>IF(ISNUMBER(CJ1364),IFERROR(MAX(0,CJ1364-AS459),0),0)</f>
        <v>0</v>
      </c>
      <c r="CP1364" t="e">
        <f>BX459</f>
        <v>#N/A</v>
      </c>
      <c r="CQ1364" t="e">
        <f>BY459</f>
        <v>#N/A</v>
      </c>
      <c r="CR1364">
        <f>IF(ISNUMBER(CP1364),IFERROR(MAX(0,BZ459-CP1364),0),0)</f>
        <v>0</v>
      </c>
      <c r="CS1364">
        <f>IF(ISNUMBER(CP1364),IFERROR(MAX(0,CP1364-BZ459),0),0)</f>
        <v>0</v>
      </c>
      <c r="CT1364">
        <f>IF(ISNUMBER(CQ1364),IFERROR(MAX(0,CA459-CQ1364),0),0)</f>
        <v>0</v>
      </c>
      <c r="CU1364">
        <f>IF(ISNUMBER(CQ1364),IFERROR(MAX(0,CQ1364-CA459),0),0)</f>
        <v>0</v>
      </c>
    </row>
    <row r="1365" spans="87:99" x14ac:dyDescent="0.3">
      <c r="CI1365" t="e">
        <f>AT459</f>
        <v>#N/A</v>
      </c>
      <c r="CJ1365" t="e">
        <f>AU459</f>
        <v>#N/A</v>
      </c>
      <c r="CK1365">
        <f>IF(ISNUMBER(CI1365),IFERROR(MAX(0,AV459-CI1365),0),0)</f>
        <v>0</v>
      </c>
      <c r="CL1365">
        <f>IF(ISNUMBER(CI1365),IFERROR(MAX(0,CI1365-AV459),0),0)</f>
        <v>0</v>
      </c>
      <c r="CM1365">
        <f>IF(ISNUMBER(CJ1365),IFERROR(MAX(0,AW459-CJ1365),0),0)</f>
        <v>0</v>
      </c>
      <c r="CN1365">
        <f>IF(ISNUMBER(CJ1365),IFERROR(MAX(0,CJ1365-AW459),0),0)</f>
        <v>0</v>
      </c>
      <c r="CP1365" t="e">
        <f>CB459</f>
        <v>#N/A</v>
      </c>
      <c r="CQ1365" t="e">
        <f>CC459</f>
        <v>#N/A</v>
      </c>
      <c r="CR1365">
        <f>IF(ISNUMBER(CP1365),IFERROR(MAX(0,CD459-CP1365),0),0)</f>
        <v>0</v>
      </c>
      <c r="CS1365">
        <f>IF(ISNUMBER(CP1365),IFERROR(MAX(0,CP1365-CD459),0),0)</f>
        <v>0</v>
      </c>
      <c r="CT1365">
        <f>IF(ISNUMBER(CQ1365),IFERROR(MAX(0,CE459-CQ1365),0),0)</f>
        <v>0</v>
      </c>
      <c r="CU1365">
        <f>IF(ISNUMBER(CQ1365),IFERROR(MAX(0,CQ1365-CE459),0),0)</f>
        <v>0</v>
      </c>
    </row>
    <row r="1366" spans="87:99" x14ac:dyDescent="0.3">
      <c r="CI1366" t="e">
        <f>AL460</f>
        <v>#N/A</v>
      </c>
      <c r="CJ1366" t="e">
        <f>AM460</f>
        <v>#N/A</v>
      </c>
      <c r="CK1366">
        <f>IF(ISNUMBER(CI1366),IFERROR(MAX(0,AN460-CI1366),0),0)</f>
        <v>0</v>
      </c>
      <c r="CL1366">
        <f>IF(ISNUMBER(CI1366),IFERROR(MAX(0,CI1366-AN460),0),0)</f>
        <v>0</v>
      </c>
      <c r="CM1366">
        <f>IF(ISNUMBER(CJ1366),IFERROR(MAX(0,AO460-CJ1366),0),0)</f>
        <v>0</v>
      </c>
      <c r="CN1366">
        <f>IF(ISNUMBER(CJ1366),IFERROR(MAX(0,CJ1366-AO460),0),0)</f>
        <v>0</v>
      </c>
      <c r="CP1366" t="e">
        <f>BT460</f>
        <v>#N/A</v>
      </c>
      <c r="CQ1366" t="e">
        <f>BU460</f>
        <v>#N/A</v>
      </c>
      <c r="CR1366">
        <f>IF(ISNUMBER(CP1366),IFERROR(MAX(0,BV460-CP1366),0),0)</f>
        <v>0</v>
      </c>
      <c r="CS1366">
        <f>IF(ISNUMBER(CP1366),IFERROR(MAX(0,CP1366-BV460),0),0)</f>
        <v>0</v>
      </c>
      <c r="CT1366">
        <f>IF(ISNUMBER(CQ1366),IFERROR(MAX(0,BW460-CQ1366),0),0)</f>
        <v>0</v>
      </c>
      <c r="CU1366">
        <f>IF(ISNUMBER(CQ1366),IFERROR(MAX(0,CQ1366-BW460),0),0)</f>
        <v>0</v>
      </c>
    </row>
    <row r="1367" spans="87:99" x14ac:dyDescent="0.3">
      <c r="CI1367" t="e">
        <f>AP460</f>
        <v>#N/A</v>
      </c>
      <c r="CJ1367" t="e">
        <f>AQ460</f>
        <v>#N/A</v>
      </c>
      <c r="CK1367">
        <f>IF(ISNUMBER(CI1367),IFERROR(MAX(0,AR460-CI1367),0),0)</f>
        <v>0</v>
      </c>
      <c r="CL1367">
        <f>IF(ISNUMBER(CI1367),IFERROR(MAX(0,CI1367-AR460),0),0)</f>
        <v>0</v>
      </c>
      <c r="CM1367">
        <f>IF(ISNUMBER(CJ1367),IFERROR(MAX(0,AS460-CJ1367),0),0)</f>
        <v>0</v>
      </c>
      <c r="CN1367">
        <f>IF(ISNUMBER(CJ1367),IFERROR(MAX(0,CJ1367-AS460),0),0)</f>
        <v>0</v>
      </c>
      <c r="CP1367" t="e">
        <f>BX460</f>
        <v>#N/A</v>
      </c>
      <c r="CQ1367" t="e">
        <f>BY460</f>
        <v>#N/A</v>
      </c>
      <c r="CR1367">
        <f>IF(ISNUMBER(CP1367),IFERROR(MAX(0,BZ460-CP1367),0),0)</f>
        <v>0</v>
      </c>
      <c r="CS1367">
        <f>IF(ISNUMBER(CP1367),IFERROR(MAX(0,CP1367-BZ460),0),0)</f>
        <v>0</v>
      </c>
      <c r="CT1367">
        <f>IF(ISNUMBER(CQ1367),IFERROR(MAX(0,CA460-CQ1367),0),0)</f>
        <v>0</v>
      </c>
      <c r="CU1367">
        <f>IF(ISNUMBER(CQ1367),IFERROR(MAX(0,CQ1367-CA460),0),0)</f>
        <v>0</v>
      </c>
    </row>
    <row r="1368" spans="87:99" x14ac:dyDescent="0.3">
      <c r="CI1368" t="e">
        <f>AT460</f>
        <v>#N/A</v>
      </c>
      <c r="CJ1368" t="e">
        <f>AU460</f>
        <v>#N/A</v>
      </c>
      <c r="CK1368">
        <f>IF(ISNUMBER(CI1368),IFERROR(MAX(0,AV460-CI1368),0),0)</f>
        <v>0</v>
      </c>
      <c r="CL1368">
        <f>IF(ISNUMBER(CI1368),IFERROR(MAX(0,CI1368-AV460),0),0)</f>
        <v>0</v>
      </c>
      <c r="CM1368">
        <f>IF(ISNUMBER(CJ1368),IFERROR(MAX(0,AW460-CJ1368),0),0)</f>
        <v>0</v>
      </c>
      <c r="CN1368">
        <f>IF(ISNUMBER(CJ1368),IFERROR(MAX(0,CJ1368-AW460),0),0)</f>
        <v>0</v>
      </c>
      <c r="CP1368" t="e">
        <f>CB460</f>
        <v>#N/A</v>
      </c>
      <c r="CQ1368" t="e">
        <f>CC460</f>
        <v>#N/A</v>
      </c>
      <c r="CR1368">
        <f>IF(ISNUMBER(CP1368),IFERROR(MAX(0,CD460-CP1368),0),0)</f>
        <v>0</v>
      </c>
      <c r="CS1368">
        <f>IF(ISNUMBER(CP1368),IFERROR(MAX(0,CP1368-CD460),0),0)</f>
        <v>0</v>
      </c>
      <c r="CT1368">
        <f>IF(ISNUMBER(CQ1368),IFERROR(MAX(0,CE460-CQ1368),0),0)</f>
        <v>0</v>
      </c>
      <c r="CU1368">
        <f>IF(ISNUMBER(CQ1368),IFERROR(MAX(0,CQ1368-CE460),0),0)</f>
        <v>0</v>
      </c>
    </row>
    <row r="1369" spans="87:99" x14ac:dyDescent="0.3">
      <c r="CI1369" t="e">
        <f>AL461</f>
        <v>#N/A</v>
      </c>
      <c r="CJ1369" t="e">
        <f>AM461</f>
        <v>#N/A</v>
      </c>
      <c r="CK1369">
        <f>IF(ISNUMBER(CI1369),IFERROR(MAX(0,AN461-CI1369),0),0)</f>
        <v>0</v>
      </c>
      <c r="CL1369">
        <f>IF(ISNUMBER(CI1369),IFERROR(MAX(0,CI1369-AN461),0),0)</f>
        <v>0</v>
      </c>
      <c r="CM1369">
        <f>IF(ISNUMBER(CJ1369),IFERROR(MAX(0,AO461-CJ1369),0),0)</f>
        <v>0</v>
      </c>
      <c r="CN1369">
        <f>IF(ISNUMBER(CJ1369),IFERROR(MAX(0,CJ1369-AO461),0),0)</f>
        <v>0</v>
      </c>
      <c r="CP1369" t="e">
        <f>BT461</f>
        <v>#N/A</v>
      </c>
      <c r="CQ1369" t="e">
        <f>BU461</f>
        <v>#N/A</v>
      </c>
      <c r="CR1369">
        <f>IF(ISNUMBER(CP1369),IFERROR(MAX(0,BV461-CP1369),0),0)</f>
        <v>0</v>
      </c>
      <c r="CS1369">
        <f>IF(ISNUMBER(CP1369),IFERROR(MAX(0,CP1369-BV461),0),0)</f>
        <v>0</v>
      </c>
      <c r="CT1369">
        <f>IF(ISNUMBER(CQ1369),IFERROR(MAX(0,BW461-CQ1369),0),0)</f>
        <v>0</v>
      </c>
      <c r="CU1369">
        <f>IF(ISNUMBER(CQ1369),IFERROR(MAX(0,CQ1369-BW461),0),0)</f>
        <v>0</v>
      </c>
    </row>
    <row r="1370" spans="87:99" x14ac:dyDescent="0.3">
      <c r="CI1370" t="e">
        <f>AP461</f>
        <v>#N/A</v>
      </c>
      <c r="CJ1370" t="e">
        <f>AQ461</f>
        <v>#N/A</v>
      </c>
      <c r="CK1370">
        <f>IF(ISNUMBER(CI1370),IFERROR(MAX(0,AR461-CI1370),0),0)</f>
        <v>0</v>
      </c>
      <c r="CL1370">
        <f>IF(ISNUMBER(CI1370),IFERROR(MAX(0,CI1370-AR461),0),0)</f>
        <v>0</v>
      </c>
      <c r="CM1370">
        <f>IF(ISNUMBER(CJ1370),IFERROR(MAX(0,AS461-CJ1370),0),0)</f>
        <v>0</v>
      </c>
      <c r="CN1370">
        <f>IF(ISNUMBER(CJ1370),IFERROR(MAX(0,CJ1370-AS461),0),0)</f>
        <v>0</v>
      </c>
      <c r="CP1370" t="e">
        <f>BX461</f>
        <v>#N/A</v>
      </c>
      <c r="CQ1370" t="e">
        <f>BY461</f>
        <v>#N/A</v>
      </c>
      <c r="CR1370">
        <f>IF(ISNUMBER(CP1370),IFERROR(MAX(0,BZ461-CP1370),0),0)</f>
        <v>0</v>
      </c>
      <c r="CS1370">
        <f>IF(ISNUMBER(CP1370),IFERROR(MAX(0,CP1370-BZ461),0),0)</f>
        <v>0</v>
      </c>
      <c r="CT1370">
        <f>IF(ISNUMBER(CQ1370),IFERROR(MAX(0,CA461-CQ1370),0),0)</f>
        <v>0</v>
      </c>
      <c r="CU1370">
        <f>IF(ISNUMBER(CQ1370),IFERROR(MAX(0,CQ1370-CA461),0),0)</f>
        <v>0</v>
      </c>
    </row>
    <row r="1371" spans="87:99" x14ac:dyDescent="0.3">
      <c r="CI1371" t="e">
        <f>AT461</f>
        <v>#N/A</v>
      </c>
      <c r="CJ1371" t="e">
        <f>AU461</f>
        <v>#N/A</v>
      </c>
      <c r="CK1371">
        <f>IF(ISNUMBER(CI1371),IFERROR(MAX(0,AV461-CI1371),0),0)</f>
        <v>0</v>
      </c>
      <c r="CL1371">
        <f>IF(ISNUMBER(CI1371),IFERROR(MAX(0,CI1371-AV461),0),0)</f>
        <v>0</v>
      </c>
      <c r="CM1371">
        <f>IF(ISNUMBER(CJ1371),IFERROR(MAX(0,AW461-CJ1371),0),0)</f>
        <v>0</v>
      </c>
      <c r="CN1371">
        <f>IF(ISNUMBER(CJ1371),IFERROR(MAX(0,CJ1371-AW461),0),0)</f>
        <v>0</v>
      </c>
      <c r="CP1371" t="e">
        <f>CB461</f>
        <v>#N/A</v>
      </c>
      <c r="CQ1371" t="e">
        <f>CC461</f>
        <v>#N/A</v>
      </c>
      <c r="CR1371">
        <f>IF(ISNUMBER(CP1371),IFERROR(MAX(0,CD461-CP1371),0),0)</f>
        <v>0</v>
      </c>
      <c r="CS1371">
        <f>IF(ISNUMBER(CP1371),IFERROR(MAX(0,CP1371-CD461),0),0)</f>
        <v>0</v>
      </c>
      <c r="CT1371">
        <f>IF(ISNUMBER(CQ1371),IFERROR(MAX(0,CE461-CQ1371),0),0)</f>
        <v>0</v>
      </c>
      <c r="CU1371">
        <f>IF(ISNUMBER(CQ1371),IFERROR(MAX(0,CQ1371-CE461),0),0)</f>
        <v>0</v>
      </c>
    </row>
    <row r="1372" spans="87:99" x14ac:dyDescent="0.3">
      <c r="CI1372" t="e">
        <f>AL462</f>
        <v>#N/A</v>
      </c>
      <c r="CJ1372" t="e">
        <f>AM462</f>
        <v>#N/A</v>
      </c>
      <c r="CK1372">
        <f>IF(ISNUMBER(CI1372),IFERROR(MAX(0,AN462-CI1372),0),0)</f>
        <v>0</v>
      </c>
      <c r="CL1372">
        <f>IF(ISNUMBER(CI1372),IFERROR(MAX(0,CI1372-AN462),0),0)</f>
        <v>0</v>
      </c>
      <c r="CM1372">
        <f>IF(ISNUMBER(CJ1372),IFERROR(MAX(0,AO462-CJ1372),0),0)</f>
        <v>0</v>
      </c>
      <c r="CN1372">
        <f>IF(ISNUMBER(CJ1372),IFERROR(MAX(0,CJ1372-AO462),0),0)</f>
        <v>0</v>
      </c>
      <c r="CP1372" t="e">
        <f>BT462</f>
        <v>#N/A</v>
      </c>
      <c r="CQ1372" t="e">
        <f>BU462</f>
        <v>#N/A</v>
      </c>
      <c r="CR1372">
        <f>IF(ISNUMBER(CP1372),IFERROR(MAX(0,BV462-CP1372),0),0)</f>
        <v>0</v>
      </c>
      <c r="CS1372">
        <f>IF(ISNUMBER(CP1372),IFERROR(MAX(0,CP1372-BV462),0),0)</f>
        <v>0</v>
      </c>
      <c r="CT1372">
        <f>IF(ISNUMBER(CQ1372),IFERROR(MAX(0,BW462-CQ1372),0),0)</f>
        <v>0</v>
      </c>
      <c r="CU1372">
        <f>IF(ISNUMBER(CQ1372),IFERROR(MAX(0,CQ1372-BW462),0),0)</f>
        <v>0</v>
      </c>
    </row>
    <row r="1373" spans="87:99" x14ac:dyDescent="0.3">
      <c r="CI1373" t="e">
        <f>AP462</f>
        <v>#N/A</v>
      </c>
      <c r="CJ1373" t="e">
        <f>AQ462</f>
        <v>#N/A</v>
      </c>
      <c r="CK1373">
        <f>IF(ISNUMBER(CI1373),IFERROR(MAX(0,AR462-CI1373),0),0)</f>
        <v>0</v>
      </c>
      <c r="CL1373">
        <f>IF(ISNUMBER(CI1373),IFERROR(MAX(0,CI1373-AR462),0),0)</f>
        <v>0</v>
      </c>
      <c r="CM1373">
        <f>IF(ISNUMBER(CJ1373),IFERROR(MAX(0,AS462-CJ1373),0),0)</f>
        <v>0</v>
      </c>
      <c r="CN1373">
        <f>IF(ISNUMBER(CJ1373),IFERROR(MAX(0,CJ1373-AS462),0),0)</f>
        <v>0</v>
      </c>
      <c r="CP1373" t="e">
        <f>BX462</f>
        <v>#N/A</v>
      </c>
      <c r="CQ1373" t="e">
        <f>BY462</f>
        <v>#N/A</v>
      </c>
      <c r="CR1373">
        <f>IF(ISNUMBER(CP1373),IFERROR(MAX(0,BZ462-CP1373),0),0)</f>
        <v>0</v>
      </c>
      <c r="CS1373">
        <f>IF(ISNUMBER(CP1373),IFERROR(MAX(0,CP1373-BZ462),0),0)</f>
        <v>0</v>
      </c>
      <c r="CT1373">
        <f>IF(ISNUMBER(CQ1373),IFERROR(MAX(0,CA462-CQ1373),0),0)</f>
        <v>0</v>
      </c>
      <c r="CU1373">
        <f>IF(ISNUMBER(CQ1373),IFERROR(MAX(0,CQ1373-CA462),0),0)</f>
        <v>0</v>
      </c>
    </row>
    <row r="1374" spans="87:99" x14ac:dyDescent="0.3">
      <c r="CI1374" t="e">
        <f>AT462</f>
        <v>#N/A</v>
      </c>
      <c r="CJ1374" t="e">
        <f>AU462</f>
        <v>#N/A</v>
      </c>
      <c r="CK1374">
        <f>IF(ISNUMBER(CI1374),IFERROR(MAX(0,AV462-CI1374),0),0)</f>
        <v>0</v>
      </c>
      <c r="CL1374">
        <f>IF(ISNUMBER(CI1374),IFERROR(MAX(0,CI1374-AV462),0),0)</f>
        <v>0</v>
      </c>
      <c r="CM1374">
        <f>IF(ISNUMBER(CJ1374),IFERROR(MAX(0,AW462-CJ1374),0),0)</f>
        <v>0</v>
      </c>
      <c r="CN1374">
        <f>IF(ISNUMBER(CJ1374),IFERROR(MAX(0,CJ1374-AW462),0),0)</f>
        <v>0</v>
      </c>
      <c r="CP1374" t="e">
        <f>CB462</f>
        <v>#N/A</v>
      </c>
      <c r="CQ1374" t="e">
        <f>CC462</f>
        <v>#N/A</v>
      </c>
      <c r="CR1374">
        <f>IF(ISNUMBER(CP1374),IFERROR(MAX(0,CD462-CP1374),0),0)</f>
        <v>0</v>
      </c>
      <c r="CS1374">
        <f>IF(ISNUMBER(CP1374),IFERROR(MAX(0,CP1374-CD462),0),0)</f>
        <v>0</v>
      </c>
      <c r="CT1374">
        <f>IF(ISNUMBER(CQ1374),IFERROR(MAX(0,CE462-CQ1374),0),0)</f>
        <v>0</v>
      </c>
      <c r="CU1374">
        <f>IF(ISNUMBER(CQ1374),IFERROR(MAX(0,CQ1374-CE462),0),0)</f>
        <v>0</v>
      </c>
    </row>
    <row r="1375" spans="87:99" x14ac:dyDescent="0.3">
      <c r="CI1375" t="e">
        <f>AL463</f>
        <v>#N/A</v>
      </c>
      <c r="CJ1375" t="e">
        <f>AM463</f>
        <v>#N/A</v>
      </c>
      <c r="CK1375">
        <f>IF(ISNUMBER(CI1375),IFERROR(MAX(0,AN463-CI1375),0),0)</f>
        <v>0</v>
      </c>
      <c r="CL1375">
        <f>IF(ISNUMBER(CI1375),IFERROR(MAX(0,CI1375-AN463),0),0)</f>
        <v>0</v>
      </c>
      <c r="CM1375">
        <f>IF(ISNUMBER(CJ1375),IFERROR(MAX(0,AO463-CJ1375),0),0)</f>
        <v>0</v>
      </c>
      <c r="CN1375">
        <f>IF(ISNUMBER(CJ1375),IFERROR(MAX(0,CJ1375-AO463),0),0)</f>
        <v>0</v>
      </c>
      <c r="CP1375" t="e">
        <f>BT463</f>
        <v>#N/A</v>
      </c>
      <c r="CQ1375" t="e">
        <f>BU463</f>
        <v>#N/A</v>
      </c>
      <c r="CR1375">
        <f>IF(ISNUMBER(CP1375),IFERROR(MAX(0,BV463-CP1375),0),0)</f>
        <v>0</v>
      </c>
      <c r="CS1375">
        <f>IF(ISNUMBER(CP1375),IFERROR(MAX(0,CP1375-BV463),0),0)</f>
        <v>0</v>
      </c>
      <c r="CT1375">
        <f>IF(ISNUMBER(CQ1375),IFERROR(MAX(0,BW463-CQ1375),0),0)</f>
        <v>0</v>
      </c>
      <c r="CU1375">
        <f>IF(ISNUMBER(CQ1375),IFERROR(MAX(0,CQ1375-BW463),0),0)</f>
        <v>0</v>
      </c>
    </row>
    <row r="1376" spans="87:99" x14ac:dyDescent="0.3">
      <c r="CI1376" t="e">
        <f>AP463</f>
        <v>#N/A</v>
      </c>
      <c r="CJ1376" t="e">
        <f>AQ463</f>
        <v>#N/A</v>
      </c>
      <c r="CK1376">
        <f>IF(ISNUMBER(CI1376),IFERROR(MAX(0,AR463-CI1376),0),0)</f>
        <v>0</v>
      </c>
      <c r="CL1376">
        <f>IF(ISNUMBER(CI1376),IFERROR(MAX(0,CI1376-AR463),0),0)</f>
        <v>0</v>
      </c>
      <c r="CM1376">
        <f>IF(ISNUMBER(CJ1376),IFERROR(MAX(0,AS463-CJ1376),0),0)</f>
        <v>0</v>
      </c>
      <c r="CN1376">
        <f>IF(ISNUMBER(CJ1376),IFERROR(MAX(0,CJ1376-AS463),0),0)</f>
        <v>0</v>
      </c>
      <c r="CP1376" t="e">
        <f>BX463</f>
        <v>#N/A</v>
      </c>
      <c r="CQ1376" t="e">
        <f>BY463</f>
        <v>#N/A</v>
      </c>
      <c r="CR1376">
        <f>IF(ISNUMBER(CP1376),IFERROR(MAX(0,BZ463-CP1376),0),0)</f>
        <v>0</v>
      </c>
      <c r="CS1376">
        <f>IF(ISNUMBER(CP1376),IFERROR(MAX(0,CP1376-BZ463),0),0)</f>
        <v>0</v>
      </c>
      <c r="CT1376">
        <f>IF(ISNUMBER(CQ1376),IFERROR(MAX(0,CA463-CQ1376),0),0)</f>
        <v>0</v>
      </c>
      <c r="CU1376">
        <f>IF(ISNUMBER(CQ1376),IFERROR(MAX(0,CQ1376-CA463),0),0)</f>
        <v>0</v>
      </c>
    </row>
    <row r="1377" spans="87:99" x14ac:dyDescent="0.3">
      <c r="CI1377" t="e">
        <f>AT463</f>
        <v>#N/A</v>
      </c>
      <c r="CJ1377" t="e">
        <f>AU463</f>
        <v>#N/A</v>
      </c>
      <c r="CK1377">
        <f>IF(ISNUMBER(CI1377),IFERROR(MAX(0,AV463-CI1377),0),0)</f>
        <v>0</v>
      </c>
      <c r="CL1377">
        <f>IF(ISNUMBER(CI1377),IFERROR(MAX(0,CI1377-AV463),0),0)</f>
        <v>0</v>
      </c>
      <c r="CM1377">
        <f>IF(ISNUMBER(CJ1377),IFERROR(MAX(0,AW463-CJ1377),0),0)</f>
        <v>0</v>
      </c>
      <c r="CN1377">
        <f>IF(ISNUMBER(CJ1377),IFERROR(MAX(0,CJ1377-AW463),0),0)</f>
        <v>0</v>
      </c>
      <c r="CP1377" t="e">
        <f>CB463</f>
        <v>#N/A</v>
      </c>
      <c r="CQ1377" t="e">
        <f>CC463</f>
        <v>#N/A</v>
      </c>
      <c r="CR1377">
        <f>IF(ISNUMBER(CP1377),IFERROR(MAX(0,CD463-CP1377),0),0)</f>
        <v>0</v>
      </c>
      <c r="CS1377">
        <f>IF(ISNUMBER(CP1377),IFERROR(MAX(0,CP1377-CD463),0),0)</f>
        <v>0</v>
      </c>
      <c r="CT1377">
        <f>IF(ISNUMBER(CQ1377),IFERROR(MAX(0,CE463-CQ1377),0),0)</f>
        <v>0</v>
      </c>
      <c r="CU1377">
        <f>IF(ISNUMBER(CQ1377),IFERROR(MAX(0,CQ1377-CE463),0),0)</f>
        <v>0</v>
      </c>
    </row>
    <row r="1378" spans="87:99" x14ac:dyDescent="0.3">
      <c r="CI1378" t="e">
        <f>AL464</f>
        <v>#N/A</v>
      </c>
      <c r="CJ1378" t="e">
        <f>AM464</f>
        <v>#N/A</v>
      </c>
      <c r="CK1378">
        <f>IF(ISNUMBER(CI1378),IFERROR(MAX(0,AN464-CI1378),0),0)</f>
        <v>0</v>
      </c>
      <c r="CL1378">
        <f>IF(ISNUMBER(CI1378),IFERROR(MAX(0,CI1378-AN464),0),0)</f>
        <v>0</v>
      </c>
      <c r="CM1378">
        <f>IF(ISNUMBER(CJ1378),IFERROR(MAX(0,AO464-CJ1378),0),0)</f>
        <v>0</v>
      </c>
      <c r="CN1378">
        <f>IF(ISNUMBER(CJ1378),IFERROR(MAX(0,CJ1378-AO464),0),0)</f>
        <v>0</v>
      </c>
      <c r="CP1378" t="e">
        <f>BT464</f>
        <v>#N/A</v>
      </c>
      <c r="CQ1378" t="e">
        <f>BU464</f>
        <v>#N/A</v>
      </c>
      <c r="CR1378">
        <f>IF(ISNUMBER(CP1378),IFERROR(MAX(0,BV464-CP1378),0),0)</f>
        <v>0</v>
      </c>
      <c r="CS1378">
        <f>IF(ISNUMBER(CP1378),IFERROR(MAX(0,CP1378-BV464),0),0)</f>
        <v>0</v>
      </c>
      <c r="CT1378">
        <f>IF(ISNUMBER(CQ1378),IFERROR(MAX(0,BW464-CQ1378),0),0)</f>
        <v>0</v>
      </c>
      <c r="CU1378">
        <f>IF(ISNUMBER(CQ1378),IFERROR(MAX(0,CQ1378-BW464),0),0)</f>
        <v>0</v>
      </c>
    </row>
    <row r="1379" spans="87:99" x14ac:dyDescent="0.3">
      <c r="CI1379" t="e">
        <f>AP464</f>
        <v>#N/A</v>
      </c>
      <c r="CJ1379" t="e">
        <f>AQ464</f>
        <v>#N/A</v>
      </c>
      <c r="CK1379">
        <f>IF(ISNUMBER(CI1379),IFERROR(MAX(0,AR464-CI1379),0),0)</f>
        <v>0</v>
      </c>
      <c r="CL1379">
        <f>IF(ISNUMBER(CI1379),IFERROR(MAX(0,CI1379-AR464),0),0)</f>
        <v>0</v>
      </c>
      <c r="CM1379">
        <f>IF(ISNUMBER(CJ1379),IFERROR(MAX(0,AS464-CJ1379),0),0)</f>
        <v>0</v>
      </c>
      <c r="CN1379">
        <f>IF(ISNUMBER(CJ1379),IFERROR(MAX(0,CJ1379-AS464),0),0)</f>
        <v>0</v>
      </c>
      <c r="CP1379" t="e">
        <f>BX464</f>
        <v>#N/A</v>
      </c>
      <c r="CQ1379" t="e">
        <f>BY464</f>
        <v>#N/A</v>
      </c>
      <c r="CR1379">
        <f>IF(ISNUMBER(CP1379),IFERROR(MAX(0,BZ464-CP1379),0),0)</f>
        <v>0</v>
      </c>
      <c r="CS1379">
        <f>IF(ISNUMBER(CP1379),IFERROR(MAX(0,CP1379-BZ464),0),0)</f>
        <v>0</v>
      </c>
      <c r="CT1379">
        <f>IF(ISNUMBER(CQ1379),IFERROR(MAX(0,CA464-CQ1379),0),0)</f>
        <v>0</v>
      </c>
      <c r="CU1379">
        <f>IF(ISNUMBER(CQ1379),IFERROR(MAX(0,CQ1379-CA464),0),0)</f>
        <v>0</v>
      </c>
    </row>
    <row r="1380" spans="87:99" x14ac:dyDescent="0.3">
      <c r="CI1380" t="e">
        <f>AT464</f>
        <v>#N/A</v>
      </c>
      <c r="CJ1380" t="e">
        <f>AU464</f>
        <v>#N/A</v>
      </c>
      <c r="CK1380">
        <f>IF(ISNUMBER(CI1380),IFERROR(MAX(0,AV464-CI1380),0),0)</f>
        <v>0</v>
      </c>
      <c r="CL1380">
        <f>IF(ISNUMBER(CI1380),IFERROR(MAX(0,CI1380-AV464),0),0)</f>
        <v>0</v>
      </c>
      <c r="CM1380">
        <f>IF(ISNUMBER(CJ1380),IFERROR(MAX(0,AW464-CJ1380),0),0)</f>
        <v>0</v>
      </c>
      <c r="CN1380">
        <f>IF(ISNUMBER(CJ1380),IFERROR(MAX(0,CJ1380-AW464),0),0)</f>
        <v>0</v>
      </c>
      <c r="CP1380" t="e">
        <f>CB464</f>
        <v>#N/A</v>
      </c>
      <c r="CQ1380" t="e">
        <f>CC464</f>
        <v>#N/A</v>
      </c>
      <c r="CR1380">
        <f>IF(ISNUMBER(CP1380),IFERROR(MAX(0,CD464-CP1380),0),0)</f>
        <v>0</v>
      </c>
      <c r="CS1380">
        <f>IF(ISNUMBER(CP1380),IFERROR(MAX(0,CP1380-CD464),0),0)</f>
        <v>0</v>
      </c>
      <c r="CT1380">
        <f>IF(ISNUMBER(CQ1380),IFERROR(MAX(0,CE464-CQ1380),0),0)</f>
        <v>0</v>
      </c>
      <c r="CU1380">
        <f>IF(ISNUMBER(CQ1380),IFERROR(MAX(0,CQ1380-CE464),0),0)</f>
        <v>0</v>
      </c>
    </row>
    <row r="1381" spans="87:99" x14ac:dyDescent="0.3">
      <c r="CI1381" t="e">
        <f>AL465</f>
        <v>#N/A</v>
      </c>
      <c r="CJ1381" t="e">
        <f>AM465</f>
        <v>#N/A</v>
      </c>
      <c r="CK1381">
        <f>IF(ISNUMBER(CI1381),IFERROR(MAX(0,AN465-CI1381),0),0)</f>
        <v>0</v>
      </c>
      <c r="CL1381">
        <f>IF(ISNUMBER(CI1381),IFERROR(MAX(0,CI1381-AN465),0),0)</f>
        <v>0</v>
      </c>
      <c r="CM1381">
        <f>IF(ISNUMBER(CJ1381),IFERROR(MAX(0,AO465-CJ1381),0),0)</f>
        <v>0</v>
      </c>
      <c r="CN1381">
        <f>IF(ISNUMBER(CJ1381),IFERROR(MAX(0,CJ1381-AO465),0),0)</f>
        <v>0</v>
      </c>
      <c r="CP1381" t="e">
        <f>BT465</f>
        <v>#N/A</v>
      </c>
      <c r="CQ1381" t="e">
        <f>BU465</f>
        <v>#N/A</v>
      </c>
      <c r="CR1381">
        <f>IF(ISNUMBER(CP1381),IFERROR(MAX(0,BV465-CP1381),0),0)</f>
        <v>0</v>
      </c>
      <c r="CS1381">
        <f>IF(ISNUMBER(CP1381),IFERROR(MAX(0,CP1381-BV465),0),0)</f>
        <v>0</v>
      </c>
      <c r="CT1381">
        <f>IF(ISNUMBER(CQ1381),IFERROR(MAX(0,BW465-CQ1381),0),0)</f>
        <v>0</v>
      </c>
      <c r="CU1381">
        <f>IF(ISNUMBER(CQ1381),IFERROR(MAX(0,CQ1381-BW465),0),0)</f>
        <v>0</v>
      </c>
    </row>
    <row r="1382" spans="87:99" x14ac:dyDescent="0.3">
      <c r="CI1382" t="e">
        <f>AP465</f>
        <v>#N/A</v>
      </c>
      <c r="CJ1382" t="e">
        <f>AQ465</f>
        <v>#N/A</v>
      </c>
      <c r="CK1382">
        <f>IF(ISNUMBER(CI1382),IFERROR(MAX(0,AR465-CI1382),0),0)</f>
        <v>0</v>
      </c>
      <c r="CL1382">
        <f>IF(ISNUMBER(CI1382),IFERROR(MAX(0,CI1382-AR465),0),0)</f>
        <v>0</v>
      </c>
      <c r="CM1382">
        <f>IF(ISNUMBER(CJ1382),IFERROR(MAX(0,AS465-CJ1382),0),0)</f>
        <v>0</v>
      </c>
      <c r="CN1382">
        <f>IF(ISNUMBER(CJ1382),IFERROR(MAX(0,CJ1382-AS465),0),0)</f>
        <v>0</v>
      </c>
      <c r="CP1382" t="e">
        <f>BX465</f>
        <v>#N/A</v>
      </c>
      <c r="CQ1382" t="e">
        <f>BY465</f>
        <v>#N/A</v>
      </c>
      <c r="CR1382">
        <f>IF(ISNUMBER(CP1382),IFERROR(MAX(0,BZ465-CP1382),0),0)</f>
        <v>0</v>
      </c>
      <c r="CS1382">
        <f>IF(ISNUMBER(CP1382),IFERROR(MAX(0,CP1382-BZ465),0),0)</f>
        <v>0</v>
      </c>
      <c r="CT1382">
        <f>IF(ISNUMBER(CQ1382),IFERROR(MAX(0,CA465-CQ1382),0),0)</f>
        <v>0</v>
      </c>
      <c r="CU1382">
        <f>IF(ISNUMBER(CQ1382),IFERROR(MAX(0,CQ1382-CA465),0),0)</f>
        <v>0</v>
      </c>
    </row>
    <row r="1383" spans="87:99" x14ac:dyDescent="0.3">
      <c r="CI1383" t="e">
        <f>AT465</f>
        <v>#N/A</v>
      </c>
      <c r="CJ1383" t="e">
        <f>AU465</f>
        <v>#N/A</v>
      </c>
      <c r="CK1383">
        <f>IF(ISNUMBER(CI1383),IFERROR(MAX(0,AV465-CI1383),0),0)</f>
        <v>0</v>
      </c>
      <c r="CL1383">
        <f>IF(ISNUMBER(CI1383),IFERROR(MAX(0,CI1383-AV465),0),0)</f>
        <v>0</v>
      </c>
      <c r="CM1383">
        <f>IF(ISNUMBER(CJ1383),IFERROR(MAX(0,AW465-CJ1383),0),0)</f>
        <v>0</v>
      </c>
      <c r="CN1383">
        <f>IF(ISNUMBER(CJ1383),IFERROR(MAX(0,CJ1383-AW465),0),0)</f>
        <v>0</v>
      </c>
      <c r="CP1383" t="e">
        <f>CB465</f>
        <v>#N/A</v>
      </c>
      <c r="CQ1383" t="e">
        <f>CC465</f>
        <v>#N/A</v>
      </c>
      <c r="CR1383">
        <f>IF(ISNUMBER(CP1383),IFERROR(MAX(0,CD465-CP1383),0),0)</f>
        <v>0</v>
      </c>
      <c r="CS1383">
        <f>IF(ISNUMBER(CP1383),IFERROR(MAX(0,CP1383-CD465),0),0)</f>
        <v>0</v>
      </c>
      <c r="CT1383">
        <f>IF(ISNUMBER(CQ1383),IFERROR(MAX(0,CE465-CQ1383),0),0)</f>
        <v>0</v>
      </c>
      <c r="CU1383">
        <f>IF(ISNUMBER(CQ1383),IFERROR(MAX(0,CQ1383-CE465),0),0)</f>
        <v>0</v>
      </c>
    </row>
    <row r="1384" spans="87:99" x14ac:dyDescent="0.3">
      <c r="CI1384" t="e">
        <f>AL466</f>
        <v>#N/A</v>
      </c>
      <c r="CJ1384" t="e">
        <f>AM466</f>
        <v>#N/A</v>
      </c>
      <c r="CK1384">
        <f>IF(ISNUMBER(CI1384),IFERROR(MAX(0,AN466-CI1384),0),0)</f>
        <v>0</v>
      </c>
      <c r="CL1384">
        <f>IF(ISNUMBER(CI1384),IFERROR(MAX(0,CI1384-AN466),0),0)</f>
        <v>0</v>
      </c>
      <c r="CM1384">
        <f>IF(ISNUMBER(CJ1384),IFERROR(MAX(0,AO466-CJ1384),0),0)</f>
        <v>0</v>
      </c>
      <c r="CN1384">
        <f>IF(ISNUMBER(CJ1384),IFERROR(MAX(0,CJ1384-AO466),0),0)</f>
        <v>0</v>
      </c>
      <c r="CP1384" t="e">
        <f>BT466</f>
        <v>#N/A</v>
      </c>
      <c r="CQ1384" t="e">
        <f>BU466</f>
        <v>#N/A</v>
      </c>
      <c r="CR1384">
        <f>IF(ISNUMBER(CP1384),IFERROR(MAX(0,BV466-CP1384),0),0)</f>
        <v>0</v>
      </c>
      <c r="CS1384">
        <f>IF(ISNUMBER(CP1384),IFERROR(MAX(0,CP1384-BV466),0),0)</f>
        <v>0</v>
      </c>
      <c r="CT1384">
        <f>IF(ISNUMBER(CQ1384),IFERROR(MAX(0,BW466-CQ1384),0),0)</f>
        <v>0</v>
      </c>
      <c r="CU1384">
        <f>IF(ISNUMBER(CQ1384),IFERROR(MAX(0,CQ1384-BW466),0),0)</f>
        <v>0</v>
      </c>
    </row>
    <row r="1385" spans="87:99" x14ac:dyDescent="0.3">
      <c r="CI1385" t="e">
        <f>AP466</f>
        <v>#N/A</v>
      </c>
      <c r="CJ1385" t="e">
        <f>AQ466</f>
        <v>#N/A</v>
      </c>
      <c r="CK1385">
        <f>IF(ISNUMBER(CI1385),IFERROR(MAX(0,AR466-CI1385),0),0)</f>
        <v>0</v>
      </c>
      <c r="CL1385">
        <f>IF(ISNUMBER(CI1385),IFERROR(MAX(0,CI1385-AR466),0),0)</f>
        <v>0</v>
      </c>
      <c r="CM1385">
        <f>IF(ISNUMBER(CJ1385),IFERROR(MAX(0,AS466-CJ1385),0),0)</f>
        <v>0</v>
      </c>
      <c r="CN1385">
        <f>IF(ISNUMBER(CJ1385),IFERROR(MAX(0,CJ1385-AS466),0),0)</f>
        <v>0</v>
      </c>
      <c r="CP1385" t="e">
        <f>BX466</f>
        <v>#N/A</v>
      </c>
      <c r="CQ1385" t="e">
        <f>BY466</f>
        <v>#N/A</v>
      </c>
      <c r="CR1385">
        <f>IF(ISNUMBER(CP1385),IFERROR(MAX(0,BZ466-CP1385),0),0)</f>
        <v>0</v>
      </c>
      <c r="CS1385">
        <f>IF(ISNUMBER(CP1385),IFERROR(MAX(0,CP1385-BZ466),0),0)</f>
        <v>0</v>
      </c>
      <c r="CT1385">
        <f>IF(ISNUMBER(CQ1385),IFERROR(MAX(0,CA466-CQ1385),0),0)</f>
        <v>0</v>
      </c>
      <c r="CU1385">
        <f>IF(ISNUMBER(CQ1385),IFERROR(MAX(0,CQ1385-CA466),0),0)</f>
        <v>0</v>
      </c>
    </row>
    <row r="1386" spans="87:99" x14ac:dyDescent="0.3">
      <c r="CI1386" t="e">
        <f>AT466</f>
        <v>#N/A</v>
      </c>
      <c r="CJ1386" t="e">
        <f>AU466</f>
        <v>#N/A</v>
      </c>
      <c r="CK1386">
        <f>IF(ISNUMBER(CI1386),IFERROR(MAX(0,AV466-CI1386),0),0)</f>
        <v>0</v>
      </c>
      <c r="CL1386">
        <f>IF(ISNUMBER(CI1386),IFERROR(MAX(0,CI1386-AV466),0),0)</f>
        <v>0</v>
      </c>
      <c r="CM1386">
        <f>IF(ISNUMBER(CJ1386),IFERROR(MAX(0,AW466-CJ1386),0),0)</f>
        <v>0</v>
      </c>
      <c r="CN1386">
        <f>IF(ISNUMBER(CJ1386),IFERROR(MAX(0,CJ1386-AW466),0),0)</f>
        <v>0</v>
      </c>
      <c r="CP1386" t="e">
        <f>CB466</f>
        <v>#N/A</v>
      </c>
      <c r="CQ1386" t="e">
        <f>CC466</f>
        <v>#N/A</v>
      </c>
      <c r="CR1386">
        <f>IF(ISNUMBER(CP1386),IFERROR(MAX(0,CD466-CP1386),0),0)</f>
        <v>0</v>
      </c>
      <c r="CS1386">
        <f>IF(ISNUMBER(CP1386),IFERROR(MAX(0,CP1386-CD466),0),0)</f>
        <v>0</v>
      </c>
      <c r="CT1386">
        <f>IF(ISNUMBER(CQ1386),IFERROR(MAX(0,CE466-CQ1386),0),0)</f>
        <v>0</v>
      </c>
      <c r="CU1386">
        <f>IF(ISNUMBER(CQ1386),IFERROR(MAX(0,CQ1386-CE466),0),0)</f>
        <v>0</v>
      </c>
    </row>
    <row r="1387" spans="87:99" x14ac:dyDescent="0.3">
      <c r="CI1387" t="e">
        <f>AL467</f>
        <v>#N/A</v>
      </c>
      <c r="CJ1387" t="e">
        <f>AM467</f>
        <v>#N/A</v>
      </c>
      <c r="CK1387">
        <f>IF(ISNUMBER(CI1387),IFERROR(MAX(0,AN467-CI1387),0),0)</f>
        <v>0</v>
      </c>
      <c r="CL1387">
        <f>IF(ISNUMBER(CI1387),IFERROR(MAX(0,CI1387-AN467),0),0)</f>
        <v>0</v>
      </c>
      <c r="CM1387">
        <f>IF(ISNUMBER(CJ1387),IFERROR(MAX(0,AO467-CJ1387),0),0)</f>
        <v>0</v>
      </c>
      <c r="CN1387">
        <f>IF(ISNUMBER(CJ1387),IFERROR(MAX(0,CJ1387-AO467),0),0)</f>
        <v>0</v>
      </c>
      <c r="CP1387" t="e">
        <f>BT467</f>
        <v>#N/A</v>
      </c>
      <c r="CQ1387" t="e">
        <f>BU467</f>
        <v>#N/A</v>
      </c>
      <c r="CR1387">
        <f>IF(ISNUMBER(CP1387),IFERROR(MAX(0,BV467-CP1387),0),0)</f>
        <v>0</v>
      </c>
      <c r="CS1387">
        <f>IF(ISNUMBER(CP1387),IFERROR(MAX(0,CP1387-BV467),0),0)</f>
        <v>0</v>
      </c>
      <c r="CT1387">
        <f>IF(ISNUMBER(CQ1387),IFERROR(MAX(0,BW467-CQ1387),0),0)</f>
        <v>0</v>
      </c>
      <c r="CU1387">
        <f>IF(ISNUMBER(CQ1387),IFERROR(MAX(0,CQ1387-BW467),0),0)</f>
        <v>0</v>
      </c>
    </row>
    <row r="1388" spans="87:99" x14ac:dyDescent="0.3">
      <c r="CI1388" t="e">
        <f>AP467</f>
        <v>#N/A</v>
      </c>
      <c r="CJ1388" t="e">
        <f>AQ467</f>
        <v>#N/A</v>
      </c>
      <c r="CK1388">
        <f>IF(ISNUMBER(CI1388),IFERROR(MAX(0,AR467-CI1388),0),0)</f>
        <v>0</v>
      </c>
      <c r="CL1388">
        <f>IF(ISNUMBER(CI1388),IFERROR(MAX(0,CI1388-AR467),0),0)</f>
        <v>0</v>
      </c>
      <c r="CM1388">
        <f>IF(ISNUMBER(CJ1388),IFERROR(MAX(0,AS467-CJ1388),0),0)</f>
        <v>0</v>
      </c>
      <c r="CN1388">
        <f>IF(ISNUMBER(CJ1388),IFERROR(MAX(0,CJ1388-AS467),0),0)</f>
        <v>0</v>
      </c>
      <c r="CP1388" t="e">
        <f>BX467</f>
        <v>#N/A</v>
      </c>
      <c r="CQ1388" t="e">
        <f>BY467</f>
        <v>#N/A</v>
      </c>
      <c r="CR1388">
        <f>IF(ISNUMBER(CP1388),IFERROR(MAX(0,BZ467-CP1388),0),0)</f>
        <v>0</v>
      </c>
      <c r="CS1388">
        <f>IF(ISNUMBER(CP1388),IFERROR(MAX(0,CP1388-BZ467),0),0)</f>
        <v>0</v>
      </c>
      <c r="CT1388">
        <f>IF(ISNUMBER(CQ1388),IFERROR(MAX(0,CA467-CQ1388),0),0)</f>
        <v>0</v>
      </c>
      <c r="CU1388">
        <f>IF(ISNUMBER(CQ1388),IFERROR(MAX(0,CQ1388-CA467),0),0)</f>
        <v>0</v>
      </c>
    </row>
    <row r="1389" spans="87:99" x14ac:dyDescent="0.3">
      <c r="CI1389" t="e">
        <f>AT467</f>
        <v>#N/A</v>
      </c>
      <c r="CJ1389" t="e">
        <f>AU467</f>
        <v>#N/A</v>
      </c>
      <c r="CK1389">
        <f>IF(ISNUMBER(CI1389),IFERROR(MAX(0,AV467-CI1389),0),0)</f>
        <v>0</v>
      </c>
      <c r="CL1389">
        <f>IF(ISNUMBER(CI1389),IFERROR(MAX(0,CI1389-AV467),0),0)</f>
        <v>0</v>
      </c>
      <c r="CM1389">
        <f>IF(ISNUMBER(CJ1389),IFERROR(MAX(0,AW467-CJ1389),0),0)</f>
        <v>0</v>
      </c>
      <c r="CN1389">
        <f>IF(ISNUMBER(CJ1389),IFERROR(MAX(0,CJ1389-AW467),0),0)</f>
        <v>0</v>
      </c>
      <c r="CP1389" t="e">
        <f>CB467</f>
        <v>#N/A</v>
      </c>
      <c r="CQ1389" t="e">
        <f>CC467</f>
        <v>#N/A</v>
      </c>
      <c r="CR1389">
        <f>IF(ISNUMBER(CP1389),IFERROR(MAX(0,CD467-CP1389),0),0)</f>
        <v>0</v>
      </c>
      <c r="CS1389">
        <f>IF(ISNUMBER(CP1389),IFERROR(MAX(0,CP1389-CD467),0),0)</f>
        <v>0</v>
      </c>
      <c r="CT1389">
        <f>IF(ISNUMBER(CQ1389),IFERROR(MAX(0,CE467-CQ1389),0),0)</f>
        <v>0</v>
      </c>
      <c r="CU1389">
        <f>IF(ISNUMBER(CQ1389),IFERROR(MAX(0,CQ1389-CE467),0),0)</f>
        <v>0</v>
      </c>
    </row>
    <row r="1390" spans="87:99" x14ac:dyDescent="0.3">
      <c r="CI1390" t="e">
        <f>AL468</f>
        <v>#N/A</v>
      </c>
      <c r="CJ1390" t="e">
        <f>AM468</f>
        <v>#N/A</v>
      </c>
      <c r="CK1390">
        <f>IF(ISNUMBER(CI1390),IFERROR(MAX(0,AN468-CI1390),0),0)</f>
        <v>0</v>
      </c>
      <c r="CL1390">
        <f>IF(ISNUMBER(CI1390),IFERROR(MAX(0,CI1390-AN468),0),0)</f>
        <v>0</v>
      </c>
      <c r="CM1390">
        <f>IF(ISNUMBER(CJ1390),IFERROR(MAX(0,AO468-CJ1390),0),0)</f>
        <v>0</v>
      </c>
      <c r="CN1390">
        <f>IF(ISNUMBER(CJ1390),IFERROR(MAX(0,CJ1390-AO468),0),0)</f>
        <v>0</v>
      </c>
      <c r="CP1390" t="e">
        <f>BT468</f>
        <v>#N/A</v>
      </c>
      <c r="CQ1390" t="e">
        <f>BU468</f>
        <v>#N/A</v>
      </c>
      <c r="CR1390">
        <f>IF(ISNUMBER(CP1390),IFERROR(MAX(0,BV468-CP1390),0),0)</f>
        <v>0</v>
      </c>
      <c r="CS1390">
        <f>IF(ISNUMBER(CP1390),IFERROR(MAX(0,CP1390-BV468),0),0)</f>
        <v>0</v>
      </c>
      <c r="CT1390">
        <f>IF(ISNUMBER(CQ1390),IFERROR(MAX(0,BW468-CQ1390),0),0)</f>
        <v>0</v>
      </c>
      <c r="CU1390">
        <f>IF(ISNUMBER(CQ1390),IFERROR(MAX(0,CQ1390-BW468),0),0)</f>
        <v>0</v>
      </c>
    </row>
    <row r="1391" spans="87:99" x14ac:dyDescent="0.3">
      <c r="CI1391" t="e">
        <f>AP468</f>
        <v>#N/A</v>
      </c>
      <c r="CJ1391" t="e">
        <f>AQ468</f>
        <v>#N/A</v>
      </c>
      <c r="CK1391">
        <f>IF(ISNUMBER(CI1391),IFERROR(MAX(0,AR468-CI1391),0),0)</f>
        <v>0</v>
      </c>
      <c r="CL1391">
        <f>IF(ISNUMBER(CI1391),IFERROR(MAX(0,CI1391-AR468),0),0)</f>
        <v>0</v>
      </c>
      <c r="CM1391">
        <f>IF(ISNUMBER(CJ1391),IFERROR(MAX(0,AS468-CJ1391),0),0)</f>
        <v>0</v>
      </c>
      <c r="CN1391">
        <f>IF(ISNUMBER(CJ1391),IFERROR(MAX(0,CJ1391-AS468),0),0)</f>
        <v>0</v>
      </c>
      <c r="CP1391" t="e">
        <f>BX468</f>
        <v>#N/A</v>
      </c>
      <c r="CQ1391" t="e">
        <f>BY468</f>
        <v>#N/A</v>
      </c>
      <c r="CR1391">
        <f>IF(ISNUMBER(CP1391),IFERROR(MAX(0,BZ468-CP1391),0),0)</f>
        <v>0</v>
      </c>
      <c r="CS1391">
        <f>IF(ISNUMBER(CP1391),IFERROR(MAX(0,CP1391-BZ468),0),0)</f>
        <v>0</v>
      </c>
      <c r="CT1391">
        <f>IF(ISNUMBER(CQ1391),IFERROR(MAX(0,CA468-CQ1391),0),0)</f>
        <v>0</v>
      </c>
      <c r="CU1391">
        <f>IF(ISNUMBER(CQ1391),IFERROR(MAX(0,CQ1391-CA468),0),0)</f>
        <v>0</v>
      </c>
    </row>
    <row r="1392" spans="87:99" x14ac:dyDescent="0.3">
      <c r="CI1392" t="e">
        <f>AT468</f>
        <v>#N/A</v>
      </c>
      <c r="CJ1392" t="e">
        <f>AU468</f>
        <v>#N/A</v>
      </c>
      <c r="CK1392">
        <f>IF(ISNUMBER(CI1392),IFERROR(MAX(0,AV468-CI1392),0),0)</f>
        <v>0</v>
      </c>
      <c r="CL1392">
        <f>IF(ISNUMBER(CI1392),IFERROR(MAX(0,CI1392-AV468),0),0)</f>
        <v>0</v>
      </c>
      <c r="CM1392">
        <f>IF(ISNUMBER(CJ1392),IFERROR(MAX(0,AW468-CJ1392),0),0)</f>
        <v>0</v>
      </c>
      <c r="CN1392">
        <f>IF(ISNUMBER(CJ1392),IFERROR(MAX(0,CJ1392-AW468),0),0)</f>
        <v>0</v>
      </c>
      <c r="CP1392" t="e">
        <f>CB468</f>
        <v>#N/A</v>
      </c>
      <c r="CQ1392" t="e">
        <f>CC468</f>
        <v>#N/A</v>
      </c>
      <c r="CR1392">
        <f>IF(ISNUMBER(CP1392),IFERROR(MAX(0,CD468-CP1392),0),0)</f>
        <v>0</v>
      </c>
      <c r="CS1392">
        <f>IF(ISNUMBER(CP1392),IFERROR(MAX(0,CP1392-CD468),0),0)</f>
        <v>0</v>
      </c>
      <c r="CT1392">
        <f>IF(ISNUMBER(CQ1392),IFERROR(MAX(0,CE468-CQ1392),0),0)</f>
        <v>0</v>
      </c>
      <c r="CU1392">
        <f>IF(ISNUMBER(CQ1392),IFERROR(MAX(0,CQ1392-CE468),0),0)</f>
        <v>0</v>
      </c>
    </row>
    <row r="1393" spans="87:99" x14ac:dyDescent="0.3">
      <c r="CI1393" t="e">
        <f>AL469</f>
        <v>#N/A</v>
      </c>
      <c r="CJ1393" t="e">
        <f>AM469</f>
        <v>#N/A</v>
      </c>
      <c r="CK1393">
        <f>IF(ISNUMBER(CI1393),IFERROR(MAX(0,AN469-CI1393),0),0)</f>
        <v>0</v>
      </c>
      <c r="CL1393">
        <f>IF(ISNUMBER(CI1393),IFERROR(MAX(0,CI1393-AN469),0),0)</f>
        <v>0</v>
      </c>
      <c r="CM1393">
        <f>IF(ISNUMBER(CJ1393),IFERROR(MAX(0,AO469-CJ1393),0),0)</f>
        <v>0</v>
      </c>
      <c r="CN1393">
        <f>IF(ISNUMBER(CJ1393),IFERROR(MAX(0,CJ1393-AO469),0),0)</f>
        <v>0</v>
      </c>
      <c r="CP1393" t="e">
        <f>BT469</f>
        <v>#N/A</v>
      </c>
      <c r="CQ1393" t="e">
        <f>BU469</f>
        <v>#N/A</v>
      </c>
      <c r="CR1393">
        <f>IF(ISNUMBER(CP1393),IFERROR(MAX(0,BV469-CP1393),0),0)</f>
        <v>0</v>
      </c>
      <c r="CS1393">
        <f>IF(ISNUMBER(CP1393),IFERROR(MAX(0,CP1393-BV469),0),0)</f>
        <v>0</v>
      </c>
      <c r="CT1393">
        <f>IF(ISNUMBER(CQ1393),IFERROR(MAX(0,BW469-CQ1393),0),0)</f>
        <v>0</v>
      </c>
      <c r="CU1393">
        <f>IF(ISNUMBER(CQ1393),IFERROR(MAX(0,CQ1393-BW469),0),0)</f>
        <v>0</v>
      </c>
    </row>
    <row r="1394" spans="87:99" x14ac:dyDescent="0.3">
      <c r="CI1394" t="e">
        <f>AP469</f>
        <v>#N/A</v>
      </c>
      <c r="CJ1394" t="e">
        <f>AQ469</f>
        <v>#N/A</v>
      </c>
      <c r="CK1394">
        <f>IF(ISNUMBER(CI1394),IFERROR(MAX(0,AR469-CI1394),0),0)</f>
        <v>0</v>
      </c>
      <c r="CL1394">
        <f>IF(ISNUMBER(CI1394),IFERROR(MAX(0,CI1394-AR469),0),0)</f>
        <v>0</v>
      </c>
      <c r="CM1394">
        <f>IF(ISNUMBER(CJ1394),IFERROR(MAX(0,AS469-CJ1394),0),0)</f>
        <v>0</v>
      </c>
      <c r="CN1394">
        <f>IF(ISNUMBER(CJ1394),IFERROR(MAX(0,CJ1394-AS469),0),0)</f>
        <v>0</v>
      </c>
      <c r="CP1394" t="e">
        <f>BX469</f>
        <v>#N/A</v>
      </c>
      <c r="CQ1394" t="e">
        <f>BY469</f>
        <v>#N/A</v>
      </c>
      <c r="CR1394">
        <f>IF(ISNUMBER(CP1394),IFERROR(MAX(0,BZ469-CP1394),0),0)</f>
        <v>0</v>
      </c>
      <c r="CS1394">
        <f>IF(ISNUMBER(CP1394),IFERROR(MAX(0,CP1394-BZ469),0),0)</f>
        <v>0</v>
      </c>
      <c r="CT1394">
        <f>IF(ISNUMBER(CQ1394),IFERROR(MAX(0,CA469-CQ1394),0),0)</f>
        <v>0</v>
      </c>
      <c r="CU1394">
        <f>IF(ISNUMBER(CQ1394),IFERROR(MAX(0,CQ1394-CA469),0),0)</f>
        <v>0</v>
      </c>
    </row>
    <row r="1395" spans="87:99" x14ac:dyDescent="0.3">
      <c r="CI1395" t="e">
        <f>AT469</f>
        <v>#N/A</v>
      </c>
      <c r="CJ1395" t="e">
        <f>AU469</f>
        <v>#N/A</v>
      </c>
      <c r="CK1395">
        <f>IF(ISNUMBER(CI1395),IFERROR(MAX(0,AV469-CI1395),0),0)</f>
        <v>0</v>
      </c>
      <c r="CL1395">
        <f>IF(ISNUMBER(CI1395),IFERROR(MAX(0,CI1395-AV469),0),0)</f>
        <v>0</v>
      </c>
      <c r="CM1395">
        <f>IF(ISNUMBER(CJ1395),IFERROR(MAX(0,AW469-CJ1395),0),0)</f>
        <v>0</v>
      </c>
      <c r="CN1395">
        <f>IF(ISNUMBER(CJ1395),IFERROR(MAX(0,CJ1395-AW469),0),0)</f>
        <v>0</v>
      </c>
      <c r="CP1395" t="e">
        <f>CB469</f>
        <v>#N/A</v>
      </c>
      <c r="CQ1395" t="e">
        <f>CC469</f>
        <v>#N/A</v>
      </c>
      <c r="CR1395">
        <f>IF(ISNUMBER(CP1395),IFERROR(MAX(0,CD469-CP1395),0),0)</f>
        <v>0</v>
      </c>
      <c r="CS1395">
        <f>IF(ISNUMBER(CP1395),IFERROR(MAX(0,CP1395-CD469),0),0)</f>
        <v>0</v>
      </c>
      <c r="CT1395">
        <f>IF(ISNUMBER(CQ1395),IFERROR(MAX(0,CE469-CQ1395),0),0)</f>
        <v>0</v>
      </c>
      <c r="CU1395">
        <f>IF(ISNUMBER(CQ1395),IFERROR(MAX(0,CQ1395-CE469),0),0)</f>
        <v>0</v>
      </c>
    </row>
    <row r="1396" spans="87:99" x14ac:dyDescent="0.3">
      <c r="CI1396" t="e">
        <f>AL470</f>
        <v>#N/A</v>
      </c>
      <c r="CJ1396" t="e">
        <f>AM470</f>
        <v>#N/A</v>
      </c>
      <c r="CK1396">
        <f>IF(ISNUMBER(CI1396),IFERROR(MAX(0,AN470-CI1396),0),0)</f>
        <v>0</v>
      </c>
      <c r="CL1396">
        <f>IF(ISNUMBER(CI1396),IFERROR(MAX(0,CI1396-AN470),0),0)</f>
        <v>0</v>
      </c>
      <c r="CM1396">
        <f>IF(ISNUMBER(CJ1396),IFERROR(MAX(0,AO470-CJ1396),0),0)</f>
        <v>0</v>
      </c>
      <c r="CN1396">
        <f>IF(ISNUMBER(CJ1396),IFERROR(MAX(0,CJ1396-AO470),0),0)</f>
        <v>0</v>
      </c>
      <c r="CP1396" t="e">
        <f>BT470</f>
        <v>#N/A</v>
      </c>
      <c r="CQ1396" t="e">
        <f>BU470</f>
        <v>#N/A</v>
      </c>
      <c r="CR1396">
        <f>IF(ISNUMBER(CP1396),IFERROR(MAX(0,BV470-CP1396),0),0)</f>
        <v>0</v>
      </c>
      <c r="CS1396">
        <f>IF(ISNUMBER(CP1396),IFERROR(MAX(0,CP1396-BV470),0),0)</f>
        <v>0</v>
      </c>
      <c r="CT1396">
        <f>IF(ISNUMBER(CQ1396),IFERROR(MAX(0,BW470-CQ1396),0),0)</f>
        <v>0</v>
      </c>
      <c r="CU1396">
        <f>IF(ISNUMBER(CQ1396),IFERROR(MAX(0,CQ1396-BW470),0),0)</f>
        <v>0</v>
      </c>
    </row>
    <row r="1397" spans="87:99" x14ac:dyDescent="0.3">
      <c r="CI1397" t="e">
        <f>AP470</f>
        <v>#N/A</v>
      </c>
      <c r="CJ1397" t="e">
        <f>AQ470</f>
        <v>#N/A</v>
      </c>
      <c r="CK1397">
        <f>IF(ISNUMBER(CI1397),IFERROR(MAX(0,AR470-CI1397),0),0)</f>
        <v>0</v>
      </c>
      <c r="CL1397">
        <f>IF(ISNUMBER(CI1397),IFERROR(MAX(0,CI1397-AR470),0),0)</f>
        <v>0</v>
      </c>
      <c r="CM1397">
        <f>IF(ISNUMBER(CJ1397),IFERROR(MAX(0,AS470-CJ1397),0),0)</f>
        <v>0</v>
      </c>
      <c r="CN1397">
        <f>IF(ISNUMBER(CJ1397),IFERROR(MAX(0,CJ1397-AS470),0),0)</f>
        <v>0</v>
      </c>
      <c r="CP1397" t="e">
        <f>BX470</f>
        <v>#N/A</v>
      </c>
      <c r="CQ1397" t="e">
        <f>BY470</f>
        <v>#N/A</v>
      </c>
      <c r="CR1397">
        <f>IF(ISNUMBER(CP1397),IFERROR(MAX(0,BZ470-CP1397),0),0)</f>
        <v>0</v>
      </c>
      <c r="CS1397">
        <f>IF(ISNUMBER(CP1397),IFERROR(MAX(0,CP1397-BZ470),0),0)</f>
        <v>0</v>
      </c>
      <c r="CT1397">
        <f>IF(ISNUMBER(CQ1397),IFERROR(MAX(0,CA470-CQ1397),0),0)</f>
        <v>0</v>
      </c>
      <c r="CU1397">
        <f>IF(ISNUMBER(CQ1397),IFERROR(MAX(0,CQ1397-CA470),0),0)</f>
        <v>0</v>
      </c>
    </row>
    <row r="1398" spans="87:99" x14ac:dyDescent="0.3">
      <c r="CI1398" t="e">
        <f>AT470</f>
        <v>#N/A</v>
      </c>
      <c r="CJ1398" t="e">
        <f>AU470</f>
        <v>#N/A</v>
      </c>
      <c r="CK1398">
        <f>IF(ISNUMBER(CI1398),IFERROR(MAX(0,AV470-CI1398),0),0)</f>
        <v>0</v>
      </c>
      <c r="CL1398">
        <f>IF(ISNUMBER(CI1398),IFERROR(MAX(0,CI1398-AV470),0),0)</f>
        <v>0</v>
      </c>
      <c r="CM1398">
        <f>IF(ISNUMBER(CJ1398),IFERROR(MAX(0,AW470-CJ1398),0),0)</f>
        <v>0</v>
      </c>
      <c r="CN1398">
        <f>IF(ISNUMBER(CJ1398),IFERROR(MAX(0,CJ1398-AW470),0),0)</f>
        <v>0</v>
      </c>
      <c r="CP1398" t="e">
        <f>CB470</f>
        <v>#N/A</v>
      </c>
      <c r="CQ1398" t="e">
        <f>CC470</f>
        <v>#N/A</v>
      </c>
      <c r="CR1398">
        <f>IF(ISNUMBER(CP1398),IFERROR(MAX(0,CD470-CP1398),0),0)</f>
        <v>0</v>
      </c>
      <c r="CS1398">
        <f>IF(ISNUMBER(CP1398),IFERROR(MAX(0,CP1398-CD470),0),0)</f>
        <v>0</v>
      </c>
      <c r="CT1398">
        <f>IF(ISNUMBER(CQ1398),IFERROR(MAX(0,CE470-CQ1398),0),0)</f>
        <v>0</v>
      </c>
      <c r="CU1398">
        <f>IF(ISNUMBER(CQ1398),IFERROR(MAX(0,CQ1398-CE470),0),0)</f>
        <v>0</v>
      </c>
    </row>
    <row r="1399" spans="87:99" x14ac:dyDescent="0.3">
      <c r="CI1399" t="e">
        <f>AL471</f>
        <v>#N/A</v>
      </c>
      <c r="CJ1399" t="e">
        <f>AM471</f>
        <v>#N/A</v>
      </c>
      <c r="CK1399">
        <f>IF(ISNUMBER(CI1399),IFERROR(MAX(0,AN471-CI1399),0),0)</f>
        <v>0</v>
      </c>
      <c r="CL1399">
        <f>IF(ISNUMBER(CI1399),IFERROR(MAX(0,CI1399-AN471),0),0)</f>
        <v>0</v>
      </c>
      <c r="CM1399">
        <f>IF(ISNUMBER(CJ1399),IFERROR(MAX(0,AO471-CJ1399),0),0)</f>
        <v>0</v>
      </c>
      <c r="CN1399">
        <f>IF(ISNUMBER(CJ1399),IFERROR(MAX(0,CJ1399-AO471),0),0)</f>
        <v>0</v>
      </c>
      <c r="CP1399" t="e">
        <f>BT471</f>
        <v>#N/A</v>
      </c>
      <c r="CQ1399" t="e">
        <f>BU471</f>
        <v>#N/A</v>
      </c>
      <c r="CR1399">
        <f>IF(ISNUMBER(CP1399),IFERROR(MAX(0,BV471-CP1399),0),0)</f>
        <v>0</v>
      </c>
      <c r="CS1399">
        <f>IF(ISNUMBER(CP1399),IFERROR(MAX(0,CP1399-BV471),0),0)</f>
        <v>0</v>
      </c>
      <c r="CT1399">
        <f>IF(ISNUMBER(CQ1399),IFERROR(MAX(0,BW471-CQ1399),0),0)</f>
        <v>0</v>
      </c>
      <c r="CU1399">
        <f>IF(ISNUMBER(CQ1399),IFERROR(MAX(0,CQ1399-BW471),0),0)</f>
        <v>0</v>
      </c>
    </row>
    <row r="1400" spans="87:99" x14ac:dyDescent="0.3">
      <c r="CI1400" t="e">
        <f>AP471</f>
        <v>#N/A</v>
      </c>
      <c r="CJ1400" t="e">
        <f>AQ471</f>
        <v>#N/A</v>
      </c>
      <c r="CK1400">
        <f>IF(ISNUMBER(CI1400),IFERROR(MAX(0,AR471-CI1400),0),0)</f>
        <v>0</v>
      </c>
      <c r="CL1400">
        <f>IF(ISNUMBER(CI1400),IFERROR(MAX(0,CI1400-AR471),0),0)</f>
        <v>0</v>
      </c>
      <c r="CM1400">
        <f>IF(ISNUMBER(CJ1400),IFERROR(MAX(0,AS471-CJ1400),0),0)</f>
        <v>0</v>
      </c>
      <c r="CN1400">
        <f>IF(ISNUMBER(CJ1400),IFERROR(MAX(0,CJ1400-AS471),0),0)</f>
        <v>0</v>
      </c>
      <c r="CP1400" t="e">
        <f>BX471</f>
        <v>#N/A</v>
      </c>
      <c r="CQ1400" t="e">
        <f>BY471</f>
        <v>#N/A</v>
      </c>
      <c r="CR1400">
        <f>IF(ISNUMBER(CP1400),IFERROR(MAX(0,BZ471-CP1400),0),0)</f>
        <v>0</v>
      </c>
      <c r="CS1400">
        <f>IF(ISNUMBER(CP1400),IFERROR(MAX(0,CP1400-BZ471),0),0)</f>
        <v>0</v>
      </c>
      <c r="CT1400">
        <f>IF(ISNUMBER(CQ1400),IFERROR(MAX(0,CA471-CQ1400),0),0)</f>
        <v>0</v>
      </c>
      <c r="CU1400">
        <f>IF(ISNUMBER(CQ1400),IFERROR(MAX(0,CQ1400-CA471),0),0)</f>
        <v>0</v>
      </c>
    </row>
    <row r="1401" spans="87:99" x14ac:dyDescent="0.3">
      <c r="CI1401" t="e">
        <f>AT471</f>
        <v>#N/A</v>
      </c>
      <c r="CJ1401" t="e">
        <f>AU471</f>
        <v>#N/A</v>
      </c>
      <c r="CK1401">
        <f>IF(ISNUMBER(CI1401),IFERROR(MAX(0,AV471-CI1401),0),0)</f>
        <v>0</v>
      </c>
      <c r="CL1401">
        <f>IF(ISNUMBER(CI1401),IFERROR(MAX(0,CI1401-AV471),0),0)</f>
        <v>0</v>
      </c>
      <c r="CM1401">
        <f>IF(ISNUMBER(CJ1401),IFERROR(MAX(0,AW471-CJ1401),0),0)</f>
        <v>0</v>
      </c>
      <c r="CN1401">
        <f>IF(ISNUMBER(CJ1401),IFERROR(MAX(0,CJ1401-AW471),0),0)</f>
        <v>0</v>
      </c>
      <c r="CP1401" t="e">
        <f>CB471</f>
        <v>#N/A</v>
      </c>
      <c r="CQ1401" t="e">
        <f>CC471</f>
        <v>#N/A</v>
      </c>
      <c r="CR1401">
        <f>IF(ISNUMBER(CP1401),IFERROR(MAX(0,CD471-CP1401),0),0)</f>
        <v>0</v>
      </c>
      <c r="CS1401">
        <f>IF(ISNUMBER(CP1401),IFERROR(MAX(0,CP1401-CD471),0),0)</f>
        <v>0</v>
      </c>
      <c r="CT1401">
        <f>IF(ISNUMBER(CQ1401),IFERROR(MAX(0,CE471-CQ1401),0),0)</f>
        <v>0</v>
      </c>
      <c r="CU1401">
        <f>IF(ISNUMBER(CQ1401),IFERROR(MAX(0,CQ1401-CE471),0),0)</f>
        <v>0</v>
      </c>
    </row>
    <row r="1402" spans="87:99" x14ac:dyDescent="0.3">
      <c r="CI1402" t="e">
        <f>AL472</f>
        <v>#N/A</v>
      </c>
      <c r="CJ1402" t="e">
        <f>AM472</f>
        <v>#N/A</v>
      </c>
      <c r="CK1402">
        <f>IF(ISNUMBER(CI1402),IFERROR(MAX(0,AN472-CI1402),0),0)</f>
        <v>0</v>
      </c>
      <c r="CL1402">
        <f>IF(ISNUMBER(CI1402),IFERROR(MAX(0,CI1402-AN472),0),0)</f>
        <v>0</v>
      </c>
      <c r="CM1402">
        <f>IF(ISNUMBER(CJ1402),IFERROR(MAX(0,AO472-CJ1402),0),0)</f>
        <v>0</v>
      </c>
      <c r="CN1402">
        <f>IF(ISNUMBER(CJ1402),IFERROR(MAX(0,CJ1402-AO472),0),0)</f>
        <v>0</v>
      </c>
      <c r="CP1402" t="e">
        <f>BT472</f>
        <v>#N/A</v>
      </c>
      <c r="CQ1402" t="e">
        <f>BU472</f>
        <v>#N/A</v>
      </c>
      <c r="CR1402">
        <f>IF(ISNUMBER(CP1402),IFERROR(MAX(0,BV472-CP1402),0),0)</f>
        <v>0</v>
      </c>
      <c r="CS1402">
        <f>IF(ISNUMBER(CP1402),IFERROR(MAX(0,CP1402-BV472),0),0)</f>
        <v>0</v>
      </c>
      <c r="CT1402">
        <f>IF(ISNUMBER(CQ1402),IFERROR(MAX(0,BW472-CQ1402),0),0)</f>
        <v>0</v>
      </c>
      <c r="CU1402">
        <f>IF(ISNUMBER(CQ1402),IFERROR(MAX(0,CQ1402-BW472),0),0)</f>
        <v>0</v>
      </c>
    </row>
    <row r="1403" spans="87:99" x14ac:dyDescent="0.3">
      <c r="CI1403" t="e">
        <f>AP472</f>
        <v>#N/A</v>
      </c>
      <c r="CJ1403" t="e">
        <f>AQ472</f>
        <v>#N/A</v>
      </c>
      <c r="CK1403">
        <f>IF(ISNUMBER(CI1403),IFERROR(MAX(0,AR472-CI1403),0),0)</f>
        <v>0</v>
      </c>
      <c r="CL1403">
        <f>IF(ISNUMBER(CI1403),IFERROR(MAX(0,CI1403-AR472),0),0)</f>
        <v>0</v>
      </c>
      <c r="CM1403">
        <f>IF(ISNUMBER(CJ1403),IFERROR(MAX(0,AS472-CJ1403),0),0)</f>
        <v>0</v>
      </c>
      <c r="CN1403">
        <f>IF(ISNUMBER(CJ1403),IFERROR(MAX(0,CJ1403-AS472),0),0)</f>
        <v>0</v>
      </c>
      <c r="CP1403" t="e">
        <f>BX472</f>
        <v>#N/A</v>
      </c>
      <c r="CQ1403" t="e">
        <f>BY472</f>
        <v>#N/A</v>
      </c>
      <c r="CR1403">
        <f>IF(ISNUMBER(CP1403),IFERROR(MAX(0,BZ472-CP1403),0),0)</f>
        <v>0</v>
      </c>
      <c r="CS1403">
        <f>IF(ISNUMBER(CP1403),IFERROR(MAX(0,CP1403-BZ472),0),0)</f>
        <v>0</v>
      </c>
      <c r="CT1403">
        <f>IF(ISNUMBER(CQ1403),IFERROR(MAX(0,CA472-CQ1403),0),0)</f>
        <v>0</v>
      </c>
      <c r="CU1403">
        <f>IF(ISNUMBER(CQ1403),IFERROR(MAX(0,CQ1403-CA472),0),0)</f>
        <v>0</v>
      </c>
    </row>
    <row r="1404" spans="87:99" x14ac:dyDescent="0.3">
      <c r="CI1404" t="e">
        <f>AT472</f>
        <v>#N/A</v>
      </c>
      <c r="CJ1404" t="e">
        <f>AU472</f>
        <v>#N/A</v>
      </c>
      <c r="CK1404">
        <f>IF(ISNUMBER(CI1404),IFERROR(MAX(0,AV472-CI1404),0),0)</f>
        <v>0</v>
      </c>
      <c r="CL1404">
        <f>IF(ISNUMBER(CI1404),IFERROR(MAX(0,CI1404-AV472),0),0)</f>
        <v>0</v>
      </c>
      <c r="CM1404">
        <f>IF(ISNUMBER(CJ1404),IFERROR(MAX(0,AW472-CJ1404),0),0)</f>
        <v>0</v>
      </c>
      <c r="CN1404">
        <f>IF(ISNUMBER(CJ1404),IFERROR(MAX(0,CJ1404-AW472),0),0)</f>
        <v>0</v>
      </c>
      <c r="CP1404" t="e">
        <f>CB472</f>
        <v>#N/A</v>
      </c>
      <c r="CQ1404" t="e">
        <f>CC472</f>
        <v>#N/A</v>
      </c>
      <c r="CR1404">
        <f>IF(ISNUMBER(CP1404),IFERROR(MAX(0,CD472-CP1404),0),0)</f>
        <v>0</v>
      </c>
      <c r="CS1404">
        <f>IF(ISNUMBER(CP1404),IFERROR(MAX(0,CP1404-CD472),0),0)</f>
        <v>0</v>
      </c>
      <c r="CT1404">
        <f>IF(ISNUMBER(CQ1404),IFERROR(MAX(0,CE472-CQ1404),0),0)</f>
        <v>0</v>
      </c>
      <c r="CU1404">
        <f>IF(ISNUMBER(CQ1404),IFERROR(MAX(0,CQ1404-CE472),0),0)</f>
        <v>0</v>
      </c>
    </row>
    <row r="1405" spans="87:99" x14ac:dyDescent="0.3">
      <c r="CI1405" t="e">
        <f>AL473</f>
        <v>#N/A</v>
      </c>
      <c r="CJ1405" t="e">
        <f>AM473</f>
        <v>#N/A</v>
      </c>
      <c r="CK1405">
        <f>IF(ISNUMBER(CI1405),IFERROR(MAX(0,AN473-CI1405),0),0)</f>
        <v>0</v>
      </c>
      <c r="CL1405">
        <f>IF(ISNUMBER(CI1405),IFERROR(MAX(0,CI1405-AN473),0),0)</f>
        <v>0</v>
      </c>
      <c r="CM1405">
        <f>IF(ISNUMBER(CJ1405),IFERROR(MAX(0,AO473-CJ1405),0),0)</f>
        <v>0</v>
      </c>
      <c r="CN1405">
        <f>IF(ISNUMBER(CJ1405),IFERROR(MAX(0,CJ1405-AO473),0),0)</f>
        <v>0</v>
      </c>
      <c r="CP1405" t="e">
        <f>BT473</f>
        <v>#N/A</v>
      </c>
      <c r="CQ1405" t="e">
        <f>BU473</f>
        <v>#N/A</v>
      </c>
      <c r="CR1405">
        <f>IF(ISNUMBER(CP1405),IFERROR(MAX(0,BV473-CP1405),0),0)</f>
        <v>0</v>
      </c>
      <c r="CS1405">
        <f>IF(ISNUMBER(CP1405),IFERROR(MAX(0,CP1405-BV473),0),0)</f>
        <v>0</v>
      </c>
      <c r="CT1405">
        <f>IF(ISNUMBER(CQ1405),IFERROR(MAX(0,BW473-CQ1405),0),0)</f>
        <v>0</v>
      </c>
      <c r="CU1405">
        <f>IF(ISNUMBER(CQ1405),IFERROR(MAX(0,CQ1405-BW473),0),0)</f>
        <v>0</v>
      </c>
    </row>
    <row r="1406" spans="87:99" x14ac:dyDescent="0.3">
      <c r="CI1406" t="e">
        <f>AP473</f>
        <v>#N/A</v>
      </c>
      <c r="CJ1406" t="e">
        <f>AQ473</f>
        <v>#N/A</v>
      </c>
      <c r="CK1406">
        <f>IF(ISNUMBER(CI1406),IFERROR(MAX(0,AR473-CI1406),0),0)</f>
        <v>0</v>
      </c>
      <c r="CL1406">
        <f>IF(ISNUMBER(CI1406),IFERROR(MAX(0,CI1406-AR473),0),0)</f>
        <v>0</v>
      </c>
      <c r="CM1406">
        <f>IF(ISNUMBER(CJ1406),IFERROR(MAX(0,AS473-CJ1406),0),0)</f>
        <v>0</v>
      </c>
      <c r="CN1406">
        <f>IF(ISNUMBER(CJ1406),IFERROR(MAX(0,CJ1406-AS473),0),0)</f>
        <v>0</v>
      </c>
      <c r="CP1406" t="e">
        <f>BX473</f>
        <v>#N/A</v>
      </c>
      <c r="CQ1406" t="e">
        <f>BY473</f>
        <v>#N/A</v>
      </c>
      <c r="CR1406">
        <f>IF(ISNUMBER(CP1406),IFERROR(MAX(0,BZ473-CP1406),0),0)</f>
        <v>0</v>
      </c>
      <c r="CS1406">
        <f>IF(ISNUMBER(CP1406),IFERROR(MAX(0,CP1406-BZ473),0),0)</f>
        <v>0</v>
      </c>
      <c r="CT1406">
        <f>IF(ISNUMBER(CQ1406),IFERROR(MAX(0,CA473-CQ1406),0),0)</f>
        <v>0</v>
      </c>
      <c r="CU1406">
        <f>IF(ISNUMBER(CQ1406),IFERROR(MAX(0,CQ1406-CA473),0),0)</f>
        <v>0</v>
      </c>
    </row>
    <row r="1407" spans="87:99" x14ac:dyDescent="0.3">
      <c r="CI1407" t="e">
        <f>AT473</f>
        <v>#N/A</v>
      </c>
      <c r="CJ1407" t="e">
        <f>AU473</f>
        <v>#N/A</v>
      </c>
      <c r="CK1407">
        <f>IF(ISNUMBER(CI1407),IFERROR(MAX(0,AV473-CI1407),0),0)</f>
        <v>0</v>
      </c>
      <c r="CL1407">
        <f>IF(ISNUMBER(CI1407),IFERROR(MAX(0,CI1407-AV473),0),0)</f>
        <v>0</v>
      </c>
      <c r="CM1407">
        <f>IF(ISNUMBER(CJ1407),IFERROR(MAX(0,AW473-CJ1407),0),0)</f>
        <v>0</v>
      </c>
      <c r="CN1407">
        <f>IF(ISNUMBER(CJ1407),IFERROR(MAX(0,CJ1407-AW473),0),0)</f>
        <v>0</v>
      </c>
      <c r="CP1407" t="e">
        <f>CB473</f>
        <v>#N/A</v>
      </c>
      <c r="CQ1407" t="e">
        <f>CC473</f>
        <v>#N/A</v>
      </c>
      <c r="CR1407">
        <f>IF(ISNUMBER(CP1407),IFERROR(MAX(0,CD473-CP1407),0),0)</f>
        <v>0</v>
      </c>
      <c r="CS1407">
        <f>IF(ISNUMBER(CP1407),IFERROR(MAX(0,CP1407-CD473),0),0)</f>
        <v>0</v>
      </c>
      <c r="CT1407">
        <f>IF(ISNUMBER(CQ1407),IFERROR(MAX(0,CE473-CQ1407),0),0)</f>
        <v>0</v>
      </c>
      <c r="CU1407">
        <f>IF(ISNUMBER(CQ1407),IFERROR(MAX(0,CQ1407-CE473),0),0)</f>
        <v>0</v>
      </c>
    </row>
    <row r="1408" spans="87:99" x14ac:dyDescent="0.3">
      <c r="CI1408" t="e">
        <f>AL474</f>
        <v>#N/A</v>
      </c>
      <c r="CJ1408" t="e">
        <f>AM474</f>
        <v>#N/A</v>
      </c>
      <c r="CK1408">
        <f>IF(ISNUMBER(CI1408),IFERROR(MAX(0,AN474-CI1408),0),0)</f>
        <v>0</v>
      </c>
      <c r="CL1408">
        <f>IF(ISNUMBER(CI1408),IFERROR(MAX(0,CI1408-AN474),0),0)</f>
        <v>0</v>
      </c>
      <c r="CM1408">
        <f>IF(ISNUMBER(CJ1408),IFERROR(MAX(0,AO474-CJ1408),0),0)</f>
        <v>0</v>
      </c>
      <c r="CN1408">
        <f>IF(ISNUMBER(CJ1408),IFERROR(MAX(0,CJ1408-AO474),0),0)</f>
        <v>0</v>
      </c>
      <c r="CP1408" t="e">
        <f>BT474</f>
        <v>#N/A</v>
      </c>
      <c r="CQ1408" t="e">
        <f>BU474</f>
        <v>#N/A</v>
      </c>
      <c r="CR1408">
        <f>IF(ISNUMBER(CP1408),IFERROR(MAX(0,BV474-CP1408),0),0)</f>
        <v>0</v>
      </c>
      <c r="CS1408">
        <f>IF(ISNUMBER(CP1408),IFERROR(MAX(0,CP1408-BV474),0),0)</f>
        <v>0</v>
      </c>
      <c r="CT1408">
        <f>IF(ISNUMBER(CQ1408),IFERROR(MAX(0,BW474-CQ1408),0),0)</f>
        <v>0</v>
      </c>
      <c r="CU1408">
        <f>IF(ISNUMBER(CQ1408),IFERROR(MAX(0,CQ1408-BW474),0),0)</f>
        <v>0</v>
      </c>
    </row>
    <row r="1409" spans="87:99" x14ac:dyDescent="0.3">
      <c r="CI1409" t="e">
        <f>AP474</f>
        <v>#N/A</v>
      </c>
      <c r="CJ1409" t="e">
        <f>AQ474</f>
        <v>#N/A</v>
      </c>
      <c r="CK1409">
        <f>IF(ISNUMBER(CI1409),IFERROR(MAX(0,AR474-CI1409),0),0)</f>
        <v>0</v>
      </c>
      <c r="CL1409">
        <f>IF(ISNUMBER(CI1409),IFERROR(MAX(0,CI1409-AR474),0),0)</f>
        <v>0</v>
      </c>
      <c r="CM1409">
        <f>IF(ISNUMBER(CJ1409),IFERROR(MAX(0,AS474-CJ1409),0),0)</f>
        <v>0</v>
      </c>
      <c r="CN1409">
        <f>IF(ISNUMBER(CJ1409),IFERROR(MAX(0,CJ1409-AS474),0),0)</f>
        <v>0</v>
      </c>
      <c r="CP1409" t="e">
        <f>BX474</f>
        <v>#N/A</v>
      </c>
      <c r="CQ1409" t="e">
        <f>BY474</f>
        <v>#N/A</v>
      </c>
      <c r="CR1409">
        <f>IF(ISNUMBER(CP1409),IFERROR(MAX(0,BZ474-CP1409),0),0)</f>
        <v>0</v>
      </c>
      <c r="CS1409">
        <f>IF(ISNUMBER(CP1409),IFERROR(MAX(0,CP1409-BZ474),0),0)</f>
        <v>0</v>
      </c>
      <c r="CT1409">
        <f>IF(ISNUMBER(CQ1409),IFERROR(MAX(0,CA474-CQ1409),0),0)</f>
        <v>0</v>
      </c>
      <c r="CU1409">
        <f>IF(ISNUMBER(CQ1409),IFERROR(MAX(0,CQ1409-CA474),0),0)</f>
        <v>0</v>
      </c>
    </row>
    <row r="1410" spans="87:99" x14ac:dyDescent="0.3">
      <c r="CI1410" t="e">
        <f>AT474</f>
        <v>#N/A</v>
      </c>
      <c r="CJ1410" t="e">
        <f>AU474</f>
        <v>#N/A</v>
      </c>
      <c r="CK1410">
        <f>IF(ISNUMBER(CI1410),IFERROR(MAX(0,AV474-CI1410),0),0)</f>
        <v>0</v>
      </c>
      <c r="CL1410">
        <f>IF(ISNUMBER(CI1410),IFERROR(MAX(0,CI1410-AV474),0),0)</f>
        <v>0</v>
      </c>
      <c r="CM1410">
        <f>IF(ISNUMBER(CJ1410),IFERROR(MAX(0,AW474-CJ1410),0),0)</f>
        <v>0</v>
      </c>
      <c r="CN1410">
        <f>IF(ISNUMBER(CJ1410),IFERROR(MAX(0,CJ1410-AW474),0),0)</f>
        <v>0</v>
      </c>
      <c r="CP1410" t="e">
        <f>CB474</f>
        <v>#N/A</v>
      </c>
      <c r="CQ1410" t="e">
        <f>CC474</f>
        <v>#N/A</v>
      </c>
      <c r="CR1410">
        <f>IF(ISNUMBER(CP1410),IFERROR(MAX(0,CD474-CP1410),0),0)</f>
        <v>0</v>
      </c>
      <c r="CS1410">
        <f>IF(ISNUMBER(CP1410),IFERROR(MAX(0,CP1410-CD474),0),0)</f>
        <v>0</v>
      </c>
      <c r="CT1410">
        <f>IF(ISNUMBER(CQ1410),IFERROR(MAX(0,CE474-CQ1410),0),0)</f>
        <v>0</v>
      </c>
      <c r="CU1410">
        <f>IF(ISNUMBER(CQ1410),IFERROR(MAX(0,CQ1410-CE474),0),0)</f>
        <v>0</v>
      </c>
    </row>
    <row r="1411" spans="87:99" x14ac:dyDescent="0.3">
      <c r="CI1411" t="e">
        <f>AL475</f>
        <v>#N/A</v>
      </c>
      <c r="CJ1411" t="e">
        <f>AM475</f>
        <v>#N/A</v>
      </c>
      <c r="CK1411">
        <f>IF(ISNUMBER(CI1411),IFERROR(MAX(0,AN475-CI1411),0),0)</f>
        <v>0</v>
      </c>
      <c r="CL1411">
        <f>IF(ISNUMBER(CI1411),IFERROR(MAX(0,CI1411-AN475),0),0)</f>
        <v>0</v>
      </c>
      <c r="CM1411">
        <f>IF(ISNUMBER(CJ1411),IFERROR(MAX(0,AO475-CJ1411),0),0)</f>
        <v>0</v>
      </c>
      <c r="CN1411">
        <f>IF(ISNUMBER(CJ1411),IFERROR(MAX(0,CJ1411-AO475),0),0)</f>
        <v>0</v>
      </c>
      <c r="CP1411" t="e">
        <f>BT475</f>
        <v>#N/A</v>
      </c>
      <c r="CQ1411" t="e">
        <f>BU475</f>
        <v>#N/A</v>
      </c>
      <c r="CR1411">
        <f>IF(ISNUMBER(CP1411),IFERROR(MAX(0,BV475-CP1411),0),0)</f>
        <v>0</v>
      </c>
      <c r="CS1411">
        <f>IF(ISNUMBER(CP1411),IFERROR(MAX(0,CP1411-BV475),0),0)</f>
        <v>0</v>
      </c>
      <c r="CT1411">
        <f>IF(ISNUMBER(CQ1411),IFERROR(MAX(0,BW475-CQ1411),0),0)</f>
        <v>0</v>
      </c>
      <c r="CU1411">
        <f>IF(ISNUMBER(CQ1411),IFERROR(MAX(0,CQ1411-BW475),0),0)</f>
        <v>0</v>
      </c>
    </row>
    <row r="1412" spans="87:99" x14ac:dyDescent="0.3">
      <c r="CI1412" t="e">
        <f>AP475</f>
        <v>#N/A</v>
      </c>
      <c r="CJ1412" t="e">
        <f>AQ475</f>
        <v>#N/A</v>
      </c>
      <c r="CK1412">
        <f>IF(ISNUMBER(CI1412),IFERROR(MAX(0,AR475-CI1412),0),0)</f>
        <v>0</v>
      </c>
      <c r="CL1412">
        <f>IF(ISNUMBER(CI1412),IFERROR(MAX(0,CI1412-AR475),0),0)</f>
        <v>0</v>
      </c>
      <c r="CM1412">
        <f>IF(ISNUMBER(CJ1412),IFERROR(MAX(0,AS475-CJ1412),0),0)</f>
        <v>0</v>
      </c>
      <c r="CN1412">
        <f>IF(ISNUMBER(CJ1412),IFERROR(MAX(0,CJ1412-AS475),0),0)</f>
        <v>0</v>
      </c>
      <c r="CP1412" t="e">
        <f>BX475</f>
        <v>#N/A</v>
      </c>
      <c r="CQ1412" t="e">
        <f>BY475</f>
        <v>#N/A</v>
      </c>
      <c r="CR1412">
        <f>IF(ISNUMBER(CP1412),IFERROR(MAX(0,BZ475-CP1412),0),0)</f>
        <v>0</v>
      </c>
      <c r="CS1412">
        <f>IF(ISNUMBER(CP1412),IFERROR(MAX(0,CP1412-BZ475),0),0)</f>
        <v>0</v>
      </c>
      <c r="CT1412">
        <f>IF(ISNUMBER(CQ1412),IFERROR(MAX(0,CA475-CQ1412),0),0)</f>
        <v>0</v>
      </c>
      <c r="CU1412">
        <f>IF(ISNUMBER(CQ1412),IFERROR(MAX(0,CQ1412-CA475),0),0)</f>
        <v>0</v>
      </c>
    </row>
    <row r="1413" spans="87:99" x14ac:dyDescent="0.3">
      <c r="CI1413" t="e">
        <f>AT475</f>
        <v>#N/A</v>
      </c>
      <c r="CJ1413" t="e">
        <f>AU475</f>
        <v>#N/A</v>
      </c>
      <c r="CK1413">
        <f>IF(ISNUMBER(CI1413),IFERROR(MAX(0,AV475-CI1413),0),0)</f>
        <v>0</v>
      </c>
      <c r="CL1413">
        <f>IF(ISNUMBER(CI1413),IFERROR(MAX(0,CI1413-AV475),0),0)</f>
        <v>0</v>
      </c>
      <c r="CM1413">
        <f>IF(ISNUMBER(CJ1413),IFERROR(MAX(0,AW475-CJ1413),0),0)</f>
        <v>0</v>
      </c>
      <c r="CN1413">
        <f>IF(ISNUMBER(CJ1413),IFERROR(MAX(0,CJ1413-AW475),0),0)</f>
        <v>0</v>
      </c>
      <c r="CP1413" t="e">
        <f>CB475</f>
        <v>#N/A</v>
      </c>
      <c r="CQ1413" t="e">
        <f>CC475</f>
        <v>#N/A</v>
      </c>
      <c r="CR1413">
        <f>IF(ISNUMBER(CP1413),IFERROR(MAX(0,CD475-CP1413),0),0)</f>
        <v>0</v>
      </c>
      <c r="CS1413">
        <f>IF(ISNUMBER(CP1413),IFERROR(MAX(0,CP1413-CD475),0),0)</f>
        <v>0</v>
      </c>
      <c r="CT1413">
        <f>IF(ISNUMBER(CQ1413),IFERROR(MAX(0,CE475-CQ1413),0),0)</f>
        <v>0</v>
      </c>
      <c r="CU1413">
        <f>IF(ISNUMBER(CQ1413),IFERROR(MAX(0,CQ1413-CE475),0),0)</f>
        <v>0</v>
      </c>
    </row>
    <row r="1414" spans="87:99" x14ac:dyDescent="0.3">
      <c r="CI1414" t="e">
        <f>AL476</f>
        <v>#N/A</v>
      </c>
      <c r="CJ1414" t="e">
        <f>AM476</f>
        <v>#N/A</v>
      </c>
      <c r="CK1414">
        <f>IF(ISNUMBER(CI1414),IFERROR(MAX(0,AN476-CI1414),0),0)</f>
        <v>0</v>
      </c>
      <c r="CL1414">
        <f>IF(ISNUMBER(CI1414),IFERROR(MAX(0,CI1414-AN476),0),0)</f>
        <v>0</v>
      </c>
      <c r="CM1414">
        <f>IF(ISNUMBER(CJ1414),IFERROR(MAX(0,AO476-CJ1414),0),0)</f>
        <v>0</v>
      </c>
      <c r="CN1414">
        <f>IF(ISNUMBER(CJ1414),IFERROR(MAX(0,CJ1414-AO476),0),0)</f>
        <v>0</v>
      </c>
      <c r="CP1414" t="e">
        <f>BT476</f>
        <v>#N/A</v>
      </c>
      <c r="CQ1414" t="e">
        <f>BU476</f>
        <v>#N/A</v>
      </c>
      <c r="CR1414">
        <f>IF(ISNUMBER(CP1414),IFERROR(MAX(0,BV476-CP1414),0),0)</f>
        <v>0</v>
      </c>
      <c r="CS1414">
        <f>IF(ISNUMBER(CP1414),IFERROR(MAX(0,CP1414-BV476),0),0)</f>
        <v>0</v>
      </c>
      <c r="CT1414">
        <f>IF(ISNUMBER(CQ1414),IFERROR(MAX(0,BW476-CQ1414),0),0)</f>
        <v>0</v>
      </c>
      <c r="CU1414">
        <f>IF(ISNUMBER(CQ1414),IFERROR(MAX(0,CQ1414-BW476),0),0)</f>
        <v>0</v>
      </c>
    </row>
    <row r="1415" spans="87:99" x14ac:dyDescent="0.3">
      <c r="CI1415" t="e">
        <f>AP476</f>
        <v>#N/A</v>
      </c>
      <c r="CJ1415" t="e">
        <f>AQ476</f>
        <v>#N/A</v>
      </c>
      <c r="CK1415">
        <f>IF(ISNUMBER(CI1415),IFERROR(MAX(0,AR476-CI1415),0),0)</f>
        <v>0</v>
      </c>
      <c r="CL1415">
        <f>IF(ISNUMBER(CI1415),IFERROR(MAX(0,CI1415-AR476),0),0)</f>
        <v>0</v>
      </c>
      <c r="CM1415">
        <f>IF(ISNUMBER(CJ1415),IFERROR(MAX(0,AS476-CJ1415),0),0)</f>
        <v>0</v>
      </c>
      <c r="CN1415">
        <f>IF(ISNUMBER(CJ1415),IFERROR(MAX(0,CJ1415-AS476),0),0)</f>
        <v>0</v>
      </c>
      <c r="CP1415" t="e">
        <f>BX476</f>
        <v>#N/A</v>
      </c>
      <c r="CQ1415" t="e">
        <f>BY476</f>
        <v>#N/A</v>
      </c>
      <c r="CR1415">
        <f>IF(ISNUMBER(CP1415),IFERROR(MAX(0,BZ476-CP1415),0),0)</f>
        <v>0</v>
      </c>
      <c r="CS1415">
        <f>IF(ISNUMBER(CP1415),IFERROR(MAX(0,CP1415-BZ476),0),0)</f>
        <v>0</v>
      </c>
      <c r="CT1415">
        <f>IF(ISNUMBER(CQ1415),IFERROR(MAX(0,CA476-CQ1415),0),0)</f>
        <v>0</v>
      </c>
      <c r="CU1415">
        <f>IF(ISNUMBER(CQ1415),IFERROR(MAX(0,CQ1415-CA476),0),0)</f>
        <v>0</v>
      </c>
    </row>
    <row r="1416" spans="87:99" x14ac:dyDescent="0.3">
      <c r="CI1416" t="e">
        <f>AT476</f>
        <v>#N/A</v>
      </c>
      <c r="CJ1416" t="e">
        <f>AU476</f>
        <v>#N/A</v>
      </c>
      <c r="CK1416">
        <f>IF(ISNUMBER(CI1416),IFERROR(MAX(0,AV476-CI1416),0),0)</f>
        <v>0</v>
      </c>
      <c r="CL1416">
        <f>IF(ISNUMBER(CI1416),IFERROR(MAX(0,CI1416-AV476),0),0)</f>
        <v>0</v>
      </c>
      <c r="CM1416">
        <f>IF(ISNUMBER(CJ1416),IFERROR(MAX(0,AW476-CJ1416),0),0)</f>
        <v>0</v>
      </c>
      <c r="CN1416">
        <f>IF(ISNUMBER(CJ1416),IFERROR(MAX(0,CJ1416-AW476),0),0)</f>
        <v>0</v>
      </c>
      <c r="CP1416" t="e">
        <f>CB476</f>
        <v>#N/A</v>
      </c>
      <c r="CQ1416" t="e">
        <f>CC476</f>
        <v>#N/A</v>
      </c>
      <c r="CR1416">
        <f>IF(ISNUMBER(CP1416),IFERROR(MAX(0,CD476-CP1416),0),0)</f>
        <v>0</v>
      </c>
      <c r="CS1416">
        <f>IF(ISNUMBER(CP1416),IFERROR(MAX(0,CP1416-CD476),0),0)</f>
        <v>0</v>
      </c>
      <c r="CT1416">
        <f>IF(ISNUMBER(CQ1416),IFERROR(MAX(0,CE476-CQ1416),0),0)</f>
        <v>0</v>
      </c>
      <c r="CU1416">
        <f>IF(ISNUMBER(CQ1416),IFERROR(MAX(0,CQ1416-CE476),0),0)</f>
        <v>0</v>
      </c>
    </row>
    <row r="1417" spans="87:99" x14ac:dyDescent="0.3">
      <c r="CI1417" t="e">
        <f>AL477</f>
        <v>#N/A</v>
      </c>
      <c r="CJ1417" t="e">
        <f>AM477</f>
        <v>#N/A</v>
      </c>
      <c r="CK1417">
        <f>IF(ISNUMBER(CI1417),IFERROR(MAX(0,AN477-CI1417),0),0)</f>
        <v>0</v>
      </c>
      <c r="CL1417">
        <f>IF(ISNUMBER(CI1417),IFERROR(MAX(0,CI1417-AN477),0),0)</f>
        <v>0</v>
      </c>
      <c r="CM1417">
        <f>IF(ISNUMBER(CJ1417),IFERROR(MAX(0,AO477-CJ1417),0),0)</f>
        <v>0</v>
      </c>
      <c r="CN1417">
        <f>IF(ISNUMBER(CJ1417),IFERROR(MAX(0,CJ1417-AO477),0),0)</f>
        <v>0</v>
      </c>
      <c r="CP1417" t="e">
        <f>BT477</f>
        <v>#N/A</v>
      </c>
      <c r="CQ1417" t="e">
        <f>BU477</f>
        <v>#N/A</v>
      </c>
      <c r="CR1417">
        <f>IF(ISNUMBER(CP1417),IFERROR(MAX(0,BV477-CP1417),0),0)</f>
        <v>0</v>
      </c>
      <c r="CS1417">
        <f>IF(ISNUMBER(CP1417),IFERROR(MAX(0,CP1417-BV477),0),0)</f>
        <v>0</v>
      </c>
      <c r="CT1417">
        <f>IF(ISNUMBER(CQ1417),IFERROR(MAX(0,BW477-CQ1417),0),0)</f>
        <v>0</v>
      </c>
      <c r="CU1417">
        <f>IF(ISNUMBER(CQ1417),IFERROR(MAX(0,CQ1417-BW477),0),0)</f>
        <v>0</v>
      </c>
    </row>
    <row r="1418" spans="87:99" x14ac:dyDescent="0.3">
      <c r="CI1418" t="e">
        <f>AP477</f>
        <v>#N/A</v>
      </c>
      <c r="CJ1418" t="e">
        <f>AQ477</f>
        <v>#N/A</v>
      </c>
      <c r="CK1418">
        <f>IF(ISNUMBER(CI1418),IFERROR(MAX(0,AR477-CI1418),0),0)</f>
        <v>0</v>
      </c>
      <c r="CL1418">
        <f>IF(ISNUMBER(CI1418),IFERROR(MAX(0,CI1418-AR477),0),0)</f>
        <v>0</v>
      </c>
      <c r="CM1418">
        <f>IF(ISNUMBER(CJ1418),IFERROR(MAX(0,AS477-CJ1418),0),0)</f>
        <v>0</v>
      </c>
      <c r="CN1418">
        <f>IF(ISNUMBER(CJ1418),IFERROR(MAX(0,CJ1418-AS477),0),0)</f>
        <v>0</v>
      </c>
      <c r="CP1418" t="e">
        <f>BX477</f>
        <v>#N/A</v>
      </c>
      <c r="CQ1418" t="e">
        <f>BY477</f>
        <v>#N/A</v>
      </c>
      <c r="CR1418">
        <f>IF(ISNUMBER(CP1418),IFERROR(MAX(0,BZ477-CP1418),0),0)</f>
        <v>0</v>
      </c>
      <c r="CS1418">
        <f>IF(ISNUMBER(CP1418),IFERROR(MAX(0,CP1418-BZ477),0),0)</f>
        <v>0</v>
      </c>
      <c r="CT1418">
        <f>IF(ISNUMBER(CQ1418),IFERROR(MAX(0,CA477-CQ1418),0),0)</f>
        <v>0</v>
      </c>
      <c r="CU1418">
        <f>IF(ISNUMBER(CQ1418),IFERROR(MAX(0,CQ1418-CA477),0),0)</f>
        <v>0</v>
      </c>
    </row>
    <row r="1419" spans="87:99" x14ac:dyDescent="0.3">
      <c r="CI1419" t="e">
        <f>AT477</f>
        <v>#N/A</v>
      </c>
      <c r="CJ1419" t="e">
        <f>AU477</f>
        <v>#N/A</v>
      </c>
      <c r="CK1419">
        <f>IF(ISNUMBER(CI1419),IFERROR(MAX(0,AV477-CI1419),0),0)</f>
        <v>0</v>
      </c>
      <c r="CL1419">
        <f>IF(ISNUMBER(CI1419),IFERROR(MAX(0,CI1419-AV477),0),0)</f>
        <v>0</v>
      </c>
      <c r="CM1419">
        <f>IF(ISNUMBER(CJ1419),IFERROR(MAX(0,AW477-CJ1419),0),0)</f>
        <v>0</v>
      </c>
      <c r="CN1419">
        <f>IF(ISNUMBER(CJ1419),IFERROR(MAX(0,CJ1419-AW477),0),0)</f>
        <v>0</v>
      </c>
      <c r="CP1419" t="e">
        <f>CB477</f>
        <v>#N/A</v>
      </c>
      <c r="CQ1419" t="e">
        <f>CC477</f>
        <v>#N/A</v>
      </c>
      <c r="CR1419">
        <f>IF(ISNUMBER(CP1419),IFERROR(MAX(0,CD477-CP1419),0),0)</f>
        <v>0</v>
      </c>
      <c r="CS1419">
        <f>IF(ISNUMBER(CP1419),IFERROR(MAX(0,CP1419-CD477),0),0)</f>
        <v>0</v>
      </c>
      <c r="CT1419">
        <f>IF(ISNUMBER(CQ1419),IFERROR(MAX(0,CE477-CQ1419),0),0)</f>
        <v>0</v>
      </c>
      <c r="CU1419">
        <f>IF(ISNUMBER(CQ1419),IFERROR(MAX(0,CQ1419-CE477),0),0)</f>
        <v>0</v>
      </c>
    </row>
    <row r="1420" spans="87:99" x14ac:dyDescent="0.3">
      <c r="CI1420" t="e">
        <f>AL478</f>
        <v>#N/A</v>
      </c>
      <c r="CJ1420" t="e">
        <f>AM478</f>
        <v>#N/A</v>
      </c>
      <c r="CK1420">
        <f>IF(ISNUMBER(CI1420),IFERROR(MAX(0,AN478-CI1420),0),0)</f>
        <v>0</v>
      </c>
      <c r="CL1420">
        <f>IF(ISNUMBER(CI1420),IFERROR(MAX(0,CI1420-AN478),0),0)</f>
        <v>0</v>
      </c>
      <c r="CM1420">
        <f>IF(ISNUMBER(CJ1420),IFERROR(MAX(0,AO478-CJ1420),0),0)</f>
        <v>0</v>
      </c>
      <c r="CN1420">
        <f>IF(ISNUMBER(CJ1420),IFERROR(MAX(0,CJ1420-AO478),0),0)</f>
        <v>0</v>
      </c>
      <c r="CP1420" t="e">
        <f>BT478</f>
        <v>#N/A</v>
      </c>
      <c r="CQ1420" t="e">
        <f>BU478</f>
        <v>#N/A</v>
      </c>
      <c r="CR1420">
        <f>IF(ISNUMBER(CP1420),IFERROR(MAX(0,BV478-CP1420),0),0)</f>
        <v>0</v>
      </c>
      <c r="CS1420">
        <f>IF(ISNUMBER(CP1420),IFERROR(MAX(0,CP1420-BV478),0),0)</f>
        <v>0</v>
      </c>
      <c r="CT1420">
        <f>IF(ISNUMBER(CQ1420),IFERROR(MAX(0,BW478-CQ1420),0),0)</f>
        <v>0</v>
      </c>
      <c r="CU1420">
        <f>IF(ISNUMBER(CQ1420),IFERROR(MAX(0,CQ1420-BW478),0),0)</f>
        <v>0</v>
      </c>
    </row>
    <row r="1421" spans="87:99" x14ac:dyDescent="0.3">
      <c r="CI1421" t="e">
        <f>AP478</f>
        <v>#N/A</v>
      </c>
      <c r="CJ1421" t="e">
        <f>AQ478</f>
        <v>#N/A</v>
      </c>
      <c r="CK1421">
        <f>IF(ISNUMBER(CI1421),IFERROR(MAX(0,AR478-CI1421),0),0)</f>
        <v>0</v>
      </c>
      <c r="CL1421">
        <f>IF(ISNUMBER(CI1421),IFERROR(MAX(0,CI1421-AR478),0),0)</f>
        <v>0</v>
      </c>
      <c r="CM1421">
        <f>IF(ISNUMBER(CJ1421),IFERROR(MAX(0,AS478-CJ1421),0),0)</f>
        <v>0</v>
      </c>
      <c r="CN1421">
        <f>IF(ISNUMBER(CJ1421),IFERROR(MAX(0,CJ1421-AS478),0),0)</f>
        <v>0</v>
      </c>
      <c r="CP1421" t="e">
        <f>BX478</f>
        <v>#N/A</v>
      </c>
      <c r="CQ1421" t="e">
        <f>BY478</f>
        <v>#N/A</v>
      </c>
      <c r="CR1421">
        <f>IF(ISNUMBER(CP1421),IFERROR(MAX(0,BZ478-CP1421),0),0)</f>
        <v>0</v>
      </c>
      <c r="CS1421">
        <f>IF(ISNUMBER(CP1421),IFERROR(MAX(0,CP1421-BZ478),0),0)</f>
        <v>0</v>
      </c>
      <c r="CT1421">
        <f>IF(ISNUMBER(CQ1421),IFERROR(MAX(0,CA478-CQ1421),0),0)</f>
        <v>0</v>
      </c>
      <c r="CU1421">
        <f>IF(ISNUMBER(CQ1421),IFERROR(MAX(0,CQ1421-CA478),0),0)</f>
        <v>0</v>
      </c>
    </row>
    <row r="1422" spans="87:99" x14ac:dyDescent="0.3">
      <c r="CI1422" t="e">
        <f>AT478</f>
        <v>#N/A</v>
      </c>
      <c r="CJ1422" t="e">
        <f>AU478</f>
        <v>#N/A</v>
      </c>
      <c r="CK1422">
        <f>IF(ISNUMBER(CI1422),IFERROR(MAX(0,AV478-CI1422),0),0)</f>
        <v>0</v>
      </c>
      <c r="CL1422">
        <f>IF(ISNUMBER(CI1422),IFERROR(MAX(0,CI1422-AV478),0),0)</f>
        <v>0</v>
      </c>
      <c r="CM1422">
        <f>IF(ISNUMBER(CJ1422),IFERROR(MAX(0,AW478-CJ1422),0),0)</f>
        <v>0</v>
      </c>
      <c r="CN1422">
        <f>IF(ISNUMBER(CJ1422),IFERROR(MAX(0,CJ1422-AW478),0),0)</f>
        <v>0</v>
      </c>
      <c r="CP1422" t="e">
        <f>CB478</f>
        <v>#N/A</v>
      </c>
      <c r="CQ1422" t="e">
        <f>CC478</f>
        <v>#N/A</v>
      </c>
      <c r="CR1422">
        <f>IF(ISNUMBER(CP1422),IFERROR(MAX(0,CD478-CP1422),0),0)</f>
        <v>0</v>
      </c>
      <c r="CS1422">
        <f>IF(ISNUMBER(CP1422),IFERROR(MAX(0,CP1422-CD478),0),0)</f>
        <v>0</v>
      </c>
      <c r="CT1422">
        <f>IF(ISNUMBER(CQ1422),IFERROR(MAX(0,CE478-CQ1422),0),0)</f>
        <v>0</v>
      </c>
      <c r="CU1422">
        <f>IF(ISNUMBER(CQ1422),IFERROR(MAX(0,CQ1422-CE478),0),0)</f>
        <v>0</v>
      </c>
    </row>
    <row r="1423" spans="87:99" x14ac:dyDescent="0.3">
      <c r="CI1423" t="e">
        <f>AL479</f>
        <v>#N/A</v>
      </c>
      <c r="CJ1423" t="e">
        <f>AM479</f>
        <v>#N/A</v>
      </c>
      <c r="CK1423">
        <f>IF(ISNUMBER(CI1423),IFERROR(MAX(0,AN479-CI1423),0),0)</f>
        <v>0</v>
      </c>
      <c r="CL1423">
        <f>IF(ISNUMBER(CI1423),IFERROR(MAX(0,CI1423-AN479),0),0)</f>
        <v>0</v>
      </c>
      <c r="CM1423">
        <f>IF(ISNUMBER(CJ1423),IFERROR(MAX(0,AO479-CJ1423),0),0)</f>
        <v>0</v>
      </c>
      <c r="CN1423">
        <f>IF(ISNUMBER(CJ1423),IFERROR(MAX(0,CJ1423-AO479),0),0)</f>
        <v>0</v>
      </c>
      <c r="CP1423" t="e">
        <f>BT479</f>
        <v>#N/A</v>
      </c>
      <c r="CQ1423" t="e">
        <f>BU479</f>
        <v>#N/A</v>
      </c>
      <c r="CR1423">
        <f>IF(ISNUMBER(CP1423),IFERROR(MAX(0,BV479-CP1423),0),0)</f>
        <v>0</v>
      </c>
      <c r="CS1423">
        <f>IF(ISNUMBER(CP1423),IFERROR(MAX(0,CP1423-BV479),0),0)</f>
        <v>0</v>
      </c>
      <c r="CT1423">
        <f>IF(ISNUMBER(CQ1423),IFERROR(MAX(0,BW479-CQ1423),0),0)</f>
        <v>0</v>
      </c>
      <c r="CU1423">
        <f>IF(ISNUMBER(CQ1423),IFERROR(MAX(0,CQ1423-BW479),0),0)</f>
        <v>0</v>
      </c>
    </row>
    <row r="1424" spans="87:99" x14ac:dyDescent="0.3">
      <c r="CI1424" t="e">
        <f>AP479</f>
        <v>#N/A</v>
      </c>
      <c r="CJ1424" t="e">
        <f>AQ479</f>
        <v>#N/A</v>
      </c>
      <c r="CK1424">
        <f>IF(ISNUMBER(CI1424),IFERROR(MAX(0,AR479-CI1424),0),0)</f>
        <v>0</v>
      </c>
      <c r="CL1424">
        <f>IF(ISNUMBER(CI1424),IFERROR(MAX(0,CI1424-AR479),0),0)</f>
        <v>0</v>
      </c>
      <c r="CM1424">
        <f>IF(ISNUMBER(CJ1424),IFERROR(MAX(0,AS479-CJ1424),0),0)</f>
        <v>0</v>
      </c>
      <c r="CN1424">
        <f>IF(ISNUMBER(CJ1424),IFERROR(MAX(0,CJ1424-AS479),0),0)</f>
        <v>0</v>
      </c>
      <c r="CP1424" t="e">
        <f>BX479</f>
        <v>#N/A</v>
      </c>
      <c r="CQ1424" t="e">
        <f>BY479</f>
        <v>#N/A</v>
      </c>
      <c r="CR1424">
        <f>IF(ISNUMBER(CP1424),IFERROR(MAX(0,BZ479-CP1424),0),0)</f>
        <v>0</v>
      </c>
      <c r="CS1424">
        <f>IF(ISNUMBER(CP1424),IFERROR(MAX(0,CP1424-BZ479),0),0)</f>
        <v>0</v>
      </c>
      <c r="CT1424">
        <f>IF(ISNUMBER(CQ1424),IFERROR(MAX(0,CA479-CQ1424),0),0)</f>
        <v>0</v>
      </c>
      <c r="CU1424">
        <f>IF(ISNUMBER(CQ1424),IFERROR(MAX(0,CQ1424-CA479),0),0)</f>
        <v>0</v>
      </c>
    </row>
    <row r="1425" spans="87:99" x14ac:dyDescent="0.3">
      <c r="CI1425" t="e">
        <f>AT479</f>
        <v>#N/A</v>
      </c>
      <c r="CJ1425" t="e">
        <f>AU479</f>
        <v>#N/A</v>
      </c>
      <c r="CK1425">
        <f>IF(ISNUMBER(CI1425),IFERROR(MAX(0,AV479-CI1425),0),0)</f>
        <v>0</v>
      </c>
      <c r="CL1425">
        <f>IF(ISNUMBER(CI1425),IFERROR(MAX(0,CI1425-AV479),0),0)</f>
        <v>0</v>
      </c>
      <c r="CM1425">
        <f>IF(ISNUMBER(CJ1425),IFERROR(MAX(0,AW479-CJ1425),0),0)</f>
        <v>0</v>
      </c>
      <c r="CN1425">
        <f>IF(ISNUMBER(CJ1425),IFERROR(MAX(0,CJ1425-AW479),0),0)</f>
        <v>0</v>
      </c>
      <c r="CP1425" t="e">
        <f>CB479</f>
        <v>#N/A</v>
      </c>
      <c r="CQ1425" t="e">
        <f>CC479</f>
        <v>#N/A</v>
      </c>
      <c r="CR1425">
        <f>IF(ISNUMBER(CP1425),IFERROR(MAX(0,CD479-CP1425),0),0)</f>
        <v>0</v>
      </c>
      <c r="CS1425">
        <f>IF(ISNUMBER(CP1425),IFERROR(MAX(0,CP1425-CD479),0),0)</f>
        <v>0</v>
      </c>
      <c r="CT1425">
        <f>IF(ISNUMBER(CQ1425),IFERROR(MAX(0,CE479-CQ1425),0),0)</f>
        <v>0</v>
      </c>
      <c r="CU1425">
        <f>IF(ISNUMBER(CQ1425),IFERROR(MAX(0,CQ1425-CE479),0),0)</f>
        <v>0</v>
      </c>
    </row>
    <row r="1426" spans="87:99" x14ac:dyDescent="0.3">
      <c r="CI1426" t="e">
        <f>AL480</f>
        <v>#N/A</v>
      </c>
      <c r="CJ1426" t="e">
        <f>AM480</f>
        <v>#N/A</v>
      </c>
      <c r="CK1426">
        <f>IF(ISNUMBER(CI1426),IFERROR(MAX(0,AN480-CI1426),0),0)</f>
        <v>0</v>
      </c>
      <c r="CL1426">
        <f>IF(ISNUMBER(CI1426),IFERROR(MAX(0,CI1426-AN480),0),0)</f>
        <v>0</v>
      </c>
      <c r="CM1426">
        <f>IF(ISNUMBER(CJ1426),IFERROR(MAX(0,AO480-CJ1426),0),0)</f>
        <v>0</v>
      </c>
      <c r="CN1426">
        <f>IF(ISNUMBER(CJ1426),IFERROR(MAX(0,CJ1426-AO480),0),0)</f>
        <v>0</v>
      </c>
      <c r="CP1426" t="e">
        <f>BT480</f>
        <v>#N/A</v>
      </c>
      <c r="CQ1426" t="e">
        <f>BU480</f>
        <v>#N/A</v>
      </c>
      <c r="CR1426">
        <f>IF(ISNUMBER(CP1426),IFERROR(MAX(0,BV480-CP1426),0),0)</f>
        <v>0</v>
      </c>
      <c r="CS1426">
        <f>IF(ISNUMBER(CP1426),IFERROR(MAX(0,CP1426-BV480),0),0)</f>
        <v>0</v>
      </c>
      <c r="CT1426">
        <f>IF(ISNUMBER(CQ1426),IFERROR(MAX(0,BW480-CQ1426),0),0)</f>
        <v>0</v>
      </c>
      <c r="CU1426">
        <f>IF(ISNUMBER(CQ1426),IFERROR(MAX(0,CQ1426-BW480),0),0)</f>
        <v>0</v>
      </c>
    </row>
    <row r="1427" spans="87:99" x14ac:dyDescent="0.3">
      <c r="CI1427" t="e">
        <f>AP480</f>
        <v>#N/A</v>
      </c>
      <c r="CJ1427" t="e">
        <f>AQ480</f>
        <v>#N/A</v>
      </c>
      <c r="CK1427">
        <f>IF(ISNUMBER(CI1427),IFERROR(MAX(0,AR480-CI1427),0),0)</f>
        <v>0</v>
      </c>
      <c r="CL1427">
        <f>IF(ISNUMBER(CI1427),IFERROR(MAX(0,CI1427-AR480),0),0)</f>
        <v>0</v>
      </c>
      <c r="CM1427">
        <f>IF(ISNUMBER(CJ1427),IFERROR(MAX(0,AS480-CJ1427),0),0)</f>
        <v>0</v>
      </c>
      <c r="CN1427">
        <f>IF(ISNUMBER(CJ1427),IFERROR(MAX(0,CJ1427-AS480),0),0)</f>
        <v>0</v>
      </c>
      <c r="CP1427" t="e">
        <f>BX480</f>
        <v>#N/A</v>
      </c>
      <c r="CQ1427" t="e">
        <f>BY480</f>
        <v>#N/A</v>
      </c>
      <c r="CR1427">
        <f>IF(ISNUMBER(CP1427),IFERROR(MAX(0,BZ480-CP1427),0),0)</f>
        <v>0</v>
      </c>
      <c r="CS1427">
        <f>IF(ISNUMBER(CP1427),IFERROR(MAX(0,CP1427-BZ480),0),0)</f>
        <v>0</v>
      </c>
      <c r="CT1427">
        <f>IF(ISNUMBER(CQ1427),IFERROR(MAX(0,CA480-CQ1427),0),0)</f>
        <v>0</v>
      </c>
      <c r="CU1427">
        <f>IF(ISNUMBER(CQ1427),IFERROR(MAX(0,CQ1427-CA480),0),0)</f>
        <v>0</v>
      </c>
    </row>
    <row r="1428" spans="87:99" x14ac:dyDescent="0.3">
      <c r="CI1428" t="e">
        <f>AT480</f>
        <v>#N/A</v>
      </c>
      <c r="CJ1428" t="e">
        <f>AU480</f>
        <v>#N/A</v>
      </c>
      <c r="CK1428">
        <f>IF(ISNUMBER(CI1428),IFERROR(MAX(0,AV480-CI1428),0),0)</f>
        <v>0</v>
      </c>
      <c r="CL1428">
        <f>IF(ISNUMBER(CI1428),IFERROR(MAX(0,CI1428-AV480),0),0)</f>
        <v>0</v>
      </c>
      <c r="CM1428">
        <f>IF(ISNUMBER(CJ1428),IFERROR(MAX(0,AW480-CJ1428),0),0)</f>
        <v>0</v>
      </c>
      <c r="CN1428">
        <f>IF(ISNUMBER(CJ1428),IFERROR(MAX(0,CJ1428-AW480),0),0)</f>
        <v>0</v>
      </c>
      <c r="CP1428" t="e">
        <f>CB480</f>
        <v>#N/A</v>
      </c>
      <c r="CQ1428" t="e">
        <f>CC480</f>
        <v>#N/A</v>
      </c>
      <c r="CR1428">
        <f>IF(ISNUMBER(CP1428),IFERROR(MAX(0,CD480-CP1428),0),0)</f>
        <v>0</v>
      </c>
      <c r="CS1428">
        <f>IF(ISNUMBER(CP1428),IFERROR(MAX(0,CP1428-CD480),0),0)</f>
        <v>0</v>
      </c>
      <c r="CT1428">
        <f>IF(ISNUMBER(CQ1428),IFERROR(MAX(0,CE480-CQ1428),0),0)</f>
        <v>0</v>
      </c>
      <c r="CU1428">
        <f>IF(ISNUMBER(CQ1428),IFERROR(MAX(0,CQ1428-CE480),0),0)</f>
        <v>0</v>
      </c>
    </row>
    <row r="1429" spans="87:99" x14ac:dyDescent="0.3">
      <c r="CI1429" t="e">
        <f>AL481</f>
        <v>#N/A</v>
      </c>
      <c r="CJ1429" t="e">
        <f>AM481</f>
        <v>#N/A</v>
      </c>
      <c r="CK1429">
        <f>IF(ISNUMBER(CI1429),IFERROR(MAX(0,AN481-CI1429),0),0)</f>
        <v>0</v>
      </c>
      <c r="CL1429">
        <f>IF(ISNUMBER(CI1429),IFERROR(MAX(0,CI1429-AN481),0),0)</f>
        <v>0</v>
      </c>
      <c r="CM1429">
        <f>IF(ISNUMBER(CJ1429),IFERROR(MAX(0,AO481-CJ1429),0),0)</f>
        <v>0</v>
      </c>
      <c r="CN1429">
        <f>IF(ISNUMBER(CJ1429),IFERROR(MAX(0,CJ1429-AO481),0),0)</f>
        <v>0</v>
      </c>
      <c r="CP1429" t="e">
        <f>BT481</f>
        <v>#N/A</v>
      </c>
      <c r="CQ1429" t="e">
        <f>BU481</f>
        <v>#N/A</v>
      </c>
      <c r="CR1429">
        <f>IF(ISNUMBER(CP1429),IFERROR(MAX(0,BV481-CP1429),0),0)</f>
        <v>0</v>
      </c>
      <c r="CS1429">
        <f>IF(ISNUMBER(CP1429),IFERROR(MAX(0,CP1429-BV481),0),0)</f>
        <v>0</v>
      </c>
      <c r="CT1429">
        <f>IF(ISNUMBER(CQ1429),IFERROR(MAX(0,BW481-CQ1429),0),0)</f>
        <v>0</v>
      </c>
      <c r="CU1429">
        <f>IF(ISNUMBER(CQ1429),IFERROR(MAX(0,CQ1429-BW481),0),0)</f>
        <v>0</v>
      </c>
    </row>
    <row r="1430" spans="87:99" x14ac:dyDescent="0.3">
      <c r="CI1430" t="e">
        <f>AP481</f>
        <v>#N/A</v>
      </c>
      <c r="CJ1430" t="e">
        <f>AQ481</f>
        <v>#N/A</v>
      </c>
      <c r="CK1430">
        <f>IF(ISNUMBER(CI1430),IFERROR(MAX(0,AR481-CI1430),0),0)</f>
        <v>0</v>
      </c>
      <c r="CL1430">
        <f>IF(ISNUMBER(CI1430),IFERROR(MAX(0,CI1430-AR481),0),0)</f>
        <v>0</v>
      </c>
      <c r="CM1430">
        <f>IF(ISNUMBER(CJ1430),IFERROR(MAX(0,AS481-CJ1430),0),0)</f>
        <v>0</v>
      </c>
      <c r="CN1430">
        <f>IF(ISNUMBER(CJ1430),IFERROR(MAX(0,CJ1430-AS481),0),0)</f>
        <v>0</v>
      </c>
      <c r="CP1430" t="e">
        <f>BX481</f>
        <v>#N/A</v>
      </c>
      <c r="CQ1430" t="e">
        <f>BY481</f>
        <v>#N/A</v>
      </c>
      <c r="CR1430">
        <f>IF(ISNUMBER(CP1430),IFERROR(MAX(0,BZ481-CP1430),0),0)</f>
        <v>0</v>
      </c>
      <c r="CS1430">
        <f>IF(ISNUMBER(CP1430),IFERROR(MAX(0,CP1430-BZ481),0),0)</f>
        <v>0</v>
      </c>
      <c r="CT1430">
        <f>IF(ISNUMBER(CQ1430),IFERROR(MAX(0,CA481-CQ1430),0),0)</f>
        <v>0</v>
      </c>
      <c r="CU1430">
        <f>IF(ISNUMBER(CQ1430),IFERROR(MAX(0,CQ1430-CA481),0),0)</f>
        <v>0</v>
      </c>
    </row>
    <row r="1431" spans="87:99" x14ac:dyDescent="0.3">
      <c r="CI1431" t="e">
        <f>AT481</f>
        <v>#N/A</v>
      </c>
      <c r="CJ1431" t="e">
        <f>AU481</f>
        <v>#N/A</v>
      </c>
      <c r="CK1431">
        <f>IF(ISNUMBER(CI1431),IFERROR(MAX(0,AV481-CI1431),0),0)</f>
        <v>0</v>
      </c>
      <c r="CL1431">
        <f>IF(ISNUMBER(CI1431),IFERROR(MAX(0,CI1431-AV481),0),0)</f>
        <v>0</v>
      </c>
      <c r="CM1431">
        <f>IF(ISNUMBER(CJ1431),IFERROR(MAX(0,AW481-CJ1431),0),0)</f>
        <v>0</v>
      </c>
      <c r="CN1431">
        <f>IF(ISNUMBER(CJ1431),IFERROR(MAX(0,CJ1431-AW481),0),0)</f>
        <v>0</v>
      </c>
      <c r="CP1431" t="e">
        <f>CB481</f>
        <v>#N/A</v>
      </c>
      <c r="CQ1431" t="e">
        <f>CC481</f>
        <v>#N/A</v>
      </c>
      <c r="CR1431">
        <f>IF(ISNUMBER(CP1431),IFERROR(MAX(0,CD481-CP1431),0),0)</f>
        <v>0</v>
      </c>
      <c r="CS1431">
        <f>IF(ISNUMBER(CP1431),IFERROR(MAX(0,CP1431-CD481),0),0)</f>
        <v>0</v>
      </c>
      <c r="CT1431">
        <f>IF(ISNUMBER(CQ1431),IFERROR(MAX(0,CE481-CQ1431),0),0)</f>
        <v>0</v>
      </c>
      <c r="CU1431">
        <f>IF(ISNUMBER(CQ1431),IFERROR(MAX(0,CQ1431-CE481),0),0)</f>
        <v>0</v>
      </c>
    </row>
    <row r="1432" spans="87:99" x14ac:dyDescent="0.3">
      <c r="CI1432" t="e">
        <f>AL482</f>
        <v>#N/A</v>
      </c>
      <c r="CJ1432" t="e">
        <f>AM482</f>
        <v>#N/A</v>
      </c>
      <c r="CK1432">
        <f>IF(ISNUMBER(CI1432),IFERROR(MAX(0,AN482-CI1432),0),0)</f>
        <v>0</v>
      </c>
      <c r="CL1432">
        <f>IF(ISNUMBER(CI1432),IFERROR(MAX(0,CI1432-AN482),0),0)</f>
        <v>0</v>
      </c>
      <c r="CM1432">
        <f>IF(ISNUMBER(CJ1432),IFERROR(MAX(0,AO482-CJ1432),0),0)</f>
        <v>0</v>
      </c>
      <c r="CN1432">
        <f>IF(ISNUMBER(CJ1432),IFERROR(MAX(0,CJ1432-AO482),0),0)</f>
        <v>0</v>
      </c>
      <c r="CP1432" t="e">
        <f>BT482</f>
        <v>#N/A</v>
      </c>
      <c r="CQ1432" t="e">
        <f>BU482</f>
        <v>#N/A</v>
      </c>
      <c r="CR1432">
        <f>IF(ISNUMBER(CP1432),IFERROR(MAX(0,BV482-CP1432),0),0)</f>
        <v>0</v>
      </c>
      <c r="CS1432">
        <f>IF(ISNUMBER(CP1432),IFERROR(MAX(0,CP1432-BV482),0),0)</f>
        <v>0</v>
      </c>
      <c r="CT1432">
        <f>IF(ISNUMBER(CQ1432),IFERROR(MAX(0,BW482-CQ1432),0),0)</f>
        <v>0</v>
      </c>
      <c r="CU1432">
        <f>IF(ISNUMBER(CQ1432),IFERROR(MAX(0,CQ1432-BW482),0),0)</f>
        <v>0</v>
      </c>
    </row>
    <row r="1433" spans="87:99" x14ac:dyDescent="0.3">
      <c r="CI1433" t="e">
        <f>AP482</f>
        <v>#N/A</v>
      </c>
      <c r="CJ1433" t="e">
        <f>AQ482</f>
        <v>#N/A</v>
      </c>
      <c r="CK1433">
        <f>IF(ISNUMBER(CI1433),IFERROR(MAX(0,AR482-CI1433),0),0)</f>
        <v>0</v>
      </c>
      <c r="CL1433">
        <f>IF(ISNUMBER(CI1433),IFERROR(MAX(0,CI1433-AR482),0),0)</f>
        <v>0</v>
      </c>
      <c r="CM1433">
        <f>IF(ISNUMBER(CJ1433),IFERROR(MAX(0,AS482-CJ1433),0),0)</f>
        <v>0</v>
      </c>
      <c r="CN1433">
        <f>IF(ISNUMBER(CJ1433),IFERROR(MAX(0,CJ1433-AS482),0),0)</f>
        <v>0</v>
      </c>
      <c r="CP1433" t="e">
        <f>BX482</f>
        <v>#N/A</v>
      </c>
      <c r="CQ1433" t="e">
        <f>BY482</f>
        <v>#N/A</v>
      </c>
      <c r="CR1433">
        <f>IF(ISNUMBER(CP1433),IFERROR(MAX(0,BZ482-CP1433),0),0)</f>
        <v>0</v>
      </c>
      <c r="CS1433">
        <f>IF(ISNUMBER(CP1433),IFERROR(MAX(0,CP1433-BZ482),0),0)</f>
        <v>0</v>
      </c>
      <c r="CT1433">
        <f>IF(ISNUMBER(CQ1433),IFERROR(MAX(0,CA482-CQ1433),0),0)</f>
        <v>0</v>
      </c>
      <c r="CU1433">
        <f>IF(ISNUMBER(CQ1433),IFERROR(MAX(0,CQ1433-CA482),0),0)</f>
        <v>0</v>
      </c>
    </row>
    <row r="1434" spans="87:99" x14ac:dyDescent="0.3">
      <c r="CI1434" t="e">
        <f>AT482</f>
        <v>#N/A</v>
      </c>
      <c r="CJ1434" t="e">
        <f>AU482</f>
        <v>#N/A</v>
      </c>
      <c r="CK1434">
        <f>IF(ISNUMBER(CI1434),IFERROR(MAX(0,AV482-CI1434),0),0)</f>
        <v>0</v>
      </c>
      <c r="CL1434">
        <f>IF(ISNUMBER(CI1434),IFERROR(MAX(0,CI1434-AV482),0),0)</f>
        <v>0</v>
      </c>
      <c r="CM1434">
        <f>IF(ISNUMBER(CJ1434),IFERROR(MAX(0,AW482-CJ1434),0),0)</f>
        <v>0</v>
      </c>
      <c r="CN1434">
        <f>IF(ISNUMBER(CJ1434),IFERROR(MAX(0,CJ1434-AW482),0),0)</f>
        <v>0</v>
      </c>
      <c r="CP1434" t="e">
        <f>CB482</f>
        <v>#N/A</v>
      </c>
      <c r="CQ1434" t="e">
        <f>CC482</f>
        <v>#N/A</v>
      </c>
      <c r="CR1434">
        <f>IF(ISNUMBER(CP1434),IFERROR(MAX(0,CD482-CP1434),0),0)</f>
        <v>0</v>
      </c>
      <c r="CS1434">
        <f>IF(ISNUMBER(CP1434),IFERROR(MAX(0,CP1434-CD482),0),0)</f>
        <v>0</v>
      </c>
      <c r="CT1434">
        <f>IF(ISNUMBER(CQ1434),IFERROR(MAX(0,CE482-CQ1434),0),0)</f>
        <v>0</v>
      </c>
      <c r="CU1434">
        <f>IF(ISNUMBER(CQ1434),IFERROR(MAX(0,CQ1434-CE482),0),0)</f>
        <v>0</v>
      </c>
    </row>
    <row r="1435" spans="87:99" x14ac:dyDescent="0.3">
      <c r="CI1435" t="e">
        <f>AL483</f>
        <v>#N/A</v>
      </c>
      <c r="CJ1435" t="e">
        <f>AM483</f>
        <v>#N/A</v>
      </c>
      <c r="CK1435">
        <f>IF(ISNUMBER(CI1435),IFERROR(MAX(0,AN483-CI1435),0),0)</f>
        <v>0</v>
      </c>
      <c r="CL1435">
        <f>IF(ISNUMBER(CI1435),IFERROR(MAX(0,CI1435-AN483),0),0)</f>
        <v>0</v>
      </c>
      <c r="CM1435">
        <f>IF(ISNUMBER(CJ1435),IFERROR(MAX(0,AO483-CJ1435),0),0)</f>
        <v>0</v>
      </c>
      <c r="CN1435">
        <f>IF(ISNUMBER(CJ1435),IFERROR(MAX(0,CJ1435-AO483),0),0)</f>
        <v>0</v>
      </c>
      <c r="CP1435" t="e">
        <f>BT483</f>
        <v>#N/A</v>
      </c>
      <c r="CQ1435" t="e">
        <f>BU483</f>
        <v>#N/A</v>
      </c>
      <c r="CR1435">
        <f>IF(ISNUMBER(CP1435),IFERROR(MAX(0,BV483-CP1435),0),0)</f>
        <v>0</v>
      </c>
      <c r="CS1435">
        <f>IF(ISNUMBER(CP1435),IFERROR(MAX(0,CP1435-BV483),0),0)</f>
        <v>0</v>
      </c>
      <c r="CT1435">
        <f>IF(ISNUMBER(CQ1435),IFERROR(MAX(0,BW483-CQ1435),0),0)</f>
        <v>0</v>
      </c>
      <c r="CU1435">
        <f>IF(ISNUMBER(CQ1435),IFERROR(MAX(0,CQ1435-BW483),0),0)</f>
        <v>0</v>
      </c>
    </row>
    <row r="1436" spans="87:99" x14ac:dyDescent="0.3">
      <c r="CI1436" t="e">
        <f>AP483</f>
        <v>#N/A</v>
      </c>
      <c r="CJ1436" t="e">
        <f>AQ483</f>
        <v>#N/A</v>
      </c>
      <c r="CK1436">
        <f>IF(ISNUMBER(CI1436),IFERROR(MAX(0,AR483-CI1436),0),0)</f>
        <v>0</v>
      </c>
      <c r="CL1436">
        <f>IF(ISNUMBER(CI1436),IFERROR(MAX(0,CI1436-AR483),0),0)</f>
        <v>0</v>
      </c>
      <c r="CM1436">
        <f>IF(ISNUMBER(CJ1436),IFERROR(MAX(0,AS483-CJ1436),0),0)</f>
        <v>0</v>
      </c>
      <c r="CN1436">
        <f>IF(ISNUMBER(CJ1436),IFERROR(MAX(0,CJ1436-AS483),0),0)</f>
        <v>0</v>
      </c>
      <c r="CP1436" t="e">
        <f>BX483</f>
        <v>#N/A</v>
      </c>
      <c r="CQ1436" t="e">
        <f>BY483</f>
        <v>#N/A</v>
      </c>
      <c r="CR1436">
        <f>IF(ISNUMBER(CP1436),IFERROR(MAX(0,BZ483-CP1436),0),0)</f>
        <v>0</v>
      </c>
      <c r="CS1436">
        <f>IF(ISNUMBER(CP1436),IFERROR(MAX(0,CP1436-BZ483),0),0)</f>
        <v>0</v>
      </c>
      <c r="CT1436">
        <f>IF(ISNUMBER(CQ1436),IFERROR(MAX(0,CA483-CQ1436),0),0)</f>
        <v>0</v>
      </c>
      <c r="CU1436">
        <f>IF(ISNUMBER(CQ1436),IFERROR(MAX(0,CQ1436-CA483),0),0)</f>
        <v>0</v>
      </c>
    </row>
    <row r="1437" spans="87:99" x14ac:dyDescent="0.3">
      <c r="CI1437" t="e">
        <f>AT483</f>
        <v>#N/A</v>
      </c>
      <c r="CJ1437" t="e">
        <f>AU483</f>
        <v>#N/A</v>
      </c>
      <c r="CK1437">
        <f>IF(ISNUMBER(CI1437),IFERROR(MAX(0,AV483-CI1437),0),0)</f>
        <v>0</v>
      </c>
      <c r="CL1437">
        <f>IF(ISNUMBER(CI1437),IFERROR(MAX(0,CI1437-AV483),0),0)</f>
        <v>0</v>
      </c>
      <c r="CM1437">
        <f>IF(ISNUMBER(CJ1437),IFERROR(MAX(0,AW483-CJ1437),0),0)</f>
        <v>0</v>
      </c>
      <c r="CN1437">
        <f>IF(ISNUMBER(CJ1437),IFERROR(MAX(0,CJ1437-AW483),0),0)</f>
        <v>0</v>
      </c>
      <c r="CP1437" t="e">
        <f>CB483</f>
        <v>#N/A</v>
      </c>
      <c r="CQ1437" t="e">
        <f>CC483</f>
        <v>#N/A</v>
      </c>
      <c r="CR1437">
        <f>IF(ISNUMBER(CP1437),IFERROR(MAX(0,CD483-CP1437),0),0)</f>
        <v>0</v>
      </c>
      <c r="CS1437">
        <f>IF(ISNUMBER(CP1437),IFERROR(MAX(0,CP1437-CD483),0),0)</f>
        <v>0</v>
      </c>
      <c r="CT1437">
        <f>IF(ISNUMBER(CQ1437),IFERROR(MAX(0,CE483-CQ1437),0),0)</f>
        <v>0</v>
      </c>
      <c r="CU1437">
        <f>IF(ISNUMBER(CQ1437),IFERROR(MAX(0,CQ1437-CE483),0),0)</f>
        <v>0</v>
      </c>
    </row>
    <row r="1438" spans="87:99" x14ac:dyDescent="0.3">
      <c r="CI1438" t="e">
        <f>AL484</f>
        <v>#N/A</v>
      </c>
      <c r="CJ1438" t="e">
        <f>AM484</f>
        <v>#N/A</v>
      </c>
      <c r="CK1438">
        <f>IF(ISNUMBER(CI1438),IFERROR(MAX(0,AN484-CI1438),0),0)</f>
        <v>0</v>
      </c>
      <c r="CL1438">
        <f>IF(ISNUMBER(CI1438),IFERROR(MAX(0,CI1438-AN484),0),0)</f>
        <v>0</v>
      </c>
      <c r="CM1438">
        <f>IF(ISNUMBER(CJ1438),IFERROR(MAX(0,AO484-CJ1438),0),0)</f>
        <v>0</v>
      </c>
      <c r="CN1438">
        <f>IF(ISNUMBER(CJ1438),IFERROR(MAX(0,CJ1438-AO484),0),0)</f>
        <v>0</v>
      </c>
      <c r="CP1438" t="e">
        <f>BT484</f>
        <v>#N/A</v>
      </c>
      <c r="CQ1438" t="e">
        <f>BU484</f>
        <v>#N/A</v>
      </c>
      <c r="CR1438">
        <f>IF(ISNUMBER(CP1438),IFERROR(MAX(0,BV484-CP1438),0),0)</f>
        <v>0</v>
      </c>
      <c r="CS1438">
        <f>IF(ISNUMBER(CP1438),IFERROR(MAX(0,CP1438-BV484),0),0)</f>
        <v>0</v>
      </c>
      <c r="CT1438">
        <f>IF(ISNUMBER(CQ1438),IFERROR(MAX(0,BW484-CQ1438),0),0)</f>
        <v>0</v>
      </c>
      <c r="CU1438">
        <f>IF(ISNUMBER(CQ1438),IFERROR(MAX(0,CQ1438-BW484),0),0)</f>
        <v>0</v>
      </c>
    </row>
    <row r="1439" spans="87:99" x14ac:dyDescent="0.3">
      <c r="CI1439" t="e">
        <f>AP484</f>
        <v>#N/A</v>
      </c>
      <c r="CJ1439" t="e">
        <f>AQ484</f>
        <v>#N/A</v>
      </c>
      <c r="CK1439">
        <f>IF(ISNUMBER(CI1439),IFERROR(MAX(0,AR484-CI1439),0),0)</f>
        <v>0</v>
      </c>
      <c r="CL1439">
        <f>IF(ISNUMBER(CI1439),IFERROR(MAX(0,CI1439-AR484),0),0)</f>
        <v>0</v>
      </c>
      <c r="CM1439">
        <f>IF(ISNUMBER(CJ1439),IFERROR(MAX(0,AS484-CJ1439),0),0)</f>
        <v>0</v>
      </c>
      <c r="CN1439">
        <f>IF(ISNUMBER(CJ1439),IFERROR(MAX(0,CJ1439-AS484),0),0)</f>
        <v>0</v>
      </c>
      <c r="CP1439" t="e">
        <f>BX484</f>
        <v>#N/A</v>
      </c>
      <c r="CQ1439" t="e">
        <f>BY484</f>
        <v>#N/A</v>
      </c>
      <c r="CR1439">
        <f>IF(ISNUMBER(CP1439),IFERROR(MAX(0,BZ484-CP1439),0),0)</f>
        <v>0</v>
      </c>
      <c r="CS1439">
        <f>IF(ISNUMBER(CP1439),IFERROR(MAX(0,CP1439-BZ484),0),0)</f>
        <v>0</v>
      </c>
      <c r="CT1439">
        <f>IF(ISNUMBER(CQ1439),IFERROR(MAX(0,CA484-CQ1439),0),0)</f>
        <v>0</v>
      </c>
      <c r="CU1439">
        <f>IF(ISNUMBER(CQ1439),IFERROR(MAX(0,CQ1439-CA484),0),0)</f>
        <v>0</v>
      </c>
    </row>
    <row r="1440" spans="87:99" x14ac:dyDescent="0.3">
      <c r="CI1440" t="e">
        <f>AT484</f>
        <v>#N/A</v>
      </c>
      <c r="CJ1440" t="e">
        <f>AU484</f>
        <v>#N/A</v>
      </c>
      <c r="CK1440">
        <f>IF(ISNUMBER(CI1440),IFERROR(MAX(0,AV484-CI1440),0),0)</f>
        <v>0</v>
      </c>
      <c r="CL1440">
        <f>IF(ISNUMBER(CI1440),IFERROR(MAX(0,CI1440-AV484),0),0)</f>
        <v>0</v>
      </c>
      <c r="CM1440">
        <f>IF(ISNUMBER(CJ1440),IFERROR(MAX(0,AW484-CJ1440),0),0)</f>
        <v>0</v>
      </c>
      <c r="CN1440">
        <f>IF(ISNUMBER(CJ1440),IFERROR(MAX(0,CJ1440-AW484),0),0)</f>
        <v>0</v>
      </c>
      <c r="CP1440" t="e">
        <f>CB484</f>
        <v>#N/A</v>
      </c>
      <c r="CQ1440" t="e">
        <f>CC484</f>
        <v>#N/A</v>
      </c>
      <c r="CR1440">
        <f>IF(ISNUMBER(CP1440),IFERROR(MAX(0,CD484-CP1440),0),0)</f>
        <v>0</v>
      </c>
      <c r="CS1440">
        <f>IF(ISNUMBER(CP1440),IFERROR(MAX(0,CP1440-CD484),0),0)</f>
        <v>0</v>
      </c>
      <c r="CT1440">
        <f>IF(ISNUMBER(CQ1440),IFERROR(MAX(0,CE484-CQ1440),0),0)</f>
        <v>0</v>
      </c>
      <c r="CU1440">
        <f>IF(ISNUMBER(CQ1440),IFERROR(MAX(0,CQ1440-CE484),0),0)</f>
        <v>0</v>
      </c>
    </row>
    <row r="1441" spans="87:99" x14ac:dyDescent="0.3">
      <c r="CI1441" t="e">
        <f>AL485</f>
        <v>#N/A</v>
      </c>
      <c r="CJ1441" t="e">
        <f>AM485</f>
        <v>#N/A</v>
      </c>
      <c r="CK1441">
        <f>IF(ISNUMBER(CI1441),IFERROR(MAX(0,AN485-CI1441),0),0)</f>
        <v>0</v>
      </c>
      <c r="CL1441">
        <f>IF(ISNUMBER(CI1441),IFERROR(MAX(0,CI1441-AN485),0),0)</f>
        <v>0</v>
      </c>
      <c r="CM1441">
        <f>IF(ISNUMBER(CJ1441),IFERROR(MAX(0,AO485-CJ1441),0),0)</f>
        <v>0</v>
      </c>
      <c r="CN1441">
        <f>IF(ISNUMBER(CJ1441),IFERROR(MAX(0,CJ1441-AO485),0),0)</f>
        <v>0</v>
      </c>
      <c r="CP1441" t="e">
        <f>BT485</f>
        <v>#N/A</v>
      </c>
      <c r="CQ1441" t="e">
        <f>BU485</f>
        <v>#N/A</v>
      </c>
      <c r="CR1441">
        <f>IF(ISNUMBER(CP1441),IFERROR(MAX(0,BV485-CP1441),0),0)</f>
        <v>0</v>
      </c>
      <c r="CS1441">
        <f>IF(ISNUMBER(CP1441),IFERROR(MAX(0,CP1441-BV485),0),0)</f>
        <v>0</v>
      </c>
      <c r="CT1441">
        <f>IF(ISNUMBER(CQ1441),IFERROR(MAX(0,BW485-CQ1441),0),0)</f>
        <v>0</v>
      </c>
      <c r="CU1441">
        <f>IF(ISNUMBER(CQ1441),IFERROR(MAX(0,CQ1441-BW485),0),0)</f>
        <v>0</v>
      </c>
    </row>
    <row r="1442" spans="87:99" x14ac:dyDescent="0.3">
      <c r="CI1442" t="e">
        <f>AP485</f>
        <v>#N/A</v>
      </c>
      <c r="CJ1442" t="e">
        <f>AQ485</f>
        <v>#N/A</v>
      </c>
      <c r="CK1442">
        <f>IF(ISNUMBER(CI1442),IFERROR(MAX(0,AR485-CI1442),0),0)</f>
        <v>0</v>
      </c>
      <c r="CL1442">
        <f>IF(ISNUMBER(CI1442),IFERROR(MAX(0,CI1442-AR485),0),0)</f>
        <v>0</v>
      </c>
      <c r="CM1442">
        <f>IF(ISNUMBER(CJ1442),IFERROR(MAX(0,AS485-CJ1442),0),0)</f>
        <v>0</v>
      </c>
      <c r="CN1442">
        <f>IF(ISNUMBER(CJ1442),IFERROR(MAX(0,CJ1442-AS485),0),0)</f>
        <v>0</v>
      </c>
      <c r="CP1442" t="e">
        <f>BX485</f>
        <v>#N/A</v>
      </c>
      <c r="CQ1442" t="e">
        <f>BY485</f>
        <v>#N/A</v>
      </c>
      <c r="CR1442">
        <f>IF(ISNUMBER(CP1442),IFERROR(MAX(0,BZ485-CP1442),0),0)</f>
        <v>0</v>
      </c>
      <c r="CS1442">
        <f>IF(ISNUMBER(CP1442),IFERROR(MAX(0,CP1442-BZ485),0),0)</f>
        <v>0</v>
      </c>
      <c r="CT1442">
        <f>IF(ISNUMBER(CQ1442),IFERROR(MAX(0,CA485-CQ1442),0),0)</f>
        <v>0</v>
      </c>
      <c r="CU1442">
        <f>IF(ISNUMBER(CQ1442),IFERROR(MAX(0,CQ1442-CA485),0),0)</f>
        <v>0</v>
      </c>
    </row>
    <row r="1443" spans="87:99" x14ac:dyDescent="0.3">
      <c r="CI1443" t="e">
        <f>AT485</f>
        <v>#N/A</v>
      </c>
      <c r="CJ1443" t="e">
        <f>AU485</f>
        <v>#N/A</v>
      </c>
      <c r="CK1443">
        <f>IF(ISNUMBER(CI1443),IFERROR(MAX(0,AV485-CI1443),0),0)</f>
        <v>0</v>
      </c>
      <c r="CL1443">
        <f>IF(ISNUMBER(CI1443),IFERROR(MAX(0,CI1443-AV485),0),0)</f>
        <v>0</v>
      </c>
      <c r="CM1443">
        <f>IF(ISNUMBER(CJ1443),IFERROR(MAX(0,AW485-CJ1443),0),0)</f>
        <v>0</v>
      </c>
      <c r="CN1443">
        <f>IF(ISNUMBER(CJ1443),IFERROR(MAX(0,CJ1443-AW485),0),0)</f>
        <v>0</v>
      </c>
      <c r="CP1443" t="e">
        <f>CB485</f>
        <v>#N/A</v>
      </c>
      <c r="CQ1443" t="e">
        <f>CC485</f>
        <v>#N/A</v>
      </c>
      <c r="CR1443">
        <f>IF(ISNUMBER(CP1443),IFERROR(MAX(0,CD485-CP1443),0),0)</f>
        <v>0</v>
      </c>
      <c r="CS1443">
        <f>IF(ISNUMBER(CP1443),IFERROR(MAX(0,CP1443-CD485),0),0)</f>
        <v>0</v>
      </c>
      <c r="CT1443">
        <f>IF(ISNUMBER(CQ1443),IFERROR(MAX(0,CE485-CQ1443),0),0)</f>
        <v>0</v>
      </c>
      <c r="CU1443">
        <f>IF(ISNUMBER(CQ1443),IFERROR(MAX(0,CQ1443-CE485),0),0)</f>
        <v>0</v>
      </c>
    </row>
    <row r="1444" spans="87:99" x14ac:dyDescent="0.3">
      <c r="CI1444" t="e">
        <f>AL486</f>
        <v>#N/A</v>
      </c>
      <c r="CJ1444" t="e">
        <f>AM486</f>
        <v>#N/A</v>
      </c>
      <c r="CK1444">
        <f>IF(ISNUMBER(CI1444),IFERROR(MAX(0,AN486-CI1444),0),0)</f>
        <v>0</v>
      </c>
      <c r="CL1444">
        <f>IF(ISNUMBER(CI1444),IFERROR(MAX(0,CI1444-AN486),0),0)</f>
        <v>0</v>
      </c>
      <c r="CM1444">
        <f>IF(ISNUMBER(CJ1444),IFERROR(MAX(0,AO486-CJ1444),0),0)</f>
        <v>0</v>
      </c>
      <c r="CN1444">
        <f>IF(ISNUMBER(CJ1444),IFERROR(MAX(0,CJ1444-AO486),0),0)</f>
        <v>0</v>
      </c>
      <c r="CP1444" t="e">
        <f>BT486</f>
        <v>#N/A</v>
      </c>
      <c r="CQ1444" t="e">
        <f>BU486</f>
        <v>#N/A</v>
      </c>
      <c r="CR1444">
        <f>IF(ISNUMBER(CP1444),IFERROR(MAX(0,BV486-CP1444),0),0)</f>
        <v>0</v>
      </c>
      <c r="CS1444">
        <f>IF(ISNUMBER(CP1444),IFERROR(MAX(0,CP1444-BV486),0),0)</f>
        <v>0</v>
      </c>
      <c r="CT1444">
        <f>IF(ISNUMBER(CQ1444),IFERROR(MAX(0,BW486-CQ1444),0),0)</f>
        <v>0</v>
      </c>
      <c r="CU1444">
        <f>IF(ISNUMBER(CQ1444),IFERROR(MAX(0,CQ1444-BW486),0),0)</f>
        <v>0</v>
      </c>
    </row>
    <row r="1445" spans="87:99" x14ac:dyDescent="0.3">
      <c r="CI1445" t="e">
        <f>AP486</f>
        <v>#N/A</v>
      </c>
      <c r="CJ1445" t="e">
        <f>AQ486</f>
        <v>#N/A</v>
      </c>
      <c r="CK1445">
        <f>IF(ISNUMBER(CI1445),IFERROR(MAX(0,AR486-CI1445),0),0)</f>
        <v>0</v>
      </c>
      <c r="CL1445">
        <f>IF(ISNUMBER(CI1445),IFERROR(MAX(0,CI1445-AR486),0),0)</f>
        <v>0</v>
      </c>
      <c r="CM1445">
        <f>IF(ISNUMBER(CJ1445),IFERROR(MAX(0,AS486-CJ1445),0),0)</f>
        <v>0</v>
      </c>
      <c r="CN1445">
        <f>IF(ISNUMBER(CJ1445),IFERROR(MAX(0,CJ1445-AS486),0),0)</f>
        <v>0</v>
      </c>
      <c r="CP1445" t="e">
        <f>BX486</f>
        <v>#N/A</v>
      </c>
      <c r="CQ1445" t="e">
        <f>BY486</f>
        <v>#N/A</v>
      </c>
      <c r="CR1445">
        <f>IF(ISNUMBER(CP1445),IFERROR(MAX(0,BZ486-CP1445),0),0)</f>
        <v>0</v>
      </c>
      <c r="CS1445">
        <f>IF(ISNUMBER(CP1445),IFERROR(MAX(0,CP1445-BZ486),0),0)</f>
        <v>0</v>
      </c>
      <c r="CT1445">
        <f>IF(ISNUMBER(CQ1445),IFERROR(MAX(0,CA486-CQ1445),0),0)</f>
        <v>0</v>
      </c>
      <c r="CU1445">
        <f>IF(ISNUMBER(CQ1445),IFERROR(MAX(0,CQ1445-CA486),0),0)</f>
        <v>0</v>
      </c>
    </row>
    <row r="1446" spans="87:99" x14ac:dyDescent="0.3">
      <c r="CI1446" t="e">
        <f>AT486</f>
        <v>#N/A</v>
      </c>
      <c r="CJ1446" t="e">
        <f>AU486</f>
        <v>#N/A</v>
      </c>
      <c r="CK1446">
        <f>IF(ISNUMBER(CI1446),IFERROR(MAX(0,AV486-CI1446),0),0)</f>
        <v>0</v>
      </c>
      <c r="CL1446">
        <f>IF(ISNUMBER(CI1446),IFERROR(MAX(0,CI1446-AV486),0),0)</f>
        <v>0</v>
      </c>
      <c r="CM1446">
        <f>IF(ISNUMBER(CJ1446),IFERROR(MAX(0,AW486-CJ1446),0),0)</f>
        <v>0</v>
      </c>
      <c r="CN1446">
        <f>IF(ISNUMBER(CJ1446),IFERROR(MAX(0,CJ1446-AW486),0),0)</f>
        <v>0</v>
      </c>
      <c r="CP1446" t="e">
        <f>CB486</f>
        <v>#N/A</v>
      </c>
      <c r="CQ1446" t="e">
        <f>CC486</f>
        <v>#N/A</v>
      </c>
      <c r="CR1446">
        <f>IF(ISNUMBER(CP1446),IFERROR(MAX(0,CD486-CP1446),0),0)</f>
        <v>0</v>
      </c>
      <c r="CS1446">
        <f>IF(ISNUMBER(CP1446),IFERROR(MAX(0,CP1446-CD486),0),0)</f>
        <v>0</v>
      </c>
      <c r="CT1446">
        <f>IF(ISNUMBER(CQ1446),IFERROR(MAX(0,CE486-CQ1446),0),0)</f>
        <v>0</v>
      </c>
      <c r="CU1446">
        <f>IF(ISNUMBER(CQ1446),IFERROR(MAX(0,CQ1446-CE486),0),0)</f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3</vt:i4>
      </vt:variant>
    </vt:vector>
  </HeadingPairs>
  <TitlesOfParts>
    <vt:vector size="7" baseType="lpstr">
      <vt:lpstr>Gantt</vt:lpstr>
      <vt:lpstr>Gantt Chart</vt:lpstr>
      <vt:lpstr>Milestone Status</vt:lpstr>
      <vt:lpstr>ChartData</vt:lpstr>
      <vt:lpstr>Gantt!Print_Area</vt:lpstr>
      <vt:lpstr>'Milestone Status'!Print_Area</vt:lpstr>
      <vt:lpstr>Gantt!Print_Titles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cp:revision>0</cp:revision>
  <cp:lastPrinted>2026-09-15T14:36:27Z</cp:lastPrinted>
  <dcterms:created xsi:type="dcterms:W3CDTF">2026-07-06T07:30:48Z</dcterms:created>
  <dcterms:modified xsi:type="dcterms:W3CDTF">2026-10-01T09:57:16Z</dcterms:modified>
  <dc:language>en-US</dc:language>
</cp:coreProperties>
</file>